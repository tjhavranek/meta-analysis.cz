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bookViews>
    <workbookView xWindow="0" yWindow="0" windowWidth="19485" windowHeight="6915"/>
  </bookViews>
  <sheets>
    <sheet name="data" sheetId="1" r:id="rId1"/>
    <sheet name="bma_nobs" sheetId="12" r:id="rId2"/>
    <sheet name="bma" sheetId="5" state="hidden" r:id="rId3"/>
    <sheet name="bma_se" sheetId="13" state="hidden" r:id="rId4"/>
    <sheet name="bma_nobsse" sheetId="14" r:id="rId5"/>
  </sheets>
  <definedNames>
    <definedName name="_xlnm._FilterDatabase" localSheetId="1" hidden="1">bma_nobs!$A$1:$S$443</definedName>
    <definedName name="_xlnm._FilterDatabase" localSheetId="0" hidden="1">data!$A$1:$AX$443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4" l="1"/>
  <c r="A250" i="13" l="1"/>
  <c r="A250" i="14" s="1"/>
  <c r="A251" i="13"/>
  <c r="A251" i="14" s="1"/>
  <c r="A252" i="13"/>
  <c r="A252" i="14" s="1"/>
  <c r="A253" i="13"/>
  <c r="A253" i="14" s="1"/>
  <c r="A257" i="13"/>
  <c r="A257" i="14" s="1"/>
  <c r="A258" i="13"/>
  <c r="A258" i="14" s="1"/>
  <c r="A259" i="13"/>
  <c r="A259" i="14" s="1"/>
  <c r="A260" i="13"/>
  <c r="A260" i="14" s="1"/>
  <c r="A261" i="13"/>
  <c r="A261" i="14" s="1"/>
  <c r="A262" i="13"/>
  <c r="A262" i="14" s="1"/>
  <c r="A299" i="13"/>
  <c r="A299" i="14" s="1"/>
  <c r="A300" i="13"/>
  <c r="A300" i="14" s="1"/>
  <c r="A301" i="13"/>
  <c r="A301" i="14" s="1"/>
  <c r="A401" i="13"/>
  <c r="A401" i="14" s="1"/>
  <c r="A402" i="13"/>
  <c r="A402" i="14" s="1"/>
  <c r="A438" i="13"/>
  <c r="A438" i="14" s="1"/>
  <c r="A442" i="13"/>
  <c r="A442" i="14" s="1"/>
  <c r="A443" i="13"/>
  <c r="A443" i="14" s="1"/>
  <c r="A1" i="13"/>
  <c r="B1" i="13"/>
  <c r="O1" i="13"/>
  <c r="O1" i="12"/>
  <c r="M3" i="5" l="1"/>
  <c r="L3" i="5"/>
  <c r="H3" i="5"/>
  <c r="I3" i="5"/>
  <c r="F3" i="5"/>
  <c r="G3" i="5"/>
  <c r="D3" i="5"/>
  <c r="J3" i="5"/>
  <c r="K3" i="5"/>
  <c r="N3" i="5"/>
  <c r="O3" i="5"/>
  <c r="Q3" i="5"/>
  <c r="R3" i="5"/>
  <c r="S3" i="5"/>
  <c r="M4" i="5"/>
  <c r="L4" i="5"/>
  <c r="H4" i="5"/>
  <c r="I4" i="5"/>
  <c r="F4" i="5"/>
  <c r="G4" i="5"/>
  <c r="D4" i="5"/>
  <c r="J4" i="5"/>
  <c r="K4" i="5"/>
  <c r="N4" i="5"/>
  <c r="O4" i="5"/>
  <c r="Q4" i="5"/>
  <c r="R4" i="5"/>
  <c r="S4" i="5"/>
  <c r="M5" i="5"/>
  <c r="L5" i="5"/>
  <c r="H5" i="5"/>
  <c r="I5" i="5"/>
  <c r="F5" i="5"/>
  <c r="G5" i="5"/>
  <c r="D5" i="5"/>
  <c r="J5" i="5"/>
  <c r="K5" i="5"/>
  <c r="N5" i="5"/>
  <c r="O5" i="5"/>
  <c r="Q5" i="5"/>
  <c r="R5" i="5"/>
  <c r="S5" i="5"/>
  <c r="M6" i="5"/>
  <c r="L6" i="5"/>
  <c r="H6" i="5"/>
  <c r="I6" i="5"/>
  <c r="F6" i="5"/>
  <c r="G6" i="5"/>
  <c r="D6" i="5"/>
  <c r="J6" i="5"/>
  <c r="K6" i="5"/>
  <c r="N6" i="5"/>
  <c r="O6" i="5"/>
  <c r="Q6" i="5"/>
  <c r="R6" i="5"/>
  <c r="S6" i="5"/>
  <c r="M7" i="5"/>
  <c r="L7" i="5"/>
  <c r="H7" i="5"/>
  <c r="I7" i="5"/>
  <c r="F7" i="5"/>
  <c r="G7" i="5"/>
  <c r="D7" i="5"/>
  <c r="J7" i="5"/>
  <c r="K7" i="5"/>
  <c r="N7" i="5"/>
  <c r="O7" i="5"/>
  <c r="Q7" i="5"/>
  <c r="R7" i="5"/>
  <c r="S7" i="5"/>
  <c r="M8" i="5"/>
  <c r="L8" i="5"/>
  <c r="H8" i="5"/>
  <c r="I8" i="5"/>
  <c r="F8" i="5"/>
  <c r="G8" i="5"/>
  <c r="D8" i="5"/>
  <c r="J8" i="5"/>
  <c r="K8" i="5"/>
  <c r="N8" i="5"/>
  <c r="O8" i="5"/>
  <c r="Q8" i="5"/>
  <c r="R8" i="5"/>
  <c r="S8" i="5"/>
  <c r="M9" i="5"/>
  <c r="L9" i="5"/>
  <c r="H9" i="5"/>
  <c r="I9" i="5"/>
  <c r="F9" i="5"/>
  <c r="G9" i="5"/>
  <c r="D9" i="5"/>
  <c r="J9" i="5"/>
  <c r="K9" i="5"/>
  <c r="N9" i="5"/>
  <c r="O9" i="5"/>
  <c r="Q9" i="5"/>
  <c r="R9" i="5"/>
  <c r="S9" i="5"/>
  <c r="M10" i="5"/>
  <c r="L10" i="5"/>
  <c r="H10" i="5"/>
  <c r="I10" i="5"/>
  <c r="F10" i="5"/>
  <c r="G10" i="5"/>
  <c r="D10" i="5"/>
  <c r="J10" i="5"/>
  <c r="K10" i="5"/>
  <c r="N10" i="5"/>
  <c r="O10" i="5"/>
  <c r="Q10" i="5"/>
  <c r="R10" i="5"/>
  <c r="S10" i="5"/>
  <c r="M11" i="5"/>
  <c r="L11" i="5"/>
  <c r="H11" i="5"/>
  <c r="I11" i="5"/>
  <c r="F11" i="5"/>
  <c r="G11" i="5"/>
  <c r="D11" i="5"/>
  <c r="J11" i="5"/>
  <c r="K11" i="5"/>
  <c r="N11" i="5"/>
  <c r="O11" i="5"/>
  <c r="Q11" i="5"/>
  <c r="R11" i="5"/>
  <c r="S11" i="5"/>
  <c r="M12" i="5"/>
  <c r="L12" i="5"/>
  <c r="H12" i="5"/>
  <c r="I12" i="5"/>
  <c r="F12" i="5"/>
  <c r="G12" i="5"/>
  <c r="D12" i="5"/>
  <c r="J12" i="5"/>
  <c r="K12" i="5"/>
  <c r="N12" i="5"/>
  <c r="O12" i="5"/>
  <c r="Q12" i="5"/>
  <c r="R12" i="5"/>
  <c r="S12" i="5"/>
  <c r="M13" i="5"/>
  <c r="L13" i="5"/>
  <c r="H13" i="5"/>
  <c r="I13" i="5"/>
  <c r="F13" i="5"/>
  <c r="G13" i="5"/>
  <c r="D13" i="5"/>
  <c r="J13" i="5"/>
  <c r="K13" i="5"/>
  <c r="N13" i="5"/>
  <c r="O13" i="5"/>
  <c r="Q13" i="5"/>
  <c r="R13" i="5"/>
  <c r="S13" i="5"/>
  <c r="M14" i="5"/>
  <c r="L14" i="5"/>
  <c r="H14" i="5"/>
  <c r="I14" i="5"/>
  <c r="F14" i="5"/>
  <c r="G14" i="5"/>
  <c r="D14" i="5"/>
  <c r="J14" i="5"/>
  <c r="K14" i="5"/>
  <c r="N14" i="5"/>
  <c r="O14" i="5"/>
  <c r="Q14" i="5"/>
  <c r="R14" i="5"/>
  <c r="S14" i="5"/>
  <c r="M15" i="5"/>
  <c r="L15" i="5"/>
  <c r="H15" i="5"/>
  <c r="I15" i="5"/>
  <c r="F15" i="5"/>
  <c r="G15" i="5"/>
  <c r="D15" i="5"/>
  <c r="J15" i="5"/>
  <c r="K15" i="5"/>
  <c r="N15" i="5"/>
  <c r="O15" i="5"/>
  <c r="Q15" i="5"/>
  <c r="R15" i="5"/>
  <c r="S15" i="5"/>
  <c r="M16" i="5"/>
  <c r="L16" i="5"/>
  <c r="H16" i="5"/>
  <c r="I16" i="5"/>
  <c r="F16" i="5"/>
  <c r="G16" i="5"/>
  <c r="D16" i="5"/>
  <c r="J16" i="5"/>
  <c r="K16" i="5"/>
  <c r="N16" i="5"/>
  <c r="O16" i="5"/>
  <c r="Q16" i="5"/>
  <c r="R16" i="5"/>
  <c r="S16" i="5"/>
  <c r="M17" i="5"/>
  <c r="L17" i="5"/>
  <c r="H17" i="5"/>
  <c r="I17" i="5"/>
  <c r="F17" i="5"/>
  <c r="G17" i="5"/>
  <c r="D17" i="5"/>
  <c r="J17" i="5"/>
  <c r="K17" i="5"/>
  <c r="N17" i="5"/>
  <c r="O17" i="5"/>
  <c r="Q17" i="5"/>
  <c r="R17" i="5"/>
  <c r="S17" i="5"/>
  <c r="M18" i="5"/>
  <c r="L18" i="5"/>
  <c r="H18" i="5"/>
  <c r="I18" i="5"/>
  <c r="F18" i="5"/>
  <c r="G18" i="5"/>
  <c r="D18" i="5"/>
  <c r="J18" i="5"/>
  <c r="K18" i="5"/>
  <c r="N18" i="5"/>
  <c r="O18" i="5"/>
  <c r="Q18" i="5"/>
  <c r="R18" i="5"/>
  <c r="S18" i="5"/>
  <c r="M19" i="5"/>
  <c r="L19" i="5"/>
  <c r="H19" i="5"/>
  <c r="I19" i="5"/>
  <c r="F19" i="5"/>
  <c r="G19" i="5"/>
  <c r="D19" i="5"/>
  <c r="J19" i="5"/>
  <c r="K19" i="5"/>
  <c r="N19" i="5"/>
  <c r="O19" i="5"/>
  <c r="Q19" i="5"/>
  <c r="R19" i="5"/>
  <c r="S19" i="5"/>
  <c r="M20" i="5"/>
  <c r="L20" i="5"/>
  <c r="H20" i="5"/>
  <c r="I20" i="5"/>
  <c r="F20" i="5"/>
  <c r="G20" i="5"/>
  <c r="D20" i="5"/>
  <c r="J20" i="5"/>
  <c r="K20" i="5"/>
  <c r="N20" i="5"/>
  <c r="O20" i="5"/>
  <c r="Q20" i="5"/>
  <c r="R20" i="5"/>
  <c r="S20" i="5"/>
  <c r="M21" i="5"/>
  <c r="L21" i="5"/>
  <c r="H21" i="5"/>
  <c r="I21" i="5"/>
  <c r="F21" i="5"/>
  <c r="G21" i="5"/>
  <c r="D21" i="5"/>
  <c r="J21" i="5"/>
  <c r="K21" i="5"/>
  <c r="N21" i="5"/>
  <c r="O21" i="5"/>
  <c r="Q21" i="5"/>
  <c r="R21" i="5"/>
  <c r="S21" i="5"/>
  <c r="M22" i="5"/>
  <c r="L22" i="5"/>
  <c r="H22" i="5"/>
  <c r="I22" i="5"/>
  <c r="F22" i="5"/>
  <c r="G22" i="5"/>
  <c r="D22" i="5"/>
  <c r="J22" i="5"/>
  <c r="K22" i="5"/>
  <c r="N22" i="5"/>
  <c r="O22" i="5"/>
  <c r="Q22" i="5"/>
  <c r="R22" i="5"/>
  <c r="S22" i="5"/>
  <c r="M23" i="5"/>
  <c r="L23" i="5"/>
  <c r="H23" i="5"/>
  <c r="I23" i="5"/>
  <c r="F23" i="5"/>
  <c r="G23" i="5"/>
  <c r="D23" i="5"/>
  <c r="J23" i="5"/>
  <c r="K23" i="5"/>
  <c r="N23" i="5"/>
  <c r="O23" i="5"/>
  <c r="Q23" i="5"/>
  <c r="R23" i="5"/>
  <c r="S23" i="5"/>
  <c r="M24" i="5"/>
  <c r="L24" i="5"/>
  <c r="H24" i="5"/>
  <c r="I24" i="5"/>
  <c r="F24" i="5"/>
  <c r="G24" i="5"/>
  <c r="D24" i="5"/>
  <c r="J24" i="5"/>
  <c r="K24" i="5"/>
  <c r="N24" i="5"/>
  <c r="O24" i="5"/>
  <c r="Q24" i="5"/>
  <c r="R24" i="5"/>
  <c r="S24" i="5"/>
  <c r="M25" i="5"/>
  <c r="L25" i="5"/>
  <c r="H25" i="5"/>
  <c r="I25" i="5"/>
  <c r="F25" i="5"/>
  <c r="G25" i="5"/>
  <c r="D25" i="5"/>
  <c r="J25" i="5"/>
  <c r="K25" i="5"/>
  <c r="N25" i="5"/>
  <c r="O25" i="5"/>
  <c r="Q25" i="5"/>
  <c r="R25" i="5"/>
  <c r="S25" i="5"/>
  <c r="M26" i="5"/>
  <c r="L26" i="5"/>
  <c r="H26" i="5"/>
  <c r="I26" i="5"/>
  <c r="F26" i="5"/>
  <c r="G26" i="5"/>
  <c r="D26" i="5"/>
  <c r="J26" i="5"/>
  <c r="K26" i="5"/>
  <c r="N26" i="5"/>
  <c r="O26" i="5"/>
  <c r="Q26" i="5"/>
  <c r="R26" i="5"/>
  <c r="S26" i="5"/>
  <c r="M27" i="5"/>
  <c r="L27" i="5"/>
  <c r="H27" i="5"/>
  <c r="I27" i="5"/>
  <c r="F27" i="5"/>
  <c r="G27" i="5"/>
  <c r="D27" i="5"/>
  <c r="J27" i="5"/>
  <c r="K27" i="5"/>
  <c r="N27" i="5"/>
  <c r="O27" i="5"/>
  <c r="Q27" i="5"/>
  <c r="R27" i="5"/>
  <c r="S27" i="5"/>
  <c r="M28" i="5"/>
  <c r="L28" i="5"/>
  <c r="H28" i="5"/>
  <c r="I28" i="5"/>
  <c r="F28" i="5"/>
  <c r="G28" i="5"/>
  <c r="D28" i="5"/>
  <c r="J28" i="5"/>
  <c r="K28" i="5"/>
  <c r="N28" i="5"/>
  <c r="O28" i="5"/>
  <c r="Q28" i="5"/>
  <c r="R28" i="5"/>
  <c r="S28" i="5"/>
  <c r="M29" i="5"/>
  <c r="L29" i="5"/>
  <c r="H29" i="5"/>
  <c r="I29" i="5"/>
  <c r="F29" i="5"/>
  <c r="G29" i="5"/>
  <c r="D29" i="5"/>
  <c r="J29" i="5"/>
  <c r="K29" i="5"/>
  <c r="N29" i="5"/>
  <c r="O29" i="5"/>
  <c r="Q29" i="5"/>
  <c r="R29" i="5"/>
  <c r="S29" i="5"/>
  <c r="M30" i="5"/>
  <c r="L30" i="5"/>
  <c r="H30" i="5"/>
  <c r="I30" i="5"/>
  <c r="F30" i="5"/>
  <c r="G30" i="5"/>
  <c r="D30" i="5"/>
  <c r="J30" i="5"/>
  <c r="K30" i="5"/>
  <c r="N30" i="5"/>
  <c r="O30" i="5"/>
  <c r="Q30" i="5"/>
  <c r="R30" i="5"/>
  <c r="S30" i="5"/>
  <c r="M31" i="5"/>
  <c r="L31" i="5"/>
  <c r="H31" i="5"/>
  <c r="I31" i="5"/>
  <c r="F31" i="5"/>
  <c r="G31" i="5"/>
  <c r="D31" i="5"/>
  <c r="J31" i="5"/>
  <c r="K31" i="5"/>
  <c r="N31" i="5"/>
  <c r="O31" i="5"/>
  <c r="Q31" i="5"/>
  <c r="R31" i="5"/>
  <c r="S31" i="5"/>
  <c r="M32" i="5"/>
  <c r="L32" i="5"/>
  <c r="H32" i="5"/>
  <c r="I32" i="5"/>
  <c r="F32" i="5"/>
  <c r="G32" i="5"/>
  <c r="D32" i="5"/>
  <c r="J32" i="5"/>
  <c r="K32" i="5"/>
  <c r="N32" i="5"/>
  <c r="O32" i="5"/>
  <c r="Q32" i="5"/>
  <c r="R32" i="5"/>
  <c r="S32" i="5"/>
  <c r="M33" i="5"/>
  <c r="L33" i="5"/>
  <c r="H33" i="5"/>
  <c r="I33" i="5"/>
  <c r="F33" i="5"/>
  <c r="G33" i="5"/>
  <c r="D33" i="5"/>
  <c r="J33" i="5"/>
  <c r="K33" i="5"/>
  <c r="N33" i="5"/>
  <c r="O33" i="5"/>
  <c r="Q33" i="5"/>
  <c r="R33" i="5"/>
  <c r="S33" i="5"/>
  <c r="M34" i="5"/>
  <c r="L34" i="5"/>
  <c r="H34" i="5"/>
  <c r="I34" i="5"/>
  <c r="F34" i="5"/>
  <c r="G34" i="5"/>
  <c r="D34" i="5"/>
  <c r="J34" i="5"/>
  <c r="K34" i="5"/>
  <c r="N34" i="5"/>
  <c r="O34" i="5"/>
  <c r="Q34" i="5"/>
  <c r="R34" i="5"/>
  <c r="S34" i="5"/>
  <c r="M35" i="5"/>
  <c r="L35" i="5"/>
  <c r="H35" i="5"/>
  <c r="I35" i="5"/>
  <c r="F35" i="5"/>
  <c r="G35" i="5"/>
  <c r="D35" i="5"/>
  <c r="J35" i="5"/>
  <c r="K35" i="5"/>
  <c r="N35" i="5"/>
  <c r="O35" i="5"/>
  <c r="Q35" i="5"/>
  <c r="R35" i="5"/>
  <c r="S35" i="5"/>
  <c r="M36" i="5"/>
  <c r="L36" i="5"/>
  <c r="H36" i="5"/>
  <c r="I36" i="5"/>
  <c r="F36" i="5"/>
  <c r="G36" i="5"/>
  <c r="D36" i="5"/>
  <c r="J36" i="5"/>
  <c r="K36" i="5"/>
  <c r="N36" i="5"/>
  <c r="O36" i="5"/>
  <c r="Q36" i="5"/>
  <c r="R36" i="5"/>
  <c r="S36" i="5"/>
  <c r="M37" i="5"/>
  <c r="L37" i="5"/>
  <c r="H37" i="5"/>
  <c r="I37" i="5"/>
  <c r="F37" i="5"/>
  <c r="G37" i="5"/>
  <c r="D37" i="5"/>
  <c r="J37" i="5"/>
  <c r="K37" i="5"/>
  <c r="N37" i="5"/>
  <c r="O37" i="5"/>
  <c r="Q37" i="5"/>
  <c r="R37" i="5"/>
  <c r="S37" i="5"/>
  <c r="M38" i="5"/>
  <c r="L38" i="5"/>
  <c r="H38" i="5"/>
  <c r="I38" i="5"/>
  <c r="F38" i="5"/>
  <c r="G38" i="5"/>
  <c r="D38" i="5"/>
  <c r="J38" i="5"/>
  <c r="K38" i="5"/>
  <c r="N38" i="5"/>
  <c r="O38" i="5"/>
  <c r="Q38" i="5"/>
  <c r="R38" i="5"/>
  <c r="S38" i="5"/>
  <c r="M39" i="5"/>
  <c r="L39" i="5"/>
  <c r="H39" i="5"/>
  <c r="I39" i="5"/>
  <c r="F39" i="5"/>
  <c r="G39" i="5"/>
  <c r="D39" i="5"/>
  <c r="J39" i="5"/>
  <c r="K39" i="5"/>
  <c r="N39" i="5"/>
  <c r="O39" i="5"/>
  <c r="Q39" i="5"/>
  <c r="R39" i="5"/>
  <c r="S39" i="5"/>
  <c r="M40" i="5"/>
  <c r="L40" i="5"/>
  <c r="H40" i="5"/>
  <c r="I40" i="5"/>
  <c r="F40" i="5"/>
  <c r="G40" i="5"/>
  <c r="D40" i="5"/>
  <c r="J40" i="5"/>
  <c r="K40" i="5"/>
  <c r="N40" i="5"/>
  <c r="O40" i="5"/>
  <c r="Q40" i="5"/>
  <c r="R40" i="5"/>
  <c r="S40" i="5"/>
  <c r="M41" i="5"/>
  <c r="L41" i="5"/>
  <c r="H41" i="5"/>
  <c r="I41" i="5"/>
  <c r="F41" i="5"/>
  <c r="G41" i="5"/>
  <c r="D41" i="5"/>
  <c r="J41" i="5"/>
  <c r="K41" i="5"/>
  <c r="N41" i="5"/>
  <c r="O41" i="5"/>
  <c r="Q41" i="5"/>
  <c r="R41" i="5"/>
  <c r="S41" i="5"/>
  <c r="M42" i="5"/>
  <c r="L42" i="5"/>
  <c r="H42" i="5"/>
  <c r="I42" i="5"/>
  <c r="F42" i="5"/>
  <c r="G42" i="5"/>
  <c r="D42" i="5"/>
  <c r="J42" i="5"/>
  <c r="K42" i="5"/>
  <c r="N42" i="5"/>
  <c r="O42" i="5"/>
  <c r="Q42" i="5"/>
  <c r="R42" i="5"/>
  <c r="S42" i="5"/>
  <c r="M43" i="5"/>
  <c r="L43" i="5"/>
  <c r="H43" i="5"/>
  <c r="I43" i="5"/>
  <c r="F43" i="5"/>
  <c r="G43" i="5"/>
  <c r="D43" i="5"/>
  <c r="J43" i="5"/>
  <c r="K43" i="5"/>
  <c r="N43" i="5"/>
  <c r="O43" i="5"/>
  <c r="Q43" i="5"/>
  <c r="R43" i="5"/>
  <c r="S43" i="5"/>
  <c r="M44" i="5"/>
  <c r="L44" i="5"/>
  <c r="H44" i="5"/>
  <c r="I44" i="5"/>
  <c r="F44" i="5"/>
  <c r="G44" i="5"/>
  <c r="D44" i="5"/>
  <c r="J44" i="5"/>
  <c r="K44" i="5"/>
  <c r="N44" i="5"/>
  <c r="O44" i="5"/>
  <c r="Q44" i="5"/>
  <c r="R44" i="5"/>
  <c r="S44" i="5"/>
  <c r="M45" i="5"/>
  <c r="L45" i="5"/>
  <c r="H45" i="5"/>
  <c r="I45" i="5"/>
  <c r="F45" i="5"/>
  <c r="G45" i="5"/>
  <c r="D45" i="5"/>
  <c r="J45" i="5"/>
  <c r="K45" i="5"/>
  <c r="N45" i="5"/>
  <c r="O45" i="5"/>
  <c r="Q45" i="5"/>
  <c r="R45" i="5"/>
  <c r="S45" i="5"/>
  <c r="M46" i="5"/>
  <c r="L46" i="5"/>
  <c r="H46" i="5"/>
  <c r="I46" i="5"/>
  <c r="F46" i="5"/>
  <c r="G46" i="5"/>
  <c r="D46" i="5"/>
  <c r="J46" i="5"/>
  <c r="K46" i="5"/>
  <c r="N46" i="5"/>
  <c r="O46" i="5"/>
  <c r="Q46" i="5"/>
  <c r="R46" i="5"/>
  <c r="S46" i="5"/>
  <c r="M47" i="5"/>
  <c r="L47" i="5"/>
  <c r="H47" i="5"/>
  <c r="I47" i="5"/>
  <c r="F47" i="5"/>
  <c r="G47" i="5"/>
  <c r="D47" i="5"/>
  <c r="J47" i="5"/>
  <c r="K47" i="5"/>
  <c r="N47" i="5"/>
  <c r="O47" i="5"/>
  <c r="Q47" i="5"/>
  <c r="R47" i="5"/>
  <c r="S47" i="5"/>
  <c r="M48" i="5"/>
  <c r="L48" i="5"/>
  <c r="H48" i="5"/>
  <c r="I48" i="5"/>
  <c r="F48" i="5"/>
  <c r="G48" i="5"/>
  <c r="D48" i="5"/>
  <c r="J48" i="5"/>
  <c r="K48" i="5"/>
  <c r="N48" i="5"/>
  <c r="O48" i="5"/>
  <c r="Q48" i="5"/>
  <c r="R48" i="5"/>
  <c r="S48" i="5"/>
  <c r="M49" i="5"/>
  <c r="L49" i="5"/>
  <c r="H49" i="5"/>
  <c r="I49" i="5"/>
  <c r="F49" i="5"/>
  <c r="G49" i="5"/>
  <c r="D49" i="5"/>
  <c r="J49" i="5"/>
  <c r="K49" i="5"/>
  <c r="N49" i="5"/>
  <c r="O49" i="5"/>
  <c r="Q49" i="5"/>
  <c r="R49" i="5"/>
  <c r="S49" i="5"/>
  <c r="M50" i="5"/>
  <c r="L50" i="5"/>
  <c r="H50" i="5"/>
  <c r="I50" i="5"/>
  <c r="F50" i="5"/>
  <c r="G50" i="5"/>
  <c r="D50" i="5"/>
  <c r="J50" i="5"/>
  <c r="K50" i="5"/>
  <c r="N50" i="5"/>
  <c r="O50" i="5"/>
  <c r="Q50" i="5"/>
  <c r="R50" i="5"/>
  <c r="S50" i="5"/>
  <c r="M51" i="5"/>
  <c r="L51" i="5"/>
  <c r="H51" i="5"/>
  <c r="I51" i="5"/>
  <c r="F51" i="5"/>
  <c r="G51" i="5"/>
  <c r="D51" i="5"/>
  <c r="J51" i="5"/>
  <c r="K51" i="5"/>
  <c r="N51" i="5"/>
  <c r="O51" i="5"/>
  <c r="Q51" i="5"/>
  <c r="R51" i="5"/>
  <c r="S51" i="5"/>
  <c r="M52" i="5"/>
  <c r="L52" i="5"/>
  <c r="H52" i="5"/>
  <c r="I52" i="5"/>
  <c r="F52" i="5"/>
  <c r="G52" i="5"/>
  <c r="D52" i="5"/>
  <c r="J52" i="5"/>
  <c r="K52" i="5"/>
  <c r="N52" i="5"/>
  <c r="O52" i="5"/>
  <c r="Q52" i="5"/>
  <c r="R52" i="5"/>
  <c r="S52" i="5"/>
  <c r="M53" i="5"/>
  <c r="L53" i="5"/>
  <c r="H53" i="5"/>
  <c r="I53" i="5"/>
  <c r="F53" i="5"/>
  <c r="G53" i="5"/>
  <c r="D53" i="5"/>
  <c r="J53" i="5"/>
  <c r="K53" i="5"/>
  <c r="N53" i="5"/>
  <c r="O53" i="5"/>
  <c r="Q53" i="5"/>
  <c r="R53" i="5"/>
  <c r="S53" i="5"/>
  <c r="M54" i="5"/>
  <c r="L54" i="5"/>
  <c r="H54" i="5"/>
  <c r="I54" i="5"/>
  <c r="F54" i="5"/>
  <c r="G54" i="5"/>
  <c r="D54" i="5"/>
  <c r="J54" i="5"/>
  <c r="K54" i="5"/>
  <c r="N54" i="5"/>
  <c r="O54" i="5"/>
  <c r="Q54" i="5"/>
  <c r="R54" i="5"/>
  <c r="S54" i="5"/>
  <c r="M55" i="5"/>
  <c r="L55" i="5"/>
  <c r="H55" i="5"/>
  <c r="I55" i="5"/>
  <c r="F55" i="5"/>
  <c r="G55" i="5"/>
  <c r="D55" i="5"/>
  <c r="J55" i="5"/>
  <c r="K55" i="5"/>
  <c r="N55" i="5"/>
  <c r="O55" i="5"/>
  <c r="Q55" i="5"/>
  <c r="R55" i="5"/>
  <c r="S55" i="5"/>
  <c r="M56" i="5"/>
  <c r="L56" i="5"/>
  <c r="H56" i="5"/>
  <c r="I56" i="5"/>
  <c r="F56" i="5"/>
  <c r="G56" i="5"/>
  <c r="D56" i="5"/>
  <c r="J56" i="5"/>
  <c r="K56" i="5"/>
  <c r="N56" i="5"/>
  <c r="O56" i="5"/>
  <c r="Q56" i="5"/>
  <c r="R56" i="5"/>
  <c r="S56" i="5"/>
  <c r="M57" i="5"/>
  <c r="L57" i="5"/>
  <c r="H57" i="5"/>
  <c r="I57" i="5"/>
  <c r="F57" i="5"/>
  <c r="G57" i="5"/>
  <c r="D57" i="5"/>
  <c r="J57" i="5"/>
  <c r="K57" i="5"/>
  <c r="N57" i="5"/>
  <c r="O57" i="5"/>
  <c r="Q57" i="5"/>
  <c r="R57" i="5"/>
  <c r="S57" i="5"/>
  <c r="M58" i="5"/>
  <c r="L58" i="5"/>
  <c r="H58" i="5"/>
  <c r="I58" i="5"/>
  <c r="F58" i="5"/>
  <c r="G58" i="5"/>
  <c r="D58" i="5"/>
  <c r="J58" i="5"/>
  <c r="K58" i="5"/>
  <c r="N58" i="5"/>
  <c r="O58" i="5"/>
  <c r="Q58" i="5"/>
  <c r="R58" i="5"/>
  <c r="S58" i="5"/>
  <c r="M59" i="5"/>
  <c r="L59" i="5"/>
  <c r="H59" i="5"/>
  <c r="I59" i="5"/>
  <c r="F59" i="5"/>
  <c r="G59" i="5"/>
  <c r="D59" i="5"/>
  <c r="J59" i="5"/>
  <c r="K59" i="5"/>
  <c r="N59" i="5"/>
  <c r="O59" i="5"/>
  <c r="Q59" i="5"/>
  <c r="R59" i="5"/>
  <c r="S59" i="5"/>
  <c r="M60" i="5"/>
  <c r="L60" i="5"/>
  <c r="H60" i="5"/>
  <c r="I60" i="5"/>
  <c r="F60" i="5"/>
  <c r="G60" i="5"/>
  <c r="D60" i="5"/>
  <c r="J60" i="5"/>
  <c r="K60" i="5"/>
  <c r="N60" i="5"/>
  <c r="O60" i="5"/>
  <c r="Q60" i="5"/>
  <c r="R60" i="5"/>
  <c r="S60" i="5"/>
  <c r="M61" i="5"/>
  <c r="L61" i="5"/>
  <c r="H61" i="5"/>
  <c r="I61" i="5"/>
  <c r="F61" i="5"/>
  <c r="G61" i="5"/>
  <c r="D61" i="5"/>
  <c r="J61" i="5"/>
  <c r="K61" i="5"/>
  <c r="N61" i="5"/>
  <c r="O61" i="5"/>
  <c r="Q61" i="5"/>
  <c r="R61" i="5"/>
  <c r="S61" i="5"/>
  <c r="M62" i="5"/>
  <c r="L62" i="5"/>
  <c r="H62" i="5"/>
  <c r="I62" i="5"/>
  <c r="F62" i="5"/>
  <c r="G62" i="5"/>
  <c r="D62" i="5"/>
  <c r="J62" i="5"/>
  <c r="K62" i="5"/>
  <c r="N62" i="5"/>
  <c r="O62" i="5"/>
  <c r="Q62" i="5"/>
  <c r="R62" i="5"/>
  <c r="S62" i="5"/>
  <c r="M63" i="5"/>
  <c r="L63" i="5"/>
  <c r="H63" i="5"/>
  <c r="I63" i="5"/>
  <c r="F63" i="5"/>
  <c r="G63" i="5"/>
  <c r="D63" i="5"/>
  <c r="J63" i="5"/>
  <c r="K63" i="5"/>
  <c r="N63" i="5"/>
  <c r="O63" i="5"/>
  <c r="Q63" i="5"/>
  <c r="R63" i="5"/>
  <c r="S63" i="5"/>
  <c r="M64" i="5"/>
  <c r="L64" i="5"/>
  <c r="H64" i="5"/>
  <c r="I64" i="5"/>
  <c r="F64" i="5"/>
  <c r="G64" i="5"/>
  <c r="D64" i="5"/>
  <c r="J64" i="5"/>
  <c r="K64" i="5"/>
  <c r="N64" i="5"/>
  <c r="O64" i="5"/>
  <c r="Q64" i="5"/>
  <c r="R64" i="5"/>
  <c r="S64" i="5"/>
  <c r="M65" i="5"/>
  <c r="L65" i="5"/>
  <c r="H65" i="5"/>
  <c r="I65" i="5"/>
  <c r="F65" i="5"/>
  <c r="G65" i="5"/>
  <c r="D65" i="5"/>
  <c r="J65" i="5"/>
  <c r="K65" i="5"/>
  <c r="N65" i="5"/>
  <c r="O65" i="5"/>
  <c r="Q65" i="5"/>
  <c r="R65" i="5"/>
  <c r="S65" i="5"/>
  <c r="M66" i="5"/>
  <c r="L66" i="5"/>
  <c r="H66" i="5"/>
  <c r="I66" i="5"/>
  <c r="F66" i="5"/>
  <c r="G66" i="5"/>
  <c r="D66" i="5"/>
  <c r="J66" i="5"/>
  <c r="K66" i="5"/>
  <c r="N66" i="5"/>
  <c r="O66" i="5"/>
  <c r="Q66" i="5"/>
  <c r="R66" i="5"/>
  <c r="S66" i="5"/>
  <c r="M67" i="5"/>
  <c r="L67" i="5"/>
  <c r="H67" i="5"/>
  <c r="I67" i="5"/>
  <c r="F67" i="5"/>
  <c r="G67" i="5"/>
  <c r="D67" i="5"/>
  <c r="J67" i="5"/>
  <c r="K67" i="5"/>
  <c r="N67" i="5"/>
  <c r="O67" i="5"/>
  <c r="Q67" i="5"/>
  <c r="R67" i="5"/>
  <c r="S67" i="5"/>
  <c r="M68" i="5"/>
  <c r="L68" i="5"/>
  <c r="H68" i="5"/>
  <c r="I68" i="5"/>
  <c r="F68" i="5"/>
  <c r="G68" i="5"/>
  <c r="D68" i="5"/>
  <c r="J68" i="5"/>
  <c r="K68" i="5"/>
  <c r="N68" i="5"/>
  <c r="O68" i="5"/>
  <c r="Q68" i="5"/>
  <c r="R68" i="5"/>
  <c r="S68" i="5"/>
  <c r="M69" i="5"/>
  <c r="L69" i="5"/>
  <c r="H69" i="5"/>
  <c r="I69" i="5"/>
  <c r="F69" i="5"/>
  <c r="G69" i="5"/>
  <c r="D69" i="5"/>
  <c r="J69" i="5"/>
  <c r="K69" i="5"/>
  <c r="N69" i="5"/>
  <c r="O69" i="5"/>
  <c r="Q69" i="5"/>
  <c r="R69" i="5"/>
  <c r="S69" i="5"/>
  <c r="M70" i="5"/>
  <c r="L70" i="5"/>
  <c r="H70" i="5"/>
  <c r="I70" i="5"/>
  <c r="F70" i="5"/>
  <c r="G70" i="5"/>
  <c r="D70" i="5"/>
  <c r="J70" i="5"/>
  <c r="K70" i="5"/>
  <c r="N70" i="5"/>
  <c r="O70" i="5"/>
  <c r="Q70" i="5"/>
  <c r="R70" i="5"/>
  <c r="S70" i="5"/>
  <c r="M71" i="5"/>
  <c r="L71" i="5"/>
  <c r="H71" i="5"/>
  <c r="I71" i="5"/>
  <c r="F71" i="5"/>
  <c r="G71" i="5"/>
  <c r="D71" i="5"/>
  <c r="J71" i="5"/>
  <c r="K71" i="5"/>
  <c r="N71" i="5"/>
  <c r="O71" i="5"/>
  <c r="Q71" i="5"/>
  <c r="R71" i="5"/>
  <c r="S71" i="5"/>
  <c r="M72" i="5"/>
  <c r="L72" i="5"/>
  <c r="H72" i="5"/>
  <c r="I72" i="5"/>
  <c r="F72" i="5"/>
  <c r="G72" i="5"/>
  <c r="D72" i="5"/>
  <c r="E72" i="5"/>
  <c r="J72" i="5"/>
  <c r="K72" i="5"/>
  <c r="N72" i="5"/>
  <c r="O72" i="5"/>
  <c r="Q72" i="5"/>
  <c r="R72" i="5"/>
  <c r="S72" i="5"/>
  <c r="M73" i="5"/>
  <c r="L73" i="5"/>
  <c r="H73" i="5"/>
  <c r="I73" i="5"/>
  <c r="F73" i="5"/>
  <c r="G73" i="5"/>
  <c r="D73" i="5"/>
  <c r="E73" i="5"/>
  <c r="J73" i="5"/>
  <c r="K73" i="5"/>
  <c r="N73" i="5"/>
  <c r="O73" i="5"/>
  <c r="Q73" i="5"/>
  <c r="R73" i="5"/>
  <c r="S73" i="5"/>
  <c r="M74" i="5"/>
  <c r="L74" i="5"/>
  <c r="H74" i="5"/>
  <c r="I74" i="5"/>
  <c r="F74" i="5"/>
  <c r="G74" i="5"/>
  <c r="D74" i="5"/>
  <c r="E74" i="5"/>
  <c r="J74" i="5"/>
  <c r="K74" i="5"/>
  <c r="N74" i="5"/>
  <c r="O74" i="5"/>
  <c r="Q74" i="5"/>
  <c r="R74" i="5"/>
  <c r="S74" i="5"/>
  <c r="M75" i="5"/>
  <c r="L75" i="5"/>
  <c r="H75" i="5"/>
  <c r="I75" i="5"/>
  <c r="F75" i="5"/>
  <c r="G75" i="5"/>
  <c r="D75" i="5"/>
  <c r="J75" i="5"/>
  <c r="K75" i="5"/>
  <c r="N75" i="5"/>
  <c r="O75" i="5"/>
  <c r="Q75" i="5"/>
  <c r="R75" i="5"/>
  <c r="S75" i="5"/>
  <c r="M76" i="5"/>
  <c r="L76" i="5"/>
  <c r="H76" i="5"/>
  <c r="I76" i="5"/>
  <c r="F76" i="5"/>
  <c r="G76" i="5"/>
  <c r="D76" i="5"/>
  <c r="J76" i="5"/>
  <c r="K76" i="5"/>
  <c r="N76" i="5"/>
  <c r="O76" i="5"/>
  <c r="Q76" i="5"/>
  <c r="R76" i="5"/>
  <c r="S76" i="5"/>
  <c r="M77" i="5"/>
  <c r="L77" i="5"/>
  <c r="H77" i="5"/>
  <c r="I77" i="5"/>
  <c r="F77" i="5"/>
  <c r="G77" i="5"/>
  <c r="D77" i="5"/>
  <c r="J77" i="5"/>
  <c r="K77" i="5"/>
  <c r="N77" i="5"/>
  <c r="O77" i="5"/>
  <c r="Q77" i="5"/>
  <c r="R77" i="5"/>
  <c r="S77" i="5"/>
  <c r="M78" i="5"/>
  <c r="L78" i="5"/>
  <c r="H78" i="5"/>
  <c r="I78" i="5"/>
  <c r="F78" i="5"/>
  <c r="G78" i="5"/>
  <c r="D78" i="5"/>
  <c r="J78" i="5"/>
  <c r="K78" i="5"/>
  <c r="N78" i="5"/>
  <c r="O78" i="5"/>
  <c r="Q78" i="5"/>
  <c r="R78" i="5"/>
  <c r="S78" i="5"/>
  <c r="M79" i="5"/>
  <c r="L79" i="5"/>
  <c r="H79" i="5"/>
  <c r="I79" i="5"/>
  <c r="F79" i="5"/>
  <c r="G79" i="5"/>
  <c r="D79" i="5"/>
  <c r="J79" i="5"/>
  <c r="K79" i="5"/>
  <c r="N79" i="5"/>
  <c r="O79" i="5"/>
  <c r="Q79" i="5"/>
  <c r="R79" i="5"/>
  <c r="S79" i="5"/>
  <c r="M80" i="5"/>
  <c r="L80" i="5"/>
  <c r="H80" i="5"/>
  <c r="I80" i="5"/>
  <c r="F80" i="5"/>
  <c r="G80" i="5"/>
  <c r="D80" i="5"/>
  <c r="J80" i="5"/>
  <c r="K80" i="5"/>
  <c r="N80" i="5"/>
  <c r="O80" i="5"/>
  <c r="Q80" i="5"/>
  <c r="R80" i="5"/>
  <c r="S80" i="5"/>
  <c r="M81" i="5"/>
  <c r="L81" i="5"/>
  <c r="H81" i="5"/>
  <c r="I81" i="5"/>
  <c r="F81" i="5"/>
  <c r="G81" i="5"/>
  <c r="D81" i="5"/>
  <c r="J81" i="5"/>
  <c r="K81" i="5"/>
  <c r="N81" i="5"/>
  <c r="O81" i="5"/>
  <c r="Q81" i="5"/>
  <c r="R81" i="5"/>
  <c r="S81" i="5"/>
  <c r="M82" i="5"/>
  <c r="L82" i="5"/>
  <c r="H82" i="5"/>
  <c r="I82" i="5"/>
  <c r="F82" i="5"/>
  <c r="G82" i="5"/>
  <c r="D82" i="5"/>
  <c r="J82" i="5"/>
  <c r="K82" i="5"/>
  <c r="N82" i="5"/>
  <c r="O82" i="5"/>
  <c r="Q82" i="5"/>
  <c r="R82" i="5"/>
  <c r="S82" i="5"/>
  <c r="M83" i="5"/>
  <c r="L83" i="5"/>
  <c r="H83" i="5"/>
  <c r="I83" i="5"/>
  <c r="F83" i="5"/>
  <c r="G83" i="5"/>
  <c r="D83" i="5"/>
  <c r="J83" i="5"/>
  <c r="K83" i="5"/>
  <c r="N83" i="5"/>
  <c r="O83" i="5"/>
  <c r="Q83" i="5"/>
  <c r="R83" i="5"/>
  <c r="S83" i="5"/>
  <c r="M84" i="5"/>
  <c r="L84" i="5"/>
  <c r="H84" i="5"/>
  <c r="I84" i="5"/>
  <c r="F84" i="5"/>
  <c r="G84" i="5"/>
  <c r="D84" i="5"/>
  <c r="J84" i="5"/>
  <c r="K84" i="5"/>
  <c r="N84" i="5"/>
  <c r="O84" i="5"/>
  <c r="Q84" i="5"/>
  <c r="R84" i="5"/>
  <c r="S84" i="5"/>
  <c r="M85" i="5"/>
  <c r="L85" i="5"/>
  <c r="H85" i="5"/>
  <c r="I85" i="5"/>
  <c r="F85" i="5"/>
  <c r="G85" i="5"/>
  <c r="D85" i="5"/>
  <c r="J85" i="5"/>
  <c r="K85" i="5"/>
  <c r="N85" i="5"/>
  <c r="O85" i="5"/>
  <c r="Q85" i="5"/>
  <c r="R85" i="5"/>
  <c r="S85" i="5"/>
  <c r="M86" i="5"/>
  <c r="L86" i="5"/>
  <c r="H86" i="5"/>
  <c r="I86" i="5"/>
  <c r="F86" i="5"/>
  <c r="G86" i="5"/>
  <c r="D86" i="5"/>
  <c r="J86" i="5"/>
  <c r="K86" i="5"/>
  <c r="N86" i="5"/>
  <c r="O86" i="5"/>
  <c r="Q86" i="5"/>
  <c r="R86" i="5"/>
  <c r="S86" i="5"/>
  <c r="M87" i="5"/>
  <c r="L87" i="5"/>
  <c r="H87" i="5"/>
  <c r="I87" i="5"/>
  <c r="F87" i="5"/>
  <c r="G87" i="5"/>
  <c r="D87" i="5"/>
  <c r="J87" i="5"/>
  <c r="K87" i="5"/>
  <c r="N87" i="5"/>
  <c r="O87" i="5"/>
  <c r="Q87" i="5"/>
  <c r="R87" i="5"/>
  <c r="S87" i="5"/>
  <c r="M88" i="5"/>
  <c r="L88" i="5"/>
  <c r="H88" i="5"/>
  <c r="I88" i="5"/>
  <c r="F88" i="5"/>
  <c r="G88" i="5"/>
  <c r="D88" i="5"/>
  <c r="J88" i="5"/>
  <c r="K88" i="5"/>
  <c r="N88" i="5"/>
  <c r="O88" i="5"/>
  <c r="Q88" i="5"/>
  <c r="R88" i="5"/>
  <c r="S88" i="5"/>
  <c r="M89" i="5"/>
  <c r="L89" i="5"/>
  <c r="H89" i="5"/>
  <c r="I89" i="5"/>
  <c r="F89" i="5"/>
  <c r="G89" i="5"/>
  <c r="D89" i="5"/>
  <c r="J89" i="5"/>
  <c r="K89" i="5"/>
  <c r="N89" i="5"/>
  <c r="O89" i="5"/>
  <c r="Q89" i="5"/>
  <c r="R89" i="5"/>
  <c r="S89" i="5"/>
  <c r="M90" i="5"/>
  <c r="L90" i="5"/>
  <c r="H90" i="5"/>
  <c r="I90" i="5"/>
  <c r="F90" i="5"/>
  <c r="G90" i="5"/>
  <c r="D90" i="5"/>
  <c r="J90" i="5"/>
  <c r="K90" i="5"/>
  <c r="N90" i="5"/>
  <c r="O90" i="5"/>
  <c r="Q90" i="5"/>
  <c r="R90" i="5"/>
  <c r="S90" i="5"/>
  <c r="M91" i="5"/>
  <c r="L91" i="5"/>
  <c r="H91" i="5"/>
  <c r="I91" i="5"/>
  <c r="F91" i="5"/>
  <c r="G91" i="5"/>
  <c r="D91" i="5"/>
  <c r="J91" i="5"/>
  <c r="K91" i="5"/>
  <c r="N91" i="5"/>
  <c r="O91" i="5"/>
  <c r="Q91" i="5"/>
  <c r="R91" i="5"/>
  <c r="S91" i="5"/>
  <c r="M92" i="5"/>
  <c r="L92" i="5"/>
  <c r="H92" i="5"/>
  <c r="I92" i="5"/>
  <c r="F92" i="5"/>
  <c r="G92" i="5"/>
  <c r="D92" i="5"/>
  <c r="J92" i="5"/>
  <c r="K92" i="5"/>
  <c r="N92" i="5"/>
  <c r="O92" i="5"/>
  <c r="Q92" i="5"/>
  <c r="R92" i="5"/>
  <c r="S92" i="5"/>
  <c r="M93" i="5"/>
  <c r="L93" i="5"/>
  <c r="H93" i="5"/>
  <c r="I93" i="5"/>
  <c r="F93" i="5"/>
  <c r="G93" i="5"/>
  <c r="D93" i="5"/>
  <c r="J93" i="5"/>
  <c r="K93" i="5"/>
  <c r="N93" i="5"/>
  <c r="O93" i="5"/>
  <c r="Q93" i="5"/>
  <c r="R93" i="5"/>
  <c r="S93" i="5"/>
  <c r="M94" i="5"/>
  <c r="L94" i="5"/>
  <c r="H94" i="5"/>
  <c r="I94" i="5"/>
  <c r="F94" i="5"/>
  <c r="G94" i="5"/>
  <c r="D94" i="5"/>
  <c r="J94" i="5"/>
  <c r="K94" i="5"/>
  <c r="N94" i="5"/>
  <c r="O94" i="5"/>
  <c r="Q94" i="5"/>
  <c r="R94" i="5"/>
  <c r="S94" i="5"/>
  <c r="M95" i="5"/>
  <c r="L95" i="5"/>
  <c r="H95" i="5"/>
  <c r="I95" i="5"/>
  <c r="F95" i="5"/>
  <c r="G95" i="5"/>
  <c r="D95" i="5"/>
  <c r="J95" i="5"/>
  <c r="K95" i="5"/>
  <c r="N95" i="5"/>
  <c r="O95" i="5"/>
  <c r="Q95" i="5"/>
  <c r="R95" i="5"/>
  <c r="S95" i="5"/>
  <c r="M96" i="5"/>
  <c r="L96" i="5"/>
  <c r="H96" i="5"/>
  <c r="I96" i="5"/>
  <c r="F96" i="5"/>
  <c r="G96" i="5"/>
  <c r="D96" i="5"/>
  <c r="J96" i="5"/>
  <c r="K96" i="5"/>
  <c r="N96" i="5"/>
  <c r="O96" i="5"/>
  <c r="Q96" i="5"/>
  <c r="R96" i="5"/>
  <c r="S96" i="5"/>
  <c r="M97" i="5"/>
  <c r="L97" i="5"/>
  <c r="H97" i="5"/>
  <c r="I97" i="5"/>
  <c r="F97" i="5"/>
  <c r="G97" i="5"/>
  <c r="D97" i="5"/>
  <c r="J97" i="5"/>
  <c r="K97" i="5"/>
  <c r="N97" i="5"/>
  <c r="O97" i="5"/>
  <c r="Q97" i="5"/>
  <c r="R97" i="5"/>
  <c r="S97" i="5"/>
  <c r="M98" i="5"/>
  <c r="L98" i="5"/>
  <c r="H98" i="5"/>
  <c r="I98" i="5"/>
  <c r="F98" i="5"/>
  <c r="G98" i="5"/>
  <c r="D98" i="5"/>
  <c r="J98" i="5"/>
  <c r="K98" i="5"/>
  <c r="N98" i="5"/>
  <c r="O98" i="5"/>
  <c r="Q98" i="5"/>
  <c r="R98" i="5"/>
  <c r="S98" i="5"/>
  <c r="M99" i="5"/>
  <c r="L99" i="5"/>
  <c r="H99" i="5"/>
  <c r="I99" i="5"/>
  <c r="F99" i="5"/>
  <c r="G99" i="5"/>
  <c r="D99" i="5"/>
  <c r="J99" i="5"/>
  <c r="K99" i="5"/>
  <c r="N99" i="5"/>
  <c r="O99" i="5"/>
  <c r="Q99" i="5"/>
  <c r="R99" i="5"/>
  <c r="S99" i="5"/>
  <c r="M100" i="5"/>
  <c r="L100" i="5"/>
  <c r="H100" i="5"/>
  <c r="I100" i="5"/>
  <c r="F100" i="5"/>
  <c r="G100" i="5"/>
  <c r="D100" i="5"/>
  <c r="J100" i="5"/>
  <c r="K100" i="5"/>
  <c r="N100" i="5"/>
  <c r="O100" i="5"/>
  <c r="Q100" i="5"/>
  <c r="R100" i="5"/>
  <c r="S100" i="5"/>
  <c r="M101" i="5"/>
  <c r="L101" i="5"/>
  <c r="H101" i="5"/>
  <c r="I101" i="5"/>
  <c r="F101" i="5"/>
  <c r="G101" i="5"/>
  <c r="D101" i="5"/>
  <c r="E101" i="5"/>
  <c r="J101" i="5"/>
  <c r="K101" i="5"/>
  <c r="N101" i="5"/>
  <c r="O101" i="5"/>
  <c r="Q101" i="5"/>
  <c r="R101" i="5"/>
  <c r="S101" i="5"/>
  <c r="M102" i="5"/>
  <c r="L102" i="5"/>
  <c r="H102" i="5"/>
  <c r="I102" i="5"/>
  <c r="F102" i="5"/>
  <c r="G102" i="5"/>
  <c r="D102" i="5"/>
  <c r="E102" i="5"/>
  <c r="J102" i="5"/>
  <c r="K102" i="5"/>
  <c r="N102" i="5"/>
  <c r="O102" i="5"/>
  <c r="Q102" i="5"/>
  <c r="R102" i="5"/>
  <c r="S102" i="5"/>
  <c r="M103" i="5"/>
  <c r="L103" i="5"/>
  <c r="H103" i="5"/>
  <c r="I103" i="5"/>
  <c r="F103" i="5"/>
  <c r="G103" i="5"/>
  <c r="D103" i="5"/>
  <c r="E103" i="5"/>
  <c r="J103" i="5"/>
  <c r="K103" i="5"/>
  <c r="N103" i="5"/>
  <c r="O103" i="5"/>
  <c r="Q103" i="5"/>
  <c r="R103" i="5"/>
  <c r="S103" i="5"/>
  <c r="M104" i="5"/>
  <c r="L104" i="5"/>
  <c r="H104" i="5"/>
  <c r="I104" i="5"/>
  <c r="F104" i="5"/>
  <c r="G104" i="5"/>
  <c r="D104" i="5"/>
  <c r="E104" i="5"/>
  <c r="J104" i="5"/>
  <c r="K104" i="5"/>
  <c r="N104" i="5"/>
  <c r="O104" i="5"/>
  <c r="Q104" i="5"/>
  <c r="R104" i="5"/>
  <c r="S104" i="5"/>
  <c r="M105" i="5"/>
  <c r="L105" i="5"/>
  <c r="H105" i="5"/>
  <c r="I105" i="5"/>
  <c r="F105" i="5"/>
  <c r="G105" i="5"/>
  <c r="D105" i="5"/>
  <c r="J105" i="5"/>
  <c r="K105" i="5"/>
  <c r="N105" i="5"/>
  <c r="O105" i="5"/>
  <c r="Q105" i="5"/>
  <c r="R105" i="5"/>
  <c r="S105" i="5"/>
  <c r="M106" i="5"/>
  <c r="L106" i="5"/>
  <c r="H106" i="5"/>
  <c r="I106" i="5"/>
  <c r="F106" i="5"/>
  <c r="G106" i="5"/>
  <c r="D106" i="5"/>
  <c r="J106" i="5"/>
  <c r="K106" i="5"/>
  <c r="N106" i="5"/>
  <c r="O106" i="5"/>
  <c r="Q106" i="5"/>
  <c r="R106" i="5"/>
  <c r="S106" i="5"/>
  <c r="M107" i="5"/>
  <c r="L107" i="5"/>
  <c r="H107" i="5"/>
  <c r="I107" i="5"/>
  <c r="F107" i="5"/>
  <c r="G107" i="5"/>
  <c r="D107" i="5"/>
  <c r="J107" i="5"/>
  <c r="K107" i="5"/>
  <c r="N107" i="5"/>
  <c r="O107" i="5"/>
  <c r="Q107" i="5"/>
  <c r="R107" i="5"/>
  <c r="S107" i="5"/>
  <c r="M108" i="5"/>
  <c r="L108" i="5"/>
  <c r="H108" i="5"/>
  <c r="I108" i="5"/>
  <c r="F108" i="5"/>
  <c r="G108" i="5"/>
  <c r="D108" i="5"/>
  <c r="J108" i="5"/>
  <c r="K108" i="5"/>
  <c r="N108" i="5"/>
  <c r="O108" i="5"/>
  <c r="Q108" i="5"/>
  <c r="R108" i="5"/>
  <c r="S108" i="5"/>
  <c r="M109" i="5"/>
  <c r="L109" i="5"/>
  <c r="H109" i="5"/>
  <c r="I109" i="5"/>
  <c r="F109" i="5"/>
  <c r="G109" i="5"/>
  <c r="D109" i="5"/>
  <c r="J109" i="5"/>
  <c r="K109" i="5"/>
  <c r="N109" i="5"/>
  <c r="O109" i="5"/>
  <c r="Q109" i="5"/>
  <c r="R109" i="5"/>
  <c r="S109" i="5"/>
  <c r="M110" i="5"/>
  <c r="L110" i="5"/>
  <c r="H110" i="5"/>
  <c r="I110" i="5"/>
  <c r="F110" i="5"/>
  <c r="G110" i="5"/>
  <c r="D110" i="5"/>
  <c r="J110" i="5"/>
  <c r="K110" i="5"/>
  <c r="N110" i="5"/>
  <c r="O110" i="5"/>
  <c r="Q110" i="5"/>
  <c r="R110" i="5"/>
  <c r="S110" i="5"/>
  <c r="M111" i="5"/>
  <c r="L111" i="5"/>
  <c r="H111" i="5"/>
  <c r="I111" i="5"/>
  <c r="F111" i="5"/>
  <c r="G111" i="5"/>
  <c r="D111" i="5"/>
  <c r="J111" i="5"/>
  <c r="K111" i="5"/>
  <c r="N111" i="5"/>
  <c r="O111" i="5"/>
  <c r="Q111" i="5"/>
  <c r="R111" i="5"/>
  <c r="S111" i="5"/>
  <c r="M112" i="5"/>
  <c r="L112" i="5"/>
  <c r="H112" i="5"/>
  <c r="I112" i="5"/>
  <c r="F112" i="5"/>
  <c r="G112" i="5"/>
  <c r="D112" i="5"/>
  <c r="J112" i="5"/>
  <c r="K112" i="5"/>
  <c r="N112" i="5"/>
  <c r="O112" i="5"/>
  <c r="Q112" i="5"/>
  <c r="R112" i="5"/>
  <c r="S112" i="5"/>
  <c r="M113" i="5"/>
  <c r="L113" i="5"/>
  <c r="H113" i="5"/>
  <c r="I113" i="5"/>
  <c r="F113" i="5"/>
  <c r="G113" i="5"/>
  <c r="D113" i="5"/>
  <c r="J113" i="5"/>
  <c r="K113" i="5"/>
  <c r="N113" i="5"/>
  <c r="O113" i="5"/>
  <c r="Q113" i="5"/>
  <c r="R113" i="5"/>
  <c r="S113" i="5"/>
  <c r="M114" i="5"/>
  <c r="L114" i="5"/>
  <c r="H114" i="5"/>
  <c r="I114" i="5"/>
  <c r="F114" i="5"/>
  <c r="G114" i="5"/>
  <c r="D114" i="5"/>
  <c r="J114" i="5"/>
  <c r="K114" i="5"/>
  <c r="N114" i="5"/>
  <c r="O114" i="5"/>
  <c r="Q114" i="5"/>
  <c r="R114" i="5"/>
  <c r="S114" i="5"/>
  <c r="M115" i="5"/>
  <c r="L115" i="5"/>
  <c r="H115" i="5"/>
  <c r="I115" i="5"/>
  <c r="F115" i="5"/>
  <c r="G115" i="5"/>
  <c r="D115" i="5"/>
  <c r="J115" i="5"/>
  <c r="K115" i="5"/>
  <c r="N115" i="5"/>
  <c r="O115" i="5"/>
  <c r="Q115" i="5"/>
  <c r="R115" i="5"/>
  <c r="S115" i="5"/>
  <c r="M116" i="5"/>
  <c r="L116" i="5"/>
  <c r="H116" i="5"/>
  <c r="I116" i="5"/>
  <c r="F116" i="5"/>
  <c r="G116" i="5"/>
  <c r="D116" i="5"/>
  <c r="J116" i="5"/>
  <c r="K116" i="5"/>
  <c r="N116" i="5"/>
  <c r="O116" i="5"/>
  <c r="Q116" i="5"/>
  <c r="R116" i="5"/>
  <c r="S116" i="5"/>
  <c r="M117" i="5"/>
  <c r="L117" i="5"/>
  <c r="H117" i="5"/>
  <c r="I117" i="5"/>
  <c r="F117" i="5"/>
  <c r="G117" i="5"/>
  <c r="D117" i="5"/>
  <c r="J117" i="5"/>
  <c r="K117" i="5"/>
  <c r="N117" i="5"/>
  <c r="O117" i="5"/>
  <c r="Q117" i="5"/>
  <c r="R117" i="5"/>
  <c r="S117" i="5"/>
  <c r="M118" i="5"/>
  <c r="L118" i="5"/>
  <c r="H118" i="5"/>
  <c r="I118" i="5"/>
  <c r="F118" i="5"/>
  <c r="G118" i="5"/>
  <c r="D118" i="5"/>
  <c r="J118" i="5"/>
  <c r="K118" i="5"/>
  <c r="N118" i="5"/>
  <c r="O118" i="5"/>
  <c r="Q118" i="5"/>
  <c r="R118" i="5"/>
  <c r="S118" i="5"/>
  <c r="M119" i="5"/>
  <c r="L119" i="5"/>
  <c r="H119" i="5"/>
  <c r="I119" i="5"/>
  <c r="F119" i="5"/>
  <c r="G119" i="5"/>
  <c r="D119" i="5"/>
  <c r="J119" i="5"/>
  <c r="K119" i="5"/>
  <c r="N119" i="5"/>
  <c r="O119" i="5"/>
  <c r="Q119" i="5"/>
  <c r="R119" i="5"/>
  <c r="S119" i="5"/>
  <c r="M120" i="5"/>
  <c r="L120" i="5"/>
  <c r="H120" i="5"/>
  <c r="I120" i="5"/>
  <c r="F120" i="5"/>
  <c r="G120" i="5"/>
  <c r="D120" i="5"/>
  <c r="J120" i="5"/>
  <c r="K120" i="5"/>
  <c r="N120" i="5"/>
  <c r="O120" i="5"/>
  <c r="Q120" i="5"/>
  <c r="R120" i="5"/>
  <c r="S120" i="5"/>
  <c r="M121" i="5"/>
  <c r="L121" i="5"/>
  <c r="H121" i="5"/>
  <c r="I121" i="5"/>
  <c r="F121" i="5"/>
  <c r="G121" i="5"/>
  <c r="D121" i="5"/>
  <c r="J121" i="5"/>
  <c r="K121" i="5"/>
  <c r="N121" i="5"/>
  <c r="O121" i="5"/>
  <c r="Q121" i="5"/>
  <c r="R121" i="5"/>
  <c r="S121" i="5"/>
  <c r="M122" i="5"/>
  <c r="L122" i="5"/>
  <c r="H122" i="5"/>
  <c r="I122" i="5"/>
  <c r="F122" i="5"/>
  <c r="G122" i="5"/>
  <c r="D122" i="5"/>
  <c r="J122" i="5"/>
  <c r="K122" i="5"/>
  <c r="N122" i="5"/>
  <c r="O122" i="5"/>
  <c r="Q122" i="5"/>
  <c r="R122" i="5"/>
  <c r="S122" i="5"/>
  <c r="M123" i="5"/>
  <c r="L123" i="5"/>
  <c r="H123" i="5"/>
  <c r="I123" i="5"/>
  <c r="F123" i="5"/>
  <c r="G123" i="5"/>
  <c r="D123" i="5"/>
  <c r="J123" i="5"/>
  <c r="K123" i="5"/>
  <c r="N123" i="5"/>
  <c r="O123" i="5"/>
  <c r="Q123" i="5"/>
  <c r="R123" i="5"/>
  <c r="S123" i="5"/>
  <c r="M124" i="5"/>
  <c r="L124" i="5"/>
  <c r="H124" i="5"/>
  <c r="I124" i="5"/>
  <c r="F124" i="5"/>
  <c r="G124" i="5"/>
  <c r="D124" i="5"/>
  <c r="J124" i="5"/>
  <c r="K124" i="5"/>
  <c r="N124" i="5"/>
  <c r="O124" i="5"/>
  <c r="Q124" i="5"/>
  <c r="R124" i="5"/>
  <c r="S124" i="5"/>
  <c r="M125" i="5"/>
  <c r="L125" i="5"/>
  <c r="H125" i="5"/>
  <c r="I125" i="5"/>
  <c r="F125" i="5"/>
  <c r="G125" i="5"/>
  <c r="D125" i="5"/>
  <c r="J125" i="5"/>
  <c r="K125" i="5"/>
  <c r="N125" i="5"/>
  <c r="O125" i="5"/>
  <c r="Q125" i="5"/>
  <c r="R125" i="5"/>
  <c r="S125" i="5"/>
  <c r="M126" i="5"/>
  <c r="L126" i="5"/>
  <c r="H126" i="5"/>
  <c r="I126" i="5"/>
  <c r="F126" i="5"/>
  <c r="G126" i="5"/>
  <c r="D126" i="5"/>
  <c r="J126" i="5"/>
  <c r="K126" i="5"/>
  <c r="N126" i="5"/>
  <c r="O126" i="5"/>
  <c r="Q126" i="5"/>
  <c r="R126" i="5"/>
  <c r="S126" i="5"/>
  <c r="M127" i="5"/>
  <c r="L127" i="5"/>
  <c r="H127" i="5"/>
  <c r="I127" i="5"/>
  <c r="F127" i="5"/>
  <c r="G127" i="5"/>
  <c r="D127" i="5"/>
  <c r="J127" i="5"/>
  <c r="K127" i="5"/>
  <c r="N127" i="5"/>
  <c r="O127" i="5"/>
  <c r="Q127" i="5"/>
  <c r="R127" i="5"/>
  <c r="S127" i="5"/>
  <c r="M128" i="5"/>
  <c r="L128" i="5"/>
  <c r="H128" i="5"/>
  <c r="I128" i="5"/>
  <c r="F128" i="5"/>
  <c r="G128" i="5"/>
  <c r="D128" i="5"/>
  <c r="J128" i="5"/>
  <c r="K128" i="5"/>
  <c r="N128" i="5"/>
  <c r="O128" i="5"/>
  <c r="Q128" i="5"/>
  <c r="R128" i="5"/>
  <c r="S128" i="5"/>
  <c r="M129" i="5"/>
  <c r="L129" i="5"/>
  <c r="H129" i="5"/>
  <c r="I129" i="5"/>
  <c r="F129" i="5"/>
  <c r="G129" i="5"/>
  <c r="D129" i="5"/>
  <c r="J129" i="5"/>
  <c r="K129" i="5"/>
  <c r="N129" i="5"/>
  <c r="O129" i="5"/>
  <c r="Q129" i="5"/>
  <c r="R129" i="5"/>
  <c r="S129" i="5"/>
  <c r="M130" i="5"/>
  <c r="L130" i="5"/>
  <c r="H130" i="5"/>
  <c r="I130" i="5"/>
  <c r="F130" i="5"/>
  <c r="G130" i="5"/>
  <c r="D130" i="5"/>
  <c r="J130" i="5"/>
  <c r="K130" i="5"/>
  <c r="N130" i="5"/>
  <c r="O130" i="5"/>
  <c r="Q130" i="5"/>
  <c r="R130" i="5"/>
  <c r="S130" i="5"/>
  <c r="M131" i="5"/>
  <c r="L131" i="5"/>
  <c r="H131" i="5"/>
  <c r="I131" i="5"/>
  <c r="F131" i="5"/>
  <c r="G131" i="5"/>
  <c r="D131" i="5"/>
  <c r="J131" i="5"/>
  <c r="K131" i="5"/>
  <c r="N131" i="5"/>
  <c r="O131" i="5"/>
  <c r="Q131" i="5"/>
  <c r="R131" i="5"/>
  <c r="S131" i="5"/>
  <c r="M132" i="5"/>
  <c r="L132" i="5"/>
  <c r="H132" i="5"/>
  <c r="I132" i="5"/>
  <c r="F132" i="5"/>
  <c r="G132" i="5"/>
  <c r="D132" i="5"/>
  <c r="J132" i="5"/>
  <c r="K132" i="5"/>
  <c r="N132" i="5"/>
  <c r="O132" i="5"/>
  <c r="Q132" i="5"/>
  <c r="R132" i="5"/>
  <c r="S132" i="5"/>
  <c r="M133" i="5"/>
  <c r="L133" i="5"/>
  <c r="H133" i="5"/>
  <c r="I133" i="5"/>
  <c r="F133" i="5"/>
  <c r="G133" i="5"/>
  <c r="D133" i="5"/>
  <c r="J133" i="5"/>
  <c r="K133" i="5"/>
  <c r="N133" i="5"/>
  <c r="O133" i="5"/>
  <c r="Q133" i="5"/>
  <c r="R133" i="5"/>
  <c r="S133" i="5"/>
  <c r="M134" i="5"/>
  <c r="L134" i="5"/>
  <c r="H134" i="5"/>
  <c r="I134" i="5"/>
  <c r="F134" i="5"/>
  <c r="G134" i="5"/>
  <c r="D134" i="5"/>
  <c r="J134" i="5"/>
  <c r="K134" i="5"/>
  <c r="N134" i="5"/>
  <c r="O134" i="5"/>
  <c r="Q134" i="5"/>
  <c r="R134" i="5"/>
  <c r="S134" i="5"/>
  <c r="M135" i="5"/>
  <c r="L135" i="5"/>
  <c r="H135" i="5"/>
  <c r="I135" i="5"/>
  <c r="F135" i="5"/>
  <c r="G135" i="5"/>
  <c r="D135" i="5"/>
  <c r="J135" i="5"/>
  <c r="K135" i="5"/>
  <c r="N135" i="5"/>
  <c r="O135" i="5"/>
  <c r="Q135" i="5"/>
  <c r="R135" i="5"/>
  <c r="S135" i="5"/>
  <c r="M136" i="5"/>
  <c r="L136" i="5"/>
  <c r="H136" i="5"/>
  <c r="I136" i="5"/>
  <c r="F136" i="5"/>
  <c r="G136" i="5"/>
  <c r="D136" i="5"/>
  <c r="J136" i="5"/>
  <c r="K136" i="5"/>
  <c r="N136" i="5"/>
  <c r="O136" i="5"/>
  <c r="Q136" i="5"/>
  <c r="R136" i="5"/>
  <c r="S136" i="5"/>
  <c r="M137" i="5"/>
  <c r="L137" i="5"/>
  <c r="H137" i="5"/>
  <c r="I137" i="5"/>
  <c r="F137" i="5"/>
  <c r="G137" i="5"/>
  <c r="D137" i="5"/>
  <c r="J137" i="5"/>
  <c r="K137" i="5"/>
  <c r="N137" i="5"/>
  <c r="O137" i="5"/>
  <c r="Q137" i="5"/>
  <c r="R137" i="5"/>
  <c r="S137" i="5"/>
  <c r="M138" i="5"/>
  <c r="L138" i="5"/>
  <c r="H138" i="5"/>
  <c r="I138" i="5"/>
  <c r="F138" i="5"/>
  <c r="G138" i="5"/>
  <c r="D138" i="5"/>
  <c r="J138" i="5"/>
  <c r="K138" i="5"/>
  <c r="N138" i="5"/>
  <c r="O138" i="5"/>
  <c r="Q138" i="5"/>
  <c r="R138" i="5"/>
  <c r="S138" i="5"/>
  <c r="M139" i="5"/>
  <c r="L139" i="5"/>
  <c r="H139" i="5"/>
  <c r="I139" i="5"/>
  <c r="F139" i="5"/>
  <c r="G139" i="5"/>
  <c r="D139" i="5"/>
  <c r="J139" i="5"/>
  <c r="K139" i="5"/>
  <c r="N139" i="5"/>
  <c r="O139" i="5"/>
  <c r="Q139" i="5"/>
  <c r="R139" i="5"/>
  <c r="S139" i="5"/>
  <c r="M140" i="5"/>
  <c r="L140" i="5"/>
  <c r="H140" i="5"/>
  <c r="I140" i="5"/>
  <c r="F140" i="5"/>
  <c r="G140" i="5"/>
  <c r="D140" i="5"/>
  <c r="J140" i="5"/>
  <c r="K140" i="5"/>
  <c r="N140" i="5"/>
  <c r="O140" i="5"/>
  <c r="Q140" i="5"/>
  <c r="R140" i="5"/>
  <c r="S140" i="5"/>
  <c r="M141" i="5"/>
  <c r="L141" i="5"/>
  <c r="H141" i="5"/>
  <c r="I141" i="5"/>
  <c r="F141" i="5"/>
  <c r="G141" i="5"/>
  <c r="D141" i="5"/>
  <c r="J141" i="5"/>
  <c r="K141" i="5"/>
  <c r="N141" i="5"/>
  <c r="O141" i="5"/>
  <c r="Q141" i="5"/>
  <c r="R141" i="5"/>
  <c r="S141" i="5"/>
  <c r="M142" i="5"/>
  <c r="L142" i="5"/>
  <c r="H142" i="5"/>
  <c r="I142" i="5"/>
  <c r="F142" i="5"/>
  <c r="G142" i="5"/>
  <c r="D142" i="5"/>
  <c r="J142" i="5"/>
  <c r="K142" i="5"/>
  <c r="N142" i="5"/>
  <c r="O142" i="5"/>
  <c r="Q142" i="5"/>
  <c r="R142" i="5"/>
  <c r="S142" i="5"/>
  <c r="M143" i="5"/>
  <c r="L143" i="5"/>
  <c r="H143" i="5"/>
  <c r="I143" i="5"/>
  <c r="F143" i="5"/>
  <c r="G143" i="5"/>
  <c r="D143" i="5"/>
  <c r="J143" i="5"/>
  <c r="K143" i="5"/>
  <c r="N143" i="5"/>
  <c r="O143" i="5"/>
  <c r="Q143" i="5"/>
  <c r="R143" i="5"/>
  <c r="S143" i="5"/>
  <c r="M144" i="5"/>
  <c r="L144" i="5"/>
  <c r="H144" i="5"/>
  <c r="I144" i="5"/>
  <c r="F144" i="5"/>
  <c r="G144" i="5"/>
  <c r="D144" i="5"/>
  <c r="J144" i="5"/>
  <c r="K144" i="5"/>
  <c r="N144" i="5"/>
  <c r="O144" i="5"/>
  <c r="Q144" i="5"/>
  <c r="R144" i="5"/>
  <c r="S144" i="5"/>
  <c r="M145" i="5"/>
  <c r="L145" i="5"/>
  <c r="H145" i="5"/>
  <c r="I145" i="5"/>
  <c r="F145" i="5"/>
  <c r="G145" i="5"/>
  <c r="D145" i="5"/>
  <c r="J145" i="5"/>
  <c r="K145" i="5"/>
  <c r="N145" i="5"/>
  <c r="O145" i="5"/>
  <c r="Q145" i="5"/>
  <c r="R145" i="5"/>
  <c r="S145" i="5"/>
  <c r="M146" i="5"/>
  <c r="L146" i="5"/>
  <c r="H146" i="5"/>
  <c r="I146" i="5"/>
  <c r="F146" i="5"/>
  <c r="G146" i="5"/>
  <c r="D146" i="5"/>
  <c r="J146" i="5"/>
  <c r="K146" i="5"/>
  <c r="N146" i="5"/>
  <c r="O146" i="5"/>
  <c r="Q146" i="5"/>
  <c r="R146" i="5"/>
  <c r="S146" i="5"/>
  <c r="M147" i="5"/>
  <c r="L147" i="5"/>
  <c r="H147" i="5"/>
  <c r="I147" i="5"/>
  <c r="F147" i="5"/>
  <c r="G147" i="5"/>
  <c r="D147" i="5"/>
  <c r="J147" i="5"/>
  <c r="K147" i="5"/>
  <c r="N147" i="5"/>
  <c r="O147" i="5"/>
  <c r="Q147" i="5"/>
  <c r="R147" i="5"/>
  <c r="S147" i="5"/>
  <c r="M148" i="5"/>
  <c r="L148" i="5"/>
  <c r="H148" i="5"/>
  <c r="I148" i="5"/>
  <c r="F148" i="5"/>
  <c r="G148" i="5"/>
  <c r="D148" i="5"/>
  <c r="J148" i="5"/>
  <c r="K148" i="5"/>
  <c r="N148" i="5"/>
  <c r="O148" i="5"/>
  <c r="Q148" i="5"/>
  <c r="R148" i="5"/>
  <c r="S148" i="5"/>
  <c r="M149" i="5"/>
  <c r="L149" i="5"/>
  <c r="H149" i="5"/>
  <c r="I149" i="5"/>
  <c r="F149" i="5"/>
  <c r="G149" i="5"/>
  <c r="D149" i="5"/>
  <c r="J149" i="5"/>
  <c r="K149" i="5"/>
  <c r="N149" i="5"/>
  <c r="O149" i="5"/>
  <c r="Q149" i="5"/>
  <c r="R149" i="5"/>
  <c r="S149" i="5"/>
  <c r="M150" i="5"/>
  <c r="L150" i="5"/>
  <c r="H150" i="5"/>
  <c r="I150" i="5"/>
  <c r="F150" i="5"/>
  <c r="G150" i="5"/>
  <c r="D150" i="5"/>
  <c r="J150" i="5"/>
  <c r="K150" i="5"/>
  <c r="N150" i="5"/>
  <c r="O150" i="5"/>
  <c r="Q150" i="5"/>
  <c r="R150" i="5"/>
  <c r="S150" i="5"/>
  <c r="M151" i="5"/>
  <c r="L151" i="5"/>
  <c r="H151" i="5"/>
  <c r="I151" i="5"/>
  <c r="F151" i="5"/>
  <c r="G151" i="5"/>
  <c r="D151" i="5"/>
  <c r="J151" i="5"/>
  <c r="K151" i="5"/>
  <c r="N151" i="5"/>
  <c r="O151" i="5"/>
  <c r="Q151" i="5"/>
  <c r="R151" i="5"/>
  <c r="S151" i="5"/>
  <c r="M152" i="5"/>
  <c r="L152" i="5"/>
  <c r="H152" i="5"/>
  <c r="I152" i="5"/>
  <c r="F152" i="5"/>
  <c r="G152" i="5"/>
  <c r="D152" i="5"/>
  <c r="J152" i="5"/>
  <c r="K152" i="5"/>
  <c r="N152" i="5"/>
  <c r="O152" i="5"/>
  <c r="Q152" i="5"/>
  <c r="R152" i="5"/>
  <c r="S152" i="5"/>
  <c r="M153" i="5"/>
  <c r="L153" i="5"/>
  <c r="H153" i="5"/>
  <c r="I153" i="5"/>
  <c r="F153" i="5"/>
  <c r="G153" i="5"/>
  <c r="D153" i="5"/>
  <c r="J153" i="5"/>
  <c r="K153" i="5"/>
  <c r="N153" i="5"/>
  <c r="O153" i="5"/>
  <c r="Q153" i="5"/>
  <c r="R153" i="5"/>
  <c r="S153" i="5"/>
  <c r="M154" i="5"/>
  <c r="L154" i="5"/>
  <c r="H154" i="5"/>
  <c r="I154" i="5"/>
  <c r="F154" i="5"/>
  <c r="G154" i="5"/>
  <c r="D154" i="5"/>
  <c r="J154" i="5"/>
  <c r="K154" i="5"/>
  <c r="N154" i="5"/>
  <c r="O154" i="5"/>
  <c r="Q154" i="5"/>
  <c r="R154" i="5"/>
  <c r="S154" i="5"/>
  <c r="M155" i="5"/>
  <c r="L155" i="5"/>
  <c r="H155" i="5"/>
  <c r="I155" i="5"/>
  <c r="F155" i="5"/>
  <c r="G155" i="5"/>
  <c r="D155" i="5"/>
  <c r="J155" i="5"/>
  <c r="K155" i="5"/>
  <c r="N155" i="5"/>
  <c r="O155" i="5"/>
  <c r="Q155" i="5"/>
  <c r="R155" i="5"/>
  <c r="S155" i="5"/>
  <c r="M156" i="5"/>
  <c r="L156" i="5"/>
  <c r="H156" i="5"/>
  <c r="I156" i="5"/>
  <c r="F156" i="5"/>
  <c r="G156" i="5"/>
  <c r="D156" i="5"/>
  <c r="J156" i="5"/>
  <c r="K156" i="5"/>
  <c r="N156" i="5"/>
  <c r="O156" i="5"/>
  <c r="Q156" i="5"/>
  <c r="R156" i="5"/>
  <c r="S156" i="5"/>
  <c r="M157" i="5"/>
  <c r="L157" i="5"/>
  <c r="H157" i="5"/>
  <c r="I157" i="5"/>
  <c r="F157" i="5"/>
  <c r="G157" i="5"/>
  <c r="D157" i="5"/>
  <c r="J157" i="5"/>
  <c r="K157" i="5"/>
  <c r="N157" i="5"/>
  <c r="O157" i="5"/>
  <c r="Q157" i="5"/>
  <c r="R157" i="5"/>
  <c r="S157" i="5"/>
  <c r="M158" i="5"/>
  <c r="L158" i="5"/>
  <c r="H158" i="5"/>
  <c r="I158" i="5"/>
  <c r="F158" i="5"/>
  <c r="G158" i="5"/>
  <c r="D158" i="5"/>
  <c r="J158" i="5"/>
  <c r="K158" i="5"/>
  <c r="N158" i="5"/>
  <c r="O158" i="5"/>
  <c r="Q158" i="5"/>
  <c r="R158" i="5"/>
  <c r="S158" i="5"/>
  <c r="M159" i="5"/>
  <c r="L159" i="5"/>
  <c r="H159" i="5"/>
  <c r="I159" i="5"/>
  <c r="F159" i="5"/>
  <c r="G159" i="5"/>
  <c r="D159" i="5"/>
  <c r="J159" i="5"/>
  <c r="K159" i="5"/>
  <c r="N159" i="5"/>
  <c r="O159" i="5"/>
  <c r="Q159" i="5"/>
  <c r="R159" i="5"/>
  <c r="S159" i="5"/>
  <c r="M160" i="5"/>
  <c r="L160" i="5"/>
  <c r="H160" i="5"/>
  <c r="I160" i="5"/>
  <c r="F160" i="5"/>
  <c r="G160" i="5"/>
  <c r="D160" i="5"/>
  <c r="J160" i="5"/>
  <c r="K160" i="5"/>
  <c r="N160" i="5"/>
  <c r="O160" i="5"/>
  <c r="Q160" i="5"/>
  <c r="R160" i="5"/>
  <c r="S160" i="5"/>
  <c r="M161" i="5"/>
  <c r="L161" i="5"/>
  <c r="H161" i="5"/>
  <c r="I161" i="5"/>
  <c r="F161" i="5"/>
  <c r="G161" i="5"/>
  <c r="D161" i="5"/>
  <c r="J161" i="5"/>
  <c r="K161" i="5"/>
  <c r="N161" i="5"/>
  <c r="O161" i="5"/>
  <c r="Q161" i="5"/>
  <c r="R161" i="5"/>
  <c r="S161" i="5"/>
  <c r="M162" i="5"/>
  <c r="L162" i="5"/>
  <c r="H162" i="5"/>
  <c r="I162" i="5"/>
  <c r="F162" i="5"/>
  <c r="G162" i="5"/>
  <c r="D162" i="5"/>
  <c r="J162" i="5"/>
  <c r="K162" i="5"/>
  <c r="N162" i="5"/>
  <c r="O162" i="5"/>
  <c r="Q162" i="5"/>
  <c r="R162" i="5"/>
  <c r="S162" i="5"/>
  <c r="M163" i="5"/>
  <c r="L163" i="5"/>
  <c r="H163" i="5"/>
  <c r="I163" i="5"/>
  <c r="F163" i="5"/>
  <c r="G163" i="5"/>
  <c r="D163" i="5"/>
  <c r="J163" i="5"/>
  <c r="K163" i="5"/>
  <c r="N163" i="5"/>
  <c r="O163" i="5"/>
  <c r="Q163" i="5"/>
  <c r="R163" i="5"/>
  <c r="S163" i="5"/>
  <c r="M164" i="5"/>
  <c r="L164" i="5"/>
  <c r="H164" i="5"/>
  <c r="I164" i="5"/>
  <c r="F164" i="5"/>
  <c r="G164" i="5"/>
  <c r="D164" i="5"/>
  <c r="J164" i="5"/>
  <c r="K164" i="5"/>
  <c r="N164" i="5"/>
  <c r="O164" i="5"/>
  <c r="Q164" i="5"/>
  <c r="R164" i="5"/>
  <c r="S164" i="5"/>
  <c r="M165" i="5"/>
  <c r="L165" i="5"/>
  <c r="H165" i="5"/>
  <c r="I165" i="5"/>
  <c r="F165" i="5"/>
  <c r="G165" i="5"/>
  <c r="D165" i="5"/>
  <c r="J165" i="5"/>
  <c r="K165" i="5"/>
  <c r="N165" i="5"/>
  <c r="O165" i="5"/>
  <c r="Q165" i="5"/>
  <c r="R165" i="5"/>
  <c r="S165" i="5"/>
  <c r="M166" i="5"/>
  <c r="L166" i="5"/>
  <c r="H166" i="5"/>
  <c r="I166" i="5"/>
  <c r="F166" i="5"/>
  <c r="G166" i="5"/>
  <c r="D166" i="5"/>
  <c r="J166" i="5"/>
  <c r="K166" i="5"/>
  <c r="N166" i="5"/>
  <c r="O166" i="5"/>
  <c r="Q166" i="5"/>
  <c r="R166" i="5"/>
  <c r="S166" i="5"/>
  <c r="M167" i="5"/>
  <c r="L167" i="5"/>
  <c r="H167" i="5"/>
  <c r="I167" i="5"/>
  <c r="F167" i="5"/>
  <c r="G167" i="5"/>
  <c r="D167" i="5"/>
  <c r="J167" i="5"/>
  <c r="K167" i="5"/>
  <c r="N167" i="5"/>
  <c r="O167" i="5"/>
  <c r="Q167" i="5"/>
  <c r="R167" i="5"/>
  <c r="S167" i="5"/>
  <c r="M168" i="5"/>
  <c r="L168" i="5"/>
  <c r="H168" i="5"/>
  <c r="I168" i="5"/>
  <c r="F168" i="5"/>
  <c r="G168" i="5"/>
  <c r="D168" i="5"/>
  <c r="J168" i="5"/>
  <c r="K168" i="5"/>
  <c r="N168" i="5"/>
  <c r="O168" i="5"/>
  <c r="Q168" i="5"/>
  <c r="R168" i="5"/>
  <c r="S168" i="5"/>
  <c r="M169" i="5"/>
  <c r="L169" i="5"/>
  <c r="H169" i="5"/>
  <c r="I169" i="5"/>
  <c r="F169" i="5"/>
  <c r="G169" i="5"/>
  <c r="D169" i="5"/>
  <c r="J169" i="5"/>
  <c r="K169" i="5"/>
  <c r="N169" i="5"/>
  <c r="O169" i="5"/>
  <c r="Q169" i="5"/>
  <c r="R169" i="5"/>
  <c r="S169" i="5"/>
  <c r="M170" i="5"/>
  <c r="L170" i="5"/>
  <c r="H170" i="5"/>
  <c r="I170" i="5"/>
  <c r="F170" i="5"/>
  <c r="G170" i="5"/>
  <c r="D170" i="5"/>
  <c r="J170" i="5"/>
  <c r="K170" i="5"/>
  <c r="N170" i="5"/>
  <c r="O170" i="5"/>
  <c r="Q170" i="5"/>
  <c r="R170" i="5"/>
  <c r="S170" i="5"/>
  <c r="M171" i="5"/>
  <c r="L171" i="5"/>
  <c r="H171" i="5"/>
  <c r="I171" i="5"/>
  <c r="F171" i="5"/>
  <c r="G171" i="5"/>
  <c r="D171" i="5"/>
  <c r="J171" i="5"/>
  <c r="K171" i="5"/>
  <c r="N171" i="5"/>
  <c r="O171" i="5"/>
  <c r="Q171" i="5"/>
  <c r="R171" i="5"/>
  <c r="S171" i="5"/>
  <c r="M172" i="5"/>
  <c r="L172" i="5"/>
  <c r="H172" i="5"/>
  <c r="I172" i="5"/>
  <c r="F172" i="5"/>
  <c r="G172" i="5"/>
  <c r="D172" i="5"/>
  <c r="J172" i="5"/>
  <c r="K172" i="5"/>
  <c r="N172" i="5"/>
  <c r="O172" i="5"/>
  <c r="Q172" i="5"/>
  <c r="R172" i="5"/>
  <c r="S172" i="5"/>
  <c r="M173" i="5"/>
  <c r="L173" i="5"/>
  <c r="H173" i="5"/>
  <c r="I173" i="5"/>
  <c r="F173" i="5"/>
  <c r="G173" i="5"/>
  <c r="D173" i="5"/>
  <c r="J173" i="5"/>
  <c r="K173" i="5"/>
  <c r="N173" i="5"/>
  <c r="O173" i="5"/>
  <c r="Q173" i="5"/>
  <c r="R173" i="5"/>
  <c r="S173" i="5"/>
  <c r="M174" i="5"/>
  <c r="L174" i="5"/>
  <c r="H174" i="5"/>
  <c r="I174" i="5"/>
  <c r="F174" i="5"/>
  <c r="G174" i="5"/>
  <c r="D174" i="5"/>
  <c r="J174" i="5"/>
  <c r="K174" i="5"/>
  <c r="N174" i="5"/>
  <c r="O174" i="5"/>
  <c r="Q174" i="5"/>
  <c r="R174" i="5"/>
  <c r="S174" i="5"/>
  <c r="M175" i="5"/>
  <c r="L175" i="5"/>
  <c r="H175" i="5"/>
  <c r="I175" i="5"/>
  <c r="F175" i="5"/>
  <c r="G175" i="5"/>
  <c r="D175" i="5"/>
  <c r="J175" i="5"/>
  <c r="K175" i="5"/>
  <c r="N175" i="5"/>
  <c r="O175" i="5"/>
  <c r="Q175" i="5"/>
  <c r="R175" i="5"/>
  <c r="S175" i="5"/>
  <c r="M176" i="5"/>
  <c r="L176" i="5"/>
  <c r="H176" i="5"/>
  <c r="I176" i="5"/>
  <c r="F176" i="5"/>
  <c r="G176" i="5"/>
  <c r="D176" i="5"/>
  <c r="J176" i="5"/>
  <c r="K176" i="5"/>
  <c r="N176" i="5"/>
  <c r="O176" i="5"/>
  <c r="Q176" i="5"/>
  <c r="R176" i="5"/>
  <c r="S176" i="5"/>
  <c r="M177" i="5"/>
  <c r="L177" i="5"/>
  <c r="H177" i="5"/>
  <c r="I177" i="5"/>
  <c r="F177" i="5"/>
  <c r="G177" i="5"/>
  <c r="D177" i="5"/>
  <c r="J177" i="5"/>
  <c r="K177" i="5"/>
  <c r="N177" i="5"/>
  <c r="O177" i="5"/>
  <c r="Q177" i="5"/>
  <c r="R177" i="5"/>
  <c r="S177" i="5"/>
  <c r="M178" i="5"/>
  <c r="L178" i="5"/>
  <c r="H178" i="5"/>
  <c r="I178" i="5"/>
  <c r="F178" i="5"/>
  <c r="G178" i="5"/>
  <c r="D178" i="5"/>
  <c r="J178" i="5"/>
  <c r="K178" i="5"/>
  <c r="N178" i="5"/>
  <c r="O178" i="5"/>
  <c r="Q178" i="5"/>
  <c r="R178" i="5"/>
  <c r="S178" i="5"/>
  <c r="M179" i="5"/>
  <c r="L179" i="5"/>
  <c r="H179" i="5"/>
  <c r="I179" i="5"/>
  <c r="F179" i="5"/>
  <c r="G179" i="5"/>
  <c r="D179" i="5"/>
  <c r="J179" i="5"/>
  <c r="K179" i="5"/>
  <c r="N179" i="5"/>
  <c r="O179" i="5"/>
  <c r="Q179" i="5"/>
  <c r="R179" i="5"/>
  <c r="S179" i="5"/>
  <c r="M180" i="5"/>
  <c r="L180" i="5"/>
  <c r="H180" i="5"/>
  <c r="I180" i="5"/>
  <c r="F180" i="5"/>
  <c r="G180" i="5"/>
  <c r="D180" i="5"/>
  <c r="J180" i="5"/>
  <c r="K180" i="5"/>
  <c r="N180" i="5"/>
  <c r="O180" i="5"/>
  <c r="Q180" i="5"/>
  <c r="R180" i="5"/>
  <c r="S180" i="5"/>
  <c r="M181" i="5"/>
  <c r="L181" i="5"/>
  <c r="H181" i="5"/>
  <c r="I181" i="5"/>
  <c r="F181" i="5"/>
  <c r="G181" i="5"/>
  <c r="D181" i="5"/>
  <c r="J181" i="5"/>
  <c r="K181" i="5"/>
  <c r="N181" i="5"/>
  <c r="O181" i="5"/>
  <c r="Q181" i="5"/>
  <c r="R181" i="5"/>
  <c r="S181" i="5"/>
  <c r="M182" i="5"/>
  <c r="L182" i="5"/>
  <c r="H182" i="5"/>
  <c r="I182" i="5"/>
  <c r="F182" i="5"/>
  <c r="G182" i="5"/>
  <c r="D182" i="5"/>
  <c r="J182" i="5"/>
  <c r="K182" i="5"/>
  <c r="N182" i="5"/>
  <c r="O182" i="5"/>
  <c r="Q182" i="5"/>
  <c r="R182" i="5"/>
  <c r="S182" i="5"/>
  <c r="M183" i="5"/>
  <c r="L183" i="5"/>
  <c r="H183" i="5"/>
  <c r="I183" i="5"/>
  <c r="F183" i="5"/>
  <c r="G183" i="5"/>
  <c r="D183" i="5"/>
  <c r="J183" i="5"/>
  <c r="K183" i="5"/>
  <c r="N183" i="5"/>
  <c r="O183" i="5"/>
  <c r="Q183" i="5"/>
  <c r="R183" i="5"/>
  <c r="S183" i="5"/>
  <c r="M184" i="5"/>
  <c r="L184" i="5"/>
  <c r="H184" i="5"/>
  <c r="I184" i="5"/>
  <c r="F184" i="5"/>
  <c r="G184" i="5"/>
  <c r="D184" i="5"/>
  <c r="J184" i="5"/>
  <c r="K184" i="5"/>
  <c r="N184" i="5"/>
  <c r="O184" i="5"/>
  <c r="Q184" i="5"/>
  <c r="R184" i="5"/>
  <c r="S184" i="5"/>
  <c r="M185" i="5"/>
  <c r="L185" i="5"/>
  <c r="H185" i="5"/>
  <c r="I185" i="5"/>
  <c r="F185" i="5"/>
  <c r="G185" i="5"/>
  <c r="D185" i="5"/>
  <c r="J185" i="5"/>
  <c r="K185" i="5"/>
  <c r="N185" i="5"/>
  <c r="O185" i="5"/>
  <c r="Q185" i="5"/>
  <c r="R185" i="5"/>
  <c r="S185" i="5"/>
  <c r="M186" i="5"/>
  <c r="L186" i="5"/>
  <c r="H186" i="5"/>
  <c r="I186" i="5"/>
  <c r="F186" i="5"/>
  <c r="G186" i="5"/>
  <c r="D186" i="5"/>
  <c r="J186" i="5"/>
  <c r="K186" i="5"/>
  <c r="N186" i="5"/>
  <c r="O186" i="5"/>
  <c r="Q186" i="5"/>
  <c r="R186" i="5"/>
  <c r="S186" i="5"/>
  <c r="M187" i="5"/>
  <c r="L187" i="5"/>
  <c r="H187" i="5"/>
  <c r="I187" i="5"/>
  <c r="F187" i="5"/>
  <c r="G187" i="5"/>
  <c r="D187" i="5"/>
  <c r="J187" i="5"/>
  <c r="K187" i="5"/>
  <c r="N187" i="5"/>
  <c r="O187" i="5"/>
  <c r="Q187" i="5"/>
  <c r="R187" i="5"/>
  <c r="S187" i="5"/>
  <c r="M188" i="5"/>
  <c r="L188" i="5"/>
  <c r="H188" i="5"/>
  <c r="I188" i="5"/>
  <c r="F188" i="5"/>
  <c r="G188" i="5"/>
  <c r="D188" i="5"/>
  <c r="J188" i="5"/>
  <c r="K188" i="5"/>
  <c r="N188" i="5"/>
  <c r="O188" i="5"/>
  <c r="Q188" i="5"/>
  <c r="R188" i="5"/>
  <c r="S188" i="5"/>
  <c r="M189" i="5"/>
  <c r="L189" i="5"/>
  <c r="H189" i="5"/>
  <c r="I189" i="5"/>
  <c r="F189" i="5"/>
  <c r="G189" i="5"/>
  <c r="D189" i="5"/>
  <c r="J189" i="5"/>
  <c r="K189" i="5"/>
  <c r="N189" i="5"/>
  <c r="O189" i="5"/>
  <c r="Q189" i="5"/>
  <c r="R189" i="5"/>
  <c r="S189" i="5"/>
  <c r="M190" i="5"/>
  <c r="L190" i="5"/>
  <c r="H190" i="5"/>
  <c r="I190" i="5"/>
  <c r="F190" i="5"/>
  <c r="G190" i="5"/>
  <c r="D190" i="5"/>
  <c r="J190" i="5"/>
  <c r="K190" i="5"/>
  <c r="N190" i="5"/>
  <c r="O190" i="5"/>
  <c r="Q190" i="5"/>
  <c r="R190" i="5"/>
  <c r="S190" i="5"/>
  <c r="M191" i="5"/>
  <c r="L191" i="5"/>
  <c r="H191" i="5"/>
  <c r="I191" i="5"/>
  <c r="F191" i="5"/>
  <c r="G191" i="5"/>
  <c r="D191" i="5"/>
  <c r="J191" i="5"/>
  <c r="K191" i="5"/>
  <c r="N191" i="5"/>
  <c r="O191" i="5"/>
  <c r="Q191" i="5"/>
  <c r="R191" i="5"/>
  <c r="S191" i="5"/>
  <c r="M192" i="5"/>
  <c r="L192" i="5"/>
  <c r="H192" i="5"/>
  <c r="I192" i="5"/>
  <c r="F192" i="5"/>
  <c r="G192" i="5"/>
  <c r="D192" i="5"/>
  <c r="J192" i="5"/>
  <c r="K192" i="5"/>
  <c r="N192" i="5"/>
  <c r="O192" i="5"/>
  <c r="Q192" i="5"/>
  <c r="R192" i="5"/>
  <c r="S192" i="5"/>
  <c r="M193" i="5"/>
  <c r="L193" i="5"/>
  <c r="H193" i="5"/>
  <c r="I193" i="5"/>
  <c r="F193" i="5"/>
  <c r="G193" i="5"/>
  <c r="D193" i="5"/>
  <c r="J193" i="5"/>
  <c r="K193" i="5"/>
  <c r="N193" i="5"/>
  <c r="O193" i="5"/>
  <c r="Q193" i="5"/>
  <c r="R193" i="5"/>
  <c r="S193" i="5"/>
  <c r="M194" i="5"/>
  <c r="L194" i="5"/>
  <c r="H194" i="5"/>
  <c r="I194" i="5"/>
  <c r="F194" i="5"/>
  <c r="G194" i="5"/>
  <c r="D194" i="5"/>
  <c r="J194" i="5"/>
  <c r="K194" i="5"/>
  <c r="N194" i="5"/>
  <c r="O194" i="5"/>
  <c r="Q194" i="5"/>
  <c r="R194" i="5"/>
  <c r="S194" i="5"/>
  <c r="M195" i="5"/>
  <c r="L195" i="5"/>
  <c r="H195" i="5"/>
  <c r="I195" i="5"/>
  <c r="F195" i="5"/>
  <c r="G195" i="5"/>
  <c r="D195" i="5"/>
  <c r="J195" i="5"/>
  <c r="K195" i="5"/>
  <c r="N195" i="5"/>
  <c r="O195" i="5"/>
  <c r="Q195" i="5"/>
  <c r="R195" i="5"/>
  <c r="S195" i="5"/>
  <c r="M196" i="5"/>
  <c r="L196" i="5"/>
  <c r="H196" i="5"/>
  <c r="I196" i="5"/>
  <c r="F196" i="5"/>
  <c r="G196" i="5"/>
  <c r="D196" i="5"/>
  <c r="J196" i="5"/>
  <c r="K196" i="5"/>
  <c r="N196" i="5"/>
  <c r="O196" i="5"/>
  <c r="Q196" i="5"/>
  <c r="R196" i="5"/>
  <c r="S196" i="5"/>
  <c r="M197" i="5"/>
  <c r="L197" i="5"/>
  <c r="H197" i="5"/>
  <c r="I197" i="5"/>
  <c r="F197" i="5"/>
  <c r="G197" i="5"/>
  <c r="D197" i="5"/>
  <c r="J197" i="5"/>
  <c r="K197" i="5"/>
  <c r="N197" i="5"/>
  <c r="O197" i="5"/>
  <c r="Q197" i="5"/>
  <c r="R197" i="5"/>
  <c r="S197" i="5"/>
  <c r="M198" i="5"/>
  <c r="L198" i="5"/>
  <c r="H198" i="5"/>
  <c r="I198" i="5"/>
  <c r="F198" i="5"/>
  <c r="G198" i="5"/>
  <c r="D198" i="5"/>
  <c r="J198" i="5"/>
  <c r="K198" i="5"/>
  <c r="N198" i="5"/>
  <c r="O198" i="5"/>
  <c r="Q198" i="5"/>
  <c r="R198" i="5"/>
  <c r="S198" i="5"/>
  <c r="M199" i="5"/>
  <c r="L199" i="5"/>
  <c r="H199" i="5"/>
  <c r="I199" i="5"/>
  <c r="F199" i="5"/>
  <c r="G199" i="5"/>
  <c r="D199" i="5"/>
  <c r="J199" i="5"/>
  <c r="K199" i="5"/>
  <c r="N199" i="5"/>
  <c r="O199" i="5"/>
  <c r="Q199" i="5"/>
  <c r="R199" i="5"/>
  <c r="S199" i="5"/>
  <c r="M200" i="5"/>
  <c r="L200" i="5"/>
  <c r="H200" i="5"/>
  <c r="I200" i="5"/>
  <c r="F200" i="5"/>
  <c r="G200" i="5"/>
  <c r="D200" i="5"/>
  <c r="J200" i="5"/>
  <c r="K200" i="5"/>
  <c r="N200" i="5"/>
  <c r="O200" i="5"/>
  <c r="Q200" i="5"/>
  <c r="R200" i="5"/>
  <c r="S200" i="5"/>
  <c r="M201" i="5"/>
  <c r="L201" i="5"/>
  <c r="H201" i="5"/>
  <c r="I201" i="5"/>
  <c r="F201" i="5"/>
  <c r="G201" i="5"/>
  <c r="D201" i="5"/>
  <c r="J201" i="5"/>
  <c r="K201" i="5"/>
  <c r="N201" i="5"/>
  <c r="O201" i="5"/>
  <c r="Q201" i="5"/>
  <c r="R201" i="5"/>
  <c r="S201" i="5"/>
  <c r="M202" i="5"/>
  <c r="L202" i="5"/>
  <c r="H202" i="5"/>
  <c r="I202" i="5"/>
  <c r="F202" i="5"/>
  <c r="G202" i="5"/>
  <c r="D202" i="5"/>
  <c r="J202" i="5"/>
  <c r="K202" i="5"/>
  <c r="N202" i="5"/>
  <c r="O202" i="5"/>
  <c r="Q202" i="5"/>
  <c r="R202" i="5"/>
  <c r="S202" i="5"/>
  <c r="M203" i="5"/>
  <c r="L203" i="5"/>
  <c r="H203" i="5"/>
  <c r="I203" i="5"/>
  <c r="F203" i="5"/>
  <c r="G203" i="5"/>
  <c r="D203" i="5"/>
  <c r="J203" i="5"/>
  <c r="K203" i="5"/>
  <c r="N203" i="5"/>
  <c r="O203" i="5"/>
  <c r="Q203" i="5"/>
  <c r="R203" i="5"/>
  <c r="S203" i="5"/>
  <c r="M204" i="5"/>
  <c r="L204" i="5"/>
  <c r="H204" i="5"/>
  <c r="I204" i="5"/>
  <c r="F204" i="5"/>
  <c r="G204" i="5"/>
  <c r="D204" i="5"/>
  <c r="J204" i="5"/>
  <c r="K204" i="5"/>
  <c r="N204" i="5"/>
  <c r="O204" i="5"/>
  <c r="Q204" i="5"/>
  <c r="R204" i="5"/>
  <c r="S204" i="5"/>
  <c r="M205" i="5"/>
  <c r="L205" i="5"/>
  <c r="H205" i="5"/>
  <c r="I205" i="5"/>
  <c r="F205" i="5"/>
  <c r="G205" i="5"/>
  <c r="D205" i="5"/>
  <c r="J205" i="5"/>
  <c r="K205" i="5"/>
  <c r="N205" i="5"/>
  <c r="O205" i="5"/>
  <c r="Q205" i="5"/>
  <c r="R205" i="5"/>
  <c r="S205" i="5"/>
  <c r="M206" i="5"/>
  <c r="L206" i="5"/>
  <c r="H206" i="5"/>
  <c r="I206" i="5"/>
  <c r="F206" i="5"/>
  <c r="G206" i="5"/>
  <c r="D206" i="5"/>
  <c r="J206" i="5"/>
  <c r="K206" i="5"/>
  <c r="N206" i="5"/>
  <c r="O206" i="5"/>
  <c r="Q206" i="5"/>
  <c r="R206" i="5"/>
  <c r="S206" i="5"/>
  <c r="M207" i="5"/>
  <c r="L207" i="5"/>
  <c r="H207" i="5"/>
  <c r="I207" i="5"/>
  <c r="F207" i="5"/>
  <c r="G207" i="5"/>
  <c r="D207" i="5"/>
  <c r="J207" i="5"/>
  <c r="K207" i="5"/>
  <c r="N207" i="5"/>
  <c r="O207" i="5"/>
  <c r="Q207" i="5"/>
  <c r="R207" i="5"/>
  <c r="S207" i="5"/>
  <c r="M208" i="5"/>
  <c r="L208" i="5"/>
  <c r="H208" i="5"/>
  <c r="I208" i="5"/>
  <c r="F208" i="5"/>
  <c r="G208" i="5"/>
  <c r="D208" i="5"/>
  <c r="J208" i="5"/>
  <c r="K208" i="5"/>
  <c r="N208" i="5"/>
  <c r="O208" i="5"/>
  <c r="Q208" i="5"/>
  <c r="R208" i="5"/>
  <c r="S208" i="5"/>
  <c r="M209" i="5"/>
  <c r="L209" i="5"/>
  <c r="H209" i="5"/>
  <c r="I209" i="5"/>
  <c r="F209" i="5"/>
  <c r="G209" i="5"/>
  <c r="D209" i="5"/>
  <c r="J209" i="5"/>
  <c r="K209" i="5"/>
  <c r="N209" i="5"/>
  <c r="O209" i="5"/>
  <c r="Q209" i="5"/>
  <c r="R209" i="5"/>
  <c r="S209" i="5"/>
  <c r="M210" i="5"/>
  <c r="L210" i="5"/>
  <c r="H210" i="5"/>
  <c r="I210" i="5"/>
  <c r="F210" i="5"/>
  <c r="G210" i="5"/>
  <c r="D210" i="5"/>
  <c r="J210" i="5"/>
  <c r="K210" i="5"/>
  <c r="N210" i="5"/>
  <c r="O210" i="5"/>
  <c r="Q210" i="5"/>
  <c r="R210" i="5"/>
  <c r="S210" i="5"/>
  <c r="M211" i="5"/>
  <c r="L211" i="5"/>
  <c r="H211" i="5"/>
  <c r="I211" i="5"/>
  <c r="F211" i="5"/>
  <c r="G211" i="5"/>
  <c r="D211" i="5"/>
  <c r="J211" i="5"/>
  <c r="K211" i="5"/>
  <c r="N211" i="5"/>
  <c r="O211" i="5"/>
  <c r="Q211" i="5"/>
  <c r="R211" i="5"/>
  <c r="S211" i="5"/>
  <c r="M212" i="5"/>
  <c r="L212" i="5"/>
  <c r="H212" i="5"/>
  <c r="I212" i="5"/>
  <c r="F212" i="5"/>
  <c r="G212" i="5"/>
  <c r="D212" i="5"/>
  <c r="J212" i="5"/>
  <c r="K212" i="5"/>
  <c r="N212" i="5"/>
  <c r="O212" i="5"/>
  <c r="Q212" i="5"/>
  <c r="R212" i="5"/>
  <c r="S212" i="5"/>
  <c r="M213" i="5"/>
  <c r="L213" i="5"/>
  <c r="H213" i="5"/>
  <c r="I213" i="5"/>
  <c r="F213" i="5"/>
  <c r="G213" i="5"/>
  <c r="D213" i="5"/>
  <c r="J213" i="5"/>
  <c r="K213" i="5"/>
  <c r="N213" i="5"/>
  <c r="O213" i="5"/>
  <c r="Q213" i="5"/>
  <c r="R213" i="5"/>
  <c r="S213" i="5"/>
  <c r="M214" i="5"/>
  <c r="L214" i="5"/>
  <c r="H214" i="5"/>
  <c r="I214" i="5"/>
  <c r="F214" i="5"/>
  <c r="G214" i="5"/>
  <c r="D214" i="5"/>
  <c r="J214" i="5"/>
  <c r="K214" i="5"/>
  <c r="N214" i="5"/>
  <c r="O214" i="5"/>
  <c r="Q214" i="5"/>
  <c r="R214" i="5"/>
  <c r="S214" i="5"/>
  <c r="M215" i="5"/>
  <c r="L215" i="5"/>
  <c r="H215" i="5"/>
  <c r="I215" i="5"/>
  <c r="F215" i="5"/>
  <c r="G215" i="5"/>
  <c r="D215" i="5"/>
  <c r="J215" i="5"/>
  <c r="K215" i="5"/>
  <c r="N215" i="5"/>
  <c r="O215" i="5"/>
  <c r="Q215" i="5"/>
  <c r="R215" i="5"/>
  <c r="S215" i="5"/>
  <c r="M216" i="5"/>
  <c r="L216" i="5"/>
  <c r="H216" i="5"/>
  <c r="I216" i="5"/>
  <c r="F216" i="5"/>
  <c r="G216" i="5"/>
  <c r="D216" i="5"/>
  <c r="J216" i="5"/>
  <c r="K216" i="5"/>
  <c r="N216" i="5"/>
  <c r="O216" i="5"/>
  <c r="Q216" i="5"/>
  <c r="R216" i="5"/>
  <c r="S216" i="5"/>
  <c r="M217" i="5"/>
  <c r="L217" i="5"/>
  <c r="H217" i="5"/>
  <c r="I217" i="5"/>
  <c r="F217" i="5"/>
  <c r="G217" i="5"/>
  <c r="D217" i="5"/>
  <c r="J217" i="5"/>
  <c r="K217" i="5"/>
  <c r="N217" i="5"/>
  <c r="O217" i="5"/>
  <c r="Q217" i="5"/>
  <c r="R217" i="5"/>
  <c r="S217" i="5"/>
  <c r="M218" i="5"/>
  <c r="L218" i="5"/>
  <c r="H218" i="5"/>
  <c r="I218" i="5"/>
  <c r="F218" i="5"/>
  <c r="G218" i="5"/>
  <c r="D218" i="5"/>
  <c r="J218" i="5"/>
  <c r="K218" i="5"/>
  <c r="N218" i="5"/>
  <c r="O218" i="5"/>
  <c r="Q218" i="5"/>
  <c r="R218" i="5"/>
  <c r="S218" i="5"/>
  <c r="M219" i="5"/>
  <c r="L219" i="5"/>
  <c r="H219" i="5"/>
  <c r="I219" i="5"/>
  <c r="F219" i="5"/>
  <c r="G219" i="5"/>
  <c r="D219" i="5"/>
  <c r="J219" i="5"/>
  <c r="K219" i="5"/>
  <c r="N219" i="5"/>
  <c r="O219" i="5"/>
  <c r="Q219" i="5"/>
  <c r="R219" i="5"/>
  <c r="S219" i="5"/>
  <c r="M220" i="5"/>
  <c r="L220" i="5"/>
  <c r="H220" i="5"/>
  <c r="I220" i="5"/>
  <c r="F220" i="5"/>
  <c r="G220" i="5"/>
  <c r="D220" i="5"/>
  <c r="J220" i="5"/>
  <c r="K220" i="5"/>
  <c r="N220" i="5"/>
  <c r="O220" i="5"/>
  <c r="Q220" i="5"/>
  <c r="R220" i="5"/>
  <c r="S220" i="5"/>
  <c r="M221" i="5"/>
  <c r="L221" i="5"/>
  <c r="H221" i="5"/>
  <c r="I221" i="5"/>
  <c r="F221" i="5"/>
  <c r="G221" i="5"/>
  <c r="D221" i="5"/>
  <c r="J221" i="5"/>
  <c r="K221" i="5"/>
  <c r="N221" i="5"/>
  <c r="O221" i="5"/>
  <c r="Q221" i="5"/>
  <c r="R221" i="5"/>
  <c r="S221" i="5"/>
  <c r="M222" i="5"/>
  <c r="L222" i="5"/>
  <c r="H222" i="5"/>
  <c r="I222" i="5"/>
  <c r="F222" i="5"/>
  <c r="G222" i="5"/>
  <c r="D222" i="5"/>
  <c r="J222" i="5"/>
  <c r="K222" i="5"/>
  <c r="N222" i="5"/>
  <c r="O222" i="5"/>
  <c r="Q222" i="5"/>
  <c r="R222" i="5"/>
  <c r="S222" i="5"/>
  <c r="M223" i="5"/>
  <c r="L223" i="5"/>
  <c r="H223" i="5"/>
  <c r="I223" i="5"/>
  <c r="F223" i="5"/>
  <c r="G223" i="5"/>
  <c r="D223" i="5"/>
  <c r="J223" i="5"/>
  <c r="K223" i="5"/>
  <c r="N223" i="5"/>
  <c r="O223" i="5"/>
  <c r="Q223" i="5"/>
  <c r="R223" i="5"/>
  <c r="S223" i="5"/>
  <c r="M224" i="5"/>
  <c r="L224" i="5"/>
  <c r="H224" i="5"/>
  <c r="I224" i="5"/>
  <c r="F224" i="5"/>
  <c r="G224" i="5"/>
  <c r="D224" i="5"/>
  <c r="J224" i="5"/>
  <c r="K224" i="5"/>
  <c r="N224" i="5"/>
  <c r="O224" i="5"/>
  <c r="Q224" i="5"/>
  <c r="R224" i="5"/>
  <c r="S224" i="5"/>
  <c r="M225" i="5"/>
  <c r="L225" i="5"/>
  <c r="H225" i="5"/>
  <c r="I225" i="5"/>
  <c r="F225" i="5"/>
  <c r="G225" i="5"/>
  <c r="D225" i="5"/>
  <c r="J225" i="5"/>
  <c r="K225" i="5"/>
  <c r="N225" i="5"/>
  <c r="O225" i="5"/>
  <c r="Q225" i="5"/>
  <c r="R225" i="5"/>
  <c r="S225" i="5"/>
  <c r="M226" i="5"/>
  <c r="L226" i="5"/>
  <c r="H226" i="5"/>
  <c r="I226" i="5"/>
  <c r="F226" i="5"/>
  <c r="G226" i="5"/>
  <c r="D226" i="5"/>
  <c r="J226" i="5"/>
  <c r="K226" i="5"/>
  <c r="N226" i="5"/>
  <c r="O226" i="5"/>
  <c r="Q226" i="5"/>
  <c r="R226" i="5"/>
  <c r="S226" i="5"/>
  <c r="M227" i="5"/>
  <c r="L227" i="5"/>
  <c r="H227" i="5"/>
  <c r="I227" i="5"/>
  <c r="F227" i="5"/>
  <c r="G227" i="5"/>
  <c r="D227" i="5"/>
  <c r="J227" i="5"/>
  <c r="K227" i="5"/>
  <c r="N227" i="5"/>
  <c r="O227" i="5"/>
  <c r="Q227" i="5"/>
  <c r="R227" i="5"/>
  <c r="S227" i="5"/>
  <c r="M228" i="5"/>
  <c r="L228" i="5"/>
  <c r="H228" i="5"/>
  <c r="I228" i="5"/>
  <c r="F228" i="5"/>
  <c r="G228" i="5"/>
  <c r="D228" i="5"/>
  <c r="J228" i="5"/>
  <c r="K228" i="5"/>
  <c r="N228" i="5"/>
  <c r="O228" i="5"/>
  <c r="Q228" i="5"/>
  <c r="R228" i="5"/>
  <c r="S228" i="5"/>
  <c r="M229" i="5"/>
  <c r="L229" i="5"/>
  <c r="H229" i="5"/>
  <c r="I229" i="5"/>
  <c r="F229" i="5"/>
  <c r="G229" i="5"/>
  <c r="D229" i="5"/>
  <c r="J229" i="5"/>
  <c r="K229" i="5"/>
  <c r="N229" i="5"/>
  <c r="O229" i="5"/>
  <c r="Q229" i="5"/>
  <c r="R229" i="5"/>
  <c r="S229" i="5"/>
  <c r="M230" i="5"/>
  <c r="L230" i="5"/>
  <c r="H230" i="5"/>
  <c r="I230" i="5"/>
  <c r="F230" i="5"/>
  <c r="G230" i="5"/>
  <c r="D230" i="5"/>
  <c r="J230" i="5"/>
  <c r="K230" i="5"/>
  <c r="N230" i="5"/>
  <c r="O230" i="5"/>
  <c r="Q230" i="5"/>
  <c r="R230" i="5"/>
  <c r="S230" i="5"/>
  <c r="M231" i="5"/>
  <c r="L231" i="5"/>
  <c r="H231" i="5"/>
  <c r="I231" i="5"/>
  <c r="F231" i="5"/>
  <c r="G231" i="5"/>
  <c r="D231" i="5"/>
  <c r="J231" i="5"/>
  <c r="K231" i="5"/>
  <c r="N231" i="5"/>
  <c r="O231" i="5"/>
  <c r="Q231" i="5"/>
  <c r="R231" i="5"/>
  <c r="S231" i="5"/>
  <c r="M232" i="5"/>
  <c r="L232" i="5"/>
  <c r="H232" i="5"/>
  <c r="I232" i="5"/>
  <c r="F232" i="5"/>
  <c r="G232" i="5"/>
  <c r="D232" i="5"/>
  <c r="J232" i="5"/>
  <c r="K232" i="5"/>
  <c r="N232" i="5"/>
  <c r="O232" i="5"/>
  <c r="Q232" i="5"/>
  <c r="R232" i="5"/>
  <c r="S232" i="5"/>
  <c r="M233" i="5"/>
  <c r="L233" i="5"/>
  <c r="H233" i="5"/>
  <c r="I233" i="5"/>
  <c r="F233" i="5"/>
  <c r="G233" i="5"/>
  <c r="D233" i="5"/>
  <c r="J233" i="5"/>
  <c r="K233" i="5"/>
  <c r="N233" i="5"/>
  <c r="O233" i="5"/>
  <c r="Q233" i="5"/>
  <c r="R233" i="5"/>
  <c r="S233" i="5"/>
  <c r="M234" i="5"/>
  <c r="L234" i="5"/>
  <c r="H234" i="5"/>
  <c r="I234" i="5"/>
  <c r="F234" i="5"/>
  <c r="G234" i="5"/>
  <c r="D234" i="5"/>
  <c r="J234" i="5"/>
  <c r="K234" i="5"/>
  <c r="N234" i="5"/>
  <c r="O234" i="5"/>
  <c r="Q234" i="5"/>
  <c r="R234" i="5"/>
  <c r="S234" i="5"/>
  <c r="M235" i="5"/>
  <c r="L235" i="5"/>
  <c r="H235" i="5"/>
  <c r="I235" i="5"/>
  <c r="F235" i="5"/>
  <c r="G235" i="5"/>
  <c r="D235" i="5"/>
  <c r="J235" i="5"/>
  <c r="K235" i="5"/>
  <c r="N235" i="5"/>
  <c r="O235" i="5"/>
  <c r="Q235" i="5"/>
  <c r="R235" i="5"/>
  <c r="S235" i="5"/>
  <c r="M236" i="5"/>
  <c r="L236" i="5"/>
  <c r="H236" i="5"/>
  <c r="I236" i="5"/>
  <c r="F236" i="5"/>
  <c r="G236" i="5"/>
  <c r="D236" i="5"/>
  <c r="J236" i="5"/>
  <c r="K236" i="5"/>
  <c r="N236" i="5"/>
  <c r="O236" i="5"/>
  <c r="Q236" i="5"/>
  <c r="R236" i="5"/>
  <c r="S236" i="5"/>
  <c r="M237" i="5"/>
  <c r="L237" i="5"/>
  <c r="H237" i="5"/>
  <c r="I237" i="5"/>
  <c r="F237" i="5"/>
  <c r="G237" i="5"/>
  <c r="D237" i="5"/>
  <c r="J237" i="5"/>
  <c r="K237" i="5"/>
  <c r="N237" i="5"/>
  <c r="O237" i="5"/>
  <c r="Q237" i="5"/>
  <c r="R237" i="5"/>
  <c r="S237" i="5"/>
  <c r="M238" i="5"/>
  <c r="L238" i="5"/>
  <c r="H238" i="5"/>
  <c r="I238" i="5"/>
  <c r="F238" i="5"/>
  <c r="G238" i="5"/>
  <c r="D238" i="5"/>
  <c r="J238" i="5"/>
  <c r="K238" i="5"/>
  <c r="N238" i="5"/>
  <c r="O238" i="5"/>
  <c r="Q238" i="5"/>
  <c r="R238" i="5"/>
  <c r="S238" i="5"/>
  <c r="M239" i="5"/>
  <c r="L239" i="5"/>
  <c r="H239" i="5"/>
  <c r="I239" i="5"/>
  <c r="F239" i="5"/>
  <c r="G239" i="5"/>
  <c r="D239" i="5"/>
  <c r="J239" i="5"/>
  <c r="K239" i="5"/>
  <c r="N239" i="5"/>
  <c r="O239" i="5"/>
  <c r="Q239" i="5"/>
  <c r="R239" i="5"/>
  <c r="S239" i="5"/>
  <c r="M240" i="5"/>
  <c r="L240" i="5"/>
  <c r="H240" i="5"/>
  <c r="I240" i="5"/>
  <c r="F240" i="5"/>
  <c r="G240" i="5"/>
  <c r="D240" i="5"/>
  <c r="J240" i="5"/>
  <c r="K240" i="5"/>
  <c r="N240" i="5"/>
  <c r="O240" i="5"/>
  <c r="Q240" i="5"/>
  <c r="R240" i="5"/>
  <c r="S240" i="5"/>
  <c r="M241" i="5"/>
  <c r="L241" i="5"/>
  <c r="H241" i="5"/>
  <c r="I241" i="5"/>
  <c r="F241" i="5"/>
  <c r="G241" i="5"/>
  <c r="D241" i="5"/>
  <c r="J241" i="5"/>
  <c r="K241" i="5"/>
  <c r="N241" i="5"/>
  <c r="O241" i="5"/>
  <c r="Q241" i="5"/>
  <c r="R241" i="5"/>
  <c r="S241" i="5"/>
  <c r="M242" i="5"/>
  <c r="L242" i="5"/>
  <c r="H242" i="5"/>
  <c r="I242" i="5"/>
  <c r="F242" i="5"/>
  <c r="G242" i="5"/>
  <c r="D242" i="5"/>
  <c r="J242" i="5"/>
  <c r="K242" i="5"/>
  <c r="N242" i="5"/>
  <c r="O242" i="5"/>
  <c r="Q242" i="5"/>
  <c r="R242" i="5"/>
  <c r="S242" i="5"/>
  <c r="M243" i="5"/>
  <c r="L243" i="5"/>
  <c r="H243" i="5"/>
  <c r="I243" i="5"/>
  <c r="F243" i="5"/>
  <c r="G243" i="5"/>
  <c r="D243" i="5"/>
  <c r="J243" i="5"/>
  <c r="K243" i="5"/>
  <c r="N243" i="5"/>
  <c r="O243" i="5"/>
  <c r="Q243" i="5"/>
  <c r="R243" i="5"/>
  <c r="S243" i="5"/>
  <c r="M244" i="5"/>
  <c r="L244" i="5"/>
  <c r="H244" i="5"/>
  <c r="I244" i="5"/>
  <c r="F244" i="5"/>
  <c r="G244" i="5"/>
  <c r="D244" i="5"/>
  <c r="J244" i="5"/>
  <c r="K244" i="5"/>
  <c r="N244" i="5"/>
  <c r="O244" i="5"/>
  <c r="Q244" i="5"/>
  <c r="R244" i="5"/>
  <c r="S244" i="5"/>
  <c r="M245" i="5"/>
  <c r="L245" i="5"/>
  <c r="H245" i="5"/>
  <c r="I245" i="5"/>
  <c r="F245" i="5"/>
  <c r="G245" i="5"/>
  <c r="D245" i="5"/>
  <c r="J245" i="5"/>
  <c r="K245" i="5"/>
  <c r="N245" i="5"/>
  <c r="O245" i="5"/>
  <c r="Q245" i="5"/>
  <c r="R245" i="5"/>
  <c r="S245" i="5"/>
  <c r="M246" i="5"/>
  <c r="L246" i="5"/>
  <c r="H246" i="5"/>
  <c r="I246" i="5"/>
  <c r="F246" i="5"/>
  <c r="G246" i="5"/>
  <c r="D246" i="5"/>
  <c r="J246" i="5"/>
  <c r="K246" i="5"/>
  <c r="N246" i="5"/>
  <c r="O246" i="5"/>
  <c r="Q246" i="5"/>
  <c r="R246" i="5"/>
  <c r="S246" i="5"/>
  <c r="M247" i="5"/>
  <c r="L247" i="5"/>
  <c r="H247" i="5"/>
  <c r="I247" i="5"/>
  <c r="F247" i="5"/>
  <c r="G247" i="5"/>
  <c r="D247" i="5"/>
  <c r="J247" i="5"/>
  <c r="K247" i="5"/>
  <c r="N247" i="5"/>
  <c r="O247" i="5"/>
  <c r="Q247" i="5"/>
  <c r="R247" i="5"/>
  <c r="S247" i="5"/>
  <c r="M248" i="5"/>
  <c r="L248" i="5"/>
  <c r="H248" i="5"/>
  <c r="I248" i="5"/>
  <c r="F248" i="5"/>
  <c r="G248" i="5"/>
  <c r="D248" i="5"/>
  <c r="J248" i="5"/>
  <c r="K248" i="5"/>
  <c r="N248" i="5"/>
  <c r="O248" i="5"/>
  <c r="Q248" i="5"/>
  <c r="R248" i="5"/>
  <c r="S248" i="5"/>
  <c r="M249" i="5"/>
  <c r="L249" i="5"/>
  <c r="H249" i="5"/>
  <c r="I249" i="5"/>
  <c r="F249" i="5"/>
  <c r="G249" i="5"/>
  <c r="D249" i="5"/>
  <c r="J249" i="5"/>
  <c r="K249" i="5"/>
  <c r="N249" i="5"/>
  <c r="O249" i="5"/>
  <c r="Q249" i="5"/>
  <c r="R249" i="5"/>
  <c r="S249" i="5"/>
  <c r="M250" i="5"/>
  <c r="L250" i="5"/>
  <c r="H250" i="5"/>
  <c r="I250" i="5"/>
  <c r="F250" i="5"/>
  <c r="G250" i="5"/>
  <c r="D250" i="5"/>
  <c r="J250" i="5"/>
  <c r="K250" i="5"/>
  <c r="N250" i="5"/>
  <c r="O250" i="5"/>
  <c r="Q250" i="5"/>
  <c r="R250" i="5"/>
  <c r="S250" i="5"/>
  <c r="M251" i="5"/>
  <c r="L251" i="5"/>
  <c r="H251" i="5"/>
  <c r="I251" i="5"/>
  <c r="F251" i="5"/>
  <c r="G251" i="5"/>
  <c r="D251" i="5"/>
  <c r="J251" i="5"/>
  <c r="K251" i="5"/>
  <c r="N251" i="5"/>
  <c r="O251" i="5"/>
  <c r="Q251" i="5"/>
  <c r="R251" i="5"/>
  <c r="S251" i="5"/>
  <c r="M252" i="5"/>
  <c r="L252" i="5"/>
  <c r="H252" i="5"/>
  <c r="I252" i="5"/>
  <c r="F252" i="5"/>
  <c r="G252" i="5"/>
  <c r="D252" i="5"/>
  <c r="J252" i="5"/>
  <c r="K252" i="5"/>
  <c r="N252" i="5"/>
  <c r="O252" i="5"/>
  <c r="Q252" i="5"/>
  <c r="R252" i="5"/>
  <c r="S252" i="5"/>
  <c r="M253" i="5"/>
  <c r="L253" i="5"/>
  <c r="H253" i="5"/>
  <c r="I253" i="5"/>
  <c r="F253" i="5"/>
  <c r="G253" i="5"/>
  <c r="D253" i="5"/>
  <c r="J253" i="5"/>
  <c r="K253" i="5"/>
  <c r="N253" i="5"/>
  <c r="O253" i="5"/>
  <c r="Q253" i="5"/>
  <c r="R253" i="5"/>
  <c r="S253" i="5"/>
  <c r="M254" i="5"/>
  <c r="L254" i="5"/>
  <c r="H254" i="5"/>
  <c r="I254" i="5"/>
  <c r="F254" i="5"/>
  <c r="G254" i="5"/>
  <c r="D254" i="5"/>
  <c r="J254" i="5"/>
  <c r="K254" i="5"/>
  <c r="N254" i="5"/>
  <c r="O254" i="5"/>
  <c r="Q254" i="5"/>
  <c r="R254" i="5"/>
  <c r="S254" i="5"/>
  <c r="M255" i="5"/>
  <c r="L255" i="5"/>
  <c r="H255" i="5"/>
  <c r="I255" i="5"/>
  <c r="F255" i="5"/>
  <c r="G255" i="5"/>
  <c r="D255" i="5"/>
  <c r="J255" i="5"/>
  <c r="K255" i="5"/>
  <c r="N255" i="5"/>
  <c r="O255" i="5"/>
  <c r="Q255" i="5"/>
  <c r="R255" i="5"/>
  <c r="S255" i="5"/>
  <c r="M256" i="5"/>
  <c r="L256" i="5"/>
  <c r="H256" i="5"/>
  <c r="I256" i="5"/>
  <c r="F256" i="5"/>
  <c r="G256" i="5"/>
  <c r="D256" i="5"/>
  <c r="J256" i="5"/>
  <c r="K256" i="5"/>
  <c r="N256" i="5"/>
  <c r="O256" i="5"/>
  <c r="Q256" i="5"/>
  <c r="R256" i="5"/>
  <c r="S256" i="5"/>
  <c r="M257" i="5"/>
  <c r="L257" i="5"/>
  <c r="H257" i="5"/>
  <c r="I257" i="5"/>
  <c r="F257" i="5"/>
  <c r="G257" i="5"/>
  <c r="D257" i="5"/>
  <c r="J257" i="5"/>
  <c r="K257" i="5"/>
  <c r="N257" i="5"/>
  <c r="O257" i="5"/>
  <c r="Q257" i="5"/>
  <c r="R257" i="5"/>
  <c r="S257" i="5"/>
  <c r="M258" i="5"/>
  <c r="L258" i="5"/>
  <c r="H258" i="5"/>
  <c r="I258" i="5"/>
  <c r="F258" i="5"/>
  <c r="G258" i="5"/>
  <c r="D258" i="5"/>
  <c r="J258" i="5"/>
  <c r="K258" i="5"/>
  <c r="N258" i="5"/>
  <c r="O258" i="5"/>
  <c r="Q258" i="5"/>
  <c r="R258" i="5"/>
  <c r="S258" i="5"/>
  <c r="M259" i="5"/>
  <c r="L259" i="5"/>
  <c r="H259" i="5"/>
  <c r="I259" i="5"/>
  <c r="F259" i="5"/>
  <c r="G259" i="5"/>
  <c r="D259" i="5"/>
  <c r="J259" i="5"/>
  <c r="K259" i="5"/>
  <c r="N259" i="5"/>
  <c r="O259" i="5"/>
  <c r="Q259" i="5"/>
  <c r="R259" i="5"/>
  <c r="S259" i="5"/>
  <c r="M260" i="5"/>
  <c r="L260" i="5"/>
  <c r="H260" i="5"/>
  <c r="I260" i="5"/>
  <c r="F260" i="5"/>
  <c r="G260" i="5"/>
  <c r="D260" i="5"/>
  <c r="J260" i="5"/>
  <c r="K260" i="5"/>
  <c r="N260" i="5"/>
  <c r="O260" i="5"/>
  <c r="Q260" i="5"/>
  <c r="R260" i="5"/>
  <c r="S260" i="5"/>
  <c r="M261" i="5"/>
  <c r="L261" i="5"/>
  <c r="H261" i="5"/>
  <c r="I261" i="5"/>
  <c r="F261" i="5"/>
  <c r="G261" i="5"/>
  <c r="D261" i="5"/>
  <c r="J261" i="5"/>
  <c r="K261" i="5"/>
  <c r="N261" i="5"/>
  <c r="O261" i="5"/>
  <c r="Q261" i="5"/>
  <c r="R261" i="5"/>
  <c r="S261" i="5"/>
  <c r="M262" i="5"/>
  <c r="L262" i="5"/>
  <c r="H262" i="5"/>
  <c r="I262" i="5"/>
  <c r="F262" i="5"/>
  <c r="G262" i="5"/>
  <c r="D262" i="5"/>
  <c r="J262" i="5"/>
  <c r="K262" i="5"/>
  <c r="N262" i="5"/>
  <c r="O262" i="5"/>
  <c r="Q262" i="5"/>
  <c r="R262" i="5"/>
  <c r="S262" i="5"/>
  <c r="M263" i="5"/>
  <c r="L263" i="5"/>
  <c r="H263" i="5"/>
  <c r="I263" i="5"/>
  <c r="F263" i="5"/>
  <c r="G263" i="5"/>
  <c r="D263" i="5"/>
  <c r="J263" i="5"/>
  <c r="K263" i="5"/>
  <c r="N263" i="5"/>
  <c r="O263" i="5"/>
  <c r="Q263" i="5"/>
  <c r="R263" i="5"/>
  <c r="S263" i="5"/>
  <c r="M264" i="5"/>
  <c r="L264" i="5"/>
  <c r="H264" i="5"/>
  <c r="I264" i="5"/>
  <c r="F264" i="5"/>
  <c r="G264" i="5"/>
  <c r="D264" i="5"/>
  <c r="J264" i="5"/>
  <c r="K264" i="5"/>
  <c r="N264" i="5"/>
  <c r="O264" i="5"/>
  <c r="Q264" i="5"/>
  <c r="R264" i="5"/>
  <c r="S264" i="5"/>
  <c r="M265" i="5"/>
  <c r="L265" i="5"/>
  <c r="H265" i="5"/>
  <c r="I265" i="5"/>
  <c r="F265" i="5"/>
  <c r="G265" i="5"/>
  <c r="D265" i="5"/>
  <c r="J265" i="5"/>
  <c r="K265" i="5"/>
  <c r="N265" i="5"/>
  <c r="O265" i="5"/>
  <c r="Q265" i="5"/>
  <c r="R265" i="5"/>
  <c r="S265" i="5"/>
  <c r="M266" i="5"/>
  <c r="L266" i="5"/>
  <c r="H266" i="5"/>
  <c r="I266" i="5"/>
  <c r="F266" i="5"/>
  <c r="G266" i="5"/>
  <c r="D266" i="5"/>
  <c r="J266" i="5"/>
  <c r="K266" i="5"/>
  <c r="N266" i="5"/>
  <c r="O266" i="5"/>
  <c r="Q266" i="5"/>
  <c r="R266" i="5"/>
  <c r="S266" i="5"/>
  <c r="M267" i="5"/>
  <c r="L267" i="5"/>
  <c r="H267" i="5"/>
  <c r="I267" i="5"/>
  <c r="F267" i="5"/>
  <c r="G267" i="5"/>
  <c r="D267" i="5"/>
  <c r="J267" i="5"/>
  <c r="K267" i="5"/>
  <c r="N267" i="5"/>
  <c r="O267" i="5"/>
  <c r="Q267" i="5"/>
  <c r="R267" i="5"/>
  <c r="S267" i="5"/>
  <c r="M268" i="5"/>
  <c r="L268" i="5"/>
  <c r="H268" i="5"/>
  <c r="I268" i="5"/>
  <c r="F268" i="5"/>
  <c r="G268" i="5"/>
  <c r="D268" i="5"/>
  <c r="J268" i="5"/>
  <c r="K268" i="5"/>
  <c r="N268" i="5"/>
  <c r="O268" i="5"/>
  <c r="Q268" i="5"/>
  <c r="R268" i="5"/>
  <c r="S268" i="5"/>
  <c r="M269" i="5"/>
  <c r="L269" i="5"/>
  <c r="H269" i="5"/>
  <c r="I269" i="5"/>
  <c r="F269" i="5"/>
  <c r="G269" i="5"/>
  <c r="D269" i="5"/>
  <c r="J269" i="5"/>
  <c r="K269" i="5"/>
  <c r="N269" i="5"/>
  <c r="O269" i="5"/>
  <c r="Q269" i="5"/>
  <c r="R269" i="5"/>
  <c r="S269" i="5"/>
  <c r="M270" i="5"/>
  <c r="L270" i="5"/>
  <c r="H270" i="5"/>
  <c r="I270" i="5"/>
  <c r="F270" i="5"/>
  <c r="G270" i="5"/>
  <c r="D270" i="5"/>
  <c r="J270" i="5"/>
  <c r="K270" i="5"/>
  <c r="N270" i="5"/>
  <c r="O270" i="5"/>
  <c r="Q270" i="5"/>
  <c r="R270" i="5"/>
  <c r="S270" i="5"/>
  <c r="M271" i="5"/>
  <c r="L271" i="5"/>
  <c r="H271" i="5"/>
  <c r="I271" i="5"/>
  <c r="F271" i="5"/>
  <c r="G271" i="5"/>
  <c r="D271" i="5"/>
  <c r="J271" i="5"/>
  <c r="K271" i="5"/>
  <c r="N271" i="5"/>
  <c r="O271" i="5"/>
  <c r="Q271" i="5"/>
  <c r="R271" i="5"/>
  <c r="S271" i="5"/>
  <c r="M272" i="5"/>
  <c r="L272" i="5"/>
  <c r="H272" i="5"/>
  <c r="I272" i="5"/>
  <c r="F272" i="5"/>
  <c r="G272" i="5"/>
  <c r="D272" i="5"/>
  <c r="J272" i="5"/>
  <c r="K272" i="5"/>
  <c r="N272" i="5"/>
  <c r="O272" i="5"/>
  <c r="Q272" i="5"/>
  <c r="R272" i="5"/>
  <c r="S272" i="5"/>
  <c r="M273" i="5"/>
  <c r="L273" i="5"/>
  <c r="H273" i="5"/>
  <c r="I273" i="5"/>
  <c r="F273" i="5"/>
  <c r="G273" i="5"/>
  <c r="D273" i="5"/>
  <c r="J273" i="5"/>
  <c r="K273" i="5"/>
  <c r="N273" i="5"/>
  <c r="O273" i="5"/>
  <c r="Q273" i="5"/>
  <c r="R273" i="5"/>
  <c r="S273" i="5"/>
  <c r="M274" i="5"/>
  <c r="L274" i="5"/>
  <c r="H274" i="5"/>
  <c r="I274" i="5"/>
  <c r="F274" i="5"/>
  <c r="G274" i="5"/>
  <c r="D274" i="5"/>
  <c r="J274" i="5"/>
  <c r="K274" i="5"/>
  <c r="N274" i="5"/>
  <c r="O274" i="5"/>
  <c r="Q274" i="5"/>
  <c r="R274" i="5"/>
  <c r="S274" i="5"/>
  <c r="M275" i="5"/>
  <c r="L275" i="5"/>
  <c r="H275" i="5"/>
  <c r="I275" i="5"/>
  <c r="F275" i="5"/>
  <c r="G275" i="5"/>
  <c r="D275" i="5"/>
  <c r="J275" i="5"/>
  <c r="K275" i="5"/>
  <c r="N275" i="5"/>
  <c r="O275" i="5"/>
  <c r="Q275" i="5"/>
  <c r="R275" i="5"/>
  <c r="S275" i="5"/>
  <c r="M276" i="5"/>
  <c r="L276" i="5"/>
  <c r="H276" i="5"/>
  <c r="I276" i="5"/>
  <c r="F276" i="5"/>
  <c r="G276" i="5"/>
  <c r="D276" i="5"/>
  <c r="J276" i="5"/>
  <c r="K276" i="5"/>
  <c r="N276" i="5"/>
  <c r="O276" i="5"/>
  <c r="Q276" i="5"/>
  <c r="R276" i="5"/>
  <c r="S276" i="5"/>
  <c r="M277" i="5"/>
  <c r="L277" i="5"/>
  <c r="H277" i="5"/>
  <c r="I277" i="5"/>
  <c r="F277" i="5"/>
  <c r="G277" i="5"/>
  <c r="D277" i="5"/>
  <c r="J277" i="5"/>
  <c r="K277" i="5"/>
  <c r="N277" i="5"/>
  <c r="O277" i="5"/>
  <c r="Q277" i="5"/>
  <c r="R277" i="5"/>
  <c r="S277" i="5"/>
  <c r="M278" i="5"/>
  <c r="L278" i="5"/>
  <c r="H278" i="5"/>
  <c r="I278" i="5"/>
  <c r="F278" i="5"/>
  <c r="G278" i="5"/>
  <c r="D278" i="5"/>
  <c r="J278" i="5"/>
  <c r="K278" i="5"/>
  <c r="N278" i="5"/>
  <c r="O278" i="5"/>
  <c r="Q278" i="5"/>
  <c r="R278" i="5"/>
  <c r="S278" i="5"/>
  <c r="M279" i="5"/>
  <c r="L279" i="5"/>
  <c r="H279" i="5"/>
  <c r="I279" i="5"/>
  <c r="F279" i="5"/>
  <c r="G279" i="5"/>
  <c r="D279" i="5"/>
  <c r="J279" i="5"/>
  <c r="K279" i="5"/>
  <c r="N279" i="5"/>
  <c r="O279" i="5"/>
  <c r="Q279" i="5"/>
  <c r="R279" i="5"/>
  <c r="S279" i="5"/>
  <c r="M280" i="5"/>
  <c r="L280" i="5"/>
  <c r="H280" i="5"/>
  <c r="I280" i="5"/>
  <c r="F280" i="5"/>
  <c r="G280" i="5"/>
  <c r="D280" i="5"/>
  <c r="J280" i="5"/>
  <c r="K280" i="5"/>
  <c r="N280" i="5"/>
  <c r="O280" i="5"/>
  <c r="Q280" i="5"/>
  <c r="R280" i="5"/>
  <c r="S280" i="5"/>
  <c r="M281" i="5"/>
  <c r="L281" i="5"/>
  <c r="H281" i="5"/>
  <c r="I281" i="5"/>
  <c r="F281" i="5"/>
  <c r="G281" i="5"/>
  <c r="D281" i="5"/>
  <c r="J281" i="5"/>
  <c r="K281" i="5"/>
  <c r="N281" i="5"/>
  <c r="O281" i="5"/>
  <c r="Q281" i="5"/>
  <c r="R281" i="5"/>
  <c r="S281" i="5"/>
  <c r="M282" i="5"/>
  <c r="L282" i="5"/>
  <c r="H282" i="5"/>
  <c r="I282" i="5"/>
  <c r="F282" i="5"/>
  <c r="G282" i="5"/>
  <c r="D282" i="5"/>
  <c r="J282" i="5"/>
  <c r="K282" i="5"/>
  <c r="N282" i="5"/>
  <c r="O282" i="5"/>
  <c r="Q282" i="5"/>
  <c r="R282" i="5"/>
  <c r="S282" i="5"/>
  <c r="M283" i="5"/>
  <c r="L283" i="5"/>
  <c r="H283" i="5"/>
  <c r="I283" i="5"/>
  <c r="F283" i="5"/>
  <c r="G283" i="5"/>
  <c r="D283" i="5"/>
  <c r="J283" i="5"/>
  <c r="K283" i="5"/>
  <c r="N283" i="5"/>
  <c r="O283" i="5"/>
  <c r="Q283" i="5"/>
  <c r="R283" i="5"/>
  <c r="S283" i="5"/>
  <c r="M284" i="5"/>
  <c r="L284" i="5"/>
  <c r="H284" i="5"/>
  <c r="I284" i="5"/>
  <c r="F284" i="5"/>
  <c r="G284" i="5"/>
  <c r="D284" i="5"/>
  <c r="J284" i="5"/>
  <c r="K284" i="5"/>
  <c r="N284" i="5"/>
  <c r="O284" i="5"/>
  <c r="Q284" i="5"/>
  <c r="R284" i="5"/>
  <c r="S284" i="5"/>
  <c r="M285" i="5"/>
  <c r="L285" i="5"/>
  <c r="H285" i="5"/>
  <c r="I285" i="5"/>
  <c r="F285" i="5"/>
  <c r="G285" i="5"/>
  <c r="D285" i="5"/>
  <c r="J285" i="5"/>
  <c r="K285" i="5"/>
  <c r="N285" i="5"/>
  <c r="O285" i="5"/>
  <c r="Q285" i="5"/>
  <c r="R285" i="5"/>
  <c r="S285" i="5"/>
  <c r="M286" i="5"/>
  <c r="L286" i="5"/>
  <c r="H286" i="5"/>
  <c r="I286" i="5"/>
  <c r="F286" i="5"/>
  <c r="G286" i="5"/>
  <c r="D286" i="5"/>
  <c r="J286" i="5"/>
  <c r="K286" i="5"/>
  <c r="N286" i="5"/>
  <c r="O286" i="5"/>
  <c r="Q286" i="5"/>
  <c r="R286" i="5"/>
  <c r="S286" i="5"/>
  <c r="M287" i="5"/>
  <c r="L287" i="5"/>
  <c r="H287" i="5"/>
  <c r="I287" i="5"/>
  <c r="F287" i="5"/>
  <c r="G287" i="5"/>
  <c r="D287" i="5"/>
  <c r="J287" i="5"/>
  <c r="K287" i="5"/>
  <c r="N287" i="5"/>
  <c r="O287" i="5"/>
  <c r="Q287" i="5"/>
  <c r="R287" i="5"/>
  <c r="S287" i="5"/>
  <c r="M288" i="5"/>
  <c r="L288" i="5"/>
  <c r="H288" i="5"/>
  <c r="I288" i="5"/>
  <c r="F288" i="5"/>
  <c r="G288" i="5"/>
  <c r="D288" i="5"/>
  <c r="J288" i="5"/>
  <c r="K288" i="5"/>
  <c r="N288" i="5"/>
  <c r="O288" i="5"/>
  <c r="Q288" i="5"/>
  <c r="R288" i="5"/>
  <c r="S288" i="5"/>
  <c r="M289" i="5"/>
  <c r="L289" i="5"/>
  <c r="H289" i="5"/>
  <c r="I289" i="5"/>
  <c r="F289" i="5"/>
  <c r="G289" i="5"/>
  <c r="D289" i="5"/>
  <c r="J289" i="5"/>
  <c r="K289" i="5"/>
  <c r="N289" i="5"/>
  <c r="O289" i="5"/>
  <c r="Q289" i="5"/>
  <c r="R289" i="5"/>
  <c r="S289" i="5"/>
  <c r="M290" i="5"/>
  <c r="L290" i="5"/>
  <c r="H290" i="5"/>
  <c r="I290" i="5"/>
  <c r="F290" i="5"/>
  <c r="G290" i="5"/>
  <c r="D290" i="5"/>
  <c r="J290" i="5"/>
  <c r="K290" i="5"/>
  <c r="N290" i="5"/>
  <c r="O290" i="5"/>
  <c r="Q290" i="5"/>
  <c r="R290" i="5"/>
  <c r="S290" i="5"/>
  <c r="M291" i="5"/>
  <c r="L291" i="5"/>
  <c r="H291" i="5"/>
  <c r="I291" i="5"/>
  <c r="F291" i="5"/>
  <c r="G291" i="5"/>
  <c r="D291" i="5"/>
  <c r="J291" i="5"/>
  <c r="K291" i="5"/>
  <c r="N291" i="5"/>
  <c r="O291" i="5"/>
  <c r="Q291" i="5"/>
  <c r="R291" i="5"/>
  <c r="S291" i="5"/>
  <c r="M292" i="5"/>
  <c r="L292" i="5"/>
  <c r="H292" i="5"/>
  <c r="I292" i="5"/>
  <c r="F292" i="5"/>
  <c r="G292" i="5"/>
  <c r="D292" i="5"/>
  <c r="J292" i="5"/>
  <c r="K292" i="5"/>
  <c r="N292" i="5"/>
  <c r="O292" i="5"/>
  <c r="Q292" i="5"/>
  <c r="R292" i="5"/>
  <c r="S292" i="5"/>
  <c r="M293" i="5"/>
  <c r="L293" i="5"/>
  <c r="H293" i="5"/>
  <c r="I293" i="5"/>
  <c r="F293" i="5"/>
  <c r="G293" i="5"/>
  <c r="D293" i="5"/>
  <c r="J293" i="5"/>
  <c r="K293" i="5"/>
  <c r="N293" i="5"/>
  <c r="O293" i="5"/>
  <c r="Q293" i="5"/>
  <c r="R293" i="5"/>
  <c r="S293" i="5"/>
  <c r="M294" i="5"/>
  <c r="L294" i="5"/>
  <c r="H294" i="5"/>
  <c r="I294" i="5"/>
  <c r="F294" i="5"/>
  <c r="G294" i="5"/>
  <c r="D294" i="5"/>
  <c r="J294" i="5"/>
  <c r="K294" i="5"/>
  <c r="N294" i="5"/>
  <c r="O294" i="5"/>
  <c r="Q294" i="5"/>
  <c r="R294" i="5"/>
  <c r="S294" i="5"/>
  <c r="M295" i="5"/>
  <c r="L295" i="5"/>
  <c r="H295" i="5"/>
  <c r="I295" i="5"/>
  <c r="F295" i="5"/>
  <c r="G295" i="5"/>
  <c r="D295" i="5"/>
  <c r="J295" i="5"/>
  <c r="K295" i="5"/>
  <c r="N295" i="5"/>
  <c r="O295" i="5"/>
  <c r="Q295" i="5"/>
  <c r="R295" i="5"/>
  <c r="S295" i="5"/>
  <c r="M296" i="5"/>
  <c r="L296" i="5"/>
  <c r="H296" i="5"/>
  <c r="I296" i="5"/>
  <c r="F296" i="5"/>
  <c r="G296" i="5"/>
  <c r="D296" i="5"/>
  <c r="J296" i="5"/>
  <c r="K296" i="5"/>
  <c r="N296" i="5"/>
  <c r="O296" i="5"/>
  <c r="Q296" i="5"/>
  <c r="R296" i="5"/>
  <c r="S296" i="5"/>
  <c r="M297" i="5"/>
  <c r="L297" i="5"/>
  <c r="H297" i="5"/>
  <c r="I297" i="5"/>
  <c r="F297" i="5"/>
  <c r="G297" i="5"/>
  <c r="D297" i="5"/>
  <c r="J297" i="5"/>
  <c r="K297" i="5"/>
  <c r="N297" i="5"/>
  <c r="O297" i="5"/>
  <c r="Q297" i="5"/>
  <c r="R297" i="5"/>
  <c r="S297" i="5"/>
  <c r="M298" i="5"/>
  <c r="L298" i="5"/>
  <c r="H298" i="5"/>
  <c r="I298" i="5"/>
  <c r="F298" i="5"/>
  <c r="G298" i="5"/>
  <c r="D298" i="5"/>
  <c r="J298" i="5"/>
  <c r="K298" i="5"/>
  <c r="N298" i="5"/>
  <c r="O298" i="5"/>
  <c r="Q298" i="5"/>
  <c r="R298" i="5"/>
  <c r="S298" i="5"/>
  <c r="M299" i="5"/>
  <c r="L299" i="5"/>
  <c r="H299" i="5"/>
  <c r="I299" i="5"/>
  <c r="F299" i="5"/>
  <c r="G299" i="5"/>
  <c r="D299" i="5"/>
  <c r="J299" i="5"/>
  <c r="K299" i="5"/>
  <c r="N299" i="5"/>
  <c r="O299" i="5"/>
  <c r="Q299" i="5"/>
  <c r="R299" i="5"/>
  <c r="S299" i="5"/>
  <c r="M300" i="5"/>
  <c r="L300" i="5"/>
  <c r="H300" i="5"/>
  <c r="I300" i="5"/>
  <c r="F300" i="5"/>
  <c r="G300" i="5"/>
  <c r="D300" i="5"/>
  <c r="J300" i="5"/>
  <c r="K300" i="5"/>
  <c r="N300" i="5"/>
  <c r="O300" i="5"/>
  <c r="Q300" i="5"/>
  <c r="R300" i="5"/>
  <c r="S300" i="5"/>
  <c r="M301" i="5"/>
  <c r="L301" i="5"/>
  <c r="H301" i="5"/>
  <c r="I301" i="5"/>
  <c r="F301" i="5"/>
  <c r="G301" i="5"/>
  <c r="D301" i="5"/>
  <c r="J301" i="5"/>
  <c r="K301" i="5"/>
  <c r="N301" i="5"/>
  <c r="O301" i="5"/>
  <c r="Q301" i="5"/>
  <c r="R301" i="5"/>
  <c r="S301" i="5"/>
  <c r="M302" i="5"/>
  <c r="L302" i="5"/>
  <c r="H302" i="5"/>
  <c r="I302" i="5"/>
  <c r="F302" i="5"/>
  <c r="G302" i="5"/>
  <c r="D302" i="5"/>
  <c r="J302" i="5"/>
  <c r="K302" i="5"/>
  <c r="N302" i="5"/>
  <c r="O302" i="5"/>
  <c r="Q302" i="5"/>
  <c r="R302" i="5"/>
  <c r="S302" i="5"/>
  <c r="M303" i="5"/>
  <c r="L303" i="5"/>
  <c r="H303" i="5"/>
  <c r="I303" i="5"/>
  <c r="F303" i="5"/>
  <c r="G303" i="5"/>
  <c r="D303" i="5"/>
  <c r="J303" i="5"/>
  <c r="K303" i="5"/>
  <c r="N303" i="5"/>
  <c r="O303" i="5"/>
  <c r="Q303" i="5"/>
  <c r="R303" i="5"/>
  <c r="S303" i="5"/>
  <c r="M304" i="5"/>
  <c r="L304" i="5"/>
  <c r="H304" i="5"/>
  <c r="I304" i="5"/>
  <c r="F304" i="5"/>
  <c r="G304" i="5"/>
  <c r="D304" i="5"/>
  <c r="J304" i="5"/>
  <c r="K304" i="5"/>
  <c r="N304" i="5"/>
  <c r="O304" i="5"/>
  <c r="Q304" i="5"/>
  <c r="R304" i="5"/>
  <c r="S304" i="5"/>
  <c r="M305" i="5"/>
  <c r="L305" i="5"/>
  <c r="H305" i="5"/>
  <c r="I305" i="5"/>
  <c r="F305" i="5"/>
  <c r="G305" i="5"/>
  <c r="D305" i="5"/>
  <c r="J305" i="5"/>
  <c r="K305" i="5"/>
  <c r="N305" i="5"/>
  <c r="O305" i="5"/>
  <c r="Q305" i="5"/>
  <c r="R305" i="5"/>
  <c r="S305" i="5"/>
  <c r="M306" i="5"/>
  <c r="L306" i="5"/>
  <c r="H306" i="5"/>
  <c r="I306" i="5"/>
  <c r="F306" i="5"/>
  <c r="G306" i="5"/>
  <c r="D306" i="5"/>
  <c r="J306" i="5"/>
  <c r="K306" i="5"/>
  <c r="N306" i="5"/>
  <c r="O306" i="5"/>
  <c r="Q306" i="5"/>
  <c r="R306" i="5"/>
  <c r="S306" i="5"/>
  <c r="M307" i="5"/>
  <c r="L307" i="5"/>
  <c r="H307" i="5"/>
  <c r="I307" i="5"/>
  <c r="F307" i="5"/>
  <c r="G307" i="5"/>
  <c r="D307" i="5"/>
  <c r="J307" i="5"/>
  <c r="K307" i="5"/>
  <c r="N307" i="5"/>
  <c r="O307" i="5"/>
  <c r="Q307" i="5"/>
  <c r="R307" i="5"/>
  <c r="S307" i="5"/>
  <c r="M308" i="5"/>
  <c r="L308" i="5"/>
  <c r="H308" i="5"/>
  <c r="I308" i="5"/>
  <c r="F308" i="5"/>
  <c r="G308" i="5"/>
  <c r="D308" i="5"/>
  <c r="J308" i="5"/>
  <c r="K308" i="5"/>
  <c r="N308" i="5"/>
  <c r="O308" i="5"/>
  <c r="Q308" i="5"/>
  <c r="R308" i="5"/>
  <c r="S308" i="5"/>
  <c r="M309" i="5"/>
  <c r="L309" i="5"/>
  <c r="H309" i="5"/>
  <c r="I309" i="5"/>
  <c r="F309" i="5"/>
  <c r="G309" i="5"/>
  <c r="D309" i="5"/>
  <c r="J309" i="5"/>
  <c r="K309" i="5"/>
  <c r="N309" i="5"/>
  <c r="O309" i="5"/>
  <c r="Q309" i="5"/>
  <c r="R309" i="5"/>
  <c r="S309" i="5"/>
  <c r="M310" i="5"/>
  <c r="L310" i="5"/>
  <c r="H310" i="5"/>
  <c r="I310" i="5"/>
  <c r="F310" i="5"/>
  <c r="G310" i="5"/>
  <c r="D310" i="5"/>
  <c r="J310" i="5"/>
  <c r="K310" i="5"/>
  <c r="N310" i="5"/>
  <c r="O310" i="5"/>
  <c r="Q310" i="5"/>
  <c r="R310" i="5"/>
  <c r="S310" i="5"/>
  <c r="M311" i="5"/>
  <c r="L311" i="5"/>
  <c r="H311" i="5"/>
  <c r="I311" i="5"/>
  <c r="F311" i="5"/>
  <c r="G311" i="5"/>
  <c r="D311" i="5"/>
  <c r="J311" i="5"/>
  <c r="K311" i="5"/>
  <c r="N311" i="5"/>
  <c r="O311" i="5"/>
  <c r="Q311" i="5"/>
  <c r="R311" i="5"/>
  <c r="S311" i="5"/>
  <c r="M312" i="5"/>
  <c r="L312" i="5"/>
  <c r="H312" i="5"/>
  <c r="I312" i="5"/>
  <c r="F312" i="5"/>
  <c r="G312" i="5"/>
  <c r="D312" i="5"/>
  <c r="J312" i="5"/>
  <c r="K312" i="5"/>
  <c r="N312" i="5"/>
  <c r="O312" i="5"/>
  <c r="Q312" i="5"/>
  <c r="R312" i="5"/>
  <c r="S312" i="5"/>
  <c r="M313" i="5"/>
  <c r="L313" i="5"/>
  <c r="H313" i="5"/>
  <c r="I313" i="5"/>
  <c r="F313" i="5"/>
  <c r="G313" i="5"/>
  <c r="D313" i="5"/>
  <c r="J313" i="5"/>
  <c r="K313" i="5"/>
  <c r="N313" i="5"/>
  <c r="O313" i="5"/>
  <c r="Q313" i="5"/>
  <c r="R313" i="5"/>
  <c r="S313" i="5"/>
  <c r="M314" i="5"/>
  <c r="L314" i="5"/>
  <c r="H314" i="5"/>
  <c r="I314" i="5"/>
  <c r="F314" i="5"/>
  <c r="G314" i="5"/>
  <c r="D314" i="5"/>
  <c r="J314" i="5"/>
  <c r="K314" i="5"/>
  <c r="N314" i="5"/>
  <c r="O314" i="5"/>
  <c r="Q314" i="5"/>
  <c r="R314" i="5"/>
  <c r="S314" i="5"/>
  <c r="M315" i="5"/>
  <c r="L315" i="5"/>
  <c r="H315" i="5"/>
  <c r="I315" i="5"/>
  <c r="F315" i="5"/>
  <c r="G315" i="5"/>
  <c r="D315" i="5"/>
  <c r="J315" i="5"/>
  <c r="K315" i="5"/>
  <c r="N315" i="5"/>
  <c r="O315" i="5"/>
  <c r="Q315" i="5"/>
  <c r="R315" i="5"/>
  <c r="S315" i="5"/>
  <c r="M316" i="5"/>
  <c r="L316" i="5"/>
  <c r="H316" i="5"/>
  <c r="I316" i="5"/>
  <c r="F316" i="5"/>
  <c r="G316" i="5"/>
  <c r="D316" i="5"/>
  <c r="J316" i="5"/>
  <c r="K316" i="5"/>
  <c r="N316" i="5"/>
  <c r="O316" i="5"/>
  <c r="Q316" i="5"/>
  <c r="R316" i="5"/>
  <c r="S316" i="5"/>
  <c r="M317" i="5"/>
  <c r="L317" i="5"/>
  <c r="H317" i="5"/>
  <c r="I317" i="5"/>
  <c r="F317" i="5"/>
  <c r="G317" i="5"/>
  <c r="D317" i="5"/>
  <c r="J317" i="5"/>
  <c r="K317" i="5"/>
  <c r="N317" i="5"/>
  <c r="O317" i="5"/>
  <c r="Q317" i="5"/>
  <c r="R317" i="5"/>
  <c r="S317" i="5"/>
  <c r="M318" i="5"/>
  <c r="L318" i="5"/>
  <c r="H318" i="5"/>
  <c r="I318" i="5"/>
  <c r="F318" i="5"/>
  <c r="G318" i="5"/>
  <c r="D318" i="5"/>
  <c r="J318" i="5"/>
  <c r="K318" i="5"/>
  <c r="N318" i="5"/>
  <c r="O318" i="5"/>
  <c r="Q318" i="5"/>
  <c r="R318" i="5"/>
  <c r="S318" i="5"/>
  <c r="M319" i="5"/>
  <c r="L319" i="5"/>
  <c r="H319" i="5"/>
  <c r="I319" i="5"/>
  <c r="F319" i="5"/>
  <c r="G319" i="5"/>
  <c r="D319" i="5"/>
  <c r="J319" i="5"/>
  <c r="K319" i="5"/>
  <c r="N319" i="5"/>
  <c r="O319" i="5"/>
  <c r="Q319" i="5"/>
  <c r="R319" i="5"/>
  <c r="S319" i="5"/>
  <c r="M320" i="5"/>
  <c r="L320" i="5"/>
  <c r="H320" i="5"/>
  <c r="I320" i="5"/>
  <c r="F320" i="5"/>
  <c r="G320" i="5"/>
  <c r="D320" i="5"/>
  <c r="J320" i="5"/>
  <c r="K320" i="5"/>
  <c r="N320" i="5"/>
  <c r="O320" i="5"/>
  <c r="Q320" i="5"/>
  <c r="R320" i="5"/>
  <c r="S320" i="5"/>
  <c r="M321" i="5"/>
  <c r="L321" i="5"/>
  <c r="H321" i="5"/>
  <c r="I321" i="5"/>
  <c r="F321" i="5"/>
  <c r="G321" i="5"/>
  <c r="D321" i="5"/>
  <c r="J321" i="5"/>
  <c r="K321" i="5"/>
  <c r="N321" i="5"/>
  <c r="O321" i="5"/>
  <c r="Q321" i="5"/>
  <c r="R321" i="5"/>
  <c r="S321" i="5"/>
  <c r="M322" i="5"/>
  <c r="L322" i="5"/>
  <c r="H322" i="5"/>
  <c r="I322" i="5"/>
  <c r="F322" i="5"/>
  <c r="G322" i="5"/>
  <c r="D322" i="5"/>
  <c r="J322" i="5"/>
  <c r="K322" i="5"/>
  <c r="N322" i="5"/>
  <c r="O322" i="5"/>
  <c r="Q322" i="5"/>
  <c r="R322" i="5"/>
  <c r="S322" i="5"/>
  <c r="M323" i="5"/>
  <c r="L323" i="5"/>
  <c r="H323" i="5"/>
  <c r="I323" i="5"/>
  <c r="F323" i="5"/>
  <c r="G323" i="5"/>
  <c r="D323" i="5"/>
  <c r="J323" i="5"/>
  <c r="K323" i="5"/>
  <c r="N323" i="5"/>
  <c r="O323" i="5"/>
  <c r="Q323" i="5"/>
  <c r="R323" i="5"/>
  <c r="S323" i="5"/>
  <c r="M324" i="5"/>
  <c r="L324" i="5"/>
  <c r="H324" i="5"/>
  <c r="I324" i="5"/>
  <c r="F324" i="5"/>
  <c r="G324" i="5"/>
  <c r="D324" i="5"/>
  <c r="J324" i="5"/>
  <c r="K324" i="5"/>
  <c r="N324" i="5"/>
  <c r="O324" i="5"/>
  <c r="Q324" i="5"/>
  <c r="R324" i="5"/>
  <c r="S324" i="5"/>
  <c r="M325" i="5"/>
  <c r="L325" i="5"/>
  <c r="H325" i="5"/>
  <c r="I325" i="5"/>
  <c r="F325" i="5"/>
  <c r="G325" i="5"/>
  <c r="D325" i="5"/>
  <c r="J325" i="5"/>
  <c r="K325" i="5"/>
  <c r="N325" i="5"/>
  <c r="O325" i="5"/>
  <c r="Q325" i="5"/>
  <c r="R325" i="5"/>
  <c r="S325" i="5"/>
  <c r="M326" i="5"/>
  <c r="L326" i="5"/>
  <c r="H326" i="5"/>
  <c r="I326" i="5"/>
  <c r="F326" i="5"/>
  <c r="G326" i="5"/>
  <c r="D326" i="5"/>
  <c r="J326" i="5"/>
  <c r="K326" i="5"/>
  <c r="N326" i="5"/>
  <c r="O326" i="5"/>
  <c r="Q326" i="5"/>
  <c r="R326" i="5"/>
  <c r="S326" i="5"/>
  <c r="M327" i="5"/>
  <c r="L327" i="5"/>
  <c r="H327" i="5"/>
  <c r="I327" i="5"/>
  <c r="F327" i="5"/>
  <c r="G327" i="5"/>
  <c r="D327" i="5"/>
  <c r="J327" i="5"/>
  <c r="K327" i="5"/>
  <c r="N327" i="5"/>
  <c r="O327" i="5"/>
  <c r="Q327" i="5"/>
  <c r="R327" i="5"/>
  <c r="S327" i="5"/>
  <c r="M328" i="5"/>
  <c r="L328" i="5"/>
  <c r="H328" i="5"/>
  <c r="I328" i="5"/>
  <c r="F328" i="5"/>
  <c r="G328" i="5"/>
  <c r="D328" i="5"/>
  <c r="J328" i="5"/>
  <c r="K328" i="5"/>
  <c r="N328" i="5"/>
  <c r="O328" i="5"/>
  <c r="Q328" i="5"/>
  <c r="R328" i="5"/>
  <c r="S328" i="5"/>
  <c r="M329" i="5"/>
  <c r="L329" i="5"/>
  <c r="H329" i="5"/>
  <c r="I329" i="5"/>
  <c r="F329" i="5"/>
  <c r="G329" i="5"/>
  <c r="D329" i="5"/>
  <c r="J329" i="5"/>
  <c r="K329" i="5"/>
  <c r="N329" i="5"/>
  <c r="O329" i="5"/>
  <c r="Q329" i="5"/>
  <c r="R329" i="5"/>
  <c r="S329" i="5"/>
  <c r="M330" i="5"/>
  <c r="L330" i="5"/>
  <c r="H330" i="5"/>
  <c r="I330" i="5"/>
  <c r="F330" i="5"/>
  <c r="G330" i="5"/>
  <c r="D330" i="5"/>
  <c r="J330" i="5"/>
  <c r="K330" i="5"/>
  <c r="N330" i="5"/>
  <c r="O330" i="5"/>
  <c r="Q330" i="5"/>
  <c r="R330" i="5"/>
  <c r="S330" i="5"/>
  <c r="M331" i="5"/>
  <c r="L331" i="5"/>
  <c r="H331" i="5"/>
  <c r="I331" i="5"/>
  <c r="F331" i="5"/>
  <c r="G331" i="5"/>
  <c r="D331" i="5"/>
  <c r="J331" i="5"/>
  <c r="K331" i="5"/>
  <c r="N331" i="5"/>
  <c r="O331" i="5"/>
  <c r="Q331" i="5"/>
  <c r="R331" i="5"/>
  <c r="S331" i="5"/>
  <c r="M332" i="5"/>
  <c r="L332" i="5"/>
  <c r="H332" i="5"/>
  <c r="I332" i="5"/>
  <c r="F332" i="5"/>
  <c r="G332" i="5"/>
  <c r="D332" i="5"/>
  <c r="J332" i="5"/>
  <c r="K332" i="5"/>
  <c r="N332" i="5"/>
  <c r="O332" i="5"/>
  <c r="Q332" i="5"/>
  <c r="R332" i="5"/>
  <c r="S332" i="5"/>
  <c r="M333" i="5"/>
  <c r="L333" i="5"/>
  <c r="H333" i="5"/>
  <c r="I333" i="5"/>
  <c r="F333" i="5"/>
  <c r="G333" i="5"/>
  <c r="D333" i="5"/>
  <c r="J333" i="5"/>
  <c r="K333" i="5"/>
  <c r="N333" i="5"/>
  <c r="O333" i="5"/>
  <c r="Q333" i="5"/>
  <c r="R333" i="5"/>
  <c r="S333" i="5"/>
  <c r="M334" i="5"/>
  <c r="L334" i="5"/>
  <c r="H334" i="5"/>
  <c r="I334" i="5"/>
  <c r="F334" i="5"/>
  <c r="G334" i="5"/>
  <c r="D334" i="5"/>
  <c r="J334" i="5"/>
  <c r="K334" i="5"/>
  <c r="N334" i="5"/>
  <c r="O334" i="5"/>
  <c r="Q334" i="5"/>
  <c r="R334" i="5"/>
  <c r="S334" i="5"/>
  <c r="M335" i="5"/>
  <c r="L335" i="5"/>
  <c r="H335" i="5"/>
  <c r="I335" i="5"/>
  <c r="F335" i="5"/>
  <c r="G335" i="5"/>
  <c r="D335" i="5"/>
  <c r="J335" i="5"/>
  <c r="K335" i="5"/>
  <c r="N335" i="5"/>
  <c r="O335" i="5"/>
  <c r="Q335" i="5"/>
  <c r="R335" i="5"/>
  <c r="S335" i="5"/>
  <c r="M336" i="5"/>
  <c r="L336" i="5"/>
  <c r="H336" i="5"/>
  <c r="I336" i="5"/>
  <c r="F336" i="5"/>
  <c r="G336" i="5"/>
  <c r="D336" i="5"/>
  <c r="J336" i="5"/>
  <c r="K336" i="5"/>
  <c r="N336" i="5"/>
  <c r="O336" i="5"/>
  <c r="Q336" i="5"/>
  <c r="R336" i="5"/>
  <c r="S336" i="5"/>
  <c r="M337" i="5"/>
  <c r="L337" i="5"/>
  <c r="H337" i="5"/>
  <c r="I337" i="5"/>
  <c r="F337" i="5"/>
  <c r="G337" i="5"/>
  <c r="D337" i="5"/>
  <c r="J337" i="5"/>
  <c r="K337" i="5"/>
  <c r="N337" i="5"/>
  <c r="O337" i="5"/>
  <c r="Q337" i="5"/>
  <c r="R337" i="5"/>
  <c r="S337" i="5"/>
  <c r="M338" i="5"/>
  <c r="L338" i="5"/>
  <c r="H338" i="5"/>
  <c r="I338" i="5"/>
  <c r="F338" i="5"/>
  <c r="G338" i="5"/>
  <c r="D338" i="5"/>
  <c r="J338" i="5"/>
  <c r="K338" i="5"/>
  <c r="N338" i="5"/>
  <c r="O338" i="5"/>
  <c r="Q338" i="5"/>
  <c r="R338" i="5"/>
  <c r="S338" i="5"/>
  <c r="M339" i="5"/>
  <c r="L339" i="5"/>
  <c r="H339" i="5"/>
  <c r="I339" i="5"/>
  <c r="F339" i="5"/>
  <c r="G339" i="5"/>
  <c r="D339" i="5"/>
  <c r="J339" i="5"/>
  <c r="K339" i="5"/>
  <c r="N339" i="5"/>
  <c r="O339" i="5"/>
  <c r="Q339" i="5"/>
  <c r="R339" i="5"/>
  <c r="S339" i="5"/>
  <c r="M340" i="5"/>
  <c r="L340" i="5"/>
  <c r="H340" i="5"/>
  <c r="I340" i="5"/>
  <c r="F340" i="5"/>
  <c r="G340" i="5"/>
  <c r="D340" i="5"/>
  <c r="J340" i="5"/>
  <c r="K340" i="5"/>
  <c r="N340" i="5"/>
  <c r="O340" i="5"/>
  <c r="Q340" i="5"/>
  <c r="R340" i="5"/>
  <c r="S340" i="5"/>
  <c r="M341" i="5"/>
  <c r="L341" i="5"/>
  <c r="H341" i="5"/>
  <c r="I341" i="5"/>
  <c r="F341" i="5"/>
  <c r="G341" i="5"/>
  <c r="D341" i="5"/>
  <c r="J341" i="5"/>
  <c r="K341" i="5"/>
  <c r="N341" i="5"/>
  <c r="O341" i="5"/>
  <c r="Q341" i="5"/>
  <c r="R341" i="5"/>
  <c r="S341" i="5"/>
  <c r="M342" i="5"/>
  <c r="L342" i="5"/>
  <c r="H342" i="5"/>
  <c r="I342" i="5"/>
  <c r="F342" i="5"/>
  <c r="G342" i="5"/>
  <c r="D342" i="5"/>
  <c r="J342" i="5"/>
  <c r="K342" i="5"/>
  <c r="N342" i="5"/>
  <c r="O342" i="5"/>
  <c r="Q342" i="5"/>
  <c r="R342" i="5"/>
  <c r="S342" i="5"/>
  <c r="M343" i="5"/>
  <c r="L343" i="5"/>
  <c r="H343" i="5"/>
  <c r="I343" i="5"/>
  <c r="F343" i="5"/>
  <c r="G343" i="5"/>
  <c r="D343" i="5"/>
  <c r="J343" i="5"/>
  <c r="K343" i="5"/>
  <c r="N343" i="5"/>
  <c r="O343" i="5"/>
  <c r="Q343" i="5"/>
  <c r="R343" i="5"/>
  <c r="S343" i="5"/>
  <c r="M344" i="5"/>
  <c r="L344" i="5"/>
  <c r="H344" i="5"/>
  <c r="I344" i="5"/>
  <c r="F344" i="5"/>
  <c r="G344" i="5"/>
  <c r="D344" i="5"/>
  <c r="J344" i="5"/>
  <c r="K344" i="5"/>
  <c r="N344" i="5"/>
  <c r="O344" i="5"/>
  <c r="Q344" i="5"/>
  <c r="R344" i="5"/>
  <c r="S344" i="5"/>
  <c r="M345" i="5"/>
  <c r="L345" i="5"/>
  <c r="H345" i="5"/>
  <c r="I345" i="5"/>
  <c r="F345" i="5"/>
  <c r="G345" i="5"/>
  <c r="D345" i="5"/>
  <c r="J345" i="5"/>
  <c r="K345" i="5"/>
  <c r="N345" i="5"/>
  <c r="O345" i="5"/>
  <c r="Q345" i="5"/>
  <c r="R345" i="5"/>
  <c r="S345" i="5"/>
  <c r="M346" i="5"/>
  <c r="L346" i="5"/>
  <c r="H346" i="5"/>
  <c r="I346" i="5"/>
  <c r="F346" i="5"/>
  <c r="G346" i="5"/>
  <c r="D346" i="5"/>
  <c r="J346" i="5"/>
  <c r="K346" i="5"/>
  <c r="N346" i="5"/>
  <c r="O346" i="5"/>
  <c r="Q346" i="5"/>
  <c r="R346" i="5"/>
  <c r="S346" i="5"/>
  <c r="M347" i="5"/>
  <c r="L347" i="5"/>
  <c r="H347" i="5"/>
  <c r="I347" i="5"/>
  <c r="F347" i="5"/>
  <c r="G347" i="5"/>
  <c r="D347" i="5"/>
  <c r="J347" i="5"/>
  <c r="K347" i="5"/>
  <c r="N347" i="5"/>
  <c r="O347" i="5"/>
  <c r="Q347" i="5"/>
  <c r="R347" i="5"/>
  <c r="S347" i="5"/>
  <c r="M348" i="5"/>
  <c r="L348" i="5"/>
  <c r="H348" i="5"/>
  <c r="I348" i="5"/>
  <c r="F348" i="5"/>
  <c r="G348" i="5"/>
  <c r="D348" i="5"/>
  <c r="J348" i="5"/>
  <c r="K348" i="5"/>
  <c r="N348" i="5"/>
  <c r="O348" i="5"/>
  <c r="Q348" i="5"/>
  <c r="R348" i="5"/>
  <c r="S348" i="5"/>
  <c r="M349" i="5"/>
  <c r="L349" i="5"/>
  <c r="H349" i="5"/>
  <c r="I349" i="5"/>
  <c r="F349" i="5"/>
  <c r="G349" i="5"/>
  <c r="D349" i="5"/>
  <c r="J349" i="5"/>
  <c r="K349" i="5"/>
  <c r="N349" i="5"/>
  <c r="O349" i="5"/>
  <c r="Q349" i="5"/>
  <c r="R349" i="5"/>
  <c r="S349" i="5"/>
  <c r="M350" i="5"/>
  <c r="L350" i="5"/>
  <c r="H350" i="5"/>
  <c r="I350" i="5"/>
  <c r="F350" i="5"/>
  <c r="G350" i="5"/>
  <c r="D350" i="5"/>
  <c r="J350" i="5"/>
  <c r="K350" i="5"/>
  <c r="N350" i="5"/>
  <c r="O350" i="5"/>
  <c r="Q350" i="5"/>
  <c r="R350" i="5"/>
  <c r="S350" i="5"/>
  <c r="M351" i="5"/>
  <c r="L351" i="5"/>
  <c r="H351" i="5"/>
  <c r="I351" i="5"/>
  <c r="F351" i="5"/>
  <c r="G351" i="5"/>
  <c r="D351" i="5"/>
  <c r="J351" i="5"/>
  <c r="K351" i="5"/>
  <c r="N351" i="5"/>
  <c r="O351" i="5"/>
  <c r="Q351" i="5"/>
  <c r="R351" i="5"/>
  <c r="S351" i="5"/>
  <c r="M352" i="5"/>
  <c r="L352" i="5"/>
  <c r="H352" i="5"/>
  <c r="I352" i="5"/>
  <c r="F352" i="5"/>
  <c r="G352" i="5"/>
  <c r="D352" i="5"/>
  <c r="J352" i="5"/>
  <c r="K352" i="5"/>
  <c r="N352" i="5"/>
  <c r="O352" i="5"/>
  <c r="Q352" i="5"/>
  <c r="R352" i="5"/>
  <c r="S352" i="5"/>
  <c r="M353" i="5"/>
  <c r="L353" i="5"/>
  <c r="H353" i="5"/>
  <c r="I353" i="5"/>
  <c r="F353" i="5"/>
  <c r="G353" i="5"/>
  <c r="D353" i="5"/>
  <c r="J353" i="5"/>
  <c r="K353" i="5"/>
  <c r="N353" i="5"/>
  <c r="O353" i="5"/>
  <c r="Q353" i="5"/>
  <c r="R353" i="5"/>
  <c r="S353" i="5"/>
  <c r="M354" i="5"/>
  <c r="L354" i="5"/>
  <c r="H354" i="5"/>
  <c r="I354" i="5"/>
  <c r="F354" i="5"/>
  <c r="G354" i="5"/>
  <c r="D354" i="5"/>
  <c r="J354" i="5"/>
  <c r="K354" i="5"/>
  <c r="N354" i="5"/>
  <c r="O354" i="5"/>
  <c r="Q354" i="5"/>
  <c r="R354" i="5"/>
  <c r="S354" i="5"/>
  <c r="M355" i="5"/>
  <c r="L355" i="5"/>
  <c r="H355" i="5"/>
  <c r="I355" i="5"/>
  <c r="F355" i="5"/>
  <c r="G355" i="5"/>
  <c r="D355" i="5"/>
  <c r="J355" i="5"/>
  <c r="K355" i="5"/>
  <c r="N355" i="5"/>
  <c r="O355" i="5"/>
  <c r="Q355" i="5"/>
  <c r="R355" i="5"/>
  <c r="S355" i="5"/>
  <c r="M356" i="5"/>
  <c r="L356" i="5"/>
  <c r="H356" i="5"/>
  <c r="I356" i="5"/>
  <c r="F356" i="5"/>
  <c r="G356" i="5"/>
  <c r="D356" i="5"/>
  <c r="J356" i="5"/>
  <c r="K356" i="5"/>
  <c r="N356" i="5"/>
  <c r="O356" i="5"/>
  <c r="Q356" i="5"/>
  <c r="R356" i="5"/>
  <c r="S356" i="5"/>
  <c r="M357" i="5"/>
  <c r="L357" i="5"/>
  <c r="H357" i="5"/>
  <c r="I357" i="5"/>
  <c r="F357" i="5"/>
  <c r="G357" i="5"/>
  <c r="D357" i="5"/>
  <c r="J357" i="5"/>
  <c r="K357" i="5"/>
  <c r="N357" i="5"/>
  <c r="O357" i="5"/>
  <c r="Q357" i="5"/>
  <c r="R357" i="5"/>
  <c r="S357" i="5"/>
  <c r="M358" i="5"/>
  <c r="L358" i="5"/>
  <c r="H358" i="5"/>
  <c r="I358" i="5"/>
  <c r="F358" i="5"/>
  <c r="G358" i="5"/>
  <c r="D358" i="5"/>
  <c r="J358" i="5"/>
  <c r="K358" i="5"/>
  <c r="N358" i="5"/>
  <c r="O358" i="5"/>
  <c r="Q358" i="5"/>
  <c r="R358" i="5"/>
  <c r="S358" i="5"/>
  <c r="M359" i="5"/>
  <c r="L359" i="5"/>
  <c r="H359" i="5"/>
  <c r="I359" i="5"/>
  <c r="F359" i="5"/>
  <c r="G359" i="5"/>
  <c r="D359" i="5"/>
  <c r="J359" i="5"/>
  <c r="K359" i="5"/>
  <c r="N359" i="5"/>
  <c r="O359" i="5"/>
  <c r="Q359" i="5"/>
  <c r="R359" i="5"/>
  <c r="S359" i="5"/>
  <c r="M360" i="5"/>
  <c r="L360" i="5"/>
  <c r="H360" i="5"/>
  <c r="I360" i="5"/>
  <c r="F360" i="5"/>
  <c r="G360" i="5"/>
  <c r="D360" i="5"/>
  <c r="J360" i="5"/>
  <c r="K360" i="5"/>
  <c r="N360" i="5"/>
  <c r="O360" i="5"/>
  <c r="Q360" i="5"/>
  <c r="R360" i="5"/>
  <c r="S360" i="5"/>
  <c r="M361" i="5"/>
  <c r="L361" i="5"/>
  <c r="H361" i="5"/>
  <c r="I361" i="5"/>
  <c r="F361" i="5"/>
  <c r="G361" i="5"/>
  <c r="D361" i="5"/>
  <c r="J361" i="5"/>
  <c r="K361" i="5"/>
  <c r="N361" i="5"/>
  <c r="O361" i="5"/>
  <c r="Q361" i="5"/>
  <c r="R361" i="5"/>
  <c r="S361" i="5"/>
  <c r="M362" i="5"/>
  <c r="L362" i="5"/>
  <c r="H362" i="5"/>
  <c r="I362" i="5"/>
  <c r="F362" i="5"/>
  <c r="G362" i="5"/>
  <c r="D362" i="5"/>
  <c r="J362" i="5"/>
  <c r="K362" i="5"/>
  <c r="N362" i="5"/>
  <c r="O362" i="5"/>
  <c r="Q362" i="5"/>
  <c r="R362" i="5"/>
  <c r="S362" i="5"/>
  <c r="M363" i="5"/>
  <c r="L363" i="5"/>
  <c r="H363" i="5"/>
  <c r="I363" i="5"/>
  <c r="F363" i="5"/>
  <c r="G363" i="5"/>
  <c r="D363" i="5"/>
  <c r="J363" i="5"/>
  <c r="K363" i="5"/>
  <c r="N363" i="5"/>
  <c r="O363" i="5"/>
  <c r="Q363" i="5"/>
  <c r="R363" i="5"/>
  <c r="S363" i="5"/>
  <c r="M364" i="5"/>
  <c r="L364" i="5"/>
  <c r="H364" i="5"/>
  <c r="I364" i="5"/>
  <c r="F364" i="5"/>
  <c r="G364" i="5"/>
  <c r="D364" i="5"/>
  <c r="J364" i="5"/>
  <c r="K364" i="5"/>
  <c r="N364" i="5"/>
  <c r="O364" i="5"/>
  <c r="Q364" i="5"/>
  <c r="R364" i="5"/>
  <c r="S364" i="5"/>
  <c r="M365" i="5"/>
  <c r="L365" i="5"/>
  <c r="H365" i="5"/>
  <c r="I365" i="5"/>
  <c r="F365" i="5"/>
  <c r="G365" i="5"/>
  <c r="D365" i="5"/>
  <c r="J365" i="5"/>
  <c r="K365" i="5"/>
  <c r="N365" i="5"/>
  <c r="O365" i="5"/>
  <c r="Q365" i="5"/>
  <c r="R365" i="5"/>
  <c r="S365" i="5"/>
  <c r="M366" i="5"/>
  <c r="L366" i="5"/>
  <c r="H366" i="5"/>
  <c r="I366" i="5"/>
  <c r="F366" i="5"/>
  <c r="G366" i="5"/>
  <c r="D366" i="5"/>
  <c r="J366" i="5"/>
  <c r="K366" i="5"/>
  <c r="N366" i="5"/>
  <c r="O366" i="5"/>
  <c r="Q366" i="5"/>
  <c r="R366" i="5"/>
  <c r="S366" i="5"/>
  <c r="M367" i="5"/>
  <c r="L367" i="5"/>
  <c r="H367" i="5"/>
  <c r="I367" i="5"/>
  <c r="F367" i="5"/>
  <c r="G367" i="5"/>
  <c r="D367" i="5"/>
  <c r="J367" i="5"/>
  <c r="K367" i="5"/>
  <c r="N367" i="5"/>
  <c r="O367" i="5"/>
  <c r="Q367" i="5"/>
  <c r="R367" i="5"/>
  <c r="S367" i="5"/>
  <c r="M368" i="5"/>
  <c r="L368" i="5"/>
  <c r="H368" i="5"/>
  <c r="I368" i="5"/>
  <c r="F368" i="5"/>
  <c r="G368" i="5"/>
  <c r="D368" i="5"/>
  <c r="J368" i="5"/>
  <c r="K368" i="5"/>
  <c r="N368" i="5"/>
  <c r="O368" i="5"/>
  <c r="Q368" i="5"/>
  <c r="R368" i="5"/>
  <c r="S368" i="5"/>
  <c r="M369" i="5"/>
  <c r="L369" i="5"/>
  <c r="H369" i="5"/>
  <c r="I369" i="5"/>
  <c r="F369" i="5"/>
  <c r="G369" i="5"/>
  <c r="D369" i="5"/>
  <c r="J369" i="5"/>
  <c r="K369" i="5"/>
  <c r="N369" i="5"/>
  <c r="O369" i="5"/>
  <c r="Q369" i="5"/>
  <c r="R369" i="5"/>
  <c r="S369" i="5"/>
  <c r="M370" i="5"/>
  <c r="L370" i="5"/>
  <c r="H370" i="5"/>
  <c r="I370" i="5"/>
  <c r="F370" i="5"/>
  <c r="G370" i="5"/>
  <c r="D370" i="5"/>
  <c r="J370" i="5"/>
  <c r="K370" i="5"/>
  <c r="N370" i="5"/>
  <c r="O370" i="5"/>
  <c r="Q370" i="5"/>
  <c r="R370" i="5"/>
  <c r="S370" i="5"/>
  <c r="M371" i="5"/>
  <c r="L371" i="5"/>
  <c r="H371" i="5"/>
  <c r="I371" i="5"/>
  <c r="F371" i="5"/>
  <c r="G371" i="5"/>
  <c r="D371" i="5"/>
  <c r="J371" i="5"/>
  <c r="K371" i="5"/>
  <c r="N371" i="5"/>
  <c r="O371" i="5"/>
  <c r="Q371" i="5"/>
  <c r="R371" i="5"/>
  <c r="S371" i="5"/>
  <c r="M372" i="5"/>
  <c r="L372" i="5"/>
  <c r="H372" i="5"/>
  <c r="I372" i="5"/>
  <c r="F372" i="5"/>
  <c r="G372" i="5"/>
  <c r="D372" i="5"/>
  <c r="J372" i="5"/>
  <c r="K372" i="5"/>
  <c r="N372" i="5"/>
  <c r="O372" i="5"/>
  <c r="Q372" i="5"/>
  <c r="R372" i="5"/>
  <c r="S372" i="5"/>
  <c r="M373" i="5"/>
  <c r="L373" i="5"/>
  <c r="H373" i="5"/>
  <c r="I373" i="5"/>
  <c r="F373" i="5"/>
  <c r="G373" i="5"/>
  <c r="D373" i="5"/>
  <c r="J373" i="5"/>
  <c r="K373" i="5"/>
  <c r="N373" i="5"/>
  <c r="O373" i="5"/>
  <c r="Q373" i="5"/>
  <c r="R373" i="5"/>
  <c r="S373" i="5"/>
  <c r="M374" i="5"/>
  <c r="L374" i="5"/>
  <c r="H374" i="5"/>
  <c r="I374" i="5"/>
  <c r="F374" i="5"/>
  <c r="G374" i="5"/>
  <c r="D374" i="5"/>
  <c r="J374" i="5"/>
  <c r="K374" i="5"/>
  <c r="N374" i="5"/>
  <c r="O374" i="5"/>
  <c r="Q374" i="5"/>
  <c r="R374" i="5"/>
  <c r="S374" i="5"/>
  <c r="M375" i="5"/>
  <c r="L375" i="5"/>
  <c r="H375" i="5"/>
  <c r="I375" i="5"/>
  <c r="F375" i="5"/>
  <c r="G375" i="5"/>
  <c r="D375" i="5"/>
  <c r="J375" i="5"/>
  <c r="K375" i="5"/>
  <c r="N375" i="5"/>
  <c r="O375" i="5"/>
  <c r="Q375" i="5"/>
  <c r="R375" i="5"/>
  <c r="S375" i="5"/>
  <c r="M376" i="5"/>
  <c r="L376" i="5"/>
  <c r="H376" i="5"/>
  <c r="I376" i="5"/>
  <c r="F376" i="5"/>
  <c r="G376" i="5"/>
  <c r="D376" i="5"/>
  <c r="J376" i="5"/>
  <c r="K376" i="5"/>
  <c r="N376" i="5"/>
  <c r="O376" i="5"/>
  <c r="Q376" i="5"/>
  <c r="R376" i="5"/>
  <c r="S376" i="5"/>
  <c r="M377" i="5"/>
  <c r="L377" i="5"/>
  <c r="H377" i="5"/>
  <c r="I377" i="5"/>
  <c r="F377" i="5"/>
  <c r="G377" i="5"/>
  <c r="D377" i="5"/>
  <c r="J377" i="5"/>
  <c r="K377" i="5"/>
  <c r="N377" i="5"/>
  <c r="O377" i="5"/>
  <c r="Q377" i="5"/>
  <c r="R377" i="5"/>
  <c r="S377" i="5"/>
  <c r="M378" i="5"/>
  <c r="L378" i="5"/>
  <c r="H378" i="5"/>
  <c r="I378" i="5"/>
  <c r="F378" i="5"/>
  <c r="G378" i="5"/>
  <c r="D378" i="5"/>
  <c r="J378" i="5"/>
  <c r="K378" i="5"/>
  <c r="N378" i="5"/>
  <c r="O378" i="5"/>
  <c r="Q378" i="5"/>
  <c r="R378" i="5"/>
  <c r="S378" i="5"/>
  <c r="M379" i="5"/>
  <c r="L379" i="5"/>
  <c r="H379" i="5"/>
  <c r="I379" i="5"/>
  <c r="F379" i="5"/>
  <c r="G379" i="5"/>
  <c r="D379" i="5"/>
  <c r="J379" i="5"/>
  <c r="K379" i="5"/>
  <c r="N379" i="5"/>
  <c r="O379" i="5"/>
  <c r="Q379" i="5"/>
  <c r="R379" i="5"/>
  <c r="S379" i="5"/>
  <c r="M380" i="5"/>
  <c r="L380" i="5"/>
  <c r="H380" i="5"/>
  <c r="I380" i="5"/>
  <c r="F380" i="5"/>
  <c r="G380" i="5"/>
  <c r="D380" i="5"/>
  <c r="J380" i="5"/>
  <c r="K380" i="5"/>
  <c r="N380" i="5"/>
  <c r="O380" i="5"/>
  <c r="Q380" i="5"/>
  <c r="R380" i="5"/>
  <c r="S380" i="5"/>
  <c r="M381" i="5"/>
  <c r="L381" i="5"/>
  <c r="H381" i="5"/>
  <c r="I381" i="5"/>
  <c r="F381" i="5"/>
  <c r="G381" i="5"/>
  <c r="D381" i="5"/>
  <c r="J381" i="5"/>
  <c r="K381" i="5"/>
  <c r="N381" i="5"/>
  <c r="O381" i="5"/>
  <c r="Q381" i="5"/>
  <c r="R381" i="5"/>
  <c r="S381" i="5"/>
  <c r="M382" i="5"/>
  <c r="L382" i="5"/>
  <c r="H382" i="5"/>
  <c r="I382" i="5"/>
  <c r="F382" i="5"/>
  <c r="G382" i="5"/>
  <c r="D382" i="5"/>
  <c r="J382" i="5"/>
  <c r="K382" i="5"/>
  <c r="N382" i="5"/>
  <c r="O382" i="5"/>
  <c r="Q382" i="5"/>
  <c r="R382" i="5"/>
  <c r="S382" i="5"/>
  <c r="M383" i="5"/>
  <c r="L383" i="5"/>
  <c r="H383" i="5"/>
  <c r="I383" i="5"/>
  <c r="F383" i="5"/>
  <c r="G383" i="5"/>
  <c r="D383" i="5"/>
  <c r="J383" i="5"/>
  <c r="K383" i="5"/>
  <c r="N383" i="5"/>
  <c r="O383" i="5"/>
  <c r="Q383" i="5"/>
  <c r="R383" i="5"/>
  <c r="S383" i="5"/>
  <c r="M384" i="5"/>
  <c r="L384" i="5"/>
  <c r="H384" i="5"/>
  <c r="I384" i="5"/>
  <c r="F384" i="5"/>
  <c r="G384" i="5"/>
  <c r="D384" i="5"/>
  <c r="J384" i="5"/>
  <c r="K384" i="5"/>
  <c r="N384" i="5"/>
  <c r="O384" i="5"/>
  <c r="Q384" i="5"/>
  <c r="R384" i="5"/>
  <c r="S384" i="5"/>
  <c r="M385" i="5"/>
  <c r="L385" i="5"/>
  <c r="H385" i="5"/>
  <c r="I385" i="5"/>
  <c r="F385" i="5"/>
  <c r="G385" i="5"/>
  <c r="D385" i="5"/>
  <c r="J385" i="5"/>
  <c r="K385" i="5"/>
  <c r="N385" i="5"/>
  <c r="O385" i="5"/>
  <c r="Q385" i="5"/>
  <c r="R385" i="5"/>
  <c r="S385" i="5"/>
  <c r="M386" i="5"/>
  <c r="L386" i="5"/>
  <c r="H386" i="5"/>
  <c r="I386" i="5"/>
  <c r="F386" i="5"/>
  <c r="G386" i="5"/>
  <c r="D386" i="5"/>
  <c r="J386" i="5"/>
  <c r="K386" i="5"/>
  <c r="N386" i="5"/>
  <c r="O386" i="5"/>
  <c r="Q386" i="5"/>
  <c r="R386" i="5"/>
  <c r="S386" i="5"/>
  <c r="M387" i="5"/>
  <c r="L387" i="5"/>
  <c r="H387" i="5"/>
  <c r="I387" i="5"/>
  <c r="F387" i="5"/>
  <c r="G387" i="5"/>
  <c r="D387" i="5"/>
  <c r="J387" i="5"/>
  <c r="K387" i="5"/>
  <c r="N387" i="5"/>
  <c r="O387" i="5"/>
  <c r="Q387" i="5"/>
  <c r="R387" i="5"/>
  <c r="S387" i="5"/>
  <c r="M388" i="5"/>
  <c r="L388" i="5"/>
  <c r="H388" i="5"/>
  <c r="I388" i="5"/>
  <c r="F388" i="5"/>
  <c r="G388" i="5"/>
  <c r="D388" i="5"/>
  <c r="J388" i="5"/>
  <c r="K388" i="5"/>
  <c r="N388" i="5"/>
  <c r="O388" i="5"/>
  <c r="Q388" i="5"/>
  <c r="R388" i="5"/>
  <c r="S388" i="5"/>
  <c r="M389" i="5"/>
  <c r="L389" i="5"/>
  <c r="H389" i="5"/>
  <c r="I389" i="5"/>
  <c r="F389" i="5"/>
  <c r="G389" i="5"/>
  <c r="D389" i="5"/>
  <c r="J389" i="5"/>
  <c r="K389" i="5"/>
  <c r="N389" i="5"/>
  <c r="O389" i="5"/>
  <c r="Q389" i="5"/>
  <c r="R389" i="5"/>
  <c r="S389" i="5"/>
  <c r="M390" i="5"/>
  <c r="L390" i="5"/>
  <c r="H390" i="5"/>
  <c r="I390" i="5"/>
  <c r="F390" i="5"/>
  <c r="G390" i="5"/>
  <c r="D390" i="5"/>
  <c r="J390" i="5"/>
  <c r="K390" i="5"/>
  <c r="N390" i="5"/>
  <c r="O390" i="5"/>
  <c r="Q390" i="5"/>
  <c r="R390" i="5"/>
  <c r="S390" i="5"/>
  <c r="M391" i="5"/>
  <c r="L391" i="5"/>
  <c r="H391" i="5"/>
  <c r="I391" i="5"/>
  <c r="F391" i="5"/>
  <c r="G391" i="5"/>
  <c r="D391" i="5"/>
  <c r="J391" i="5"/>
  <c r="K391" i="5"/>
  <c r="N391" i="5"/>
  <c r="O391" i="5"/>
  <c r="Q391" i="5"/>
  <c r="R391" i="5"/>
  <c r="S391" i="5"/>
  <c r="M392" i="5"/>
  <c r="L392" i="5"/>
  <c r="H392" i="5"/>
  <c r="I392" i="5"/>
  <c r="F392" i="5"/>
  <c r="G392" i="5"/>
  <c r="D392" i="5"/>
  <c r="J392" i="5"/>
  <c r="K392" i="5"/>
  <c r="N392" i="5"/>
  <c r="O392" i="5"/>
  <c r="Q392" i="5"/>
  <c r="R392" i="5"/>
  <c r="S392" i="5"/>
  <c r="M393" i="5"/>
  <c r="L393" i="5"/>
  <c r="H393" i="5"/>
  <c r="I393" i="5"/>
  <c r="F393" i="5"/>
  <c r="G393" i="5"/>
  <c r="D393" i="5"/>
  <c r="J393" i="5"/>
  <c r="K393" i="5"/>
  <c r="N393" i="5"/>
  <c r="O393" i="5"/>
  <c r="Q393" i="5"/>
  <c r="R393" i="5"/>
  <c r="S393" i="5"/>
  <c r="M394" i="5"/>
  <c r="L394" i="5"/>
  <c r="H394" i="5"/>
  <c r="I394" i="5"/>
  <c r="F394" i="5"/>
  <c r="G394" i="5"/>
  <c r="D394" i="5"/>
  <c r="J394" i="5"/>
  <c r="K394" i="5"/>
  <c r="N394" i="5"/>
  <c r="O394" i="5"/>
  <c r="Q394" i="5"/>
  <c r="R394" i="5"/>
  <c r="S394" i="5"/>
  <c r="M395" i="5"/>
  <c r="L395" i="5"/>
  <c r="H395" i="5"/>
  <c r="I395" i="5"/>
  <c r="F395" i="5"/>
  <c r="G395" i="5"/>
  <c r="D395" i="5"/>
  <c r="J395" i="5"/>
  <c r="K395" i="5"/>
  <c r="N395" i="5"/>
  <c r="O395" i="5"/>
  <c r="Q395" i="5"/>
  <c r="R395" i="5"/>
  <c r="S395" i="5"/>
  <c r="M396" i="5"/>
  <c r="L396" i="5"/>
  <c r="H396" i="5"/>
  <c r="I396" i="5"/>
  <c r="F396" i="5"/>
  <c r="G396" i="5"/>
  <c r="D396" i="5"/>
  <c r="J396" i="5"/>
  <c r="K396" i="5"/>
  <c r="N396" i="5"/>
  <c r="O396" i="5"/>
  <c r="Q396" i="5"/>
  <c r="R396" i="5"/>
  <c r="S396" i="5"/>
  <c r="M397" i="5"/>
  <c r="L397" i="5"/>
  <c r="H397" i="5"/>
  <c r="I397" i="5"/>
  <c r="F397" i="5"/>
  <c r="G397" i="5"/>
  <c r="D397" i="5"/>
  <c r="J397" i="5"/>
  <c r="K397" i="5"/>
  <c r="N397" i="5"/>
  <c r="O397" i="5"/>
  <c r="Q397" i="5"/>
  <c r="R397" i="5"/>
  <c r="S397" i="5"/>
  <c r="M398" i="5"/>
  <c r="L398" i="5"/>
  <c r="H398" i="5"/>
  <c r="I398" i="5"/>
  <c r="F398" i="5"/>
  <c r="G398" i="5"/>
  <c r="D398" i="5"/>
  <c r="J398" i="5"/>
  <c r="K398" i="5"/>
  <c r="N398" i="5"/>
  <c r="O398" i="5"/>
  <c r="Q398" i="5"/>
  <c r="R398" i="5"/>
  <c r="S398" i="5"/>
  <c r="M399" i="5"/>
  <c r="L399" i="5"/>
  <c r="H399" i="5"/>
  <c r="I399" i="5"/>
  <c r="F399" i="5"/>
  <c r="G399" i="5"/>
  <c r="D399" i="5"/>
  <c r="J399" i="5"/>
  <c r="K399" i="5"/>
  <c r="N399" i="5"/>
  <c r="O399" i="5"/>
  <c r="Q399" i="5"/>
  <c r="R399" i="5"/>
  <c r="S399" i="5"/>
  <c r="M400" i="5"/>
  <c r="L400" i="5"/>
  <c r="H400" i="5"/>
  <c r="I400" i="5"/>
  <c r="F400" i="5"/>
  <c r="G400" i="5"/>
  <c r="D400" i="5"/>
  <c r="J400" i="5"/>
  <c r="K400" i="5"/>
  <c r="N400" i="5"/>
  <c r="O400" i="5"/>
  <c r="Q400" i="5"/>
  <c r="R400" i="5"/>
  <c r="S400" i="5"/>
  <c r="M401" i="5"/>
  <c r="L401" i="5"/>
  <c r="H401" i="5"/>
  <c r="I401" i="5"/>
  <c r="F401" i="5"/>
  <c r="G401" i="5"/>
  <c r="D401" i="5"/>
  <c r="J401" i="5"/>
  <c r="K401" i="5"/>
  <c r="N401" i="5"/>
  <c r="O401" i="5"/>
  <c r="Q401" i="5"/>
  <c r="R401" i="5"/>
  <c r="S401" i="5"/>
  <c r="M402" i="5"/>
  <c r="L402" i="5"/>
  <c r="H402" i="5"/>
  <c r="I402" i="5"/>
  <c r="F402" i="5"/>
  <c r="G402" i="5"/>
  <c r="D402" i="5"/>
  <c r="J402" i="5"/>
  <c r="K402" i="5"/>
  <c r="N402" i="5"/>
  <c r="O402" i="5"/>
  <c r="Q402" i="5"/>
  <c r="R402" i="5"/>
  <c r="S402" i="5"/>
  <c r="M403" i="5"/>
  <c r="L403" i="5"/>
  <c r="H403" i="5"/>
  <c r="I403" i="5"/>
  <c r="F403" i="5"/>
  <c r="G403" i="5"/>
  <c r="D403" i="5"/>
  <c r="J403" i="5"/>
  <c r="K403" i="5"/>
  <c r="N403" i="5"/>
  <c r="O403" i="5"/>
  <c r="Q403" i="5"/>
  <c r="R403" i="5"/>
  <c r="S403" i="5"/>
  <c r="M404" i="5"/>
  <c r="L404" i="5"/>
  <c r="H404" i="5"/>
  <c r="I404" i="5"/>
  <c r="F404" i="5"/>
  <c r="G404" i="5"/>
  <c r="D404" i="5"/>
  <c r="J404" i="5"/>
  <c r="K404" i="5"/>
  <c r="N404" i="5"/>
  <c r="O404" i="5"/>
  <c r="Q404" i="5"/>
  <c r="R404" i="5"/>
  <c r="S404" i="5"/>
  <c r="M405" i="5"/>
  <c r="L405" i="5"/>
  <c r="H405" i="5"/>
  <c r="I405" i="5"/>
  <c r="F405" i="5"/>
  <c r="G405" i="5"/>
  <c r="D405" i="5"/>
  <c r="J405" i="5"/>
  <c r="K405" i="5"/>
  <c r="N405" i="5"/>
  <c r="O405" i="5"/>
  <c r="Q405" i="5"/>
  <c r="R405" i="5"/>
  <c r="S405" i="5"/>
  <c r="M406" i="5"/>
  <c r="L406" i="5"/>
  <c r="H406" i="5"/>
  <c r="I406" i="5"/>
  <c r="F406" i="5"/>
  <c r="G406" i="5"/>
  <c r="D406" i="5"/>
  <c r="J406" i="5"/>
  <c r="K406" i="5"/>
  <c r="N406" i="5"/>
  <c r="O406" i="5"/>
  <c r="Q406" i="5"/>
  <c r="R406" i="5"/>
  <c r="S406" i="5"/>
  <c r="M407" i="5"/>
  <c r="L407" i="5"/>
  <c r="H407" i="5"/>
  <c r="I407" i="5"/>
  <c r="F407" i="5"/>
  <c r="G407" i="5"/>
  <c r="D407" i="5"/>
  <c r="J407" i="5"/>
  <c r="K407" i="5"/>
  <c r="N407" i="5"/>
  <c r="O407" i="5"/>
  <c r="Q407" i="5"/>
  <c r="R407" i="5"/>
  <c r="S407" i="5"/>
  <c r="M408" i="5"/>
  <c r="L408" i="5"/>
  <c r="H408" i="5"/>
  <c r="I408" i="5"/>
  <c r="F408" i="5"/>
  <c r="G408" i="5"/>
  <c r="D408" i="5"/>
  <c r="J408" i="5"/>
  <c r="K408" i="5"/>
  <c r="N408" i="5"/>
  <c r="O408" i="5"/>
  <c r="Q408" i="5"/>
  <c r="R408" i="5"/>
  <c r="S408" i="5"/>
  <c r="M409" i="5"/>
  <c r="L409" i="5"/>
  <c r="H409" i="5"/>
  <c r="I409" i="5"/>
  <c r="F409" i="5"/>
  <c r="G409" i="5"/>
  <c r="D409" i="5"/>
  <c r="J409" i="5"/>
  <c r="K409" i="5"/>
  <c r="N409" i="5"/>
  <c r="O409" i="5"/>
  <c r="Q409" i="5"/>
  <c r="R409" i="5"/>
  <c r="S409" i="5"/>
  <c r="M410" i="5"/>
  <c r="L410" i="5"/>
  <c r="H410" i="5"/>
  <c r="I410" i="5"/>
  <c r="F410" i="5"/>
  <c r="G410" i="5"/>
  <c r="D410" i="5"/>
  <c r="J410" i="5"/>
  <c r="K410" i="5"/>
  <c r="N410" i="5"/>
  <c r="O410" i="5"/>
  <c r="Q410" i="5"/>
  <c r="R410" i="5"/>
  <c r="S410" i="5"/>
  <c r="M411" i="5"/>
  <c r="L411" i="5"/>
  <c r="H411" i="5"/>
  <c r="I411" i="5"/>
  <c r="F411" i="5"/>
  <c r="G411" i="5"/>
  <c r="D411" i="5"/>
  <c r="J411" i="5"/>
  <c r="K411" i="5"/>
  <c r="N411" i="5"/>
  <c r="O411" i="5"/>
  <c r="Q411" i="5"/>
  <c r="R411" i="5"/>
  <c r="S411" i="5"/>
  <c r="M412" i="5"/>
  <c r="L412" i="5"/>
  <c r="H412" i="5"/>
  <c r="I412" i="5"/>
  <c r="F412" i="5"/>
  <c r="G412" i="5"/>
  <c r="D412" i="5"/>
  <c r="J412" i="5"/>
  <c r="K412" i="5"/>
  <c r="N412" i="5"/>
  <c r="O412" i="5"/>
  <c r="Q412" i="5"/>
  <c r="R412" i="5"/>
  <c r="S412" i="5"/>
  <c r="M413" i="5"/>
  <c r="L413" i="5"/>
  <c r="H413" i="5"/>
  <c r="I413" i="5"/>
  <c r="F413" i="5"/>
  <c r="G413" i="5"/>
  <c r="D413" i="5"/>
  <c r="J413" i="5"/>
  <c r="K413" i="5"/>
  <c r="N413" i="5"/>
  <c r="O413" i="5"/>
  <c r="Q413" i="5"/>
  <c r="R413" i="5"/>
  <c r="S413" i="5"/>
  <c r="M414" i="5"/>
  <c r="L414" i="5"/>
  <c r="H414" i="5"/>
  <c r="I414" i="5"/>
  <c r="F414" i="5"/>
  <c r="G414" i="5"/>
  <c r="D414" i="5"/>
  <c r="J414" i="5"/>
  <c r="K414" i="5"/>
  <c r="N414" i="5"/>
  <c r="O414" i="5"/>
  <c r="Q414" i="5"/>
  <c r="R414" i="5"/>
  <c r="S414" i="5"/>
  <c r="M415" i="5"/>
  <c r="L415" i="5"/>
  <c r="H415" i="5"/>
  <c r="I415" i="5"/>
  <c r="F415" i="5"/>
  <c r="G415" i="5"/>
  <c r="D415" i="5"/>
  <c r="J415" i="5"/>
  <c r="K415" i="5"/>
  <c r="N415" i="5"/>
  <c r="O415" i="5"/>
  <c r="Q415" i="5"/>
  <c r="R415" i="5"/>
  <c r="S415" i="5"/>
  <c r="M416" i="5"/>
  <c r="L416" i="5"/>
  <c r="H416" i="5"/>
  <c r="I416" i="5"/>
  <c r="F416" i="5"/>
  <c r="G416" i="5"/>
  <c r="D416" i="5"/>
  <c r="J416" i="5"/>
  <c r="K416" i="5"/>
  <c r="N416" i="5"/>
  <c r="O416" i="5"/>
  <c r="Q416" i="5"/>
  <c r="R416" i="5"/>
  <c r="S416" i="5"/>
  <c r="M417" i="5"/>
  <c r="L417" i="5"/>
  <c r="H417" i="5"/>
  <c r="I417" i="5"/>
  <c r="F417" i="5"/>
  <c r="G417" i="5"/>
  <c r="D417" i="5"/>
  <c r="J417" i="5"/>
  <c r="K417" i="5"/>
  <c r="N417" i="5"/>
  <c r="O417" i="5"/>
  <c r="Q417" i="5"/>
  <c r="R417" i="5"/>
  <c r="S417" i="5"/>
  <c r="M418" i="5"/>
  <c r="L418" i="5"/>
  <c r="H418" i="5"/>
  <c r="I418" i="5"/>
  <c r="F418" i="5"/>
  <c r="G418" i="5"/>
  <c r="D418" i="5"/>
  <c r="J418" i="5"/>
  <c r="K418" i="5"/>
  <c r="N418" i="5"/>
  <c r="O418" i="5"/>
  <c r="Q418" i="5"/>
  <c r="R418" i="5"/>
  <c r="S418" i="5"/>
  <c r="M419" i="5"/>
  <c r="L419" i="5"/>
  <c r="H419" i="5"/>
  <c r="I419" i="5"/>
  <c r="F419" i="5"/>
  <c r="G419" i="5"/>
  <c r="D419" i="5"/>
  <c r="J419" i="5"/>
  <c r="K419" i="5"/>
  <c r="N419" i="5"/>
  <c r="O419" i="5"/>
  <c r="Q419" i="5"/>
  <c r="R419" i="5"/>
  <c r="S419" i="5"/>
  <c r="M420" i="5"/>
  <c r="L420" i="5"/>
  <c r="H420" i="5"/>
  <c r="I420" i="5"/>
  <c r="F420" i="5"/>
  <c r="G420" i="5"/>
  <c r="D420" i="5"/>
  <c r="J420" i="5"/>
  <c r="K420" i="5"/>
  <c r="N420" i="5"/>
  <c r="O420" i="5"/>
  <c r="Q420" i="5"/>
  <c r="R420" i="5"/>
  <c r="S420" i="5"/>
  <c r="M421" i="5"/>
  <c r="L421" i="5"/>
  <c r="H421" i="5"/>
  <c r="I421" i="5"/>
  <c r="F421" i="5"/>
  <c r="G421" i="5"/>
  <c r="D421" i="5"/>
  <c r="J421" i="5"/>
  <c r="K421" i="5"/>
  <c r="N421" i="5"/>
  <c r="O421" i="5"/>
  <c r="Q421" i="5"/>
  <c r="R421" i="5"/>
  <c r="S421" i="5"/>
  <c r="M422" i="5"/>
  <c r="L422" i="5"/>
  <c r="H422" i="5"/>
  <c r="I422" i="5"/>
  <c r="F422" i="5"/>
  <c r="G422" i="5"/>
  <c r="D422" i="5"/>
  <c r="J422" i="5"/>
  <c r="K422" i="5"/>
  <c r="N422" i="5"/>
  <c r="O422" i="5"/>
  <c r="Q422" i="5"/>
  <c r="R422" i="5"/>
  <c r="S422" i="5"/>
  <c r="M423" i="5"/>
  <c r="L423" i="5"/>
  <c r="H423" i="5"/>
  <c r="I423" i="5"/>
  <c r="F423" i="5"/>
  <c r="G423" i="5"/>
  <c r="D423" i="5"/>
  <c r="J423" i="5"/>
  <c r="K423" i="5"/>
  <c r="N423" i="5"/>
  <c r="O423" i="5"/>
  <c r="Q423" i="5"/>
  <c r="R423" i="5"/>
  <c r="S423" i="5"/>
  <c r="M424" i="5"/>
  <c r="L424" i="5"/>
  <c r="H424" i="5"/>
  <c r="I424" i="5"/>
  <c r="F424" i="5"/>
  <c r="G424" i="5"/>
  <c r="D424" i="5"/>
  <c r="J424" i="5"/>
  <c r="K424" i="5"/>
  <c r="N424" i="5"/>
  <c r="O424" i="5"/>
  <c r="Q424" i="5"/>
  <c r="R424" i="5"/>
  <c r="S424" i="5"/>
  <c r="M425" i="5"/>
  <c r="L425" i="5"/>
  <c r="H425" i="5"/>
  <c r="I425" i="5"/>
  <c r="F425" i="5"/>
  <c r="G425" i="5"/>
  <c r="D425" i="5"/>
  <c r="J425" i="5"/>
  <c r="K425" i="5"/>
  <c r="N425" i="5"/>
  <c r="O425" i="5"/>
  <c r="Q425" i="5"/>
  <c r="R425" i="5"/>
  <c r="S425" i="5"/>
  <c r="M426" i="5"/>
  <c r="L426" i="5"/>
  <c r="H426" i="5"/>
  <c r="I426" i="5"/>
  <c r="F426" i="5"/>
  <c r="G426" i="5"/>
  <c r="D426" i="5"/>
  <c r="J426" i="5"/>
  <c r="K426" i="5"/>
  <c r="N426" i="5"/>
  <c r="O426" i="5"/>
  <c r="Q426" i="5"/>
  <c r="R426" i="5"/>
  <c r="S426" i="5"/>
  <c r="M427" i="5"/>
  <c r="L427" i="5"/>
  <c r="H427" i="5"/>
  <c r="I427" i="5"/>
  <c r="F427" i="5"/>
  <c r="G427" i="5"/>
  <c r="D427" i="5"/>
  <c r="J427" i="5"/>
  <c r="K427" i="5"/>
  <c r="N427" i="5"/>
  <c r="O427" i="5"/>
  <c r="Q427" i="5"/>
  <c r="R427" i="5"/>
  <c r="S427" i="5"/>
  <c r="M428" i="5"/>
  <c r="L428" i="5"/>
  <c r="H428" i="5"/>
  <c r="I428" i="5"/>
  <c r="F428" i="5"/>
  <c r="G428" i="5"/>
  <c r="D428" i="5"/>
  <c r="J428" i="5"/>
  <c r="K428" i="5"/>
  <c r="N428" i="5"/>
  <c r="O428" i="5"/>
  <c r="Q428" i="5"/>
  <c r="R428" i="5"/>
  <c r="S428" i="5"/>
  <c r="M429" i="5"/>
  <c r="L429" i="5"/>
  <c r="H429" i="5"/>
  <c r="I429" i="5"/>
  <c r="F429" i="5"/>
  <c r="G429" i="5"/>
  <c r="D429" i="5"/>
  <c r="J429" i="5"/>
  <c r="K429" i="5"/>
  <c r="N429" i="5"/>
  <c r="O429" i="5"/>
  <c r="Q429" i="5"/>
  <c r="R429" i="5"/>
  <c r="S429" i="5"/>
  <c r="M430" i="5"/>
  <c r="L430" i="5"/>
  <c r="H430" i="5"/>
  <c r="I430" i="5"/>
  <c r="F430" i="5"/>
  <c r="G430" i="5"/>
  <c r="D430" i="5"/>
  <c r="J430" i="5"/>
  <c r="K430" i="5"/>
  <c r="N430" i="5"/>
  <c r="O430" i="5"/>
  <c r="Q430" i="5"/>
  <c r="R430" i="5"/>
  <c r="S430" i="5"/>
  <c r="M431" i="5"/>
  <c r="L431" i="5"/>
  <c r="H431" i="5"/>
  <c r="I431" i="5"/>
  <c r="F431" i="5"/>
  <c r="G431" i="5"/>
  <c r="D431" i="5"/>
  <c r="J431" i="5"/>
  <c r="K431" i="5"/>
  <c r="N431" i="5"/>
  <c r="O431" i="5"/>
  <c r="Q431" i="5"/>
  <c r="R431" i="5"/>
  <c r="S431" i="5"/>
  <c r="M432" i="5"/>
  <c r="L432" i="5"/>
  <c r="H432" i="5"/>
  <c r="I432" i="5"/>
  <c r="F432" i="5"/>
  <c r="G432" i="5"/>
  <c r="D432" i="5"/>
  <c r="J432" i="5"/>
  <c r="K432" i="5"/>
  <c r="N432" i="5"/>
  <c r="O432" i="5"/>
  <c r="Q432" i="5"/>
  <c r="R432" i="5"/>
  <c r="S432" i="5"/>
  <c r="M433" i="5"/>
  <c r="L433" i="5"/>
  <c r="H433" i="5"/>
  <c r="I433" i="5"/>
  <c r="F433" i="5"/>
  <c r="G433" i="5"/>
  <c r="D433" i="5"/>
  <c r="J433" i="5"/>
  <c r="K433" i="5"/>
  <c r="N433" i="5"/>
  <c r="O433" i="5"/>
  <c r="Q433" i="5"/>
  <c r="R433" i="5"/>
  <c r="S433" i="5"/>
  <c r="M434" i="5"/>
  <c r="L434" i="5"/>
  <c r="H434" i="5"/>
  <c r="I434" i="5"/>
  <c r="F434" i="5"/>
  <c r="G434" i="5"/>
  <c r="D434" i="5"/>
  <c r="J434" i="5"/>
  <c r="K434" i="5"/>
  <c r="N434" i="5"/>
  <c r="O434" i="5"/>
  <c r="Q434" i="5"/>
  <c r="R434" i="5"/>
  <c r="S434" i="5"/>
  <c r="M435" i="5"/>
  <c r="L435" i="5"/>
  <c r="H435" i="5"/>
  <c r="I435" i="5"/>
  <c r="F435" i="5"/>
  <c r="G435" i="5"/>
  <c r="D435" i="5"/>
  <c r="J435" i="5"/>
  <c r="K435" i="5"/>
  <c r="N435" i="5"/>
  <c r="O435" i="5"/>
  <c r="Q435" i="5"/>
  <c r="R435" i="5"/>
  <c r="S435" i="5"/>
  <c r="M436" i="5"/>
  <c r="L436" i="5"/>
  <c r="H436" i="5"/>
  <c r="I436" i="5"/>
  <c r="F436" i="5"/>
  <c r="G436" i="5"/>
  <c r="D436" i="5"/>
  <c r="J436" i="5"/>
  <c r="K436" i="5"/>
  <c r="N436" i="5"/>
  <c r="O436" i="5"/>
  <c r="Q436" i="5"/>
  <c r="R436" i="5"/>
  <c r="S436" i="5"/>
  <c r="M437" i="5"/>
  <c r="L437" i="5"/>
  <c r="H437" i="5"/>
  <c r="I437" i="5"/>
  <c r="F437" i="5"/>
  <c r="G437" i="5"/>
  <c r="D437" i="5"/>
  <c r="J437" i="5"/>
  <c r="K437" i="5"/>
  <c r="N437" i="5"/>
  <c r="O437" i="5"/>
  <c r="Q437" i="5"/>
  <c r="R437" i="5"/>
  <c r="S437" i="5"/>
  <c r="M438" i="5"/>
  <c r="L438" i="5"/>
  <c r="H438" i="5"/>
  <c r="I438" i="5"/>
  <c r="F438" i="5"/>
  <c r="G438" i="5"/>
  <c r="D438" i="5"/>
  <c r="J438" i="5"/>
  <c r="K438" i="5"/>
  <c r="N438" i="5"/>
  <c r="O438" i="5"/>
  <c r="Q438" i="5"/>
  <c r="R438" i="5"/>
  <c r="S438" i="5"/>
  <c r="M439" i="5"/>
  <c r="L439" i="5"/>
  <c r="H439" i="5"/>
  <c r="I439" i="5"/>
  <c r="F439" i="5"/>
  <c r="G439" i="5"/>
  <c r="D439" i="5"/>
  <c r="J439" i="5"/>
  <c r="K439" i="5"/>
  <c r="N439" i="5"/>
  <c r="O439" i="5"/>
  <c r="Q439" i="5"/>
  <c r="R439" i="5"/>
  <c r="S439" i="5"/>
  <c r="M440" i="5"/>
  <c r="L440" i="5"/>
  <c r="H440" i="5"/>
  <c r="I440" i="5"/>
  <c r="F440" i="5"/>
  <c r="G440" i="5"/>
  <c r="D440" i="5"/>
  <c r="J440" i="5"/>
  <c r="K440" i="5"/>
  <c r="N440" i="5"/>
  <c r="O440" i="5"/>
  <c r="Q440" i="5"/>
  <c r="R440" i="5"/>
  <c r="S440" i="5"/>
  <c r="M441" i="5"/>
  <c r="L441" i="5"/>
  <c r="H441" i="5"/>
  <c r="I441" i="5"/>
  <c r="F441" i="5"/>
  <c r="G441" i="5"/>
  <c r="D441" i="5"/>
  <c r="J441" i="5"/>
  <c r="K441" i="5"/>
  <c r="N441" i="5"/>
  <c r="O441" i="5"/>
  <c r="Q441" i="5"/>
  <c r="R441" i="5"/>
  <c r="S441" i="5"/>
  <c r="M442" i="5"/>
  <c r="L442" i="5"/>
  <c r="H442" i="5"/>
  <c r="I442" i="5"/>
  <c r="F442" i="5"/>
  <c r="G442" i="5"/>
  <c r="D442" i="5"/>
  <c r="J442" i="5"/>
  <c r="K442" i="5"/>
  <c r="N442" i="5"/>
  <c r="O442" i="5"/>
  <c r="Q442" i="5"/>
  <c r="R442" i="5"/>
  <c r="S442" i="5"/>
  <c r="M443" i="5"/>
  <c r="L443" i="5"/>
  <c r="H443" i="5"/>
  <c r="I443" i="5"/>
  <c r="F443" i="5"/>
  <c r="G443" i="5"/>
  <c r="D443" i="5"/>
  <c r="J443" i="5"/>
  <c r="K443" i="5"/>
  <c r="N443" i="5"/>
  <c r="O443" i="5"/>
  <c r="Q443" i="5"/>
  <c r="R443" i="5"/>
  <c r="S443" i="5"/>
  <c r="F426" i="1"/>
  <c r="O2" i="5"/>
  <c r="M443" i="12" l="1"/>
  <c r="K443" i="12"/>
  <c r="D442" i="12"/>
  <c r="H442" i="12"/>
  <c r="M441" i="12"/>
  <c r="F441" i="12"/>
  <c r="D440" i="12"/>
  <c r="R439" i="12"/>
  <c r="M439" i="12"/>
  <c r="K439" i="12"/>
  <c r="D438" i="12"/>
  <c r="R437" i="12"/>
  <c r="F437" i="12"/>
  <c r="O436" i="12"/>
  <c r="D436" i="12"/>
  <c r="R435" i="12"/>
  <c r="F435" i="12"/>
  <c r="O434" i="12"/>
  <c r="H434" i="12"/>
  <c r="M433" i="12"/>
  <c r="K433" i="12"/>
  <c r="D432" i="12"/>
  <c r="R431" i="12"/>
  <c r="M431" i="12"/>
  <c r="O430" i="12"/>
  <c r="H430" i="12"/>
  <c r="M429" i="12"/>
  <c r="F429" i="12"/>
  <c r="O428" i="12"/>
  <c r="R427" i="12"/>
  <c r="F427" i="12"/>
  <c r="O426" i="12"/>
  <c r="H426" i="12"/>
  <c r="M425" i="12"/>
  <c r="K425" i="12"/>
  <c r="D424" i="12"/>
  <c r="R423" i="12"/>
  <c r="F423" i="12"/>
  <c r="O422" i="12"/>
  <c r="H422" i="12"/>
  <c r="M421" i="12"/>
  <c r="K421" i="12"/>
  <c r="D420" i="12"/>
  <c r="H420" i="12"/>
  <c r="M419" i="12"/>
  <c r="O418" i="12"/>
  <c r="H418" i="12"/>
  <c r="M417" i="12"/>
  <c r="F417" i="12"/>
  <c r="O416" i="12"/>
  <c r="H416" i="12"/>
  <c r="F415" i="12"/>
  <c r="O414" i="12"/>
  <c r="H414" i="12"/>
  <c r="M413" i="12"/>
  <c r="F413" i="12"/>
  <c r="O412" i="12"/>
  <c r="H412" i="12"/>
  <c r="M411" i="12"/>
  <c r="K411" i="12"/>
  <c r="D410" i="12"/>
  <c r="R409" i="12"/>
  <c r="K409" i="12"/>
  <c r="D408" i="12"/>
  <c r="H408" i="12"/>
  <c r="M407" i="12"/>
  <c r="K407" i="12"/>
  <c r="D406" i="12"/>
  <c r="M405" i="12"/>
  <c r="K405" i="12"/>
  <c r="D404" i="12"/>
  <c r="H404" i="12"/>
  <c r="M403" i="12"/>
  <c r="K403" i="12"/>
  <c r="D402" i="12"/>
  <c r="R401" i="12"/>
  <c r="K401" i="12"/>
  <c r="D400" i="12"/>
  <c r="R399" i="12"/>
  <c r="F399" i="12"/>
  <c r="O398" i="12"/>
  <c r="H398" i="12"/>
  <c r="M397" i="12"/>
  <c r="K397" i="12"/>
  <c r="D396" i="12"/>
  <c r="R395" i="12"/>
  <c r="F395" i="12"/>
  <c r="O394" i="12"/>
  <c r="H394" i="12"/>
  <c r="F393" i="12"/>
  <c r="O392" i="12"/>
  <c r="H392" i="12"/>
  <c r="F391" i="12"/>
  <c r="O390" i="12"/>
  <c r="H390" i="12"/>
  <c r="M389" i="12"/>
  <c r="K389" i="12"/>
  <c r="D388" i="12"/>
  <c r="R387" i="12"/>
  <c r="F387" i="12"/>
  <c r="O386" i="12"/>
  <c r="H386" i="12"/>
  <c r="M385" i="12"/>
  <c r="F385" i="12"/>
  <c r="O384" i="12"/>
  <c r="H384" i="12"/>
  <c r="F383" i="12"/>
  <c r="O382" i="12"/>
  <c r="H382" i="12"/>
  <c r="M381" i="12"/>
  <c r="F381" i="12"/>
  <c r="O380" i="12"/>
  <c r="H380" i="12"/>
  <c r="M379" i="12"/>
  <c r="K379" i="12"/>
  <c r="O378" i="12"/>
  <c r="H378" i="12"/>
  <c r="M377" i="12"/>
  <c r="K377" i="12"/>
  <c r="D376" i="12"/>
  <c r="R375" i="12"/>
  <c r="F375" i="12"/>
  <c r="O374" i="12"/>
  <c r="H374" i="12"/>
  <c r="M373" i="12"/>
  <c r="F373" i="12"/>
  <c r="O372" i="12"/>
  <c r="D372" i="12"/>
  <c r="R371" i="12"/>
  <c r="F371" i="12"/>
  <c r="O370" i="12"/>
  <c r="H370" i="12"/>
  <c r="K369" i="12"/>
  <c r="D368" i="12"/>
  <c r="R367" i="12"/>
  <c r="F367" i="12"/>
  <c r="O366" i="12"/>
  <c r="D366" i="12"/>
  <c r="R365" i="12"/>
  <c r="F365" i="12"/>
  <c r="O364" i="12"/>
  <c r="H364" i="12"/>
  <c r="M363" i="12"/>
  <c r="K363" i="12"/>
  <c r="D362" i="12"/>
  <c r="H362" i="12"/>
  <c r="M361" i="12"/>
  <c r="K361" i="12"/>
  <c r="D360" i="12"/>
  <c r="R359" i="12"/>
  <c r="F359" i="12"/>
  <c r="O358" i="12"/>
  <c r="H358" i="12"/>
  <c r="M357" i="12"/>
  <c r="F357" i="12"/>
  <c r="D356" i="12"/>
  <c r="R355" i="12"/>
  <c r="F355" i="12"/>
  <c r="O354" i="12"/>
  <c r="H354" i="12"/>
  <c r="M353" i="12"/>
  <c r="K353" i="12"/>
  <c r="D352" i="12"/>
  <c r="M351" i="12"/>
  <c r="K351" i="12"/>
  <c r="H350" i="12"/>
  <c r="M349" i="12"/>
  <c r="K349" i="12"/>
  <c r="H348" i="12"/>
  <c r="M347" i="12"/>
  <c r="K347" i="12"/>
  <c r="O346" i="12"/>
  <c r="H346" i="12"/>
  <c r="R345" i="12"/>
  <c r="F345" i="12"/>
  <c r="O344" i="12"/>
  <c r="H344" i="12"/>
  <c r="M343" i="12"/>
  <c r="F343" i="12"/>
  <c r="O342" i="12"/>
  <c r="H342" i="12"/>
  <c r="M341" i="12"/>
  <c r="K341" i="12"/>
  <c r="O340" i="12"/>
  <c r="H340" i="12"/>
  <c r="R339" i="12"/>
  <c r="M339" i="12"/>
  <c r="K339" i="12"/>
  <c r="D338" i="12"/>
  <c r="R337" i="12"/>
  <c r="F337" i="12"/>
  <c r="O336" i="12"/>
  <c r="H336" i="12"/>
  <c r="M335" i="12"/>
  <c r="K335" i="12"/>
  <c r="D334" i="12"/>
  <c r="H334" i="12"/>
  <c r="M333" i="12"/>
  <c r="K333" i="12"/>
  <c r="D332" i="12"/>
  <c r="M331" i="12"/>
  <c r="K331" i="12"/>
  <c r="O330" i="12"/>
  <c r="H330" i="12"/>
  <c r="M329" i="12"/>
  <c r="K329" i="12"/>
  <c r="D328" i="12"/>
  <c r="R327" i="12"/>
  <c r="F327" i="12"/>
  <c r="O326" i="12"/>
  <c r="D326" i="12"/>
  <c r="R325" i="12"/>
  <c r="F325" i="12"/>
  <c r="O324" i="12"/>
  <c r="H324" i="12"/>
  <c r="M323" i="12"/>
  <c r="K323" i="12"/>
  <c r="D322" i="12"/>
  <c r="R321" i="12"/>
  <c r="F321" i="12"/>
  <c r="O320" i="12"/>
  <c r="H320" i="12"/>
  <c r="M319" i="12"/>
  <c r="K319" i="12"/>
  <c r="D318" i="12"/>
  <c r="R317" i="12"/>
  <c r="F317" i="12"/>
  <c r="O316" i="12"/>
  <c r="H316" i="12"/>
  <c r="M315" i="12"/>
  <c r="K315" i="12"/>
  <c r="O314" i="12"/>
  <c r="H314" i="12"/>
  <c r="M313" i="12"/>
  <c r="K313" i="12"/>
  <c r="D312" i="12"/>
  <c r="H312" i="12"/>
  <c r="M311" i="12"/>
  <c r="K311" i="12"/>
  <c r="H310" i="12"/>
  <c r="M309" i="12"/>
  <c r="K309" i="12"/>
  <c r="D308" i="12"/>
  <c r="R307" i="12"/>
  <c r="F307" i="12"/>
  <c r="O306" i="12"/>
  <c r="H306" i="12"/>
  <c r="M305" i="12"/>
  <c r="K305" i="12"/>
  <c r="D304" i="12"/>
  <c r="R303" i="12"/>
  <c r="F303" i="12"/>
  <c r="O302" i="12"/>
  <c r="H302" i="12"/>
  <c r="M301" i="12"/>
  <c r="F301" i="12"/>
  <c r="O300" i="12"/>
  <c r="H300" i="12"/>
  <c r="F299" i="12"/>
  <c r="O298" i="12"/>
  <c r="D298" i="12"/>
  <c r="H298" i="12"/>
  <c r="M297" i="12"/>
  <c r="K297" i="12"/>
  <c r="D296" i="12"/>
  <c r="R295" i="12"/>
  <c r="F295" i="12"/>
  <c r="O294" i="12"/>
  <c r="H294" i="12"/>
  <c r="M293" i="12"/>
  <c r="K293" i="12"/>
  <c r="D292" i="12"/>
  <c r="R291" i="12"/>
  <c r="F291" i="12"/>
  <c r="D290" i="12"/>
  <c r="R289" i="12"/>
  <c r="K289" i="12"/>
  <c r="D288" i="12"/>
  <c r="R287" i="12"/>
  <c r="K287" i="12"/>
  <c r="D286" i="12"/>
  <c r="R285" i="12"/>
  <c r="F285" i="12"/>
  <c r="H284" i="12"/>
  <c r="M283" i="12"/>
  <c r="K283" i="12"/>
  <c r="O282" i="12"/>
  <c r="H282" i="12"/>
  <c r="M281" i="12"/>
  <c r="K281" i="12"/>
  <c r="D280" i="12"/>
  <c r="R279" i="12"/>
  <c r="F279" i="12"/>
  <c r="O278" i="12"/>
  <c r="H278" i="12"/>
  <c r="M277" i="12"/>
  <c r="K277" i="12"/>
  <c r="D276" i="12"/>
  <c r="M275" i="12"/>
  <c r="K275" i="12"/>
  <c r="D274" i="12"/>
  <c r="R273" i="12"/>
  <c r="F273" i="12"/>
  <c r="O272" i="12"/>
  <c r="H272" i="12"/>
  <c r="M271" i="12"/>
  <c r="K271" i="12"/>
  <c r="O270" i="12"/>
  <c r="H270" i="12"/>
  <c r="M269" i="12"/>
  <c r="K269" i="12"/>
  <c r="D268" i="12"/>
  <c r="R267" i="12"/>
  <c r="F267" i="12"/>
  <c r="O266" i="12"/>
  <c r="H266" i="12"/>
  <c r="M265" i="12"/>
  <c r="K265" i="12"/>
  <c r="D264" i="12"/>
  <c r="M263" i="12"/>
  <c r="K263" i="12"/>
  <c r="D262" i="12"/>
  <c r="R261" i="12"/>
  <c r="F261" i="12"/>
  <c r="K261" i="12"/>
  <c r="D260" i="12"/>
  <c r="R259" i="12"/>
  <c r="F259" i="12"/>
  <c r="O258" i="12"/>
  <c r="H258" i="12"/>
  <c r="M257" i="12"/>
  <c r="F257" i="12"/>
  <c r="O256" i="12"/>
  <c r="H256" i="12"/>
  <c r="M255" i="12"/>
  <c r="K255" i="12"/>
  <c r="H254" i="12"/>
  <c r="M253" i="12"/>
  <c r="K253" i="12"/>
  <c r="D252" i="12"/>
  <c r="R251" i="12"/>
  <c r="F251" i="12"/>
  <c r="O250" i="12"/>
  <c r="H250" i="12"/>
  <c r="M249" i="12"/>
  <c r="F249" i="12"/>
  <c r="O248" i="12"/>
  <c r="H248" i="12"/>
  <c r="M247" i="12"/>
  <c r="K247" i="12"/>
  <c r="D246" i="12"/>
  <c r="R245" i="12"/>
  <c r="F245" i="12"/>
  <c r="O244" i="12"/>
  <c r="H244" i="12"/>
  <c r="M243" i="12"/>
  <c r="K243" i="12"/>
  <c r="O242" i="12"/>
  <c r="H242" i="12"/>
  <c r="M241" i="12"/>
  <c r="F241" i="12"/>
  <c r="O240" i="12"/>
  <c r="H240" i="12"/>
  <c r="M239" i="12"/>
  <c r="K239" i="12"/>
  <c r="D238" i="12"/>
  <c r="H238" i="12"/>
  <c r="M237" i="12"/>
  <c r="F237" i="12"/>
  <c r="O236" i="12"/>
  <c r="H236" i="12"/>
  <c r="M235" i="12"/>
  <c r="K235" i="12"/>
  <c r="D234" i="12"/>
  <c r="H234" i="12"/>
  <c r="M233" i="12"/>
  <c r="K233" i="12"/>
  <c r="D232" i="12"/>
  <c r="R231" i="12"/>
  <c r="K231" i="12"/>
  <c r="O230" i="12"/>
  <c r="H230" i="12"/>
  <c r="R229" i="12"/>
  <c r="F229" i="12"/>
  <c r="O228" i="12"/>
  <c r="R227" i="12"/>
  <c r="F227" i="12"/>
  <c r="O226" i="12"/>
  <c r="H226" i="12"/>
  <c r="M225" i="12"/>
  <c r="F225" i="12"/>
  <c r="D224" i="12"/>
  <c r="R223" i="12"/>
  <c r="F223" i="12"/>
  <c r="O222" i="12"/>
  <c r="H222" i="12"/>
  <c r="R221" i="12"/>
  <c r="F221" i="12"/>
  <c r="O220" i="12"/>
  <c r="H220" i="12"/>
  <c r="R219" i="12"/>
  <c r="F219" i="12"/>
  <c r="O218" i="12"/>
  <c r="H218" i="12"/>
  <c r="M217" i="12"/>
  <c r="O216" i="12"/>
  <c r="H216" i="12"/>
  <c r="M215" i="12"/>
  <c r="K215" i="12"/>
  <c r="D214" i="12"/>
  <c r="R213" i="12"/>
  <c r="F213" i="12"/>
  <c r="O212" i="12"/>
  <c r="H212" i="12"/>
  <c r="M211" i="12"/>
  <c r="F211" i="12"/>
  <c r="K211" i="12"/>
  <c r="D210" i="12"/>
  <c r="H210" i="12"/>
  <c r="R209" i="12"/>
  <c r="M209" i="12"/>
  <c r="F209" i="12"/>
  <c r="K209" i="12"/>
  <c r="O208" i="12"/>
  <c r="D208" i="12"/>
  <c r="H208" i="12"/>
  <c r="R207" i="12"/>
  <c r="M207" i="12"/>
  <c r="F207" i="12"/>
  <c r="K207" i="12"/>
  <c r="O206" i="12"/>
  <c r="D206" i="12"/>
  <c r="H206" i="12"/>
  <c r="R205" i="12"/>
  <c r="M205" i="12"/>
  <c r="F205" i="12"/>
  <c r="K205" i="12"/>
  <c r="O204" i="12"/>
  <c r="D204" i="12"/>
  <c r="H204" i="12"/>
  <c r="R203" i="12"/>
  <c r="M203" i="12"/>
  <c r="F203" i="12"/>
  <c r="K203" i="12"/>
  <c r="O202" i="12"/>
  <c r="D202" i="12"/>
  <c r="H202" i="12"/>
  <c r="R201" i="12"/>
  <c r="M201" i="12"/>
  <c r="F201" i="12"/>
  <c r="K201" i="12"/>
  <c r="O200" i="12"/>
  <c r="D200" i="12"/>
  <c r="H200" i="12"/>
  <c r="R199" i="12"/>
  <c r="M199" i="12"/>
  <c r="F199" i="12"/>
  <c r="K199" i="12"/>
  <c r="O198" i="12"/>
  <c r="D198" i="12"/>
  <c r="H198" i="12"/>
  <c r="R197" i="12"/>
  <c r="M197" i="12"/>
  <c r="F197" i="12"/>
  <c r="K197" i="12"/>
  <c r="O196" i="12"/>
  <c r="D196" i="12"/>
  <c r="H196" i="12"/>
  <c r="R195" i="12"/>
  <c r="M195" i="12"/>
  <c r="F195" i="12"/>
  <c r="K195" i="12"/>
  <c r="O194" i="12"/>
  <c r="D194" i="12"/>
  <c r="H194" i="12"/>
  <c r="R193" i="12"/>
  <c r="M193" i="12"/>
  <c r="F193" i="12"/>
  <c r="K193" i="12"/>
  <c r="D192" i="12"/>
  <c r="H192" i="12"/>
  <c r="R191" i="12"/>
  <c r="M191" i="12"/>
  <c r="F191" i="12"/>
  <c r="K191" i="12"/>
  <c r="O190" i="12"/>
  <c r="D190" i="12"/>
  <c r="H190" i="12"/>
  <c r="R189" i="12"/>
  <c r="M189" i="12"/>
  <c r="F189" i="12"/>
  <c r="K189" i="12"/>
  <c r="O188" i="12"/>
  <c r="D188" i="12"/>
  <c r="H188" i="12"/>
  <c r="R187" i="12"/>
  <c r="M187" i="12"/>
  <c r="F187" i="12"/>
  <c r="K187" i="12"/>
  <c r="O186" i="12"/>
  <c r="D186" i="12"/>
  <c r="H186" i="12"/>
  <c r="R185" i="12"/>
  <c r="M185" i="12"/>
  <c r="F185" i="12"/>
  <c r="K185" i="12"/>
  <c r="O184" i="12"/>
  <c r="D184" i="12"/>
  <c r="H184" i="12"/>
  <c r="R183" i="12"/>
  <c r="M183" i="12"/>
  <c r="F183" i="12"/>
  <c r="K183" i="12"/>
  <c r="O182" i="12"/>
  <c r="D182" i="12"/>
  <c r="H182" i="12"/>
  <c r="R181" i="12"/>
  <c r="M181" i="12"/>
  <c r="F181" i="12"/>
  <c r="K181" i="12"/>
  <c r="O180" i="12"/>
  <c r="D180" i="12"/>
  <c r="H180" i="12"/>
  <c r="R179" i="12"/>
  <c r="M179" i="12"/>
  <c r="F179" i="12"/>
  <c r="K179" i="12"/>
  <c r="O178" i="12"/>
  <c r="D178" i="12"/>
  <c r="H178" i="12"/>
  <c r="R177" i="12"/>
  <c r="M177" i="12"/>
  <c r="F177" i="12"/>
  <c r="K177" i="12"/>
  <c r="O176" i="12"/>
  <c r="D176" i="12"/>
  <c r="H176" i="12"/>
  <c r="R175" i="12"/>
  <c r="M175" i="12"/>
  <c r="F175" i="12"/>
  <c r="K175" i="12"/>
  <c r="O174" i="12"/>
  <c r="D174" i="12"/>
  <c r="H174" i="12"/>
  <c r="R173" i="12"/>
  <c r="M173" i="12"/>
  <c r="F173" i="12"/>
  <c r="K173" i="12"/>
  <c r="O172" i="12"/>
  <c r="D172" i="12"/>
  <c r="H172" i="12"/>
  <c r="R171" i="12"/>
  <c r="M171" i="12"/>
  <c r="F171" i="12"/>
  <c r="K171" i="12"/>
  <c r="O170" i="12"/>
  <c r="D170" i="12"/>
  <c r="H170" i="12"/>
  <c r="R169" i="12"/>
  <c r="M169" i="12"/>
  <c r="F169" i="12"/>
  <c r="K169" i="12"/>
  <c r="O168" i="12"/>
  <c r="D168" i="12"/>
  <c r="H168" i="12"/>
  <c r="R167" i="12"/>
  <c r="M167" i="12"/>
  <c r="F167" i="12"/>
  <c r="K167" i="12"/>
  <c r="O166" i="12"/>
  <c r="D166" i="12"/>
  <c r="H166" i="12"/>
  <c r="R165" i="12"/>
  <c r="M165" i="12"/>
  <c r="F165" i="12"/>
  <c r="K165" i="12"/>
  <c r="O164" i="12"/>
  <c r="D164" i="12"/>
  <c r="H164" i="12"/>
  <c r="R163" i="12"/>
  <c r="M163" i="12"/>
  <c r="F163" i="12"/>
  <c r="K163" i="12"/>
  <c r="O162" i="12"/>
  <c r="D162" i="12"/>
  <c r="H162" i="12"/>
  <c r="R161" i="12"/>
  <c r="M161" i="12"/>
  <c r="F161" i="12"/>
  <c r="K161" i="12"/>
  <c r="O160" i="12"/>
  <c r="D160" i="12"/>
  <c r="H160" i="12"/>
  <c r="R159" i="12"/>
  <c r="M159" i="12"/>
  <c r="F159" i="12"/>
  <c r="K159" i="12"/>
  <c r="O158" i="12"/>
  <c r="D158" i="12"/>
  <c r="H158" i="12"/>
  <c r="R157" i="12"/>
  <c r="M157" i="12"/>
  <c r="F157" i="12"/>
  <c r="K157" i="12"/>
  <c r="O156" i="12"/>
  <c r="D156" i="12"/>
  <c r="H156" i="12"/>
  <c r="R155" i="12"/>
  <c r="M155" i="12"/>
  <c r="F155" i="12"/>
  <c r="K155" i="12"/>
  <c r="O154" i="12"/>
  <c r="D154" i="12"/>
  <c r="H154" i="12"/>
  <c r="R153" i="12"/>
  <c r="M153" i="12"/>
  <c r="F153" i="12"/>
  <c r="K153" i="12"/>
  <c r="O152" i="12"/>
  <c r="D152" i="12"/>
  <c r="H152" i="12"/>
  <c r="R151" i="12"/>
  <c r="M151" i="12"/>
  <c r="F151" i="12"/>
  <c r="K151" i="12"/>
  <c r="O150" i="12"/>
  <c r="D150" i="12"/>
  <c r="H150" i="12"/>
  <c r="R149" i="12"/>
  <c r="M149" i="12"/>
  <c r="F149" i="12"/>
  <c r="K149" i="12"/>
  <c r="O148" i="12"/>
  <c r="D148" i="12"/>
  <c r="H148" i="12"/>
  <c r="R147" i="12"/>
  <c r="M147" i="12"/>
  <c r="F147" i="12"/>
  <c r="K147" i="12"/>
  <c r="O146" i="12"/>
  <c r="D146" i="12"/>
  <c r="H146" i="12"/>
  <c r="R145" i="12"/>
  <c r="M145" i="12"/>
  <c r="F145" i="12"/>
  <c r="K145" i="12"/>
  <c r="O144" i="12"/>
  <c r="D144" i="12"/>
  <c r="H144" i="12"/>
  <c r="R143" i="12"/>
  <c r="M143" i="12"/>
  <c r="F143" i="12"/>
  <c r="K143" i="12"/>
  <c r="O142" i="12"/>
  <c r="D142" i="12"/>
  <c r="H142" i="12"/>
  <c r="R141" i="12"/>
  <c r="M141" i="12"/>
  <c r="F141" i="12"/>
  <c r="K141" i="12"/>
  <c r="O140" i="12"/>
  <c r="D140" i="12"/>
  <c r="H140" i="12"/>
  <c r="R139" i="12"/>
  <c r="M139" i="12"/>
  <c r="F139" i="12"/>
  <c r="K139" i="12"/>
  <c r="O138" i="12"/>
  <c r="D138" i="12"/>
  <c r="H138" i="12"/>
  <c r="R137" i="12"/>
  <c r="M137" i="12"/>
  <c r="F137" i="12"/>
  <c r="K137" i="12"/>
  <c r="O136" i="12"/>
  <c r="D136" i="12"/>
  <c r="H136" i="12"/>
  <c r="R135" i="12"/>
  <c r="M135" i="12"/>
  <c r="F135" i="12"/>
  <c r="K135" i="12"/>
  <c r="O134" i="12"/>
  <c r="D134" i="12"/>
  <c r="H134" i="12"/>
  <c r="R133" i="12"/>
  <c r="M133" i="12"/>
  <c r="F133" i="12"/>
  <c r="K133" i="12"/>
  <c r="O132" i="12"/>
  <c r="D132" i="12"/>
  <c r="H132" i="12"/>
  <c r="R131" i="12"/>
  <c r="M131" i="12"/>
  <c r="F131" i="12"/>
  <c r="K131" i="12"/>
  <c r="O130" i="12"/>
  <c r="D130" i="12"/>
  <c r="H130" i="12"/>
  <c r="R129" i="12"/>
  <c r="M129" i="12"/>
  <c r="F129" i="12"/>
  <c r="K129" i="12"/>
  <c r="O128" i="12"/>
  <c r="D128" i="12"/>
  <c r="H128" i="12"/>
  <c r="R127" i="12"/>
  <c r="M127" i="12"/>
  <c r="F127" i="12"/>
  <c r="K127" i="12"/>
  <c r="O126" i="12"/>
  <c r="D126" i="12"/>
  <c r="H126" i="12"/>
  <c r="R125" i="12"/>
  <c r="M125" i="12"/>
  <c r="F125" i="12"/>
  <c r="K125" i="12"/>
  <c r="O124" i="12"/>
  <c r="D124" i="12"/>
  <c r="H124" i="12"/>
  <c r="R123" i="12"/>
  <c r="M123" i="12"/>
  <c r="F123" i="12"/>
  <c r="K123" i="12"/>
  <c r="O122" i="12"/>
  <c r="D122" i="12"/>
  <c r="H122" i="12"/>
  <c r="R121" i="12"/>
  <c r="M121" i="12"/>
  <c r="F121" i="12"/>
  <c r="K121" i="12"/>
  <c r="O120" i="12"/>
  <c r="D120" i="12"/>
  <c r="H120" i="12"/>
  <c r="R119" i="12"/>
  <c r="M119" i="12"/>
  <c r="F119" i="12"/>
  <c r="K119" i="12"/>
  <c r="O118" i="12"/>
  <c r="D118" i="12"/>
  <c r="H118" i="12"/>
  <c r="R117" i="12"/>
  <c r="M117" i="12"/>
  <c r="F117" i="12"/>
  <c r="K117" i="12"/>
  <c r="O116" i="12"/>
  <c r="D116" i="12"/>
  <c r="H116" i="12"/>
  <c r="R115" i="12"/>
  <c r="M115" i="12"/>
  <c r="F115" i="12"/>
  <c r="K115" i="12"/>
  <c r="O114" i="12"/>
  <c r="D114" i="12"/>
  <c r="H114" i="12"/>
  <c r="R113" i="12"/>
  <c r="M113" i="12"/>
  <c r="F113" i="12"/>
  <c r="K113" i="12"/>
  <c r="O112" i="12"/>
  <c r="D112" i="12"/>
  <c r="H112" i="12"/>
  <c r="R111" i="12"/>
  <c r="M111" i="12"/>
  <c r="F111" i="12"/>
  <c r="K111" i="12"/>
  <c r="O110" i="12"/>
  <c r="D110" i="12"/>
  <c r="H110" i="12"/>
  <c r="R109" i="12"/>
  <c r="M109" i="12"/>
  <c r="F109" i="12"/>
  <c r="K109" i="12"/>
  <c r="O108" i="12"/>
  <c r="D108" i="12"/>
  <c r="H108" i="12"/>
  <c r="R107" i="12"/>
  <c r="M107" i="12"/>
  <c r="F107" i="12"/>
  <c r="K107" i="12"/>
  <c r="O106" i="12"/>
  <c r="D106" i="12"/>
  <c r="H106" i="12"/>
  <c r="R105" i="12"/>
  <c r="M105" i="12"/>
  <c r="F105" i="12"/>
  <c r="K105" i="12"/>
  <c r="O104" i="12"/>
  <c r="E104" i="12"/>
  <c r="I104" i="12"/>
  <c r="S103" i="12"/>
  <c r="N103" i="12"/>
  <c r="D103" i="12"/>
  <c r="H103" i="12"/>
  <c r="R102" i="12"/>
  <c r="M102" i="12"/>
  <c r="G102" i="12"/>
  <c r="J102" i="12"/>
  <c r="Q101" i="12"/>
  <c r="L101" i="12"/>
  <c r="F101" i="12"/>
  <c r="K101" i="12"/>
  <c r="O100" i="12"/>
  <c r="D100" i="12"/>
  <c r="H100" i="12"/>
  <c r="R99" i="12"/>
  <c r="M99" i="12"/>
  <c r="F99" i="12"/>
  <c r="K99" i="12"/>
  <c r="O98" i="12"/>
  <c r="D98" i="12"/>
  <c r="H98" i="12"/>
  <c r="R97" i="12"/>
  <c r="M97" i="12"/>
  <c r="F97" i="12"/>
  <c r="K97" i="12"/>
  <c r="O96" i="12"/>
  <c r="D96" i="12"/>
  <c r="H96" i="12"/>
  <c r="R95" i="12"/>
  <c r="M95" i="12"/>
  <c r="F95" i="12"/>
  <c r="K95" i="12"/>
  <c r="O94" i="12"/>
  <c r="D94" i="12"/>
  <c r="H94" i="12"/>
  <c r="R93" i="12"/>
  <c r="M93" i="12"/>
  <c r="F93" i="12"/>
  <c r="K93" i="12"/>
  <c r="O92" i="12"/>
  <c r="D92" i="12"/>
  <c r="H92" i="12"/>
  <c r="R91" i="12"/>
  <c r="M91" i="12"/>
  <c r="F91" i="12"/>
  <c r="K91" i="12"/>
  <c r="O90" i="12"/>
  <c r="D90" i="12"/>
  <c r="H90" i="12"/>
  <c r="R89" i="12"/>
  <c r="M89" i="12"/>
  <c r="F89" i="12"/>
  <c r="K89" i="12"/>
  <c r="O88" i="12"/>
  <c r="D88" i="12"/>
  <c r="H88" i="12"/>
  <c r="R87" i="12"/>
  <c r="M87" i="12"/>
  <c r="F87" i="12"/>
  <c r="K87" i="12"/>
  <c r="O86" i="12"/>
  <c r="D86" i="12"/>
  <c r="H86" i="12"/>
  <c r="R85" i="12"/>
  <c r="M85" i="12"/>
  <c r="F85" i="12"/>
  <c r="K85" i="12"/>
  <c r="O84" i="12"/>
  <c r="D84" i="12"/>
  <c r="H84" i="12"/>
  <c r="R83" i="12"/>
  <c r="M83" i="12"/>
  <c r="F83" i="12"/>
  <c r="K83" i="12"/>
  <c r="O82" i="12"/>
  <c r="D82" i="12"/>
  <c r="H82" i="12"/>
  <c r="R81" i="12"/>
  <c r="M81" i="12"/>
  <c r="F81" i="12"/>
  <c r="K81" i="12"/>
  <c r="O80" i="12"/>
  <c r="D80" i="12"/>
  <c r="H80" i="12"/>
  <c r="R79" i="12"/>
  <c r="M79" i="12"/>
  <c r="F79" i="12"/>
  <c r="K79" i="12"/>
  <c r="O78" i="12"/>
  <c r="D78" i="12"/>
  <c r="H78" i="12"/>
  <c r="R77" i="12"/>
  <c r="M77" i="12"/>
  <c r="F77" i="12"/>
  <c r="K77" i="12"/>
  <c r="O76" i="12"/>
  <c r="D76" i="12"/>
  <c r="H76" i="12"/>
  <c r="R75" i="12"/>
  <c r="M75" i="12"/>
  <c r="F75" i="12"/>
  <c r="K75" i="12"/>
  <c r="O74" i="12"/>
  <c r="E74" i="12"/>
  <c r="I74" i="12"/>
  <c r="S73" i="12"/>
  <c r="N73" i="12"/>
  <c r="D73" i="12"/>
  <c r="H73" i="12"/>
  <c r="R72" i="12"/>
  <c r="M72" i="12"/>
  <c r="G72" i="12"/>
  <c r="J72" i="12"/>
  <c r="Q71" i="12"/>
  <c r="L71" i="12"/>
  <c r="I71" i="12"/>
  <c r="S70" i="12"/>
  <c r="N70" i="12"/>
  <c r="G70" i="12"/>
  <c r="J70" i="12"/>
  <c r="Q69" i="12"/>
  <c r="L69" i="12"/>
  <c r="I69" i="12"/>
  <c r="S68" i="12"/>
  <c r="N68" i="12"/>
  <c r="G68" i="12"/>
  <c r="J68" i="12"/>
  <c r="Q67" i="12"/>
  <c r="L67" i="12"/>
  <c r="I67" i="12"/>
  <c r="S66" i="12"/>
  <c r="N66" i="12"/>
  <c r="G66" i="12"/>
  <c r="J66" i="12"/>
  <c r="Q65" i="12"/>
  <c r="L65" i="12"/>
  <c r="I65" i="12"/>
  <c r="S64" i="12"/>
  <c r="N64" i="12"/>
  <c r="G64" i="12"/>
  <c r="J64" i="12"/>
  <c r="Q63" i="12"/>
  <c r="L63" i="12"/>
  <c r="I63" i="12"/>
  <c r="S62" i="12"/>
  <c r="N62" i="12"/>
  <c r="G62" i="12"/>
  <c r="J62" i="12"/>
  <c r="Q61" i="12"/>
  <c r="L61" i="12"/>
  <c r="I61" i="12"/>
  <c r="S60" i="12"/>
  <c r="N60" i="12"/>
  <c r="G60" i="12"/>
  <c r="J60" i="12"/>
  <c r="Q59" i="12"/>
  <c r="L59" i="12"/>
  <c r="I59" i="12"/>
  <c r="S58" i="12"/>
  <c r="N58" i="12"/>
  <c r="G58" i="12"/>
  <c r="J58" i="12"/>
  <c r="Q57" i="12"/>
  <c r="L57" i="12"/>
  <c r="I57" i="12"/>
  <c r="S56" i="12"/>
  <c r="N56" i="12"/>
  <c r="G56" i="12"/>
  <c r="J56" i="12"/>
  <c r="Q55" i="12"/>
  <c r="L55" i="12"/>
  <c r="I55" i="12"/>
  <c r="S54" i="12"/>
  <c r="N54" i="12"/>
  <c r="G54" i="12"/>
  <c r="J54" i="12"/>
  <c r="Q53" i="12"/>
  <c r="L53" i="12"/>
  <c r="I53" i="12"/>
  <c r="S52" i="12"/>
  <c r="N52" i="12"/>
  <c r="G52" i="12"/>
  <c r="J52" i="12"/>
  <c r="Q51" i="12"/>
  <c r="L51" i="12"/>
  <c r="I51" i="12"/>
  <c r="S50" i="12"/>
  <c r="N50" i="12"/>
  <c r="G50" i="12"/>
  <c r="J50" i="12"/>
  <c r="Q49" i="12"/>
  <c r="L49" i="12"/>
  <c r="I49" i="12"/>
  <c r="S48" i="12"/>
  <c r="N48" i="12"/>
  <c r="G48" i="12"/>
  <c r="J48" i="12"/>
  <c r="Q47" i="12"/>
  <c r="L47" i="12"/>
  <c r="I47" i="12"/>
  <c r="S46" i="12"/>
  <c r="N46" i="12"/>
  <c r="G46" i="12"/>
  <c r="J46" i="12"/>
  <c r="Q45" i="12"/>
  <c r="L45" i="12"/>
  <c r="I45" i="12"/>
  <c r="S44" i="12"/>
  <c r="N44" i="12"/>
  <c r="G44" i="12"/>
  <c r="J44" i="12"/>
  <c r="Q43" i="12"/>
  <c r="L43" i="12"/>
  <c r="I43" i="12"/>
  <c r="S42" i="12"/>
  <c r="N42" i="12"/>
  <c r="G42" i="12"/>
  <c r="J42" i="12"/>
  <c r="Q41" i="12"/>
  <c r="L41" i="12"/>
  <c r="I41" i="12"/>
  <c r="S40" i="12"/>
  <c r="N40" i="12"/>
  <c r="G40" i="12"/>
  <c r="J40" i="12"/>
  <c r="Q39" i="12"/>
  <c r="L39" i="12"/>
  <c r="I39" i="12"/>
  <c r="S38" i="12"/>
  <c r="N38" i="12"/>
  <c r="G38" i="12"/>
  <c r="J38" i="12"/>
  <c r="Q37" i="12"/>
  <c r="L37" i="12"/>
  <c r="I37" i="12"/>
  <c r="S36" i="12"/>
  <c r="N36" i="12"/>
  <c r="G36" i="12"/>
  <c r="J36" i="12"/>
  <c r="Q35" i="12"/>
  <c r="L35" i="12"/>
  <c r="I35" i="12"/>
  <c r="S34" i="12"/>
  <c r="N34" i="12"/>
  <c r="G34" i="12"/>
  <c r="J34" i="12"/>
  <c r="Q33" i="12"/>
  <c r="L33" i="12"/>
  <c r="I33" i="12"/>
  <c r="S32" i="12"/>
  <c r="N32" i="12"/>
  <c r="G32" i="12"/>
  <c r="J32" i="12"/>
  <c r="Q31" i="12"/>
  <c r="L31" i="12"/>
  <c r="I31" i="12"/>
  <c r="S30" i="12"/>
  <c r="N30" i="12"/>
  <c r="G30" i="12"/>
  <c r="J30" i="12"/>
  <c r="Q29" i="12"/>
  <c r="L29" i="12"/>
  <c r="I29" i="12"/>
  <c r="S28" i="12"/>
  <c r="N28" i="12"/>
  <c r="G28" i="12"/>
  <c r="J28" i="12"/>
  <c r="Q27" i="12"/>
  <c r="L27" i="12"/>
  <c r="I27" i="12"/>
  <c r="S26" i="12"/>
  <c r="N26" i="12"/>
  <c r="G26" i="12"/>
  <c r="J26" i="12"/>
  <c r="Q25" i="12"/>
  <c r="L25" i="12"/>
  <c r="I25" i="12"/>
  <c r="S24" i="12"/>
  <c r="N24" i="12"/>
  <c r="G24" i="12"/>
  <c r="J24" i="12"/>
  <c r="Q23" i="12"/>
  <c r="L23" i="12"/>
  <c r="I23" i="12"/>
  <c r="S22" i="12"/>
  <c r="N22" i="12"/>
  <c r="G22" i="12"/>
  <c r="J22" i="12"/>
  <c r="Q21" i="12"/>
  <c r="L21" i="12"/>
  <c r="I21" i="12"/>
  <c r="S20" i="12"/>
  <c r="N20" i="12"/>
  <c r="G20" i="12"/>
  <c r="J20" i="12"/>
  <c r="Q19" i="12"/>
  <c r="L19" i="12"/>
  <c r="I19" i="12"/>
  <c r="S18" i="12"/>
  <c r="N18" i="12"/>
  <c r="G18" i="12"/>
  <c r="J18" i="12"/>
  <c r="Q17" i="12"/>
  <c r="L17" i="12"/>
  <c r="I17" i="12"/>
  <c r="S16" i="12"/>
  <c r="N16" i="12"/>
  <c r="G16" i="12"/>
  <c r="J16" i="12"/>
  <c r="Q15" i="12"/>
  <c r="L15" i="12"/>
  <c r="I15" i="12"/>
  <c r="S14" i="12"/>
  <c r="N14" i="12"/>
  <c r="G14" i="12"/>
  <c r="J14" i="12"/>
  <c r="Q13" i="12"/>
  <c r="L13" i="12"/>
  <c r="I13" i="12"/>
  <c r="S12" i="12"/>
  <c r="N12" i="12"/>
  <c r="G12" i="12"/>
  <c r="J12" i="12"/>
  <c r="Q11" i="12"/>
  <c r="L11" i="12"/>
  <c r="I11" i="12"/>
  <c r="S10" i="12"/>
  <c r="N10" i="12"/>
  <c r="G10" i="12"/>
  <c r="J10" i="12"/>
  <c r="Q9" i="12"/>
  <c r="L9" i="12"/>
  <c r="I9" i="12"/>
  <c r="S8" i="12"/>
  <c r="N8" i="12"/>
  <c r="G8" i="12"/>
  <c r="J8" i="12"/>
  <c r="Q7" i="12"/>
  <c r="L7" i="12"/>
  <c r="I7" i="12"/>
  <c r="S6" i="12"/>
  <c r="N6" i="12"/>
  <c r="G6" i="12"/>
  <c r="J6" i="12"/>
  <c r="Q5" i="12"/>
  <c r="L5" i="12"/>
  <c r="I5" i="12"/>
  <c r="S4" i="12"/>
  <c r="N4" i="12"/>
  <c r="G4" i="12"/>
  <c r="J4" i="12"/>
  <c r="Q3" i="12"/>
  <c r="L3" i="12"/>
  <c r="I3" i="12"/>
  <c r="O2" i="12"/>
  <c r="Q443" i="12"/>
  <c r="L443" i="12"/>
  <c r="I443" i="12"/>
  <c r="S442" i="12"/>
  <c r="N442" i="12"/>
  <c r="G442" i="12"/>
  <c r="J442" i="12"/>
  <c r="Q441" i="12"/>
  <c r="L441" i="12"/>
  <c r="I441" i="12"/>
  <c r="S440" i="12"/>
  <c r="N440" i="12"/>
  <c r="G440" i="12"/>
  <c r="J440" i="12"/>
  <c r="Q439" i="12"/>
  <c r="L439" i="12"/>
  <c r="I439" i="12"/>
  <c r="S438" i="12"/>
  <c r="N438" i="12"/>
  <c r="G438" i="12"/>
  <c r="J438" i="12"/>
  <c r="Q437" i="12"/>
  <c r="L437" i="12"/>
  <c r="I437" i="12"/>
  <c r="S436" i="12"/>
  <c r="N436" i="12"/>
  <c r="G436" i="12"/>
  <c r="J436" i="12"/>
  <c r="Q435" i="12"/>
  <c r="L435" i="12"/>
  <c r="I435" i="12"/>
  <c r="S434" i="12"/>
  <c r="N434" i="12"/>
  <c r="G434" i="12"/>
  <c r="J434" i="12"/>
  <c r="Q433" i="12"/>
  <c r="L433" i="12"/>
  <c r="I433" i="12"/>
  <c r="S432" i="12"/>
  <c r="N432" i="12"/>
  <c r="G432" i="12"/>
  <c r="J432" i="12"/>
  <c r="Q431" i="12"/>
  <c r="L431" i="12"/>
  <c r="I431" i="12"/>
  <c r="S430" i="12"/>
  <c r="N430" i="12"/>
  <c r="G430" i="12"/>
  <c r="J430" i="12"/>
  <c r="Q429" i="12"/>
  <c r="L429" i="12"/>
  <c r="I429" i="12"/>
  <c r="S428" i="12"/>
  <c r="N428" i="12"/>
  <c r="G428" i="12"/>
  <c r="J428" i="12"/>
  <c r="Q427" i="12"/>
  <c r="L427" i="12"/>
  <c r="I427" i="12"/>
  <c r="S426" i="12"/>
  <c r="N426" i="12"/>
  <c r="G426" i="12"/>
  <c r="J426" i="12"/>
  <c r="Q425" i="12"/>
  <c r="L425" i="12"/>
  <c r="I425" i="12"/>
  <c r="S424" i="12"/>
  <c r="N424" i="12"/>
  <c r="G424" i="12"/>
  <c r="J424" i="12"/>
  <c r="Q423" i="12"/>
  <c r="L423" i="12"/>
  <c r="I423" i="12"/>
  <c r="S422" i="12"/>
  <c r="N422" i="12"/>
  <c r="G422" i="12"/>
  <c r="J422" i="12"/>
  <c r="Q421" i="12"/>
  <c r="L421" i="12"/>
  <c r="I421" i="12"/>
  <c r="S420" i="12"/>
  <c r="N420" i="12"/>
  <c r="G420" i="12"/>
  <c r="J420" i="12"/>
  <c r="Q419" i="12"/>
  <c r="L419" i="12"/>
  <c r="I419" i="12"/>
  <c r="S418" i="12"/>
  <c r="N418" i="12"/>
  <c r="G418" i="12"/>
  <c r="J418" i="12"/>
  <c r="Q417" i="12"/>
  <c r="L417" i="12"/>
  <c r="I417" i="12"/>
  <c r="S416" i="12"/>
  <c r="N416" i="12"/>
  <c r="G416" i="12"/>
  <c r="J416" i="12"/>
  <c r="Q415" i="12"/>
  <c r="L415" i="12"/>
  <c r="I415" i="12"/>
  <c r="S414" i="12"/>
  <c r="N414" i="12"/>
  <c r="G414" i="12"/>
  <c r="J414" i="12"/>
  <c r="Q413" i="12"/>
  <c r="L413" i="12"/>
  <c r="I413" i="12"/>
  <c r="S412" i="12"/>
  <c r="N412" i="12"/>
  <c r="G412" i="12"/>
  <c r="J412" i="12"/>
  <c r="Q411" i="12"/>
  <c r="L411" i="12"/>
  <c r="I411" i="12"/>
  <c r="S410" i="12"/>
  <c r="N410" i="12"/>
  <c r="G410" i="12"/>
  <c r="J410" i="12"/>
  <c r="Q409" i="12"/>
  <c r="L409" i="12"/>
  <c r="I409" i="12"/>
  <c r="S408" i="12"/>
  <c r="N408" i="12"/>
  <c r="G408" i="12"/>
  <c r="J408" i="12"/>
  <c r="Q407" i="12"/>
  <c r="L407" i="12"/>
  <c r="I407" i="12"/>
  <c r="S406" i="12"/>
  <c r="N406" i="12"/>
  <c r="G406" i="12"/>
  <c r="J406" i="12"/>
  <c r="Q405" i="12"/>
  <c r="L405" i="12"/>
  <c r="I405" i="12"/>
  <c r="S404" i="12"/>
  <c r="N404" i="12"/>
  <c r="G404" i="12"/>
  <c r="J404" i="12"/>
  <c r="Q403" i="12"/>
  <c r="L403" i="12"/>
  <c r="I403" i="12"/>
  <c r="S402" i="12"/>
  <c r="N402" i="12"/>
  <c r="G402" i="12"/>
  <c r="J402" i="12"/>
  <c r="Q401" i="12"/>
  <c r="L401" i="12"/>
  <c r="I401" i="12"/>
  <c r="S400" i="12"/>
  <c r="N400" i="12"/>
  <c r="G400" i="12"/>
  <c r="J400" i="12"/>
  <c r="Q399" i="12"/>
  <c r="L399" i="12"/>
  <c r="I399" i="12"/>
  <c r="S398" i="12"/>
  <c r="N398" i="12"/>
  <c r="G398" i="12"/>
  <c r="J398" i="12"/>
  <c r="Q397" i="12"/>
  <c r="L397" i="12"/>
  <c r="I397" i="12"/>
  <c r="S396" i="12"/>
  <c r="N396" i="12"/>
  <c r="G396" i="12"/>
  <c r="J396" i="12"/>
  <c r="Q395" i="12"/>
  <c r="L395" i="12"/>
  <c r="I395" i="12"/>
  <c r="S394" i="12"/>
  <c r="N394" i="12"/>
  <c r="G394" i="12"/>
  <c r="J394" i="12"/>
  <c r="Q393" i="12"/>
  <c r="L393" i="12"/>
  <c r="I393" i="12"/>
  <c r="S392" i="12"/>
  <c r="N392" i="12"/>
  <c r="G392" i="12"/>
  <c r="J392" i="12"/>
  <c r="Q391" i="12"/>
  <c r="L391" i="12"/>
  <c r="I391" i="12"/>
  <c r="S390" i="12"/>
  <c r="N390" i="12"/>
  <c r="G390" i="12"/>
  <c r="J390" i="12"/>
  <c r="Q389" i="12"/>
  <c r="L389" i="12"/>
  <c r="I389" i="12"/>
  <c r="S388" i="12"/>
  <c r="N388" i="12"/>
  <c r="G388" i="12"/>
  <c r="J388" i="12"/>
  <c r="Q387" i="12"/>
  <c r="L387" i="12"/>
  <c r="I387" i="12"/>
  <c r="S386" i="12"/>
  <c r="N386" i="12"/>
  <c r="G386" i="12"/>
  <c r="J386" i="12"/>
  <c r="Q385" i="12"/>
  <c r="L385" i="12"/>
  <c r="I385" i="12"/>
  <c r="S384" i="12"/>
  <c r="N384" i="12"/>
  <c r="G384" i="12"/>
  <c r="J384" i="12"/>
  <c r="Q383" i="12"/>
  <c r="L383" i="12"/>
  <c r="I383" i="12"/>
  <c r="S382" i="12"/>
  <c r="N382" i="12"/>
  <c r="G382" i="12"/>
  <c r="J382" i="12"/>
  <c r="Q381" i="12"/>
  <c r="L381" i="12"/>
  <c r="I381" i="12"/>
  <c r="S380" i="12"/>
  <c r="N380" i="12"/>
  <c r="G380" i="12"/>
  <c r="J380" i="12"/>
  <c r="Q379" i="12"/>
  <c r="L379" i="12"/>
  <c r="I379" i="12"/>
  <c r="S378" i="12"/>
  <c r="N378" i="12"/>
  <c r="G378" i="12"/>
  <c r="J378" i="12"/>
  <c r="Q377" i="12"/>
  <c r="L377" i="12"/>
  <c r="I377" i="12"/>
  <c r="S376" i="12"/>
  <c r="N376" i="12"/>
  <c r="G376" i="12"/>
  <c r="J376" i="12"/>
  <c r="Q375" i="12"/>
  <c r="L375" i="12"/>
  <c r="I375" i="12"/>
  <c r="S374" i="12"/>
  <c r="N374" i="12"/>
  <c r="G374" i="12"/>
  <c r="J374" i="12"/>
  <c r="Q373" i="12"/>
  <c r="L373" i="12"/>
  <c r="I373" i="12"/>
  <c r="S372" i="12"/>
  <c r="N372" i="12"/>
  <c r="G372" i="12"/>
  <c r="J372" i="12"/>
  <c r="Q371" i="12"/>
  <c r="L371" i="12"/>
  <c r="I371" i="12"/>
  <c r="S370" i="12"/>
  <c r="N370" i="12"/>
  <c r="G370" i="12"/>
  <c r="J370" i="12"/>
  <c r="Q369" i="12"/>
  <c r="L369" i="12"/>
  <c r="I369" i="12"/>
  <c r="S368" i="12"/>
  <c r="N368" i="12"/>
  <c r="G368" i="12"/>
  <c r="J368" i="12"/>
  <c r="Q367" i="12"/>
  <c r="L367" i="12"/>
  <c r="I367" i="12"/>
  <c r="S366" i="12"/>
  <c r="N366" i="12"/>
  <c r="G366" i="12"/>
  <c r="J366" i="12"/>
  <c r="Q365" i="12"/>
  <c r="L365" i="12"/>
  <c r="I365" i="12"/>
  <c r="S364" i="12"/>
  <c r="N364" i="12"/>
  <c r="G364" i="12"/>
  <c r="J364" i="12"/>
  <c r="Q363" i="12"/>
  <c r="L363" i="12"/>
  <c r="I363" i="12"/>
  <c r="S362" i="12"/>
  <c r="N362" i="12"/>
  <c r="G362" i="12"/>
  <c r="J362" i="12"/>
  <c r="Q361" i="12"/>
  <c r="L361" i="12"/>
  <c r="I361" i="12"/>
  <c r="S360" i="12"/>
  <c r="N360" i="12"/>
  <c r="G360" i="12"/>
  <c r="J360" i="12"/>
  <c r="Q359" i="12"/>
  <c r="L359" i="12"/>
  <c r="I359" i="12"/>
  <c r="S358" i="12"/>
  <c r="N358" i="12"/>
  <c r="G358" i="12"/>
  <c r="J358" i="12"/>
  <c r="Q357" i="12"/>
  <c r="L357" i="12"/>
  <c r="I357" i="12"/>
  <c r="S356" i="12"/>
  <c r="N356" i="12"/>
  <c r="G356" i="12"/>
  <c r="J356" i="12"/>
  <c r="Q355" i="12"/>
  <c r="L355" i="12"/>
  <c r="I355" i="12"/>
  <c r="S354" i="12"/>
  <c r="N354" i="12"/>
  <c r="G354" i="12"/>
  <c r="J354" i="12"/>
  <c r="Q353" i="12"/>
  <c r="L353" i="12"/>
  <c r="I353" i="12"/>
  <c r="S352" i="12"/>
  <c r="N352" i="12"/>
  <c r="G352" i="12"/>
  <c r="J352" i="12"/>
  <c r="Q351" i="12"/>
  <c r="L351" i="12"/>
  <c r="I351" i="12"/>
  <c r="S350" i="12"/>
  <c r="N350" i="12"/>
  <c r="G350" i="12"/>
  <c r="J350" i="12"/>
  <c r="Q349" i="12"/>
  <c r="L349" i="12"/>
  <c r="I349" i="12"/>
  <c r="S348" i="12"/>
  <c r="N348" i="12"/>
  <c r="G348" i="12"/>
  <c r="J348" i="12"/>
  <c r="Q347" i="12"/>
  <c r="L347" i="12"/>
  <c r="I347" i="12"/>
  <c r="S346" i="12"/>
  <c r="N346" i="12"/>
  <c r="G346" i="12"/>
  <c r="J346" i="12"/>
  <c r="Q345" i="12"/>
  <c r="L345" i="12"/>
  <c r="I345" i="12"/>
  <c r="S344" i="12"/>
  <c r="N344" i="12"/>
  <c r="G344" i="12"/>
  <c r="J344" i="12"/>
  <c r="Q343" i="12"/>
  <c r="L343" i="12"/>
  <c r="I343" i="12"/>
  <c r="S342" i="12"/>
  <c r="N342" i="12"/>
  <c r="G342" i="12"/>
  <c r="J342" i="12"/>
  <c r="Q341" i="12"/>
  <c r="L341" i="12"/>
  <c r="I341" i="12"/>
  <c r="S340" i="12"/>
  <c r="N340" i="12"/>
  <c r="G340" i="12"/>
  <c r="J340" i="12"/>
  <c r="Q339" i="12"/>
  <c r="L339" i="12"/>
  <c r="I339" i="12"/>
  <c r="S338" i="12"/>
  <c r="N338" i="12"/>
  <c r="G338" i="12"/>
  <c r="J338" i="12"/>
  <c r="Q337" i="12"/>
  <c r="L337" i="12"/>
  <c r="I337" i="12"/>
  <c r="S336" i="12"/>
  <c r="N336" i="12"/>
  <c r="G336" i="12"/>
  <c r="J336" i="12"/>
  <c r="Q335" i="12"/>
  <c r="L335" i="12"/>
  <c r="I335" i="12"/>
  <c r="S334" i="12"/>
  <c r="N334" i="12"/>
  <c r="G334" i="12"/>
  <c r="J334" i="12"/>
  <c r="Q333" i="12"/>
  <c r="L333" i="12"/>
  <c r="I333" i="12"/>
  <c r="S332" i="12"/>
  <c r="N332" i="12"/>
  <c r="G332" i="12"/>
  <c r="J332" i="12"/>
  <c r="Q331" i="12"/>
  <c r="L331" i="12"/>
  <c r="I331" i="12"/>
  <c r="S330" i="12"/>
  <c r="N330" i="12"/>
  <c r="G330" i="12"/>
  <c r="J330" i="12"/>
  <c r="Q329" i="12"/>
  <c r="L329" i="12"/>
  <c r="I329" i="12"/>
  <c r="S328" i="12"/>
  <c r="N328" i="12"/>
  <c r="G328" i="12"/>
  <c r="J328" i="12"/>
  <c r="Q327" i="12"/>
  <c r="L327" i="12"/>
  <c r="I327" i="12"/>
  <c r="S326" i="12"/>
  <c r="N326" i="12"/>
  <c r="G326" i="12"/>
  <c r="J326" i="12"/>
  <c r="Q325" i="12"/>
  <c r="L325" i="12"/>
  <c r="I325" i="12"/>
  <c r="S324" i="12"/>
  <c r="N324" i="12"/>
  <c r="G324" i="12"/>
  <c r="J324" i="12"/>
  <c r="Q323" i="12"/>
  <c r="L323" i="12"/>
  <c r="I323" i="12"/>
  <c r="S322" i="12"/>
  <c r="N322" i="12"/>
  <c r="G322" i="12"/>
  <c r="J322" i="12"/>
  <c r="Q321" i="12"/>
  <c r="L321" i="12"/>
  <c r="I321" i="12"/>
  <c r="S320" i="12"/>
  <c r="N320" i="12"/>
  <c r="G320" i="12"/>
  <c r="J320" i="12"/>
  <c r="Q319" i="12"/>
  <c r="L319" i="12"/>
  <c r="I319" i="12"/>
  <c r="S318" i="12"/>
  <c r="N318" i="12"/>
  <c r="G318" i="12"/>
  <c r="J318" i="12"/>
  <c r="Q317" i="12"/>
  <c r="L317" i="12"/>
  <c r="I317" i="12"/>
  <c r="S316" i="12"/>
  <c r="N316" i="12"/>
  <c r="G316" i="12"/>
  <c r="J316" i="12"/>
  <c r="Q315" i="12"/>
  <c r="L315" i="12"/>
  <c r="I315" i="12"/>
  <c r="S314" i="12"/>
  <c r="N314" i="12"/>
  <c r="G314" i="12"/>
  <c r="J314" i="12"/>
  <c r="Q313" i="12"/>
  <c r="L313" i="12"/>
  <c r="I313" i="12"/>
  <c r="S312" i="12"/>
  <c r="N312" i="12"/>
  <c r="G312" i="12"/>
  <c r="J312" i="12"/>
  <c r="Q311" i="12"/>
  <c r="L311" i="12"/>
  <c r="I311" i="12"/>
  <c r="S310" i="12"/>
  <c r="N310" i="12"/>
  <c r="G310" i="12"/>
  <c r="J310" i="12"/>
  <c r="Q309" i="12"/>
  <c r="L309" i="12"/>
  <c r="I309" i="12"/>
  <c r="S308" i="12"/>
  <c r="N308" i="12"/>
  <c r="G308" i="12"/>
  <c r="J308" i="12"/>
  <c r="Q307" i="12"/>
  <c r="L307" i="12"/>
  <c r="I307" i="12"/>
  <c r="S306" i="12"/>
  <c r="N306" i="12"/>
  <c r="G306" i="12"/>
  <c r="J306" i="12"/>
  <c r="Q305" i="12"/>
  <c r="L305" i="12"/>
  <c r="I305" i="12"/>
  <c r="S304" i="12"/>
  <c r="N304" i="12"/>
  <c r="G304" i="12"/>
  <c r="J304" i="12"/>
  <c r="Q303" i="12"/>
  <c r="L303" i="12"/>
  <c r="I303" i="12"/>
  <c r="S302" i="12"/>
  <c r="N302" i="12"/>
  <c r="G302" i="12"/>
  <c r="J302" i="12"/>
  <c r="Q301" i="12"/>
  <c r="L301" i="12"/>
  <c r="I301" i="12"/>
  <c r="S300" i="12"/>
  <c r="N300" i="12"/>
  <c r="G300" i="12"/>
  <c r="J300" i="12"/>
  <c r="Q299" i="12"/>
  <c r="L299" i="12"/>
  <c r="I299" i="12"/>
  <c r="S298" i="12"/>
  <c r="N298" i="12"/>
  <c r="G298" i="12"/>
  <c r="J298" i="12"/>
  <c r="Q297" i="12"/>
  <c r="L297" i="12"/>
  <c r="I297" i="12"/>
  <c r="S296" i="12"/>
  <c r="N296" i="12"/>
  <c r="G296" i="12"/>
  <c r="J296" i="12"/>
  <c r="Q295" i="12"/>
  <c r="L295" i="12"/>
  <c r="I295" i="12"/>
  <c r="S294" i="12"/>
  <c r="N294" i="12"/>
  <c r="G294" i="12"/>
  <c r="J294" i="12"/>
  <c r="Q293" i="12"/>
  <c r="L293" i="12"/>
  <c r="I293" i="12"/>
  <c r="S292" i="12"/>
  <c r="N292" i="12"/>
  <c r="G292" i="12"/>
  <c r="J292" i="12"/>
  <c r="Q291" i="12"/>
  <c r="L291" i="12"/>
  <c r="I291" i="12"/>
  <c r="S290" i="12"/>
  <c r="N290" i="12"/>
  <c r="G290" i="12"/>
  <c r="J290" i="12"/>
  <c r="Q289" i="12"/>
  <c r="L289" i="12"/>
  <c r="I289" i="12"/>
  <c r="S288" i="12"/>
  <c r="N288" i="12"/>
  <c r="G288" i="12"/>
  <c r="J288" i="12"/>
  <c r="Q287" i="12"/>
  <c r="L287" i="12"/>
  <c r="I287" i="12"/>
  <c r="S286" i="12"/>
  <c r="N286" i="12"/>
  <c r="G286" i="12"/>
  <c r="J286" i="12"/>
  <c r="Q285" i="12"/>
  <c r="L285" i="12"/>
  <c r="I285" i="12"/>
  <c r="S284" i="12"/>
  <c r="N284" i="12"/>
  <c r="G284" i="12"/>
  <c r="J284" i="12"/>
  <c r="Q283" i="12"/>
  <c r="L283" i="12"/>
  <c r="I283" i="12"/>
  <c r="S282" i="12"/>
  <c r="N282" i="12"/>
  <c r="G282" i="12"/>
  <c r="J282" i="12"/>
  <c r="Q281" i="12"/>
  <c r="L281" i="12"/>
  <c r="I281" i="12"/>
  <c r="S280" i="12"/>
  <c r="N280" i="12"/>
  <c r="G280" i="12"/>
  <c r="J280" i="12"/>
  <c r="Q279" i="12"/>
  <c r="L279" i="12"/>
  <c r="I279" i="12"/>
  <c r="S278" i="12"/>
  <c r="N278" i="12"/>
  <c r="G278" i="12"/>
  <c r="J278" i="12"/>
  <c r="Q277" i="12"/>
  <c r="L277" i="12"/>
  <c r="I277" i="12"/>
  <c r="S276" i="12"/>
  <c r="N276" i="12"/>
  <c r="G276" i="12"/>
  <c r="J276" i="12"/>
  <c r="Q275" i="12"/>
  <c r="L275" i="12"/>
  <c r="I275" i="12"/>
  <c r="S274" i="12"/>
  <c r="N274" i="12"/>
  <c r="G274" i="12"/>
  <c r="J274" i="12"/>
  <c r="Q273" i="12"/>
  <c r="L273" i="12"/>
  <c r="I273" i="12"/>
  <c r="S272" i="12"/>
  <c r="N272" i="12"/>
  <c r="G272" i="12"/>
  <c r="J272" i="12"/>
  <c r="Q271" i="12"/>
  <c r="L271" i="12"/>
  <c r="I271" i="12"/>
  <c r="S270" i="12"/>
  <c r="N270" i="12"/>
  <c r="G270" i="12"/>
  <c r="J270" i="12"/>
  <c r="Q269" i="12"/>
  <c r="L269" i="12"/>
  <c r="I269" i="12"/>
  <c r="S268" i="12"/>
  <c r="N268" i="12"/>
  <c r="G268" i="12"/>
  <c r="J268" i="12"/>
  <c r="Q267" i="12"/>
  <c r="L267" i="12"/>
  <c r="I267" i="12"/>
  <c r="S266" i="12"/>
  <c r="N266" i="12"/>
  <c r="G266" i="12"/>
  <c r="J266" i="12"/>
  <c r="Q265" i="12"/>
  <c r="L265" i="12"/>
  <c r="I265" i="12"/>
  <c r="S264" i="12"/>
  <c r="N264" i="12"/>
  <c r="G264" i="12"/>
  <c r="J264" i="12"/>
  <c r="Q263" i="12"/>
  <c r="L263" i="12"/>
  <c r="I263" i="12"/>
  <c r="S262" i="12"/>
  <c r="N262" i="12"/>
  <c r="G262" i="12"/>
  <c r="J262" i="12"/>
  <c r="Q261" i="12"/>
  <c r="L261" i="12"/>
  <c r="I261" i="12"/>
  <c r="S260" i="12"/>
  <c r="N260" i="12"/>
  <c r="G260" i="12"/>
  <c r="J260" i="12"/>
  <c r="Q259" i="12"/>
  <c r="L259" i="12"/>
  <c r="I259" i="12"/>
  <c r="S258" i="12"/>
  <c r="N258" i="12"/>
  <c r="G258" i="12"/>
  <c r="J258" i="12"/>
  <c r="Q257" i="12"/>
  <c r="L257" i="12"/>
  <c r="I257" i="12"/>
  <c r="S256" i="12"/>
  <c r="N256" i="12"/>
  <c r="G256" i="12"/>
  <c r="J256" i="12"/>
  <c r="Q255" i="12"/>
  <c r="L255" i="12"/>
  <c r="I255" i="12"/>
  <c r="S254" i="12"/>
  <c r="N254" i="12"/>
  <c r="G254" i="12"/>
  <c r="J254" i="12"/>
  <c r="Q253" i="12"/>
  <c r="L253" i="12"/>
  <c r="I253" i="12"/>
  <c r="S252" i="12"/>
  <c r="N252" i="12"/>
  <c r="G252" i="12"/>
  <c r="J252" i="12"/>
  <c r="Q251" i="12"/>
  <c r="L251" i="12"/>
  <c r="I251" i="12"/>
  <c r="S250" i="12"/>
  <c r="N250" i="12"/>
  <c r="G250" i="12"/>
  <c r="J250" i="12"/>
  <c r="Q249" i="12"/>
  <c r="L249" i="12"/>
  <c r="I249" i="12"/>
  <c r="S248" i="12"/>
  <c r="N248" i="12"/>
  <c r="G248" i="12"/>
  <c r="J248" i="12"/>
  <c r="Q247" i="12"/>
  <c r="L247" i="12"/>
  <c r="I247" i="12"/>
  <c r="S246" i="12"/>
  <c r="N246" i="12"/>
  <c r="G246" i="12"/>
  <c r="J246" i="12"/>
  <c r="Q245" i="12"/>
  <c r="L245" i="12"/>
  <c r="I245" i="12"/>
  <c r="S244" i="12"/>
  <c r="N244" i="12"/>
  <c r="G244" i="12"/>
  <c r="J244" i="12"/>
  <c r="Q243" i="12"/>
  <c r="L243" i="12"/>
  <c r="I243" i="12"/>
  <c r="S242" i="12"/>
  <c r="N242" i="12"/>
  <c r="G242" i="12"/>
  <c r="J242" i="12"/>
  <c r="Q241" i="12"/>
  <c r="L241" i="12"/>
  <c r="I241" i="12"/>
  <c r="S240" i="12"/>
  <c r="N240" i="12"/>
  <c r="G240" i="12"/>
  <c r="J240" i="12"/>
  <c r="Q239" i="12"/>
  <c r="L239" i="12"/>
  <c r="I239" i="12"/>
  <c r="S238" i="12"/>
  <c r="N238" i="12"/>
  <c r="G238" i="12"/>
  <c r="J238" i="12"/>
  <c r="Q237" i="12"/>
  <c r="L237" i="12"/>
  <c r="I237" i="12"/>
  <c r="S236" i="12"/>
  <c r="N236" i="12"/>
  <c r="G236" i="12"/>
  <c r="J236" i="12"/>
  <c r="Q235" i="12"/>
  <c r="L235" i="12"/>
  <c r="I235" i="12"/>
  <c r="S234" i="12"/>
  <c r="N234" i="12"/>
  <c r="G234" i="12"/>
  <c r="J234" i="12"/>
  <c r="Q233" i="12"/>
  <c r="L233" i="12"/>
  <c r="I233" i="12"/>
  <c r="S232" i="12"/>
  <c r="N232" i="12"/>
  <c r="G232" i="12"/>
  <c r="J232" i="12"/>
  <c r="Q231" i="12"/>
  <c r="L231" i="12"/>
  <c r="I231" i="12"/>
  <c r="S230" i="12"/>
  <c r="N230" i="12"/>
  <c r="G230" i="12"/>
  <c r="J230" i="12"/>
  <c r="Q229" i="12"/>
  <c r="L229" i="12"/>
  <c r="I229" i="12"/>
  <c r="S228" i="12"/>
  <c r="N228" i="12"/>
  <c r="G228" i="12"/>
  <c r="J228" i="12"/>
  <c r="Q227" i="12"/>
  <c r="L227" i="12"/>
  <c r="I227" i="12"/>
  <c r="S226" i="12"/>
  <c r="N226" i="12"/>
  <c r="G226" i="12"/>
  <c r="J226" i="12"/>
  <c r="Q225" i="12"/>
  <c r="L225" i="12"/>
  <c r="I225" i="12"/>
  <c r="S224" i="12"/>
  <c r="N224" i="12"/>
  <c r="G224" i="12"/>
  <c r="J224" i="12"/>
  <c r="Q223" i="12"/>
  <c r="L223" i="12"/>
  <c r="I223" i="12"/>
  <c r="S222" i="12"/>
  <c r="N222" i="12"/>
  <c r="G222" i="12"/>
  <c r="J222" i="12"/>
  <c r="Q221" i="12"/>
  <c r="L221" i="12"/>
  <c r="I221" i="12"/>
  <c r="S220" i="12"/>
  <c r="N220" i="12"/>
  <c r="G220" i="12"/>
  <c r="J220" i="12"/>
  <c r="Q219" i="12"/>
  <c r="L219" i="12"/>
  <c r="I219" i="12"/>
  <c r="S218" i="12"/>
  <c r="N218" i="12"/>
  <c r="G218" i="12"/>
  <c r="J218" i="12"/>
  <c r="Q217" i="12"/>
  <c r="L217" i="12"/>
  <c r="I217" i="12"/>
  <c r="S216" i="12"/>
  <c r="N216" i="12"/>
  <c r="G216" i="12"/>
  <c r="J216" i="12"/>
  <c r="Q215" i="12"/>
  <c r="L215" i="12"/>
  <c r="I215" i="12"/>
  <c r="S214" i="12"/>
  <c r="N214" i="12"/>
  <c r="G214" i="12"/>
  <c r="J214" i="12"/>
  <c r="Q213" i="12"/>
  <c r="L213" i="12"/>
  <c r="I213" i="12"/>
  <c r="S212" i="12"/>
  <c r="N212" i="12"/>
  <c r="G212" i="12"/>
  <c r="J212" i="12"/>
  <c r="Q211" i="12"/>
  <c r="L211" i="12"/>
  <c r="I211" i="12"/>
  <c r="S210" i="12"/>
  <c r="N210" i="12"/>
  <c r="G210" i="12"/>
  <c r="J210" i="12"/>
  <c r="Q209" i="12"/>
  <c r="L209" i="12"/>
  <c r="I209" i="12"/>
  <c r="S208" i="12"/>
  <c r="N208" i="12"/>
  <c r="G208" i="12"/>
  <c r="J208" i="12"/>
  <c r="Q207" i="12"/>
  <c r="L207" i="12"/>
  <c r="I207" i="12"/>
  <c r="S206" i="12"/>
  <c r="N206" i="12"/>
  <c r="G206" i="12"/>
  <c r="J206" i="12"/>
  <c r="Q205" i="12"/>
  <c r="L205" i="12"/>
  <c r="I205" i="12"/>
  <c r="S204" i="12"/>
  <c r="N204" i="12"/>
  <c r="G204" i="12"/>
  <c r="J204" i="12"/>
  <c r="Q203" i="12"/>
  <c r="L203" i="12"/>
  <c r="I203" i="12"/>
  <c r="S202" i="12"/>
  <c r="N202" i="12"/>
  <c r="G202" i="12"/>
  <c r="J202" i="12"/>
  <c r="Q201" i="12"/>
  <c r="L201" i="12"/>
  <c r="I201" i="12"/>
  <c r="S200" i="12"/>
  <c r="N200" i="12"/>
  <c r="G200" i="12"/>
  <c r="J200" i="12"/>
  <c r="Q199" i="12"/>
  <c r="L199" i="12"/>
  <c r="I199" i="12"/>
  <c r="S198" i="12"/>
  <c r="N198" i="12"/>
  <c r="G198" i="12"/>
  <c r="J198" i="12"/>
  <c r="Q197" i="12"/>
  <c r="L197" i="12"/>
  <c r="I197" i="12"/>
  <c r="S196" i="12"/>
  <c r="N196" i="12"/>
  <c r="G196" i="12"/>
  <c r="J196" i="12"/>
  <c r="Q195" i="12"/>
  <c r="L195" i="12"/>
  <c r="I195" i="12"/>
  <c r="S194" i="12"/>
  <c r="N194" i="12"/>
  <c r="G194" i="12"/>
  <c r="J194" i="12"/>
  <c r="Q193" i="12"/>
  <c r="L193" i="12"/>
  <c r="I193" i="12"/>
  <c r="S192" i="12"/>
  <c r="N192" i="12"/>
  <c r="G192" i="12"/>
  <c r="J192" i="12"/>
  <c r="Q191" i="12"/>
  <c r="L191" i="12"/>
  <c r="I191" i="12"/>
  <c r="S190" i="12"/>
  <c r="N190" i="12"/>
  <c r="G190" i="12"/>
  <c r="J190" i="12"/>
  <c r="Q189" i="12"/>
  <c r="L189" i="12"/>
  <c r="I189" i="12"/>
  <c r="S188" i="12"/>
  <c r="N188" i="12"/>
  <c r="G188" i="12"/>
  <c r="J188" i="12"/>
  <c r="Q187" i="12"/>
  <c r="L187" i="12"/>
  <c r="I187" i="12"/>
  <c r="S186" i="12"/>
  <c r="N186" i="12"/>
  <c r="G186" i="12"/>
  <c r="J186" i="12"/>
  <c r="Q185" i="12"/>
  <c r="L185" i="12"/>
  <c r="I185" i="12"/>
  <c r="S184" i="12"/>
  <c r="N184" i="12"/>
  <c r="G184" i="12"/>
  <c r="J184" i="12"/>
  <c r="Q183" i="12"/>
  <c r="L183" i="12"/>
  <c r="I183" i="12"/>
  <c r="S182" i="12"/>
  <c r="N182" i="12"/>
  <c r="G182" i="12"/>
  <c r="J182" i="12"/>
  <c r="Q181" i="12"/>
  <c r="L181" i="12"/>
  <c r="I181" i="12"/>
  <c r="S180" i="12"/>
  <c r="N180" i="12"/>
  <c r="G180" i="12"/>
  <c r="J180" i="12"/>
  <c r="Q179" i="12"/>
  <c r="L179" i="12"/>
  <c r="I179" i="12"/>
  <c r="S178" i="12"/>
  <c r="N178" i="12"/>
  <c r="G178" i="12"/>
  <c r="J178" i="12"/>
  <c r="Q177" i="12"/>
  <c r="L177" i="12"/>
  <c r="I177" i="12"/>
  <c r="S176" i="12"/>
  <c r="N176" i="12"/>
  <c r="G176" i="12"/>
  <c r="J176" i="12"/>
  <c r="Q175" i="12"/>
  <c r="L175" i="12"/>
  <c r="I175" i="12"/>
  <c r="S174" i="12"/>
  <c r="N174" i="12"/>
  <c r="G174" i="12"/>
  <c r="J174" i="12"/>
  <c r="Q173" i="12"/>
  <c r="L173" i="12"/>
  <c r="I173" i="12"/>
  <c r="S172" i="12"/>
  <c r="N172" i="12"/>
  <c r="G172" i="12"/>
  <c r="J172" i="12"/>
  <c r="Q171" i="12"/>
  <c r="L171" i="12"/>
  <c r="I171" i="12"/>
  <c r="S170" i="12"/>
  <c r="N170" i="12"/>
  <c r="G170" i="12"/>
  <c r="J170" i="12"/>
  <c r="Q169" i="12"/>
  <c r="L169" i="12"/>
  <c r="I169" i="12"/>
  <c r="S168" i="12"/>
  <c r="N168" i="12"/>
  <c r="G168" i="12"/>
  <c r="J168" i="12"/>
  <c r="Q167" i="12"/>
  <c r="L167" i="12"/>
  <c r="I167" i="12"/>
  <c r="S166" i="12"/>
  <c r="N166" i="12"/>
  <c r="G166" i="12"/>
  <c r="J166" i="12"/>
  <c r="Q165" i="12"/>
  <c r="L165" i="12"/>
  <c r="I165" i="12"/>
  <c r="S164" i="12"/>
  <c r="N164" i="12"/>
  <c r="G164" i="12"/>
  <c r="J164" i="12"/>
  <c r="Q163" i="12"/>
  <c r="L163" i="12"/>
  <c r="I163" i="12"/>
  <c r="S162" i="12"/>
  <c r="N162" i="12"/>
  <c r="G162" i="12"/>
  <c r="J162" i="12"/>
  <c r="Q161" i="12"/>
  <c r="L161" i="12"/>
  <c r="I161" i="12"/>
  <c r="S160" i="12"/>
  <c r="N160" i="12"/>
  <c r="G160" i="12"/>
  <c r="J160" i="12"/>
  <c r="Q159" i="12"/>
  <c r="L159" i="12"/>
  <c r="I159" i="12"/>
  <c r="S158" i="12"/>
  <c r="N158" i="12"/>
  <c r="G158" i="12"/>
  <c r="J158" i="12"/>
  <c r="Q157" i="12"/>
  <c r="L157" i="12"/>
  <c r="I157" i="12"/>
  <c r="S156" i="12"/>
  <c r="N156" i="12"/>
  <c r="G156" i="12"/>
  <c r="J156" i="12"/>
  <c r="Q155" i="12"/>
  <c r="L155" i="12"/>
  <c r="I155" i="12"/>
  <c r="S154" i="12"/>
  <c r="N154" i="12"/>
  <c r="G154" i="12"/>
  <c r="J154" i="12"/>
  <c r="Q153" i="12"/>
  <c r="L153" i="12"/>
  <c r="I153" i="12"/>
  <c r="S152" i="12"/>
  <c r="N152" i="12"/>
  <c r="G152" i="12"/>
  <c r="J152" i="12"/>
  <c r="Q151" i="12"/>
  <c r="L151" i="12"/>
  <c r="I151" i="12"/>
  <c r="S150" i="12"/>
  <c r="N150" i="12"/>
  <c r="G150" i="12"/>
  <c r="J150" i="12"/>
  <c r="Q149" i="12"/>
  <c r="L149" i="12"/>
  <c r="I149" i="12"/>
  <c r="S148" i="12"/>
  <c r="N148" i="12"/>
  <c r="G148" i="12"/>
  <c r="J148" i="12"/>
  <c r="Q147" i="12"/>
  <c r="L147" i="12"/>
  <c r="I147" i="12"/>
  <c r="S146" i="12"/>
  <c r="N146" i="12"/>
  <c r="G146" i="12"/>
  <c r="J146" i="12"/>
  <c r="Q145" i="12"/>
  <c r="L145" i="12"/>
  <c r="I145" i="12"/>
  <c r="S144" i="12"/>
  <c r="N144" i="12"/>
  <c r="G144" i="12"/>
  <c r="J144" i="12"/>
  <c r="Q143" i="12"/>
  <c r="L143" i="12"/>
  <c r="I143" i="12"/>
  <c r="S142" i="12"/>
  <c r="N142" i="12"/>
  <c r="G142" i="12"/>
  <c r="J142" i="12"/>
  <c r="Q141" i="12"/>
  <c r="L141" i="12"/>
  <c r="I141" i="12"/>
  <c r="S140" i="12"/>
  <c r="N140" i="12"/>
  <c r="G140" i="12"/>
  <c r="J140" i="12"/>
  <c r="Q139" i="12"/>
  <c r="L139" i="12"/>
  <c r="I139" i="12"/>
  <c r="S138" i="12"/>
  <c r="N138" i="12"/>
  <c r="G138" i="12"/>
  <c r="J138" i="12"/>
  <c r="Q137" i="12"/>
  <c r="L137" i="12"/>
  <c r="I137" i="12"/>
  <c r="S136" i="12"/>
  <c r="N136" i="12"/>
  <c r="G136" i="12"/>
  <c r="J136" i="12"/>
  <c r="Q135" i="12"/>
  <c r="L135" i="12"/>
  <c r="I135" i="12"/>
  <c r="S134" i="12"/>
  <c r="N134" i="12"/>
  <c r="G134" i="12"/>
  <c r="J134" i="12"/>
  <c r="Q133" i="12"/>
  <c r="L133" i="12"/>
  <c r="I133" i="12"/>
  <c r="S132" i="12"/>
  <c r="N132" i="12"/>
  <c r="G132" i="12"/>
  <c r="J132" i="12"/>
  <c r="Q131" i="12"/>
  <c r="L131" i="12"/>
  <c r="I131" i="12"/>
  <c r="S130" i="12"/>
  <c r="N130" i="12"/>
  <c r="G130" i="12"/>
  <c r="J130" i="12"/>
  <c r="Q129" i="12"/>
  <c r="L129" i="12"/>
  <c r="I129" i="12"/>
  <c r="S128" i="12"/>
  <c r="N128" i="12"/>
  <c r="G128" i="12"/>
  <c r="J128" i="12"/>
  <c r="Q127" i="12"/>
  <c r="L127" i="12"/>
  <c r="I127" i="12"/>
  <c r="S126" i="12"/>
  <c r="N126" i="12"/>
  <c r="G126" i="12"/>
  <c r="J126" i="12"/>
  <c r="Q125" i="12"/>
  <c r="L125" i="12"/>
  <c r="I125" i="12"/>
  <c r="S124" i="12"/>
  <c r="N124" i="12"/>
  <c r="G124" i="12"/>
  <c r="J124" i="12"/>
  <c r="Q123" i="12"/>
  <c r="L123" i="12"/>
  <c r="I123" i="12"/>
  <c r="S122" i="12"/>
  <c r="N122" i="12"/>
  <c r="G122" i="12"/>
  <c r="J122" i="12"/>
  <c r="Q121" i="12"/>
  <c r="L121" i="12"/>
  <c r="I121" i="12"/>
  <c r="S120" i="12"/>
  <c r="N120" i="12"/>
  <c r="G120" i="12"/>
  <c r="J120" i="12"/>
  <c r="Q119" i="12"/>
  <c r="L119" i="12"/>
  <c r="I119" i="12"/>
  <c r="S118" i="12"/>
  <c r="N118" i="12"/>
  <c r="G118" i="12"/>
  <c r="J118" i="12"/>
  <c r="Q117" i="12"/>
  <c r="L117" i="12"/>
  <c r="I117" i="12"/>
  <c r="S116" i="12"/>
  <c r="N116" i="12"/>
  <c r="G116" i="12"/>
  <c r="J116" i="12"/>
  <c r="Q115" i="12"/>
  <c r="L115" i="12"/>
  <c r="I115" i="12"/>
  <c r="S114" i="12"/>
  <c r="N114" i="12"/>
  <c r="G114" i="12"/>
  <c r="J114" i="12"/>
  <c r="Q113" i="12"/>
  <c r="L113" i="12"/>
  <c r="I113" i="12"/>
  <c r="S112" i="12"/>
  <c r="N112" i="12"/>
  <c r="G112" i="12"/>
  <c r="J112" i="12"/>
  <c r="Q111" i="12"/>
  <c r="L111" i="12"/>
  <c r="I111" i="12"/>
  <c r="S110" i="12"/>
  <c r="N110" i="12"/>
  <c r="G110" i="12"/>
  <c r="J110" i="12"/>
  <c r="Q109" i="12"/>
  <c r="L109" i="12"/>
  <c r="I109" i="12"/>
  <c r="S108" i="12"/>
  <c r="N108" i="12"/>
  <c r="G108" i="12"/>
  <c r="J108" i="12"/>
  <c r="Q107" i="12"/>
  <c r="L107" i="12"/>
  <c r="I107" i="12"/>
  <c r="S106" i="12"/>
  <c r="N106" i="12"/>
  <c r="G106" i="12"/>
  <c r="J106" i="12"/>
  <c r="Q105" i="12"/>
  <c r="L105" i="12"/>
  <c r="I105" i="12"/>
  <c r="S104" i="12"/>
  <c r="N104" i="12"/>
  <c r="D104" i="12"/>
  <c r="H104" i="12"/>
  <c r="R103" i="12"/>
  <c r="M103" i="12"/>
  <c r="G103" i="12"/>
  <c r="J103" i="12"/>
  <c r="Q102" i="12"/>
  <c r="L102" i="12"/>
  <c r="F102" i="12"/>
  <c r="K102" i="12"/>
  <c r="O101" i="12"/>
  <c r="E101" i="12"/>
  <c r="I101" i="12"/>
  <c r="S100" i="12"/>
  <c r="N100" i="12"/>
  <c r="G100" i="12"/>
  <c r="J100" i="12"/>
  <c r="Q99" i="12"/>
  <c r="L99" i="12"/>
  <c r="I99" i="12"/>
  <c r="S98" i="12"/>
  <c r="N98" i="12"/>
  <c r="G98" i="12"/>
  <c r="J98" i="12"/>
  <c r="Q97" i="12"/>
  <c r="L97" i="12"/>
  <c r="I97" i="12"/>
  <c r="S96" i="12"/>
  <c r="N96" i="12"/>
  <c r="G96" i="12"/>
  <c r="J96" i="12"/>
  <c r="Q95" i="12"/>
  <c r="L95" i="12"/>
  <c r="I95" i="12"/>
  <c r="S94" i="12"/>
  <c r="N94" i="12"/>
  <c r="G94" i="12"/>
  <c r="J94" i="12"/>
  <c r="Q93" i="12"/>
  <c r="L93" i="12"/>
  <c r="I93" i="12"/>
  <c r="S92" i="12"/>
  <c r="N92" i="12"/>
  <c r="G92" i="12"/>
  <c r="J92" i="12"/>
  <c r="Q91" i="12"/>
  <c r="L91" i="12"/>
  <c r="I91" i="12"/>
  <c r="S90" i="12"/>
  <c r="N90" i="12"/>
  <c r="G90" i="12"/>
  <c r="J90" i="12"/>
  <c r="Q89" i="12"/>
  <c r="L89" i="12"/>
  <c r="I89" i="12"/>
  <c r="S88" i="12"/>
  <c r="N88" i="12"/>
  <c r="G88" i="12"/>
  <c r="J88" i="12"/>
  <c r="Q87" i="12"/>
  <c r="L87" i="12"/>
  <c r="I87" i="12"/>
  <c r="S86" i="12"/>
  <c r="N86" i="12"/>
  <c r="G86" i="12"/>
  <c r="J86" i="12"/>
  <c r="Q85" i="12"/>
  <c r="L85" i="12"/>
  <c r="I85" i="12"/>
  <c r="S84" i="12"/>
  <c r="N84" i="12"/>
  <c r="G84" i="12"/>
  <c r="J84" i="12"/>
  <c r="Q83" i="12"/>
  <c r="L83" i="12"/>
  <c r="I83" i="12"/>
  <c r="S82" i="12"/>
  <c r="N82" i="12"/>
  <c r="G82" i="12"/>
  <c r="J82" i="12"/>
  <c r="Q81" i="12"/>
  <c r="L81" i="12"/>
  <c r="I81" i="12"/>
  <c r="S80" i="12"/>
  <c r="N80" i="12"/>
  <c r="G80" i="12"/>
  <c r="J80" i="12"/>
  <c r="Q79" i="12"/>
  <c r="L79" i="12"/>
  <c r="I79" i="12"/>
  <c r="S78" i="12"/>
  <c r="N78" i="12"/>
  <c r="G78" i="12"/>
  <c r="J78" i="12"/>
  <c r="Q77" i="12"/>
  <c r="L77" i="12"/>
  <c r="I77" i="12"/>
  <c r="S76" i="12"/>
  <c r="N76" i="12"/>
  <c r="G76" i="12"/>
  <c r="J76" i="12"/>
  <c r="Q75" i="12"/>
  <c r="L75" i="12"/>
  <c r="I75" i="12"/>
  <c r="S74" i="12"/>
  <c r="N74" i="12"/>
  <c r="D74" i="12"/>
  <c r="H74" i="12"/>
  <c r="R73" i="12"/>
  <c r="M73" i="12"/>
  <c r="G73" i="12"/>
  <c r="J73" i="12"/>
  <c r="Q72" i="12"/>
  <c r="L72" i="12"/>
  <c r="F72" i="12"/>
  <c r="K72" i="12"/>
  <c r="O71" i="12"/>
  <c r="D71" i="12"/>
  <c r="H71" i="12"/>
  <c r="R70" i="12"/>
  <c r="M70" i="12"/>
  <c r="F70" i="12"/>
  <c r="K70" i="12"/>
  <c r="O69" i="12"/>
  <c r="D69" i="12"/>
  <c r="H69" i="12"/>
  <c r="R68" i="12"/>
  <c r="M68" i="12"/>
  <c r="F68" i="12"/>
  <c r="K68" i="12"/>
  <c r="O67" i="12"/>
  <c r="D67" i="12"/>
  <c r="H67" i="12"/>
  <c r="R66" i="12"/>
  <c r="M66" i="12"/>
  <c r="F66" i="12"/>
  <c r="K66" i="12"/>
  <c r="O65" i="12"/>
  <c r="D65" i="12"/>
  <c r="H65" i="12"/>
  <c r="R64" i="12"/>
  <c r="M64" i="12"/>
  <c r="F64" i="12"/>
  <c r="K64" i="12"/>
  <c r="O63" i="12"/>
  <c r="D63" i="12"/>
  <c r="H63" i="12"/>
  <c r="R62" i="12"/>
  <c r="M62" i="12"/>
  <c r="F62" i="12"/>
  <c r="K62" i="12"/>
  <c r="O61" i="12"/>
  <c r="D61" i="12"/>
  <c r="H61" i="12"/>
  <c r="R60" i="12"/>
  <c r="M60" i="12"/>
  <c r="F60" i="12"/>
  <c r="K60" i="12"/>
  <c r="O59" i="12"/>
  <c r="D59" i="12"/>
  <c r="H59" i="12"/>
  <c r="R58" i="12"/>
  <c r="M58" i="12"/>
  <c r="F58" i="12"/>
  <c r="K58" i="12"/>
  <c r="O57" i="12"/>
  <c r="D57" i="12"/>
  <c r="H57" i="12"/>
  <c r="R56" i="12"/>
  <c r="M56" i="12"/>
  <c r="F56" i="12"/>
  <c r="K56" i="12"/>
  <c r="O55" i="12"/>
  <c r="D55" i="12"/>
  <c r="H55" i="12"/>
  <c r="R54" i="12"/>
  <c r="M54" i="12"/>
  <c r="F54" i="12"/>
  <c r="K54" i="12"/>
  <c r="O53" i="12"/>
  <c r="D53" i="12"/>
  <c r="H53" i="12"/>
  <c r="R52" i="12"/>
  <c r="M52" i="12"/>
  <c r="F52" i="12"/>
  <c r="K52" i="12"/>
  <c r="O51" i="12"/>
  <c r="D51" i="12"/>
  <c r="H51" i="12"/>
  <c r="R50" i="12"/>
  <c r="M50" i="12"/>
  <c r="F50" i="12"/>
  <c r="K50" i="12"/>
  <c r="O49" i="12"/>
  <c r="D49" i="12"/>
  <c r="H49" i="12"/>
  <c r="R48" i="12"/>
  <c r="M48" i="12"/>
  <c r="F48" i="12"/>
  <c r="K48" i="12"/>
  <c r="O47" i="12"/>
  <c r="D47" i="12"/>
  <c r="H47" i="12"/>
  <c r="R46" i="12"/>
  <c r="M46" i="12"/>
  <c r="F46" i="12"/>
  <c r="K46" i="12"/>
  <c r="O45" i="12"/>
  <c r="D45" i="12"/>
  <c r="H45" i="12"/>
  <c r="R44" i="12"/>
  <c r="M44" i="12"/>
  <c r="F44" i="12"/>
  <c r="K44" i="12"/>
  <c r="O43" i="12"/>
  <c r="D43" i="12"/>
  <c r="H43" i="12"/>
  <c r="R42" i="12"/>
  <c r="M42" i="12"/>
  <c r="F42" i="12"/>
  <c r="K42" i="12"/>
  <c r="O41" i="12"/>
  <c r="D41" i="12"/>
  <c r="H41" i="12"/>
  <c r="R40" i="12"/>
  <c r="M40" i="12"/>
  <c r="F40" i="12"/>
  <c r="K40" i="12"/>
  <c r="O39" i="12"/>
  <c r="D39" i="12"/>
  <c r="H39" i="12"/>
  <c r="R38" i="12"/>
  <c r="M38" i="12"/>
  <c r="F38" i="12"/>
  <c r="K38" i="12"/>
  <c r="O37" i="12"/>
  <c r="D37" i="12"/>
  <c r="H37" i="12"/>
  <c r="R36" i="12"/>
  <c r="M36" i="12"/>
  <c r="F36" i="12"/>
  <c r="K36" i="12"/>
  <c r="O35" i="12"/>
  <c r="D35" i="12"/>
  <c r="H35" i="12"/>
  <c r="R34" i="12"/>
  <c r="M34" i="12"/>
  <c r="F34" i="12"/>
  <c r="K34" i="12"/>
  <c r="O33" i="12"/>
  <c r="D33" i="12"/>
  <c r="H33" i="12"/>
  <c r="R32" i="12"/>
  <c r="M32" i="12"/>
  <c r="F32" i="12"/>
  <c r="K32" i="12"/>
  <c r="O31" i="12"/>
  <c r="D31" i="12"/>
  <c r="H31" i="12"/>
  <c r="R30" i="12"/>
  <c r="M30" i="12"/>
  <c r="F30" i="12"/>
  <c r="K30" i="12"/>
  <c r="O29" i="12"/>
  <c r="D29" i="12"/>
  <c r="H29" i="12"/>
  <c r="R28" i="12"/>
  <c r="M28" i="12"/>
  <c r="F28" i="12"/>
  <c r="K28" i="12"/>
  <c r="O27" i="12"/>
  <c r="D27" i="12"/>
  <c r="H27" i="12"/>
  <c r="R26" i="12"/>
  <c r="M26" i="12"/>
  <c r="F26" i="12"/>
  <c r="K26" i="12"/>
  <c r="O25" i="12"/>
  <c r="D25" i="12"/>
  <c r="H25" i="12"/>
  <c r="R24" i="12"/>
  <c r="M24" i="12"/>
  <c r="F24" i="12"/>
  <c r="K24" i="12"/>
  <c r="O23" i="12"/>
  <c r="D23" i="12"/>
  <c r="H23" i="12"/>
  <c r="R22" i="12"/>
  <c r="M22" i="12"/>
  <c r="F22" i="12"/>
  <c r="K22" i="12"/>
  <c r="O21" i="12"/>
  <c r="D21" i="12"/>
  <c r="H21" i="12"/>
  <c r="R20" i="12"/>
  <c r="M20" i="12"/>
  <c r="F20" i="12"/>
  <c r="K20" i="12"/>
  <c r="O19" i="12"/>
  <c r="D19" i="12"/>
  <c r="H19" i="12"/>
  <c r="R18" i="12"/>
  <c r="M18" i="12"/>
  <c r="F18" i="12"/>
  <c r="K18" i="12"/>
  <c r="O17" i="12"/>
  <c r="D17" i="12"/>
  <c r="H17" i="12"/>
  <c r="R16" i="12"/>
  <c r="M16" i="12"/>
  <c r="F16" i="12"/>
  <c r="K16" i="12"/>
  <c r="O15" i="12"/>
  <c r="D15" i="12"/>
  <c r="H15" i="12"/>
  <c r="R14" i="12"/>
  <c r="M14" i="12"/>
  <c r="F14" i="12"/>
  <c r="K14" i="12"/>
  <c r="O13" i="12"/>
  <c r="D13" i="12"/>
  <c r="H13" i="12"/>
  <c r="R12" i="12"/>
  <c r="M12" i="12"/>
  <c r="F12" i="12"/>
  <c r="K12" i="12"/>
  <c r="O11" i="12"/>
  <c r="D11" i="12"/>
  <c r="H11" i="12"/>
  <c r="R10" i="12"/>
  <c r="M10" i="12"/>
  <c r="F10" i="12"/>
  <c r="K10" i="12"/>
  <c r="O9" i="12"/>
  <c r="D9" i="12"/>
  <c r="H9" i="12"/>
  <c r="R8" i="12"/>
  <c r="M8" i="12"/>
  <c r="F8" i="12"/>
  <c r="K8" i="12"/>
  <c r="O7" i="12"/>
  <c r="D7" i="12"/>
  <c r="H7" i="12"/>
  <c r="R6" i="12"/>
  <c r="M6" i="12"/>
  <c r="F6" i="12"/>
  <c r="K6" i="12"/>
  <c r="O5" i="12"/>
  <c r="D5" i="12"/>
  <c r="H5" i="12"/>
  <c r="R4" i="12"/>
  <c r="M4" i="12"/>
  <c r="F4" i="12"/>
  <c r="K4" i="12"/>
  <c r="O3" i="12"/>
  <c r="D3" i="12"/>
  <c r="H3" i="12"/>
  <c r="H221" i="12"/>
  <c r="R220" i="12"/>
  <c r="M220" i="12"/>
  <c r="F220" i="12"/>
  <c r="K220" i="12"/>
  <c r="O219" i="12"/>
  <c r="D219" i="12"/>
  <c r="H219" i="12"/>
  <c r="R218" i="12"/>
  <c r="M218" i="12"/>
  <c r="F218" i="12"/>
  <c r="K218" i="12"/>
  <c r="O217" i="12"/>
  <c r="D217" i="12"/>
  <c r="H217" i="12"/>
  <c r="R216" i="12"/>
  <c r="M216" i="12"/>
  <c r="F216" i="12"/>
  <c r="K216" i="12"/>
  <c r="O215" i="12"/>
  <c r="D215" i="12"/>
  <c r="H215" i="12"/>
  <c r="R214" i="12"/>
  <c r="M214" i="12"/>
  <c r="F214" i="12"/>
  <c r="K214" i="12"/>
  <c r="O213" i="12"/>
  <c r="D213" i="12"/>
  <c r="H213" i="12"/>
  <c r="R212" i="12"/>
  <c r="M212" i="12"/>
  <c r="F212" i="12"/>
  <c r="K212" i="12"/>
  <c r="O211" i="12"/>
  <c r="D211" i="12"/>
  <c r="H211" i="12"/>
  <c r="R210" i="12"/>
  <c r="M210" i="12"/>
  <c r="F210" i="12"/>
  <c r="K210" i="12"/>
  <c r="O209" i="12"/>
  <c r="D209" i="12"/>
  <c r="H209" i="12"/>
  <c r="R208" i="12"/>
  <c r="M208" i="12"/>
  <c r="F208" i="12"/>
  <c r="K208" i="12"/>
  <c r="O207" i="12"/>
  <c r="D207" i="12"/>
  <c r="H207" i="12"/>
  <c r="R206" i="12"/>
  <c r="M206" i="12"/>
  <c r="F206" i="12"/>
  <c r="K206" i="12"/>
  <c r="O205" i="12"/>
  <c r="D205" i="12"/>
  <c r="H205" i="12"/>
  <c r="R204" i="12"/>
  <c r="M204" i="12"/>
  <c r="F204" i="12"/>
  <c r="K204" i="12"/>
  <c r="O203" i="12"/>
  <c r="D203" i="12"/>
  <c r="H203" i="12"/>
  <c r="R202" i="12"/>
  <c r="M202" i="12"/>
  <c r="F202" i="12"/>
  <c r="K202" i="12"/>
  <c r="O201" i="12"/>
  <c r="D201" i="12"/>
  <c r="H201" i="12"/>
  <c r="R200" i="12"/>
  <c r="M200" i="12"/>
  <c r="F200" i="12"/>
  <c r="K200" i="12"/>
  <c r="O199" i="12"/>
  <c r="D199" i="12"/>
  <c r="H199" i="12"/>
  <c r="R198" i="12"/>
  <c r="M198" i="12"/>
  <c r="F198" i="12"/>
  <c r="K198" i="12"/>
  <c r="O197" i="12"/>
  <c r="D197" i="12"/>
  <c r="H197" i="12"/>
  <c r="R196" i="12"/>
  <c r="M196" i="12"/>
  <c r="F196" i="12"/>
  <c r="K196" i="12"/>
  <c r="O195" i="12"/>
  <c r="D195" i="12"/>
  <c r="H195" i="12"/>
  <c r="R194" i="12"/>
  <c r="M194" i="12"/>
  <c r="F194" i="12"/>
  <c r="K194" i="12"/>
  <c r="O193" i="12"/>
  <c r="D193" i="12"/>
  <c r="H193" i="12"/>
  <c r="R192" i="12"/>
  <c r="M192" i="12"/>
  <c r="F192" i="12"/>
  <c r="K192" i="12"/>
  <c r="O191" i="12"/>
  <c r="D191" i="12"/>
  <c r="H191" i="12"/>
  <c r="R190" i="12"/>
  <c r="M190" i="12"/>
  <c r="F190" i="12"/>
  <c r="K190" i="12"/>
  <c r="O189" i="12"/>
  <c r="D189" i="12"/>
  <c r="H189" i="12"/>
  <c r="R188" i="12"/>
  <c r="M188" i="12"/>
  <c r="F188" i="12"/>
  <c r="K188" i="12"/>
  <c r="O187" i="12"/>
  <c r="D187" i="12"/>
  <c r="H187" i="12"/>
  <c r="R186" i="12"/>
  <c r="M186" i="12"/>
  <c r="F186" i="12"/>
  <c r="K186" i="12"/>
  <c r="O185" i="12"/>
  <c r="D185" i="12"/>
  <c r="H185" i="12"/>
  <c r="R184" i="12"/>
  <c r="M184" i="12"/>
  <c r="F184" i="12"/>
  <c r="K184" i="12"/>
  <c r="O183" i="12"/>
  <c r="D183" i="12"/>
  <c r="H183" i="12"/>
  <c r="R182" i="12"/>
  <c r="M182" i="12"/>
  <c r="F182" i="12"/>
  <c r="K182" i="12"/>
  <c r="O181" i="12"/>
  <c r="D181" i="12"/>
  <c r="H181" i="12"/>
  <c r="R180" i="12"/>
  <c r="M180" i="12"/>
  <c r="F180" i="12"/>
  <c r="K180" i="12"/>
  <c r="O179" i="12"/>
  <c r="D179" i="12"/>
  <c r="H179" i="12"/>
  <c r="R178" i="12"/>
  <c r="M178" i="12"/>
  <c r="F178" i="12"/>
  <c r="K178" i="12"/>
  <c r="O177" i="12"/>
  <c r="D177" i="12"/>
  <c r="H177" i="12"/>
  <c r="R176" i="12"/>
  <c r="M176" i="12"/>
  <c r="F176" i="12"/>
  <c r="K176" i="12"/>
  <c r="O175" i="12"/>
  <c r="D175" i="12"/>
  <c r="H175" i="12"/>
  <c r="R174" i="12"/>
  <c r="M174" i="12"/>
  <c r="F174" i="12"/>
  <c r="K174" i="12"/>
  <c r="O173" i="12"/>
  <c r="D173" i="12"/>
  <c r="H173" i="12"/>
  <c r="R172" i="12"/>
  <c r="M172" i="12"/>
  <c r="F172" i="12"/>
  <c r="K172" i="12"/>
  <c r="O171" i="12"/>
  <c r="D171" i="12"/>
  <c r="H171" i="12"/>
  <c r="R170" i="12"/>
  <c r="M170" i="12"/>
  <c r="F170" i="12"/>
  <c r="K170" i="12"/>
  <c r="O169" i="12"/>
  <c r="D169" i="12"/>
  <c r="H169" i="12"/>
  <c r="R168" i="12"/>
  <c r="M168" i="12"/>
  <c r="F168" i="12"/>
  <c r="K168" i="12"/>
  <c r="O167" i="12"/>
  <c r="D167" i="12"/>
  <c r="H167" i="12"/>
  <c r="R166" i="12"/>
  <c r="M166" i="12"/>
  <c r="F166" i="12"/>
  <c r="K166" i="12"/>
  <c r="O165" i="12"/>
  <c r="D165" i="12"/>
  <c r="H165" i="12"/>
  <c r="R164" i="12"/>
  <c r="M164" i="12"/>
  <c r="F164" i="12"/>
  <c r="K164" i="12"/>
  <c r="O163" i="12"/>
  <c r="D163" i="12"/>
  <c r="H163" i="12"/>
  <c r="R162" i="12"/>
  <c r="M162" i="12"/>
  <c r="F162" i="12"/>
  <c r="K162" i="12"/>
  <c r="O161" i="12"/>
  <c r="D161" i="12"/>
  <c r="H161" i="12"/>
  <c r="R160" i="12"/>
  <c r="M160" i="12"/>
  <c r="F160" i="12"/>
  <c r="K160" i="12"/>
  <c r="O159" i="12"/>
  <c r="D159" i="12"/>
  <c r="H159" i="12"/>
  <c r="R158" i="12"/>
  <c r="M158" i="12"/>
  <c r="F158" i="12"/>
  <c r="K158" i="12"/>
  <c r="O157" i="12"/>
  <c r="D157" i="12"/>
  <c r="H157" i="12"/>
  <c r="R156" i="12"/>
  <c r="M156" i="12"/>
  <c r="F156" i="12"/>
  <c r="K156" i="12"/>
  <c r="O155" i="12"/>
  <c r="D155" i="12"/>
  <c r="H155" i="12"/>
  <c r="R154" i="12"/>
  <c r="M154" i="12"/>
  <c r="F154" i="12"/>
  <c r="K154" i="12"/>
  <c r="O153" i="12"/>
  <c r="D153" i="12"/>
  <c r="H153" i="12"/>
  <c r="R152" i="12"/>
  <c r="M152" i="12"/>
  <c r="F152" i="12"/>
  <c r="K152" i="12"/>
  <c r="O151" i="12"/>
  <c r="D151" i="12"/>
  <c r="H151" i="12"/>
  <c r="R150" i="12"/>
  <c r="M150" i="12"/>
  <c r="F150" i="12"/>
  <c r="K150" i="12"/>
  <c r="O149" i="12"/>
  <c r="D149" i="12"/>
  <c r="H149" i="12"/>
  <c r="R148" i="12"/>
  <c r="M148" i="12"/>
  <c r="F148" i="12"/>
  <c r="K148" i="12"/>
  <c r="O147" i="12"/>
  <c r="D147" i="12"/>
  <c r="H147" i="12"/>
  <c r="R146" i="12"/>
  <c r="M146" i="12"/>
  <c r="F146" i="12"/>
  <c r="K146" i="12"/>
  <c r="O145" i="12"/>
  <c r="D145" i="12"/>
  <c r="H145" i="12"/>
  <c r="R144" i="12"/>
  <c r="M144" i="12"/>
  <c r="F144" i="12"/>
  <c r="K144" i="12"/>
  <c r="O143" i="12"/>
  <c r="D143" i="12"/>
  <c r="H143" i="12"/>
  <c r="R142" i="12"/>
  <c r="M142" i="12"/>
  <c r="F142" i="12"/>
  <c r="K142" i="12"/>
  <c r="O141" i="12"/>
  <c r="D141" i="12"/>
  <c r="H141" i="12"/>
  <c r="R140" i="12"/>
  <c r="M140" i="12"/>
  <c r="F140" i="12"/>
  <c r="K140" i="12"/>
  <c r="O139" i="12"/>
  <c r="D139" i="12"/>
  <c r="H139" i="12"/>
  <c r="R138" i="12"/>
  <c r="M138" i="12"/>
  <c r="F138" i="12"/>
  <c r="K138" i="12"/>
  <c r="O137" i="12"/>
  <c r="D137" i="12"/>
  <c r="H137" i="12"/>
  <c r="R136" i="12"/>
  <c r="M136" i="12"/>
  <c r="F136" i="12"/>
  <c r="K136" i="12"/>
  <c r="O135" i="12"/>
  <c r="D135" i="12"/>
  <c r="H135" i="12"/>
  <c r="R134" i="12"/>
  <c r="M134" i="12"/>
  <c r="F134" i="12"/>
  <c r="K134" i="12"/>
  <c r="O133" i="12"/>
  <c r="D133" i="12"/>
  <c r="H133" i="12"/>
  <c r="R132" i="12"/>
  <c r="M132" i="12"/>
  <c r="F132" i="12"/>
  <c r="K132" i="12"/>
  <c r="O131" i="12"/>
  <c r="D131" i="12"/>
  <c r="H131" i="12"/>
  <c r="R130" i="12"/>
  <c r="M130" i="12"/>
  <c r="F130" i="12"/>
  <c r="K130" i="12"/>
  <c r="O129" i="12"/>
  <c r="D129" i="12"/>
  <c r="H129" i="12"/>
  <c r="R128" i="12"/>
  <c r="M128" i="12"/>
  <c r="F128" i="12"/>
  <c r="K128" i="12"/>
  <c r="O127" i="12"/>
  <c r="D127" i="12"/>
  <c r="H127" i="12"/>
  <c r="R126" i="12"/>
  <c r="M126" i="12"/>
  <c r="F126" i="12"/>
  <c r="K126" i="12"/>
  <c r="O125" i="12"/>
  <c r="D125" i="12"/>
  <c r="H125" i="12"/>
  <c r="R124" i="12"/>
  <c r="M124" i="12"/>
  <c r="F124" i="12"/>
  <c r="K124" i="12"/>
  <c r="O123" i="12"/>
  <c r="D123" i="12"/>
  <c r="H123" i="12"/>
  <c r="R122" i="12"/>
  <c r="M122" i="12"/>
  <c r="F122" i="12"/>
  <c r="K122" i="12"/>
  <c r="O121" i="12"/>
  <c r="D121" i="12"/>
  <c r="H121" i="12"/>
  <c r="R120" i="12"/>
  <c r="M120" i="12"/>
  <c r="F120" i="12"/>
  <c r="K120" i="12"/>
  <c r="O119" i="12"/>
  <c r="D119" i="12"/>
  <c r="H119" i="12"/>
  <c r="R118" i="12"/>
  <c r="M118" i="12"/>
  <c r="F118" i="12"/>
  <c r="K118" i="12"/>
  <c r="O117" i="12"/>
  <c r="D117" i="12"/>
  <c r="H117" i="12"/>
  <c r="R116" i="12"/>
  <c r="M116" i="12"/>
  <c r="F116" i="12"/>
  <c r="K116" i="12"/>
  <c r="O115" i="12"/>
  <c r="D115" i="12"/>
  <c r="H115" i="12"/>
  <c r="R114" i="12"/>
  <c r="M114" i="12"/>
  <c r="F114" i="12"/>
  <c r="K114" i="12"/>
  <c r="O113" i="12"/>
  <c r="D113" i="12"/>
  <c r="H113" i="12"/>
  <c r="R112" i="12"/>
  <c r="M112" i="12"/>
  <c r="F112" i="12"/>
  <c r="K112" i="12"/>
  <c r="O111" i="12"/>
  <c r="D111" i="12"/>
  <c r="H111" i="12"/>
  <c r="R110" i="12"/>
  <c r="M110" i="12"/>
  <c r="F110" i="12"/>
  <c r="K110" i="12"/>
  <c r="O109" i="12"/>
  <c r="D109" i="12"/>
  <c r="H109" i="12"/>
  <c r="R108" i="12"/>
  <c r="M108" i="12"/>
  <c r="F108" i="12"/>
  <c r="K108" i="12"/>
  <c r="O107" i="12"/>
  <c r="D107" i="12"/>
  <c r="H107" i="12"/>
  <c r="R106" i="12"/>
  <c r="M106" i="12"/>
  <c r="F106" i="12"/>
  <c r="K106" i="12"/>
  <c r="O105" i="12"/>
  <c r="D105" i="12"/>
  <c r="H105" i="12"/>
  <c r="R104" i="12"/>
  <c r="M104" i="12"/>
  <c r="G104" i="12"/>
  <c r="J104" i="12"/>
  <c r="Q103" i="12"/>
  <c r="L103" i="12"/>
  <c r="F103" i="12"/>
  <c r="K103" i="12"/>
  <c r="O102" i="12"/>
  <c r="E102" i="12"/>
  <c r="I102" i="12"/>
  <c r="S101" i="12"/>
  <c r="N101" i="12"/>
  <c r="D101" i="12"/>
  <c r="H101" i="12"/>
  <c r="R100" i="12"/>
  <c r="M100" i="12"/>
  <c r="F100" i="12"/>
  <c r="K100" i="12"/>
  <c r="O99" i="12"/>
  <c r="D99" i="12"/>
  <c r="H99" i="12"/>
  <c r="R98" i="12"/>
  <c r="M98" i="12"/>
  <c r="F98" i="12"/>
  <c r="K98" i="12"/>
  <c r="O97" i="12"/>
  <c r="D97" i="12"/>
  <c r="H97" i="12"/>
  <c r="R96" i="12"/>
  <c r="M96" i="12"/>
  <c r="F96" i="12"/>
  <c r="K96" i="12"/>
  <c r="O95" i="12"/>
  <c r="D95" i="12"/>
  <c r="H95" i="12"/>
  <c r="R94" i="12"/>
  <c r="M94" i="12"/>
  <c r="F94" i="12"/>
  <c r="K94" i="12"/>
  <c r="O93" i="12"/>
  <c r="D93" i="12"/>
  <c r="H93" i="12"/>
  <c r="R92" i="12"/>
  <c r="M92" i="12"/>
  <c r="F92" i="12"/>
  <c r="K92" i="12"/>
  <c r="O91" i="12"/>
  <c r="D91" i="12"/>
  <c r="H91" i="12"/>
  <c r="R90" i="12"/>
  <c r="M90" i="12"/>
  <c r="F90" i="12"/>
  <c r="K90" i="12"/>
  <c r="O89" i="12"/>
  <c r="D89" i="12"/>
  <c r="H89" i="12"/>
  <c r="R88" i="12"/>
  <c r="M88" i="12"/>
  <c r="F88" i="12"/>
  <c r="K88" i="12"/>
  <c r="O87" i="12"/>
  <c r="D87" i="12"/>
  <c r="H87" i="12"/>
  <c r="R86" i="12"/>
  <c r="M86" i="12"/>
  <c r="F86" i="12"/>
  <c r="K86" i="12"/>
  <c r="O85" i="12"/>
  <c r="D85" i="12"/>
  <c r="H85" i="12"/>
  <c r="R84" i="12"/>
  <c r="M84" i="12"/>
  <c r="F84" i="12"/>
  <c r="K84" i="12"/>
  <c r="O83" i="12"/>
  <c r="D83" i="12"/>
  <c r="H83" i="12"/>
  <c r="R82" i="12"/>
  <c r="M82" i="12"/>
  <c r="F82" i="12"/>
  <c r="K82" i="12"/>
  <c r="O81" i="12"/>
  <c r="D81" i="12"/>
  <c r="H81" i="12"/>
  <c r="R80" i="12"/>
  <c r="M80" i="12"/>
  <c r="F80" i="12"/>
  <c r="K80" i="12"/>
  <c r="O79" i="12"/>
  <c r="D79" i="12"/>
  <c r="H79" i="12"/>
  <c r="R78" i="12"/>
  <c r="M78" i="12"/>
  <c r="F78" i="12"/>
  <c r="K78" i="12"/>
  <c r="O77" i="12"/>
  <c r="D77" i="12"/>
  <c r="H77" i="12"/>
  <c r="R76" i="12"/>
  <c r="M76" i="12"/>
  <c r="F76" i="12"/>
  <c r="K76" i="12"/>
  <c r="O75" i="12"/>
  <c r="D75" i="12"/>
  <c r="H75" i="12"/>
  <c r="R74" i="12"/>
  <c r="M74" i="12"/>
  <c r="G74" i="12"/>
  <c r="J74" i="12"/>
  <c r="Q73" i="12"/>
  <c r="L73" i="12"/>
  <c r="F73" i="12"/>
  <c r="K73" i="12"/>
  <c r="O72" i="12"/>
  <c r="E72" i="12"/>
  <c r="I72" i="12"/>
  <c r="S71" i="12"/>
  <c r="N71" i="12"/>
  <c r="G71" i="12"/>
  <c r="J71" i="12"/>
  <c r="Q70" i="12"/>
  <c r="L70" i="12"/>
  <c r="I70" i="12"/>
  <c r="S69" i="12"/>
  <c r="N69" i="12"/>
  <c r="G69" i="12"/>
  <c r="J69" i="12"/>
  <c r="Q68" i="12"/>
  <c r="L68" i="12"/>
  <c r="I68" i="12"/>
  <c r="S67" i="12"/>
  <c r="N67" i="12"/>
  <c r="G67" i="12"/>
  <c r="J67" i="12"/>
  <c r="Q66" i="12"/>
  <c r="L66" i="12"/>
  <c r="I66" i="12"/>
  <c r="S65" i="12"/>
  <c r="N65" i="12"/>
  <c r="G65" i="12"/>
  <c r="J65" i="12"/>
  <c r="Q64" i="12"/>
  <c r="L64" i="12"/>
  <c r="I64" i="12"/>
  <c r="S63" i="12"/>
  <c r="N63" i="12"/>
  <c r="G63" i="12"/>
  <c r="J63" i="12"/>
  <c r="Q62" i="12"/>
  <c r="L62" i="12"/>
  <c r="I62" i="12"/>
  <c r="S61" i="12"/>
  <c r="N61" i="12"/>
  <c r="G61" i="12"/>
  <c r="J61" i="12"/>
  <c r="Q60" i="12"/>
  <c r="L60" i="12"/>
  <c r="I60" i="12"/>
  <c r="S59" i="12"/>
  <c r="N59" i="12"/>
  <c r="G59" i="12"/>
  <c r="J59" i="12"/>
  <c r="Q58" i="12"/>
  <c r="L58" i="12"/>
  <c r="I58" i="12"/>
  <c r="S57" i="12"/>
  <c r="N57" i="12"/>
  <c r="G57" i="12"/>
  <c r="J57" i="12"/>
  <c r="Q56" i="12"/>
  <c r="L56" i="12"/>
  <c r="I56" i="12"/>
  <c r="S55" i="12"/>
  <c r="N55" i="12"/>
  <c r="G55" i="12"/>
  <c r="J55" i="12"/>
  <c r="Q54" i="12"/>
  <c r="L54" i="12"/>
  <c r="I54" i="12"/>
  <c r="S53" i="12"/>
  <c r="N53" i="12"/>
  <c r="G53" i="12"/>
  <c r="J53" i="12"/>
  <c r="Q52" i="12"/>
  <c r="L52" i="12"/>
  <c r="I52" i="12"/>
  <c r="S51" i="12"/>
  <c r="N51" i="12"/>
  <c r="G51" i="12"/>
  <c r="J51" i="12"/>
  <c r="Q50" i="12"/>
  <c r="L50" i="12"/>
  <c r="I50" i="12"/>
  <c r="S49" i="12"/>
  <c r="N49" i="12"/>
  <c r="G49" i="12"/>
  <c r="J49" i="12"/>
  <c r="Q48" i="12"/>
  <c r="L48" i="12"/>
  <c r="I48" i="12"/>
  <c r="S47" i="12"/>
  <c r="N47" i="12"/>
  <c r="G47" i="12"/>
  <c r="J47" i="12"/>
  <c r="Q46" i="12"/>
  <c r="L46" i="12"/>
  <c r="I46" i="12"/>
  <c r="S45" i="12"/>
  <c r="N45" i="12"/>
  <c r="G45" i="12"/>
  <c r="J45" i="12"/>
  <c r="Q44" i="12"/>
  <c r="L44" i="12"/>
  <c r="I44" i="12"/>
  <c r="S43" i="12"/>
  <c r="N43" i="12"/>
  <c r="G43" i="12"/>
  <c r="J43" i="12"/>
  <c r="Q42" i="12"/>
  <c r="L42" i="12"/>
  <c r="I42" i="12"/>
  <c r="S41" i="12"/>
  <c r="N41" i="12"/>
  <c r="G41" i="12"/>
  <c r="J41" i="12"/>
  <c r="Q40" i="12"/>
  <c r="L40" i="12"/>
  <c r="I40" i="12"/>
  <c r="S39" i="12"/>
  <c r="N39" i="12"/>
  <c r="G39" i="12"/>
  <c r="J39" i="12"/>
  <c r="Q38" i="12"/>
  <c r="L38" i="12"/>
  <c r="I38" i="12"/>
  <c r="S37" i="12"/>
  <c r="N37" i="12"/>
  <c r="G37" i="12"/>
  <c r="J37" i="12"/>
  <c r="Q36" i="12"/>
  <c r="L36" i="12"/>
  <c r="I36" i="12"/>
  <c r="S35" i="12"/>
  <c r="N35" i="12"/>
  <c r="G35" i="12"/>
  <c r="J35" i="12"/>
  <c r="Q34" i="12"/>
  <c r="L34" i="12"/>
  <c r="I34" i="12"/>
  <c r="S33" i="12"/>
  <c r="N33" i="12"/>
  <c r="G33" i="12"/>
  <c r="J33" i="12"/>
  <c r="Q32" i="12"/>
  <c r="L32" i="12"/>
  <c r="I32" i="12"/>
  <c r="S31" i="12"/>
  <c r="N31" i="12"/>
  <c r="G31" i="12"/>
  <c r="J31" i="12"/>
  <c r="Q30" i="12"/>
  <c r="L30" i="12"/>
  <c r="I30" i="12"/>
  <c r="S29" i="12"/>
  <c r="N29" i="12"/>
  <c r="G29" i="12"/>
  <c r="J29" i="12"/>
  <c r="Q28" i="12"/>
  <c r="L28" i="12"/>
  <c r="I28" i="12"/>
  <c r="S27" i="12"/>
  <c r="N27" i="12"/>
  <c r="G27" i="12"/>
  <c r="J27" i="12"/>
  <c r="Q26" i="12"/>
  <c r="L26" i="12"/>
  <c r="I26" i="12"/>
  <c r="S25" i="12"/>
  <c r="N25" i="12"/>
  <c r="G25" i="12"/>
  <c r="J25" i="12"/>
  <c r="Q24" i="12"/>
  <c r="L24" i="12"/>
  <c r="I24" i="12"/>
  <c r="S23" i="12"/>
  <c r="N23" i="12"/>
  <c r="G23" i="12"/>
  <c r="J23" i="12"/>
  <c r="Q22" i="12"/>
  <c r="L22" i="12"/>
  <c r="I22" i="12"/>
  <c r="S21" i="12"/>
  <c r="N21" i="12"/>
  <c r="G21" i="12"/>
  <c r="J21" i="12"/>
  <c r="Q20" i="12"/>
  <c r="L20" i="12"/>
  <c r="I20" i="12"/>
  <c r="S19" i="12"/>
  <c r="N19" i="12"/>
  <c r="G19" i="12"/>
  <c r="J19" i="12"/>
  <c r="Q18" i="12"/>
  <c r="L18" i="12"/>
  <c r="I18" i="12"/>
  <c r="S17" i="12"/>
  <c r="N17" i="12"/>
  <c r="G17" i="12"/>
  <c r="J17" i="12"/>
  <c r="Q16" i="12"/>
  <c r="L16" i="12"/>
  <c r="I16" i="12"/>
  <c r="S15" i="12"/>
  <c r="N15" i="12"/>
  <c r="G15" i="12"/>
  <c r="J15" i="12"/>
  <c r="Q14" i="12"/>
  <c r="L14" i="12"/>
  <c r="I14" i="12"/>
  <c r="S13" i="12"/>
  <c r="N13" i="12"/>
  <c r="G13" i="12"/>
  <c r="J13" i="12"/>
  <c r="Q12" i="12"/>
  <c r="L12" i="12"/>
  <c r="I12" i="12"/>
  <c r="S11" i="12"/>
  <c r="N11" i="12"/>
  <c r="G11" i="12"/>
  <c r="J11" i="12"/>
  <c r="Q10" i="12"/>
  <c r="L10" i="12"/>
  <c r="I10" i="12"/>
  <c r="S9" i="12"/>
  <c r="N9" i="12"/>
  <c r="G9" i="12"/>
  <c r="J9" i="12"/>
  <c r="Q8" i="12"/>
  <c r="L8" i="12"/>
  <c r="I8" i="12"/>
  <c r="S7" i="12"/>
  <c r="N7" i="12"/>
  <c r="G7" i="12"/>
  <c r="J7" i="12"/>
  <c r="Q6" i="12"/>
  <c r="L6" i="12"/>
  <c r="I6" i="12"/>
  <c r="S5" i="12"/>
  <c r="N5" i="12"/>
  <c r="G5" i="12"/>
  <c r="J5" i="12"/>
  <c r="Q4" i="12"/>
  <c r="L4" i="12"/>
  <c r="I4" i="12"/>
  <c r="S3" i="12"/>
  <c r="N3" i="12"/>
  <c r="G3" i="12"/>
  <c r="J3" i="12"/>
  <c r="R443" i="12"/>
  <c r="F443" i="12"/>
  <c r="O442" i="12"/>
  <c r="R441" i="12"/>
  <c r="K441" i="12"/>
  <c r="O440" i="12"/>
  <c r="H440" i="12"/>
  <c r="F439" i="12"/>
  <c r="O438" i="12"/>
  <c r="H438" i="12"/>
  <c r="M437" i="12"/>
  <c r="K437" i="12"/>
  <c r="H436" i="12"/>
  <c r="M435" i="12"/>
  <c r="K435" i="12"/>
  <c r="D434" i="12"/>
  <c r="R433" i="12"/>
  <c r="F433" i="12"/>
  <c r="O432" i="12"/>
  <c r="H432" i="12"/>
  <c r="F431" i="12"/>
  <c r="K431" i="12"/>
  <c r="D430" i="12"/>
  <c r="R429" i="12"/>
  <c r="K429" i="12"/>
  <c r="D428" i="12"/>
  <c r="H428" i="12"/>
  <c r="M427" i="12"/>
  <c r="K427" i="12"/>
  <c r="D426" i="12"/>
  <c r="R425" i="12"/>
  <c r="F425" i="12"/>
  <c r="O424" i="12"/>
  <c r="H424" i="12"/>
  <c r="M423" i="12"/>
  <c r="K423" i="12"/>
  <c r="D422" i="12"/>
  <c r="R421" i="12"/>
  <c r="F421" i="12"/>
  <c r="O420" i="12"/>
  <c r="R419" i="12"/>
  <c r="F419" i="12"/>
  <c r="K419" i="12"/>
  <c r="D418" i="12"/>
  <c r="R417" i="12"/>
  <c r="K417" i="12"/>
  <c r="D416" i="12"/>
  <c r="R415" i="12"/>
  <c r="M415" i="12"/>
  <c r="K415" i="12"/>
  <c r="D414" i="12"/>
  <c r="R413" i="12"/>
  <c r="K413" i="12"/>
  <c r="D412" i="12"/>
  <c r="R411" i="12"/>
  <c r="F411" i="12"/>
  <c r="O410" i="12"/>
  <c r="H410" i="12"/>
  <c r="M409" i="12"/>
  <c r="F409" i="12"/>
  <c r="O408" i="12"/>
  <c r="R407" i="12"/>
  <c r="F407" i="12"/>
  <c r="O406" i="12"/>
  <c r="H406" i="12"/>
  <c r="R405" i="12"/>
  <c r="F405" i="12"/>
  <c r="O404" i="12"/>
  <c r="R403" i="12"/>
  <c r="F403" i="12"/>
  <c r="O402" i="12"/>
  <c r="H402" i="12"/>
  <c r="M401" i="12"/>
  <c r="F401" i="12"/>
  <c r="O400" i="12"/>
  <c r="H400" i="12"/>
  <c r="M399" i="12"/>
  <c r="K399" i="12"/>
  <c r="D398" i="12"/>
  <c r="R397" i="12"/>
  <c r="F397" i="12"/>
  <c r="O396" i="12"/>
  <c r="H396" i="12"/>
  <c r="M395" i="12"/>
  <c r="K395" i="12"/>
  <c r="D394" i="12"/>
  <c r="R393" i="12"/>
  <c r="M393" i="12"/>
  <c r="K393" i="12"/>
  <c r="D392" i="12"/>
  <c r="R391" i="12"/>
  <c r="M391" i="12"/>
  <c r="K391" i="12"/>
  <c r="D390" i="12"/>
  <c r="R389" i="12"/>
  <c r="F389" i="12"/>
  <c r="O388" i="12"/>
  <c r="H388" i="12"/>
  <c r="M387" i="12"/>
  <c r="K387" i="12"/>
  <c r="D386" i="12"/>
  <c r="R385" i="12"/>
  <c r="K385" i="12"/>
  <c r="D384" i="12"/>
  <c r="R383" i="12"/>
  <c r="M383" i="12"/>
  <c r="K383" i="12"/>
  <c r="D382" i="12"/>
  <c r="R381" i="12"/>
  <c r="K381" i="12"/>
  <c r="D380" i="12"/>
  <c r="R379" i="12"/>
  <c r="F379" i="12"/>
  <c r="D378" i="12"/>
  <c r="R377" i="12"/>
  <c r="F377" i="12"/>
  <c r="O376" i="12"/>
  <c r="H376" i="12"/>
  <c r="M375" i="12"/>
  <c r="K375" i="12"/>
  <c r="D374" i="12"/>
  <c r="R373" i="12"/>
  <c r="K373" i="12"/>
  <c r="H372" i="12"/>
  <c r="M371" i="12"/>
  <c r="K371" i="12"/>
  <c r="D370" i="12"/>
  <c r="R369" i="12"/>
  <c r="M369" i="12"/>
  <c r="F369" i="12"/>
  <c r="O368" i="12"/>
  <c r="H368" i="12"/>
  <c r="M367" i="12"/>
  <c r="K367" i="12"/>
  <c r="H366" i="12"/>
  <c r="M365" i="12"/>
  <c r="K365" i="12"/>
  <c r="D364" i="12"/>
  <c r="R363" i="12"/>
  <c r="F363" i="12"/>
  <c r="O362" i="12"/>
  <c r="R361" i="12"/>
  <c r="F361" i="12"/>
  <c r="O360" i="12"/>
  <c r="H360" i="12"/>
  <c r="M359" i="12"/>
  <c r="K359" i="12"/>
  <c r="D358" i="12"/>
  <c r="R357" i="12"/>
  <c r="K357" i="12"/>
  <c r="O356" i="12"/>
  <c r="H356" i="12"/>
  <c r="M355" i="12"/>
  <c r="K355" i="12"/>
  <c r="D354" i="12"/>
  <c r="R353" i="12"/>
  <c r="F353" i="12"/>
  <c r="O352" i="12"/>
  <c r="H352" i="12"/>
  <c r="R351" i="12"/>
  <c r="F351" i="12"/>
  <c r="O350" i="12"/>
  <c r="D350" i="12"/>
  <c r="R349" i="12"/>
  <c r="F349" i="12"/>
  <c r="O348" i="12"/>
  <c r="D348" i="12"/>
  <c r="R347" i="12"/>
  <c r="F347" i="12"/>
  <c r="D346" i="12"/>
  <c r="M345" i="12"/>
  <c r="K345" i="12"/>
  <c r="D344" i="12"/>
  <c r="R343" i="12"/>
  <c r="K343" i="12"/>
  <c r="D342" i="12"/>
  <c r="R341" i="12"/>
  <c r="F341" i="12"/>
  <c r="D340" i="12"/>
  <c r="F339" i="12"/>
  <c r="O338" i="12"/>
  <c r="H338" i="12"/>
  <c r="M337" i="12"/>
  <c r="K337" i="12"/>
  <c r="D336" i="12"/>
  <c r="R335" i="12"/>
  <c r="F335" i="12"/>
  <c r="O334" i="12"/>
  <c r="R333" i="12"/>
  <c r="F333" i="12"/>
  <c r="O332" i="12"/>
  <c r="H332" i="12"/>
  <c r="R331" i="12"/>
  <c r="F331" i="12"/>
  <c r="D330" i="12"/>
  <c r="R329" i="12"/>
  <c r="F329" i="12"/>
  <c r="O328" i="12"/>
  <c r="H328" i="12"/>
  <c r="M327" i="12"/>
  <c r="K327" i="12"/>
  <c r="H326" i="12"/>
  <c r="M325" i="12"/>
  <c r="K325" i="12"/>
  <c r="D324" i="12"/>
  <c r="R323" i="12"/>
  <c r="F323" i="12"/>
  <c r="O322" i="12"/>
  <c r="H322" i="12"/>
  <c r="M321" i="12"/>
  <c r="K321" i="12"/>
  <c r="D320" i="12"/>
  <c r="R319" i="12"/>
  <c r="F319" i="12"/>
  <c r="O318" i="12"/>
  <c r="H318" i="12"/>
  <c r="M317" i="12"/>
  <c r="K317" i="12"/>
  <c r="D316" i="12"/>
  <c r="R315" i="12"/>
  <c r="F315" i="12"/>
  <c r="D314" i="12"/>
  <c r="R313" i="12"/>
  <c r="F313" i="12"/>
  <c r="O312" i="12"/>
  <c r="R311" i="12"/>
  <c r="F311" i="12"/>
  <c r="O310" i="12"/>
  <c r="D310" i="12"/>
  <c r="R309" i="12"/>
  <c r="F309" i="12"/>
  <c r="O308" i="12"/>
  <c r="H308" i="12"/>
  <c r="M307" i="12"/>
  <c r="K307" i="12"/>
  <c r="D306" i="12"/>
  <c r="R305" i="12"/>
  <c r="F305" i="12"/>
  <c r="O304" i="12"/>
  <c r="H304" i="12"/>
  <c r="M303" i="12"/>
  <c r="K303" i="12"/>
  <c r="D302" i="12"/>
  <c r="R301" i="12"/>
  <c r="K301" i="12"/>
  <c r="D300" i="12"/>
  <c r="R299" i="12"/>
  <c r="M299" i="12"/>
  <c r="K299" i="12"/>
  <c r="R297" i="12"/>
  <c r="F297" i="12"/>
  <c r="O296" i="12"/>
  <c r="H296" i="12"/>
  <c r="M295" i="12"/>
  <c r="K295" i="12"/>
  <c r="D294" i="12"/>
  <c r="R293" i="12"/>
  <c r="F293" i="12"/>
  <c r="O292" i="12"/>
  <c r="H292" i="12"/>
  <c r="M291" i="12"/>
  <c r="K291" i="12"/>
  <c r="O290" i="12"/>
  <c r="H290" i="12"/>
  <c r="M289" i="12"/>
  <c r="F289" i="12"/>
  <c r="O288" i="12"/>
  <c r="H288" i="12"/>
  <c r="M287" i="12"/>
  <c r="F287" i="12"/>
  <c r="O286" i="12"/>
  <c r="H286" i="12"/>
  <c r="M285" i="12"/>
  <c r="K285" i="12"/>
  <c r="O284" i="12"/>
  <c r="D284" i="12"/>
  <c r="R283" i="12"/>
  <c r="F283" i="12"/>
  <c r="D282" i="12"/>
  <c r="R281" i="12"/>
  <c r="F281" i="12"/>
  <c r="O280" i="12"/>
  <c r="H280" i="12"/>
  <c r="M279" i="12"/>
  <c r="K279" i="12"/>
  <c r="D278" i="12"/>
  <c r="R277" i="12"/>
  <c r="F277" i="12"/>
  <c r="O276" i="12"/>
  <c r="H276" i="12"/>
  <c r="R275" i="12"/>
  <c r="F275" i="12"/>
  <c r="O274" i="12"/>
  <c r="H274" i="12"/>
  <c r="M273" i="12"/>
  <c r="K273" i="12"/>
  <c r="D272" i="12"/>
  <c r="R271" i="12"/>
  <c r="F271" i="12"/>
  <c r="D270" i="12"/>
  <c r="R269" i="12"/>
  <c r="F269" i="12"/>
  <c r="O268" i="12"/>
  <c r="H268" i="12"/>
  <c r="M267" i="12"/>
  <c r="K267" i="12"/>
  <c r="D266" i="12"/>
  <c r="R265" i="12"/>
  <c r="F265" i="12"/>
  <c r="O264" i="12"/>
  <c r="H264" i="12"/>
  <c r="R263" i="12"/>
  <c r="F263" i="12"/>
  <c r="O262" i="12"/>
  <c r="H262" i="12"/>
  <c r="M261" i="12"/>
  <c r="O260" i="12"/>
  <c r="H260" i="12"/>
  <c r="M259" i="12"/>
  <c r="K259" i="12"/>
  <c r="D258" i="12"/>
  <c r="R257" i="12"/>
  <c r="K257" i="12"/>
  <c r="D256" i="12"/>
  <c r="R255" i="12"/>
  <c r="F255" i="12"/>
  <c r="O254" i="12"/>
  <c r="D254" i="12"/>
  <c r="R253" i="12"/>
  <c r="F253" i="12"/>
  <c r="O252" i="12"/>
  <c r="H252" i="12"/>
  <c r="M251" i="12"/>
  <c r="K251" i="12"/>
  <c r="D250" i="12"/>
  <c r="R249" i="12"/>
  <c r="K249" i="12"/>
  <c r="D248" i="12"/>
  <c r="R247" i="12"/>
  <c r="F247" i="12"/>
  <c r="O246" i="12"/>
  <c r="H246" i="12"/>
  <c r="M245" i="12"/>
  <c r="K245" i="12"/>
  <c r="D244" i="12"/>
  <c r="R243" i="12"/>
  <c r="F243" i="12"/>
  <c r="D242" i="12"/>
  <c r="R241" i="12"/>
  <c r="K241" i="12"/>
  <c r="D240" i="12"/>
  <c r="R239" i="12"/>
  <c r="F239" i="12"/>
  <c r="O238" i="12"/>
  <c r="R237" i="12"/>
  <c r="K237" i="12"/>
  <c r="D236" i="12"/>
  <c r="R235" i="12"/>
  <c r="F235" i="12"/>
  <c r="O234" i="12"/>
  <c r="R233" i="12"/>
  <c r="F233" i="12"/>
  <c r="O232" i="12"/>
  <c r="H232" i="12"/>
  <c r="M231" i="12"/>
  <c r="F231" i="12"/>
  <c r="D230" i="12"/>
  <c r="M229" i="12"/>
  <c r="K229" i="12"/>
  <c r="D228" i="12"/>
  <c r="H228" i="12"/>
  <c r="M227" i="12"/>
  <c r="K227" i="12"/>
  <c r="D226" i="12"/>
  <c r="R225" i="12"/>
  <c r="K225" i="12"/>
  <c r="O224" i="12"/>
  <c r="H224" i="12"/>
  <c r="M223" i="12"/>
  <c r="K223" i="12"/>
  <c r="D222" i="12"/>
  <c r="M221" i="12"/>
  <c r="K221" i="12"/>
  <c r="D220" i="12"/>
  <c r="M219" i="12"/>
  <c r="K219" i="12"/>
  <c r="D218" i="12"/>
  <c r="R217" i="12"/>
  <c r="F217" i="12"/>
  <c r="K217" i="12"/>
  <c r="D216" i="12"/>
  <c r="R215" i="12"/>
  <c r="F215" i="12"/>
  <c r="O214" i="12"/>
  <c r="H214" i="12"/>
  <c r="M213" i="12"/>
  <c r="K213" i="12"/>
  <c r="D212" i="12"/>
  <c r="R211" i="12"/>
  <c r="O210" i="12"/>
  <c r="O192" i="12"/>
  <c r="O443" i="12"/>
  <c r="D443" i="12"/>
  <c r="H443" i="12"/>
  <c r="R442" i="12"/>
  <c r="M442" i="12"/>
  <c r="F442" i="12"/>
  <c r="K442" i="12"/>
  <c r="O441" i="12"/>
  <c r="D441" i="12"/>
  <c r="H441" i="12"/>
  <c r="R440" i="12"/>
  <c r="M440" i="12"/>
  <c r="F440" i="12"/>
  <c r="K440" i="12"/>
  <c r="O439" i="12"/>
  <c r="D439" i="12"/>
  <c r="H439" i="12"/>
  <c r="R438" i="12"/>
  <c r="M438" i="12"/>
  <c r="F438" i="12"/>
  <c r="K438" i="12"/>
  <c r="O437" i="12"/>
  <c r="D437" i="12"/>
  <c r="H437" i="12"/>
  <c r="R436" i="12"/>
  <c r="M436" i="12"/>
  <c r="F436" i="12"/>
  <c r="K436" i="12"/>
  <c r="O435" i="12"/>
  <c r="D435" i="12"/>
  <c r="H435" i="12"/>
  <c r="R434" i="12"/>
  <c r="M434" i="12"/>
  <c r="F434" i="12"/>
  <c r="K434" i="12"/>
  <c r="O433" i="12"/>
  <c r="D433" i="12"/>
  <c r="H433" i="12"/>
  <c r="R432" i="12"/>
  <c r="M432" i="12"/>
  <c r="F432" i="12"/>
  <c r="K432" i="12"/>
  <c r="O431" i="12"/>
  <c r="D431" i="12"/>
  <c r="H431" i="12"/>
  <c r="R430" i="12"/>
  <c r="M430" i="12"/>
  <c r="F430" i="12"/>
  <c r="K430" i="12"/>
  <c r="O429" i="12"/>
  <c r="D429" i="12"/>
  <c r="H429" i="12"/>
  <c r="R428" i="12"/>
  <c r="M428" i="12"/>
  <c r="F428" i="12"/>
  <c r="K428" i="12"/>
  <c r="O427" i="12"/>
  <c r="D427" i="12"/>
  <c r="H427" i="12"/>
  <c r="R426" i="12"/>
  <c r="M426" i="12"/>
  <c r="F426" i="12"/>
  <c r="K426" i="12"/>
  <c r="O425" i="12"/>
  <c r="D425" i="12"/>
  <c r="H425" i="12"/>
  <c r="R424" i="12"/>
  <c r="M424" i="12"/>
  <c r="F424" i="12"/>
  <c r="K424" i="12"/>
  <c r="O423" i="12"/>
  <c r="D423" i="12"/>
  <c r="H423" i="12"/>
  <c r="R422" i="12"/>
  <c r="M422" i="12"/>
  <c r="F422" i="12"/>
  <c r="K422" i="12"/>
  <c r="O421" i="12"/>
  <c r="D421" i="12"/>
  <c r="H421" i="12"/>
  <c r="R420" i="12"/>
  <c r="M420" i="12"/>
  <c r="F420" i="12"/>
  <c r="K420" i="12"/>
  <c r="O419" i="12"/>
  <c r="D419" i="12"/>
  <c r="H419" i="12"/>
  <c r="R418" i="12"/>
  <c r="M418" i="12"/>
  <c r="F418" i="12"/>
  <c r="K418" i="12"/>
  <c r="O417" i="12"/>
  <c r="D417" i="12"/>
  <c r="H417" i="12"/>
  <c r="R416" i="12"/>
  <c r="M416" i="12"/>
  <c r="F416" i="12"/>
  <c r="K416" i="12"/>
  <c r="O415" i="12"/>
  <c r="D415" i="12"/>
  <c r="H415" i="12"/>
  <c r="R414" i="12"/>
  <c r="M414" i="12"/>
  <c r="F414" i="12"/>
  <c r="K414" i="12"/>
  <c r="O413" i="12"/>
  <c r="D413" i="12"/>
  <c r="H413" i="12"/>
  <c r="R412" i="12"/>
  <c r="M412" i="12"/>
  <c r="F412" i="12"/>
  <c r="K412" i="12"/>
  <c r="O411" i="12"/>
  <c r="D411" i="12"/>
  <c r="H411" i="12"/>
  <c r="R410" i="12"/>
  <c r="M410" i="12"/>
  <c r="F410" i="12"/>
  <c r="K410" i="12"/>
  <c r="O409" i="12"/>
  <c r="D409" i="12"/>
  <c r="H409" i="12"/>
  <c r="R408" i="12"/>
  <c r="M408" i="12"/>
  <c r="F408" i="12"/>
  <c r="K408" i="12"/>
  <c r="O407" i="12"/>
  <c r="D407" i="12"/>
  <c r="H407" i="12"/>
  <c r="R406" i="12"/>
  <c r="M406" i="12"/>
  <c r="F406" i="12"/>
  <c r="K406" i="12"/>
  <c r="O405" i="12"/>
  <c r="D405" i="12"/>
  <c r="H405" i="12"/>
  <c r="R404" i="12"/>
  <c r="M404" i="12"/>
  <c r="F404" i="12"/>
  <c r="K404" i="12"/>
  <c r="O403" i="12"/>
  <c r="D403" i="12"/>
  <c r="H403" i="12"/>
  <c r="R402" i="12"/>
  <c r="M402" i="12"/>
  <c r="F402" i="12"/>
  <c r="K402" i="12"/>
  <c r="O401" i="12"/>
  <c r="D401" i="12"/>
  <c r="H401" i="12"/>
  <c r="R400" i="12"/>
  <c r="M400" i="12"/>
  <c r="F400" i="12"/>
  <c r="K400" i="12"/>
  <c r="O399" i="12"/>
  <c r="D399" i="12"/>
  <c r="H399" i="12"/>
  <c r="R398" i="12"/>
  <c r="M398" i="12"/>
  <c r="F398" i="12"/>
  <c r="K398" i="12"/>
  <c r="O397" i="12"/>
  <c r="D397" i="12"/>
  <c r="H397" i="12"/>
  <c r="R396" i="12"/>
  <c r="M396" i="12"/>
  <c r="F396" i="12"/>
  <c r="K396" i="12"/>
  <c r="O395" i="12"/>
  <c r="D395" i="12"/>
  <c r="H395" i="12"/>
  <c r="R394" i="12"/>
  <c r="M394" i="12"/>
  <c r="F394" i="12"/>
  <c r="K394" i="12"/>
  <c r="O393" i="12"/>
  <c r="D393" i="12"/>
  <c r="H393" i="12"/>
  <c r="R392" i="12"/>
  <c r="M392" i="12"/>
  <c r="F392" i="12"/>
  <c r="K392" i="12"/>
  <c r="O391" i="12"/>
  <c r="D391" i="12"/>
  <c r="H391" i="12"/>
  <c r="R390" i="12"/>
  <c r="M390" i="12"/>
  <c r="F390" i="12"/>
  <c r="K390" i="12"/>
  <c r="O389" i="12"/>
  <c r="D389" i="12"/>
  <c r="H389" i="12"/>
  <c r="R388" i="12"/>
  <c r="M388" i="12"/>
  <c r="F388" i="12"/>
  <c r="K388" i="12"/>
  <c r="O387" i="12"/>
  <c r="D387" i="12"/>
  <c r="H387" i="12"/>
  <c r="R386" i="12"/>
  <c r="M386" i="12"/>
  <c r="F386" i="12"/>
  <c r="K386" i="12"/>
  <c r="O385" i="12"/>
  <c r="D385" i="12"/>
  <c r="H385" i="12"/>
  <c r="R384" i="12"/>
  <c r="M384" i="12"/>
  <c r="F384" i="12"/>
  <c r="K384" i="12"/>
  <c r="O383" i="12"/>
  <c r="D383" i="12"/>
  <c r="H383" i="12"/>
  <c r="R382" i="12"/>
  <c r="M382" i="12"/>
  <c r="F382" i="12"/>
  <c r="K382" i="12"/>
  <c r="O381" i="12"/>
  <c r="D381" i="12"/>
  <c r="H381" i="12"/>
  <c r="R380" i="12"/>
  <c r="M380" i="12"/>
  <c r="F380" i="12"/>
  <c r="K380" i="12"/>
  <c r="O379" i="12"/>
  <c r="D379" i="12"/>
  <c r="H379" i="12"/>
  <c r="R378" i="12"/>
  <c r="M378" i="12"/>
  <c r="F378" i="12"/>
  <c r="K378" i="12"/>
  <c r="O377" i="12"/>
  <c r="D377" i="12"/>
  <c r="H377" i="12"/>
  <c r="R376" i="12"/>
  <c r="M376" i="12"/>
  <c r="F376" i="12"/>
  <c r="K376" i="12"/>
  <c r="O375" i="12"/>
  <c r="D375" i="12"/>
  <c r="H375" i="12"/>
  <c r="R374" i="12"/>
  <c r="M374" i="12"/>
  <c r="F374" i="12"/>
  <c r="K374" i="12"/>
  <c r="O373" i="12"/>
  <c r="D373" i="12"/>
  <c r="H373" i="12"/>
  <c r="R372" i="12"/>
  <c r="M372" i="12"/>
  <c r="F372" i="12"/>
  <c r="K372" i="12"/>
  <c r="O371" i="12"/>
  <c r="D371" i="12"/>
  <c r="H371" i="12"/>
  <c r="R370" i="12"/>
  <c r="M370" i="12"/>
  <c r="F370" i="12"/>
  <c r="K370" i="12"/>
  <c r="O369" i="12"/>
  <c r="D369" i="12"/>
  <c r="H369" i="12"/>
  <c r="R368" i="12"/>
  <c r="M368" i="12"/>
  <c r="F368" i="12"/>
  <c r="K368" i="12"/>
  <c r="O367" i="12"/>
  <c r="D367" i="12"/>
  <c r="H367" i="12"/>
  <c r="R366" i="12"/>
  <c r="M366" i="12"/>
  <c r="F366" i="12"/>
  <c r="K366" i="12"/>
  <c r="O365" i="12"/>
  <c r="D365" i="12"/>
  <c r="H365" i="12"/>
  <c r="R364" i="12"/>
  <c r="M364" i="12"/>
  <c r="F364" i="12"/>
  <c r="K364" i="12"/>
  <c r="O363" i="12"/>
  <c r="D363" i="12"/>
  <c r="H363" i="12"/>
  <c r="R362" i="12"/>
  <c r="M362" i="12"/>
  <c r="F362" i="12"/>
  <c r="K362" i="12"/>
  <c r="O361" i="12"/>
  <c r="D361" i="12"/>
  <c r="H361" i="12"/>
  <c r="R360" i="12"/>
  <c r="M360" i="12"/>
  <c r="F360" i="12"/>
  <c r="K360" i="12"/>
  <c r="O359" i="12"/>
  <c r="D359" i="12"/>
  <c r="H359" i="12"/>
  <c r="R358" i="12"/>
  <c r="M358" i="12"/>
  <c r="F358" i="12"/>
  <c r="K358" i="12"/>
  <c r="O357" i="12"/>
  <c r="D357" i="12"/>
  <c r="H357" i="12"/>
  <c r="R356" i="12"/>
  <c r="M356" i="12"/>
  <c r="F356" i="12"/>
  <c r="K356" i="12"/>
  <c r="O355" i="12"/>
  <c r="D355" i="12"/>
  <c r="H355" i="12"/>
  <c r="R354" i="12"/>
  <c r="M354" i="12"/>
  <c r="F354" i="12"/>
  <c r="K354" i="12"/>
  <c r="O353" i="12"/>
  <c r="D353" i="12"/>
  <c r="H353" i="12"/>
  <c r="R352" i="12"/>
  <c r="M352" i="12"/>
  <c r="F352" i="12"/>
  <c r="K352" i="12"/>
  <c r="O351" i="12"/>
  <c r="D351" i="12"/>
  <c r="H351" i="12"/>
  <c r="R350" i="12"/>
  <c r="M350" i="12"/>
  <c r="F350" i="12"/>
  <c r="K350" i="12"/>
  <c r="O349" i="12"/>
  <c r="D349" i="12"/>
  <c r="H349" i="12"/>
  <c r="R348" i="12"/>
  <c r="M348" i="12"/>
  <c r="F348" i="12"/>
  <c r="K348" i="12"/>
  <c r="O347" i="12"/>
  <c r="D347" i="12"/>
  <c r="H347" i="12"/>
  <c r="R346" i="12"/>
  <c r="M346" i="12"/>
  <c r="F346" i="12"/>
  <c r="K346" i="12"/>
  <c r="O345" i="12"/>
  <c r="D345" i="12"/>
  <c r="H345" i="12"/>
  <c r="R344" i="12"/>
  <c r="M344" i="12"/>
  <c r="F344" i="12"/>
  <c r="K344" i="12"/>
  <c r="O343" i="12"/>
  <c r="D343" i="12"/>
  <c r="H343" i="12"/>
  <c r="R342" i="12"/>
  <c r="M342" i="12"/>
  <c r="F342" i="12"/>
  <c r="K342" i="12"/>
  <c r="O341" i="12"/>
  <c r="D341" i="12"/>
  <c r="H341" i="12"/>
  <c r="R340" i="12"/>
  <c r="M340" i="12"/>
  <c r="F340" i="12"/>
  <c r="K340" i="12"/>
  <c r="O339" i="12"/>
  <c r="D339" i="12"/>
  <c r="H339" i="12"/>
  <c r="R338" i="12"/>
  <c r="M338" i="12"/>
  <c r="F338" i="12"/>
  <c r="K338" i="12"/>
  <c r="O337" i="12"/>
  <c r="D337" i="12"/>
  <c r="H337" i="12"/>
  <c r="R336" i="12"/>
  <c r="M336" i="12"/>
  <c r="F336" i="12"/>
  <c r="K336" i="12"/>
  <c r="O335" i="12"/>
  <c r="D335" i="12"/>
  <c r="H335" i="12"/>
  <c r="R334" i="12"/>
  <c r="M334" i="12"/>
  <c r="F334" i="12"/>
  <c r="K334" i="12"/>
  <c r="O333" i="12"/>
  <c r="D333" i="12"/>
  <c r="H333" i="12"/>
  <c r="R332" i="12"/>
  <c r="M332" i="12"/>
  <c r="F332" i="12"/>
  <c r="K332" i="12"/>
  <c r="O331" i="12"/>
  <c r="D331" i="12"/>
  <c r="H331" i="12"/>
  <c r="R330" i="12"/>
  <c r="M330" i="12"/>
  <c r="F330" i="12"/>
  <c r="K330" i="12"/>
  <c r="O329" i="12"/>
  <c r="D329" i="12"/>
  <c r="H329" i="12"/>
  <c r="R328" i="12"/>
  <c r="M328" i="12"/>
  <c r="F328" i="12"/>
  <c r="K328" i="12"/>
  <c r="O327" i="12"/>
  <c r="D327" i="12"/>
  <c r="H327" i="12"/>
  <c r="R326" i="12"/>
  <c r="M326" i="12"/>
  <c r="F326" i="12"/>
  <c r="K326" i="12"/>
  <c r="O325" i="12"/>
  <c r="D325" i="12"/>
  <c r="H325" i="12"/>
  <c r="R324" i="12"/>
  <c r="M324" i="12"/>
  <c r="F324" i="12"/>
  <c r="K324" i="12"/>
  <c r="O323" i="12"/>
  <c r="D323" i="12"/>
  <c r="H323" i="12"/>
  <c r="R322" i="12"/>
  <c r="M322" i="12"/>
  <c r="F322" i="12"/>
  <c r="K322" i="12"/>
  <c r="O321" i="12"/>
  <c r="D321" i="12"/>
  <c r="H321" i="12"/>
  <c r="R320" i="12"/>
  <c r="M320" i="12"/>
  <c r="F320" i="12"/>
  <c r="K320" i="12"/>
  <c r="O319" i="12"/>
  <c r="D319" i="12"/>
  <c r="H319" i="12"/>
  <c r="R318" i="12"/>
  <c r="M318" i="12"/>
  <c r="F318" i="12"/>
  <c r="K318" i="12"/>
  <c r="O317" i="12"/>
  <c r="D317" i="12"/>
  <c r="H317" i="12"/>
  <c r="R316" i="12"/>
  <c r="M316" i="12"/>
  <c r="F316" i="12"/>
  <c r="K316" i="12"/>
  <c r="O315" i="12"/>
  <c r="D315" i="12"/>
  <c r="H315" i="12"/>
  <c r="R314" i="12"/>
  <c r="M314" i="12"/>
  <c r="F314" i="12"/>
  <c r="K314" i="12"/>
  <c r="O313" i="12"/>
  <c r="D313" i="12"/>
  <c r="H313" i="12"/>
  <c r="R312" i="12"/>
  <c r="M312" i="12"/>
  <c r="F312" i="12"/>
  <c r="K312" i="12"/>
  <c r="O311" i="12"/>
  <c r="D311" i="12"/>
  <c r="H311" i="12"/>
  <c r="R310" i="12"/>
  <c r="M310" i="12"/>
  <c r="F310" i="12"/>
  <c r="K310" i="12"/>
  <c r="O309" i="12"/>
  <c r="D309" i="12"/>
  <c r="H309" i="12"/>
  <c r="R308" i="12"/>
  <c r="M308" i="12"/>
  <c r="F308" i="12"/>
  <c r="K308" i="12"/>
  <c r="O307" i="12"/>
  <c r="D307" i="12"/>
  <c r="H307" i="12"/>
  <c r="R306" i="12"/>
  <c r="M306" i="12"/>
  <c r="F306" i="12"/>
  <c r="K306" i="12"/>
  <c r="O305" i="12"/>
  <c r="D305" i="12"/>
  <c r="H305" i="12"/>
  <c r="R304" i="12"/>
  <c r="M304" i="12"/>
  <c r="F304" i="12"/>
  <c r="K304" i="12"/>
  <c r="O303" i="12"/>
  <c r="D303" i="12"/>
  <c r="H303" i="12"/>
  <c r="R302" i="12"/>
  <c r="M302" i="12"/>
  <c r="F302" i="12"/>
  <c r="K302" i="12"/>
  <c r="O301" i="12"/>
  <c r="D301" i="12"/>
  <c r="H301" i="12"/>
  <c r="R300" i="12"/>
  <c r="M300" i="12"/>
  <c r="F300" i="12"/>
  <c r="K300" i="12"/>
  <c r="O299" i="12"/>
  <c r="D299" i="12"/>
  <c r="H299" i="12"/>
  <c r="R298" i="12"/>
  <c r="M298" i="12"/>
  <c r="F298" i="12"/>
  <c r="K298" i="12"/>
  <c r="O297" i="12"/>
  <c r="D297" i="12"/>
  <c r="H297" i="12"/>
  <c r="R296" i="12"/>
  <c r="M296" i="12"/>
  <c r="F296" i="12"/>
  <c r="K296" i="12"/>
  <c r="O295" i="12"/>
  <c r="D295" i="12"/>
  <c r="H295" i="12"/>
  <c r="R294" i="12"/>
  <c r="M294" i="12"/>
  <c r="F294" i="12"/>
  <c r="K294" i="12"/>
  <c r="O293" i="12"/>
  <c r="D293" i="12"/>
  <c r="H293" i="12"/>
  <c r="R292" i="12"/>
  <c r="M292" i="12"/>
  <c r="F292" i="12"/>
  <c r="K292" i="12"/>
  <c r="O291" i="12"/>
  <c r="D291" i="12"/>
  <c r="H291" i="12"/>
  <c r="R290" i="12"/>
  <c r="M290" i="12"/>
  <c r="F290" i="12"/>
  <c r="K290" i="12"/>
  <c r="O289" i="12"/>
  <c r="D289" i="12"/>
  <c r="H289" i="12"/>
  <c r="R288" i="12"/>
  <c r="M288" i="12"/>
  <c r="F288" i="12"/>
  <c r="K288" i="12"/>
  <c r="O287" i="12"/>
  <c r="D287" i="12"/>
  <c r="H287" i="12"/>
  <c r="R286" i="12"/>
  <c r="M286" i="12"/>
  <c r="F286" i="12"/>
  <c r="K286" i="12"/>
  <c r="O285" i="12"/>
  <c r="D285" i="12"/>
  <c r="H285" i="12"/>
  <c r="R284" i="12"/>
  <c r="M284" i="12"/>
  <c r="F284" i="12"/>
  <c r="K284" i="12"/>
  <c r="O283" i="12"/>
  <c r="D283" i="12"/>
  <c r="H283" i="12"/>
  <c r="R282" i="12"/>
  <c r="M282" i="12"/>
  <c r="F282" i="12"/>
  <c r="K282" i="12"/>
  <c r="O281" i="12"/>
  <c r="D281" i="12"/>
  <c r="H281" i="12"/>
  <c r="R280" i="12"/>
  <c r="M280" i="12"/>
  <c r="F280" i="12"/>
  <c r="K280" i="12"/>
  <c r="O279" i="12"/>
  <c r="D279" i="12"/>
  <c r="H279" i="12"/>
  <c r="R278" i="12"/>
  <c r="M278" i="12"/>
  <c r="F278" i="12"/>
  <c r="K278" i="12"/>
  <c r="O277" i="12"/>
  <c r="D277" i="12"/>
  <c r="H277" i="12"/>
  <c r="R276" i="12"/>
  <c r="M276" i="12"/>
  <c r="F276" i="12"/>
  <c r="K276" i="12"/>
  <c r="O275" i="12"/>
  <c r="D275" i="12"/>
  <c r="H275" i="12"/>
  <c r="R274" i="12"/>
  <c r="M274" i="12"/>
  <c r="F274" i="12"/>
  <c r="K274" i="12"/>
  <c r="O273" i="12"/>
  <c r="D273" i="12"/>
  <c r="H273" i="12"/>
  <c r="R272" i="12"/>
  <c r="M272" i="12"/>
  <c r="F272" i="12"/>
  <c r="K272" i="12"/>
  <c r="O271" i="12"/>
  <c r="D271" i="12"/>
  <c r="H271" i="12"/>
  <c r="R270" i="12"/>
  <c r="M270" i="12"/>
  <c r="F270" i="12"/>
  <c r="K270" i="12"/>
  <c r="O269" i="12"/>
  <c r="D269" i="12"/>
  <c r="H269" i="12"/>
  <c r="R268" i="12"/>
  <c r="M268" i="12"/>
  <c r="F268" i="12"/>
  <c r="K268" i="12"/>
  <c r="O267" i="12"/>
  <c r="D267" i="12"/>
  <c r="H267" i="12"/>
  <c r="R266" i="12"/>
  <c r="M266" i="12"/>
  <c r="F266" i="12"/>
  <c r="K266" i="12"/>
  <c r="O265" i="12"/>
  <c r="D265" i="12"/>
  <c r="H265" i="12"/>
  <c r="R264" i="12"/>
  <c r="M264" i="12"/>
  <c r="F264" i="12"/>
  <c r="K264" i="12"/>
  <c r="O263" i="12"/>
  <c r="D263" i="12"/>
  <c r="H263" i="12"/>
  <c r="R262" i="12"/>
  <c r="M262" i="12"/>
  <c r="F262" i="12"/>
  <c r="K262" i="12"/>
  <c r="O261" i="12"/>
  <c r="D261" i="12"/>
  <c r="H261" i="12"/>
  <c r="R260" i="12"/>
  <c r="M260" i="12"/>
  <c r="F260" i="12"/>
  <c r="K260" i="12"/>
  <c r="O259" i="12"/>
  <c r="D259" i="12"/>
  <c r="H259" i="12"/>
  <c r="R258" i="12"/>
  <c r="M258" i="12"/>
  <c r="F258" i="12"/>
  <c r="K258" i="12"/>
  <c r="O257" i="12"/>
  <c r="D257" i="12"/>
  <c r="H257" i="12"/>
  <c r="R256" i="12"/>
  <c r="M256" i="12"/>
  <c r="F256" i="12"/>
  <c r="K256" i="12"/>
  <c r="O255" i="12"/>
  <c r="D255" i="12"/>
  <c r="H255" i="12"/>
  <c r="R254" i="12"/>
  <c r="M254" i="12"/>
  <c r="F254" i="12"/>
  <c r="K254" i="12"/>
  <c r="O253" i="12"/>
  <c r="D253" i="12"/>
  <c r="H253" i="12"/>
  <c r="R252" i="12"/>
  <c r="M252" i="12"/>
  <c r="F252" i="12"/>
  <c r="K252" i="12"/>
  <c r="O251" i="12"/>
  <c r="D251" i="12"/>
  <c r="H251" i="12"/>
  <c r="R250" i="12"/>
  <c r="M250" i="12"/>
  <c r="F250" i="12"/>
  <c r="K250" i="12"/>
  <c r="O249" i="12"/>
  <c r="D249" i="12"/>
  <c r="H249" i="12"/>
  <c r="R248" i="12"/>
  <c r="M248" i="12"/>
  <c r="F248" i="12"/>
  <c r="K248" i="12"/>
  <c r="O247" i="12"/>
  <c r="D247" i="12"/>
  <c r="H247" i="12"/>
  <c r="R246" i="12"/>
  <c r="M246" i="12"/>
  <c r="F246" i="12"/>
  <c r="K246" i="12"/>
  <c r="O245" i="12"/>
  <c r="D245" i="12"/>
  <c r="H245" i="12"/>
  <c r="R244" i="12"/>
  <c r="M244" i="12"/>
  <c r="F244" i="12"/>
  <c r="K244" i="12"/>
  <c r="O243" i="12"/>
  <c r="D243" i="12"/>
  <c r="H243" i="12"/>
  <c r="R242" i="12"/>
  <c r="M242" i="12"/>
  <c r="F242" i="12"/>
  <c r="K242" i="12"/>
  <c r="O241" i="12"/>
  <c r="D241" i="12"/>
  <c r="H241" i="12"/>
  <c r="R240" i="12"/>
  <c r="M240" i="12"/>
  <c r="F240" i="12"/>
  <c r="K240" i="12"/>
  <c r="O239" i="12"/>
  <c r="D239" i="12"/>
  <c r="H239" i="12"/>
  <c r="R238" i="12"/>
  <c r="M238" i="12"/>
  <c r="F238" i="12"/>
  <c r="K238" i="12"/>
  <c r="O237" i="12"/>
  <c r="D237" i="12"/>
  <c r="H237" i="12"/>
  <c r="R236" i="12"/>
  <c r="M236" i="12"/>
  <c r="F236" i="12"/>
  <c r="K236" i="12"/>
  <c r="O235" i="12"/>
  <c r="D235" i="12"/>
  <c r="H235" i="12"/>
  <c r="R234" i="12"/>
  <c r="M234" i="12"/>
  <c r="F234" i="12"/>
  <c r="K234" i="12"/>
  <c r="O233" i="12"/>
  <c r="D233" i="12"/>
  <c r="H233" i="12"/>
  <c r="R232" i="12"/>
  <c r="M232" i="12"/>
  <c r="F232" i="12"/>
  <c r="K232" i="12"/>
  <c r="O231" i="12"/>
  <c r="D231" i="12"/>
  <c r="H231" i="12"/>
  <c r="R230" i="12"/>
  <c r="M230" i="12"/>
  <c r="F230" i="12"/>
  <c r="K230" i="12"/>
  <c r="O229" i="12"/>
  <c r="D229" i="12"/>
  <c r="H229" i="12"/>
  <c r="R228" i="12"/>
  <c r="M228" i="12"/>
  <c r="F228" i="12"/>
  <c r="K228" i="12"/>
  <c r="O227" i="12"/>
  <c r="D227" i="12"/>
  <c r="H227" i="12"/>
  <c r="R226" i="12"/>
  <c r="M226" i="12"/>
  <c r="F226" i="12"/>
  <c r="K226" i="12"/>
  <c r="O225" i="12"/>
  <c r="D225" i="12"/>
  <c r="H225" i="12"/>
  <c r="R224" i="12"/>
  <c r="M224" i="12"/>
  <c r="F224" i="12"/>
  <c r="K224" i="12"/>
  <c r="O223" i="12"/>
  <c r="D223" i="12"/>
  <c r="H223" i="12"/>
  <c r="R222" i="12"/>
  <c r="M222" i="12"/>
  <c r="F222" i="12"/>
  <c r="K222" i="12"/>
  <c r="O221" i="12"/>
  <c r="D221" i="12"/>
  <c r="S443" i="12"/>
  <c r="N443" i="12"/>
  <c r="G443" i="12"/>
  <c r="J443" i="12"/>
  <c r="Q442" i="12"/>
  <c r="L442" i="12"/>
  <c r="I442" i="12"/>
  <c r="S441" i="12"/>
  <c r="N441" i="12"/>
  <c r="G441" i="12"/>
  <c r="J441" i="12"/>
  <c r="Q440" i="12"/>
  <c r="L440" i="12"/>
  <c r="I440" i="12"/>
  <c r="S439" i="12"/>
  <c r="N439" i="12"/>
  <c r="G439" i="12"/>
  <c r="J439" i="12"/>
  <c r="Q438" i="12"/>
  <c r="L438" i="12"/>
  <c r="I438" i="12"/>
  <c r="S437" i="12"/>
  <c r="N437" i="12"/>
  <c r="G437" i="12"/>
  <c r="J437" i="12"/>
  <c r="Q436" i="12"/>
  <c r="L436" i="12"/>
  <c r="I436" i="12"/>
  <c r="S435" i="12"/>
  <c r="N435" i="12"/>
  <c r="G435" i="12"/>
  <c r="J435" i="12"/>
  <c r="Q434" i="12"/>
  <c r="L434" i="12"/>
  <c r="I434" i="12"/>
  <c r="S433" i="12"/>
  <c r="N433" i="12"/>
  <c r="G433" i="12"/>
  <c r="J433" i="12"/>
  <c r="Q432" i="12"/>
  <c r="L432" i="12"/>
  <c r="I432" i="12"/>
  <c r="S431" i="12"/>
  <c r="N431" i="12"/>
  <c r="G431" i="12"/>
  <c r="J431" i="12"/>
  <c r="Q430" i="12"/>
  <c r="L430" i="12"/>
  <c r="I430" i="12"/>
  <c r="S429" i="12"/>
  <c r="N429" i="12"/>
  <c r="G429" i="12"/>
  <c r="J429" i="12"/>
  <c r="Q428" i="12"/>
  <c r="L428" i="12"/>
  <c r="I428" i="12"/>
  <c r="S427" i="12"/>
  <c r="N427" i="12"/>
  <c r="G427" i="12"/>
  <c r="J427" i="12"/>
  <c r="Q426" i="12"/>
  <c r="L426" i="12"/>
  <c r="I426" i="12"/>
  <c r="S425" i="12"/>
  <c r="N425" i="12"/>
  <c r="G425" i="12"/>
  <c r="J425" i="12"/>
  <c r="Q424" i="12"/>
  <c r="L424" i="12"/>
  <c r="I424" i="12"/>
  <c r="S423" i="12"/>
  <c r="N423" i="12"/>
  <c r="G423" i="12"/>
  <c r="J423" i="12"/>
  <c r="Q422" i="12"/>
  <c r="L422" i="12"/>
  <c r="I422" i="12"/>
  <c r="S421" i="12"/>
  <c r="N421" i="12"/>
  <c r="G421" i="12"/>
  <c r="J421" i="12"/>
  <c r="Q420" i="12"/>
  <c r="L420" i="12"/>
  <c r="I420" i="12"/>
  <c r="S419" i="12"/>
  <c r="N419" i="12"/>
  <c r="G419" i="12"/>
  <c r="J419" i="12"/>
  <c r="Q418" i="12"/>
  <c r="L418" i="12"/>
  <c r="I418" i="12"/>
  <c r="S417" i="12"/>
  <c r="N417" i="12"/>
  <c r="G417" i="12"/>
  <c r="J417" i="12"/>
  <c r="Q416" i="12"/>
  <c r="L416" i="12"/>
  <c r="I416" i="12"/>
  <c r="S415" i="12"/>
  <c r="N415" i="12"/>
  <c r="G415" i="12"/>
  <c r="J415" i="12"/>
  <c r="Q414" i="12"/>
  <c r="L414" i="12"/>
  <c r="I414" i="12"/>
  <c r="S413" i="12"/>
  <c r="N413" i="12"/>
  <c r="G413" i="12"/>
  <c r="J413" i="12"/>
  <c r="Q412" i="12"/>
  <c r="L412" i="12"/>
  <c r="I412" i="12"/>
  <c r="S411" i="12"/>
  <c r="N411" i="12"/>
  <c r="G411" i="12"/>
  <c r="J411" i="12"/>
  <c r="Q410" i="12"/>
  <c r="L410" i="12"/>
  <c r="I410" i="12"/>
  <c r="S409" i="12"/>
  <c r="N409" i="12"/>
  <c r="G409" i="12"/>
  <c r="J409" i="12"/>
  <c r="Q408" i="12"/>
  <c r="L408" i="12"/>
  <c r="I408" i="12"/>
  <c r="S407" i="12"/>
  <c r="N407" i="12"/>
  <c r="G407" i="12"/>
  <c r="J407" i="12"/>
  <c r="Q406" i="12"/>
  <c r="L406" i="12"/>
  <c r="I406" i="12"/>
  <c r="S405" i="12"/>
  <c r="N405" i="12"/>
  <c r="G405" i="12"/>
  <c r="J405" i="12"/>
  <c r="Q404" i="12"/>
  <c r="L404" i="12"/>
  <c r="I404" i="12"/>
  <c r="S403" i="12"/>
  <c r="N403" i="12"/>
  <c r="G403" i="12"/>
  <c r="J403" i="12"/>
  <c r="Q402" i="12"/>
  <c r="L402" i="12"/>
  <c r="I402" i="12"/>
  <c r="S401" i="12"/>
  <c r="N401" i="12"/>
  <c r="G401" i="12"/>
  <c r="J401" i="12"/>
  <c r="Q400" i="12"/>
  <c r="L400" i="12"/>
  <c r="I400" i="12"/>
  <c r="S399" i="12"/>
  <c r="N399" i="12"/>
  <c r="G399" i="12"/>
  <c r="J399" i="12"/>
  <c r="Q398" i="12"/>
  <c r="L398" i="12"/>
  <c r="I398" i="12"/>
  <c r="S397" i="12"/>
  <c r="N397" i="12"/>
  <c r="G397" i="12"/>
  <c r="J397" i="12"/>
  <c r="Q396" i="12"/>
  <c r="L396" i="12"/>
  <c r="I396" i="12"/>
  <c r="S395" i="12"/>
  <c r="N395" i="12"/>
  <c r="G395" i="12"/>
  <c r="J395" i="12"/>
  <c r="Q394" i="12"/>
  <c r="L394" i="12"/>
  <c r="I394" i="12"/>
  <c r="S393" i="12"/>
  <c r="N393" i="12"/>
  <c r="G393" i="12"/>
  <c r="J393" i="12"/>
  <c r="Q392" i="12"/>
  <c r="L392" i="12"/>
  <c r="I392" i="12"/>
  <c r="S391" i="12"/>
  <c r="N391" i="12"/>
  <c r="G391" i="12"/>
  <c r="J391" i="12"/>
  <c r="Q390" i="12"/>
  <c r="L390" i="12"/>
  <c r="I390" i="12"/>
  <c r="S389" i="12"/>
  <c r="N389" i="12"/>
  <c r="G389" i="12"/>
  <c r="J389" i="12"/>
  <c r="Q388" i="12"/>
  <c r="L388" i="12"/>
  <c r="I388" i="12"/>
  <c r="S387" i="12"/>
  <c r="N387" i="12"/>
  <c r="G387" i="12"/>
  <c r="J387" i="12"/>
  <c r="Q386" i="12"/>
  <c r="L386" i="12"/>
  <c r="I386" i="12"/>
  <c r="S385" i="12"/>
  <c r="N385" i="12"/>
  <c r="G385" i="12"/>
  <c r="J385" i="12"/>
  <c r="Q384" i="12"/>
  <c r="L384" i="12"/>
  <c r="I384" i="12"/>
  <c r="S383" i="12"/>
  <c r="N383" i="12"/>
  <c r="G383" i="12"/>
  <c r="J383" i="12"/>
  <c r="Q382" i="12"/>
  <c r="L382" i="12"/>
  <c r="I382" i="12"/>
  <c r="S381" i="12"/>
  <c r="N381" i="12"/>
  <c r="G381" i="12"/>
  <c r="J381" i="12"/>
  <c r="Q380" i="12"/>
  <c r="L380" i="12"/>
  <c r="I380" i="12"/>
  <c r="S379" i="12"/>
  <c r="N379" i="12"/>
  <c r="G379" i="12"/>
  <c r="J379" i="12"/>
  <c r="Q378" i="12"/>
  <c r="L378" i="12"/>
  <c r="I378" i="12"/>
  <c r="S377" i="12"/>
  <c r="N377" i="12"/>
  <c r="G377" i="12"/>
  <c r="J377" i="12"/>
  <c r="Q376" i="12"/>
  <c r="L376" i="12"/>
  <c r="I376" i="12"/>
  <c r="S375" i="12"/>
  <c r="N375" i="12"/>
  <c r="G375" i="12"/>
  <c r="J375" i="12"/>
  <c r="Q374" i="12"/>
  <c r="L374" i="12"/>
  <c r="I374" i="12"/>
  <c r="S373" i="12"/>
  <c r="N373" i="12"/>
  <c r="G373" i="12"/>
  <c r="J373" i="12"/>
  <c r="Q372" i="12"/>
  <c r="L372" i="12"/>
  <c r="I372" i="12"/>
  <c r="S371" i="12"/>
  <c r="N371" i="12"/>
  <c r="G371" i="12"/>
  <c r="J371" i="12"/>
  <c r="Q370" i="12"/>
  <c r="L370" i="12"/>
  <c r="I370" i="12"/>
  <c r="S369" i="12"/>
  <c r="N369" i="12"/>
  <c r="G369" i="12"/>
  <c r="J369" i="12"/>
  <c r="Q368" i="12"/>
  <c r="L368" i="12"/>
  <c r="I368" i="12"/>
  <c r="S367" i="12"/>
  <c r="N367" i="12"/>
  <c r="G367" i="12"/>
  <c r="J367" i="12"/>
  <c r="Q366" i="12"/>
  <c r="L366" i="12"/>
  <c r="I366" i="12"/>
  <c r="S365" i="12"/>
  <c r="N365" i="12"/>
  <c r="G365" i="12"/>
  <c r="J365" i="12"/>
  <c r="Q364" i="12"/>
  <c r="L364" i="12"/>
  <c r="I364" i="12"/>
  <c r="S363" i="12"/>
  <c r="N363" i="12"/>
  <c r="G363" i="12"/>
  <c r="J363" i="12"/>
  <c r="Q362" i="12"/>
  <c r="L362" i="12"/>
  <c r="I362" i="12"/>
  <c r="S361" i="12"/>
  <c r="N361" i="12"/>
  <c r="G361" i="12"/>
  <c r="J361" i="12"/>
  <c r="Q360" i="12"/>
  <c r="L360" i="12"/>
  <c r="I360" i="12"/>
  <c r="S359" i="12"/>
  <c r="N359" i="12"/>
  <c r="G359" i="12"/>
  <c r="J359" i="12"/>
  <c r="Q358" i="12"/>
  <c r="L358" i="12"/>
  <c r="I358" i="12"/>
  <c r="S357" i="12"/>
  <c r="N357" i="12"/>
  <c r="G357" i="12"/>
  <c r="J357" i="12"/>
  <c r="Q356" i="12"/>
  <c r="L356" i="12"/>
  <c r="I356" i="12"/>
  <c r="S355" i="12"/>
  <c r="N355" i="12"/>
  <c r="G355" i="12"/>
  <c r="J355" i="12"/>
  <c r="Q354" i="12"/>
  <c r="L354" i="12"/>
  <c r="I354" i="12"/>
  <c r="S353" i="12"/>
  <c r="N353" i="12"/>
  <c r="G353" i="12"/>
  <c r="J353" i="12"/>
  <c r="Q352" i="12"/>
  <c r="L352" i="12"/>
  <c r="I352" i="12"/>
  <c r="S351" i="12"/>
  <c r="N351" i="12"/>
  <c r="G351" i="12"/>
  <c r="J351" i="12"/>
  <c r="Q350" i="12"/>
  <c r="L350" i="12"/>
  <c r="I350" i="12"/>
  <c r="S349" i="12"/>
  <c r="N349" i="12"/>
  <c r="G349" i="12"/>
  <c r="J349" i="12"/>
  <c r="Q348" i="12"/>
  <c r="L348" i="12"/>
  <c r="I348" i="12"/>
  <c r="S347" i="12"/>
  <c r="N347" i="12"/>
  <c r="G347" i="12"/>
  <c r="J347" i="12"/>
  <c r="Q346" i="12"/>
  <c r="L346" i="12"/>
  <c r="I346" i="12"/>
  <c r="S345" i="12"/>
  <c r="N345" i="12"/>
  <c r="G345" i="12"/>
  <c r="J345" i="12"/>
  <c r="Q344" i="12"/>
  <c r="L344" i="12"/>
  <c r="I344" i="12"/>
  <c r="S343" i="12"/>
  <c r="N343" i="12"/>
  <c r="G343" i="12"/>
  <c r="J343" i="12"/>
  <c r="Q342" i="12"/>
  <c r="L342" i="12"/>
  <c r="I342" i="12"/>
  <c r="S341" i="12"/>
  <c r="N341" i="12"/>
  <c r="G341" i="12"/>
  <c r="J341" i="12"/>
  <c r="Q340" i="12"/>
  <c r="L340" i="12"/>
  <c r="I340" i="12"/>
  <c r="S339" i="12"/>
  <c r="N339" i="12"/>
  <c r="G339" i="12"/>
  <c r="J339" i="12"/>
  <c r="Q338" i="12"/>
  <c r="L338" i="12"/>
  <c r="I338" i="12"/>
  <c r="S337" i="12"/>
  <c r="N337" i="12"/>
  <c r="G337" i="12"/>
  <c r="J337" i="12"/>
  <c r="Q336" i="12"/>
  <c r="L336" i="12"/>
  <c r="I336" i="12"/>
  <c r="S335" i="12"/>
  <c r="N335" i="12"/>
  <c r="G335" i="12"/>
  <c r="J335" i="12"/>
  <c r="Q334" i="12"/>
  <c r="L334" i="12"/>
  <c r="I334" i="12"/>
  <c r="S333" i="12"/>
  <c r="N333" i="12"/>
  <c r="G333" i="12"/>
  <c r="J333" i="12"/>
  <c r="Q332" i="12"/>
  <c r="L332" i="12"/>
  <c r="I332" i="12"/>
  <c r="S331" i="12"/>
  <c r="N331" i="12"/>
  <c r="G331" i="12"/>
  <c r="J331" i="12"/>
  <c r="Q330" i="12"/>
  <c r="L330" i="12"/>
  <c r="I330" i="12"/>
  <c r="S329" i="12"/>
  <c r="N329" i="12"/>
  <c r="G329" i="12"/>
  <c r="J329" i="12"/>
  <c r="Q328" i="12"/>
  <c r="L328" i="12"/>
  <c r="I328" i="12"/>
  <c r="S327" i="12"/>
  <c r="N327" i="12"/>
  <c r="G327" i="12"/>
  <c r="J327" i="12"/>
  <c r="Q326" i="12"/>
  <c r="L326" i="12"/>
  <c r="I326" i="12"/>
  <c r="S325" i="12"/>
  <c r="N325" i="12"/>
  <c r="G325" i="12"/>
  <c r="J325" i="12"/>
  <c r="Q324" i="12"/>
  <c r="L324" i="12"/>
  <c r="I324" i="12"/>
  <c r="S323" i="12"/>
  <c r="N323" i="12"/>
  <c r="G323" i="12"/>
  <c r="J323" i="12"/>
  <c r="Q322" i="12"/>
  <c r="L322" i="12"/>
  <c r="I322" i="12"/>
  <c r="S321" i="12"/>
  <c r="N321" i="12"/>
  <c r="G321" i="12"/>
  <c r="J321" i="12"/>
  <c r="Q320" i="12"/>
  <c r="L320" i="12"/>
  <c r="I320" i="12"/>
  <c r="S319" i="12"/>
  <c r="N319" i="12"/>
  <c r="G319" i="12"/>
  <c r="J319" i="12"/>
  <c r="Q318" i="12"/>
  <c r="L318" i="12"/>
  <c r="I318" i="12"/>
  <c r="S317" i="12"/>
  <c r="N317" i="12"/>
  <c r="G317" i="12"/>
  <c r="J317" i="12"/>
  <c r="Q316" i="12"/>
  <c r="L316" i="12"/>
  <c r="I316" i="12"/>
  <c r="S315" i="12"/>
  <c r="N315" i="12"/>
  <c r="G315" i="12"/>
  <c r="J315" i="12"/>
  <c r="Q314" i="12"/>
  <c r="L314" i="12"/>
  <c r="I314" i="12"/>
  <c r="S313" i="12"/>
  <c r="N313" i="12"/>
  <c r="G313" i="12"/>
  <c r="J313" i="12"/>
  <c r="Q312" i="12"/>
  <c r="L312" i="12"/>
  <c r="I312" i="12"/>
  <c r="S311" i="12"/>
  <c r="N311" i="12"/>
  <c r="G311" i="12"/>
  <c r="J311" i="12"/>
  <c r="Q310" i="12"/>
  <c r="L310" i="12"/>
  <c r="I310" i="12"/>
  <c r="S309" i="12"/>
  <c r="N309" i="12"/>
  <c r="G309" i="12"/>
  <c r="J309" i="12"/>
  <c r="Q308" i="12"/>
  <c r="L308" i="12"/>
  <c r="I308" i="12"/>
  <c r="S307" i="12"/>
  <c r="N307" i="12"/>
  <c r="G307" i="12"/>
  <c r="J307" i="12"/>
  <c r="Q306" i="12"/>
  <c r="L306" i="12"/>
  <c r="I306" i="12"/>
  <c r="S305" i="12"/>
  <c r="N305" i="12"/>
  <c r="G305" i="12"/>
  <c r="J305" i="12"/>
  <c r="Q304" i="12"/>
  <c r="L304" i="12"/>
  <c r="I304" i="12"/>
  <c r="S303" i="12"/>
  <c r="N303" i="12"/>
  <c r="G303" i="12"/>
  <c r="J303" i="12"/>
  <c r="Q302" i="12"/>
  <c r="L302" i="12"/>
  <c r="I302" i="12"/>
  <c r="S301" i="12"/>
  <c r="N301" i="12"/>
  <c r="G301" i="12"/>
  <c r="J301" i="12"/>
  <c r="Q300" i="12"/>
  <c r="L300" i="12"/>
  <c r="I300" i="12"/>
  <c r="S299" i="12"/>
  <c r="N299" i="12"/>
  <c r="G299" i="12"/>
  <c r="J299" i="12"/>
  <c r="Q298" i="12"/>
  <c r="L298" i="12"/>
  <c r="I298" i="12"/>
  <c r="S297" i="12"/>
  <c r="N297" i="12"/>
  <c r="G297" i="12"/>
  <c r="J297" i="12"/>
  <c r="Q296" i="12"/>
  <c r="L296" i="12"/>
  <c r="I296" i="12"/>
  <c r="S295" i="12"/>
  <c r="N295" i="12"/>
  <c r="G295" i="12"/>
  <c r="J295" i="12"/>
  <c r="Q294" i="12"/>
  <c r="L294" i="12"/>
  <c r="I294" i="12"/>
  <c r="S293" i="12"/>
  <c r="N293" i="12"/>
  <c r="G293" i="12"/>
  <c r="J293" i="12"/>
  <c r="Q292" i="12"/>
  <c r="L292" i="12"/>
  <c r="I292" i="12"/>
  <c r="S291" i="12"/>
  <c r="N291" i="12"/>
  <c r="G291" i="12"/>
  <c r="J291" i="12"/>
  <c r="Q290" i="12"/>
  <c r="L290" i="12"/>
  <c r="I290" i="12"/>
  <c r="S289" i="12"/>
  <c r="N289" i="12"/>
  <c r="G289" i="12"/>
  <c r="J289" i="12"/>
  <c r="Q288" i="12"/>
  <c r="L288" i="12"/>
  <c r="I288" i="12"/>
  <c r="S287" i="12"/>
  <c r="N287" i="12"/>
  <c r="G287" i="12"/>
  <c r="J287" i="12"/>
  <c r="Q286" i="12"/>
  <c r="L286" i="12"/>
  <c r="I286" i="12"/>
  <c r="S285" i="12"/>
  <c r="N285" i="12"/>
  <c r="G285" i="12"/>
  <c r="J285" i="12"/>
  <c r="Q284" i="12"/>
  <c r="L284" i="12"/>
  <c r="I284" i="12"/>
  <c r="S283" i="12"/>
  <c r="N283" i="12"/>
  <c r="G283" i="12"/>
  <c r="J283" i="12"/>
  <c r="Q282" i="12"/>
  <c r="L282" i="12"/>
  <c r="I282" i="12"/>
  <c r="S281" i="12"/>
  <c r="N281" i="12"/>
  <c r="G281" i="12"/>
  <c r="J281" i="12"/>
  <c r="Q280" i="12"/>
  <c r="L280" i="12"/>
  <c r="I280" i="12"/>
  <c r="S279" i="12"/>
  <c r="N279" i="12"/>
  <c r="G279" i="12"/>
  <c r="J279" i="12"/>
  <c r="Q278" i="12"/>
  <c r="L278" i="12"/>
  <c r="I278" i="12"/>
  <c r="S277" i="12"/>
  <c r="N277" i="12"/>
  <c r="G277" i="12"/>
  <c r="J277" i="12"/>
  <c r="Q276" i="12"/>
  <c r="L276" i="12"/>
  <c r="I276" i="12"/>
  <c r="S275" i="12"/>
  <c r="N275" i="12"/>
  <c r="G275" i="12"/>
  <c r="J275" i="12"/>
  <c r="Q274" i="12"/>
  <c r="L274" i="12"/>
  <c r="I274" i="12"/>
  <c r="S273" i="12"/>
  <c r="N273" i="12"/>
  <c r="G273" i="12"/>
  <c r="J273" i="12"/>
  <c r="Q272" i="12"/>
  <c r="L272" i="12"/>
  <c r="I272" i="12"/>
  <c r="S271" i="12"/>
  <c r="N271" i="12"/>
  <c r="G271" i="12"/>
  <c r="J271" i="12"/>
  <c r="Q270" i="12"/>
  <c r="L270" i="12"/>
  <c r="I270" i="12"/>
  <c r="S269" i="12"/>
  <c r="N269" i="12"/>
  <c r="G269" i="12"/>
  <c r="J269" i="12"/>
  <c r="Q268" i="12"/>
  <c r="L268" i="12"/>
  <c r="I268" i="12"/>
  <c r="S267" i="12"/>
  <c r="N267" i="12"/>
  <c r="G267" i="12"/>
  <c r="J267" i="12"/>
  <c r="Q266" i="12"/>
  <c r="L266" i="12"/>
  <c r="I266" i="12"/>
  <c r="S265" i="12"/>
  <c r="N265" i="12"/>
  <c r="G265" i="12"/>
  <c r="J265" i="12"/>
  <c r="Q264" i="12"/>
  <c r="L264" i="12"/>
  <c r="I264" i="12"/>
  <c r="S263" i="12"/>
  <c r="N263" i="12"/>
  <c r="G263" i="12"/>
  <c r="J263" i="12"/>
  <c r="Q262" i="12"/>
  <c r="L262" i="12"/>
  <c r="I262" i="12"/>
  <c r="S261" i="12"/>
  <c r="N261" i="12"/>
  <c r="G261" i="12"/>
  <c r="J261" i="12"/>
  <c r="Q260" i="12"/>
  <c r="L260" i="12"/>
  <c r="I260" i="12"/>
  <c r="S259" i="12"/>
  <c r="N259" i="12"/>
  <c r="G259" i="12"/>
  <c r="J259" i="12"/>
  <c r="Q258" i="12"/>
  <c r="L258" i="12"/>
  <c r="I258" i="12"/>
  <c r="S257" i="12"/>
  <c r="N257" i="12"/>
  <c r="G257" i="12"/>
  <c r="J257" i="12"/>
  <c r="Q256" i="12"/>
  <c r="L256" i="12"/>
  <c r="I256" i="12"/>
  <c r="S255" i="12"/>
  <c r="N255" i="12"/>
  <c r="G255" i="12"/>
  <c r="J255" i="12"/>
  <c r="Q254" i="12"/>
  <c r="L254" i="12"/>
  <c r="I254" i="12"/>
  <c r="S253" i="12"/>
  <c r="N253" i="12"/>
  <c r="G253" i="12"/>
  <c r="J253" i="12"/>
  <c r="Q252" i="12"/>
  <c r="L252" i="12"/>
  <c r="I252" i="12"/>
  <c r="S251" i="12"/>
  <c r="N251" i="12"/>
  <c r="G251" i="12"/>
  <c r="J251" i="12"/>
  <c r="Q250" i="12"/>
  <c r="L250" i="12"/>
  <c r="I250" i="12"/>
  <c r="S249" i="12"/>
  <c r="N249" i="12"/>
  <c r="G249" i="12"/>
  <c r="J249" i="12"/>
  <c r="Q248" i="12"/>
  <c r="L248" i="12"/>
  <c r="I248" i="12"/>
  <c r="S247" i="12"/>
  <c r="N247" i="12"/>
  <c r="G247" i="12"/>
  <c r="J247" i="12"/>
  <c r="Q246" i="12"/>
  <c r="L246" i="12"/>
  <c r="I246" i="12"/>
  <c r="S245" i="12"/>
  <c r="N245" i="12"/>
  <c r="G245" i="12"/>
  <c r="J245" i="12"/>
  <c r="Q244" i="12"/>
  <c r="L244" i="12"/>
  <c r="I244" i="12"/>
  <c r="S243" i="12"/>
  <c r="N243" i="12"/>
  <c r="G243" i="12"/>
  <c r="J243" i="12"/>
  <c r="Q242" i="12"/>
  <c r="L242" i="12"/>
  <c r="I242" i="12"/>
  <c r="S241" i="12"/>
  <c r="N241" i="12"/>
  <c r="G241" i="12"/>
  <c r="J241" i="12"/>
  <c r="Q240" i="12"/>
  <c r="L240" i="12"/>
  <c r="I240" i="12"/>
  <c r="S239" i="12"/>
  <c r="N239" i="12"/>
  <c r="G239" i="12"/>
  <c r="J239" i="12"/>
  <c r="Q238" i="12"/>
  <c r="L238" i="12"/>
  <c r="I238" i="12"/>
  <c r="S237" i="12"/>
  <c r="N237" i="12"/>
  <c r="G237" i="12"/>
  <c r="J237" i="12"/>
  <c r="Q236" i="12"/>
  <c r="L236" i="12"/>
  <c r="I236" i="12"/>
  <c r="S235" i="12"/>
  <c r="N235" i="12"/>
  <c r="G235" i="12"/>
  <c r="J235" i="12"/>
  <c r="Q234" i="12"/>
  <c r="L234" i="12"/>
  <c r="I234" i="12"/>
  <c r="S233" i="12"/>
  <c r="N233" i="12"/>
  <c r="G233" i="12"/>
  <c r="J233" i="12"/>
  <c r="Q232" i="12"/>
  <c r="L232" i="12"/>
  <c r="I232" i="12"/>
  <c r="S231" i="12"/>
  <c r="N231" i="12"/>
  <c r="G231" i="12"/>
  <c r="J231" i="12"/>
  <c r="Q230" i="12"/>
  <c r="L230" i="12"/>
  <c r="I230" i="12"/>
  <c r="S229" i="12"/>
  <c r="N229" i="12"/>
  <c r="G229" i="12"/>
  <c r="J229" i="12"/>
  <c r="Q228" i="12"/>
  <c r="L228" i="12"/>
  <c r="I228" i="12"/>
  <c r="S227" i="12"/>
  <c r="N227" i="12"/>
  <c r="G227" i="12"/>
  <c r="J227" i="12"/>
  <c r="Q226" i="12"/>
  <c r="L226" i="12"/>
  <c r="I226" i="12"/>
  <c r="S225" i="12"/>
  <c r="N225" i="12"/>
  <c r="G225" i="12"/>
  <c r="J225" i="12"/>
  <c r="Q224" i="12"/>
  <c r="L224" i="12"/>
  <c r="I224" i="12"/>
  <c r="S223" i="12"/>
  <c r="N223" i="12"/>
  <c r="G223" i="12"/>
  <c r="J223" i="12"/>
  <c r="Q222" i="12"/>
  <c r="L222" i="12"/>
  <c r="I222" i="12"/>
  <c r="S221" i="12"/>
  <c r="N221" i="12"/>
  <c r="G221" i="12"/>
  <c r="J221" i="12"/>
  <c r="Q220" i="12"/>
  <c r="L220" i="12"/>
  <c r="I220" i="12"/>
  <c r="S219" i="12"/>
  <c r="N219" i="12"/>
  <c r="G219" i="12"/>
  <c r="J219" i="12"/>
  <c r="Q218" i="12"/>
  <c r="L218" i="12"/>
  <c r="I218" i="12"/>
  <c r="S217" i="12"/>
  <c r="N217" i="12"/>
  <c r="G217" i="12"/>
  <c r="J217" i="12"/>
  <c r="Q216" i="12"/>
  <c r="L216" i="12"/>
  <c r="I216" i="12"/>
  <c r="S215" i="12"/>
  <c r="N215" i="12"/>
  <c r="G215" i="12"/>
  <c r="J215" i="12"/>
  <c r="Q214" i="12"/>
  <c r="L214" i="12"/>
  <c r="I214" i="12"/>
  <c r="S213" i="12"/>
  <c r="N213" i="12"/>
  <c r="G213" i="12"/>
  <c r="J213" i="12"/>
  <c r="Q212" i="12"/>
  <c r="L212" i="12"/>
  <c r="I212" i="12"/>
  <c r="S211" i="12"/>
  <c r="N211" i="12"/>
  <c r="G211" i="12"/>
  <c r="J211" i="12"/>
  <c r="Q210" i="12"/>
  <c r="L210" i="12"/>
  <c r="I210" i="12"/>
  <c r="S209" i="12"/>
  <c r="N209" i="12"/>
  <c r="G209" i="12"/>
  <c r="J209" i="12"/>
  <c r="Q208" i="12"/>
  <c r="L208" i="12"/>
  <c r="I208" i="12"/>
  <c r="S207" i="12"/>
  <c r="N207" i="12"/>
  <c r="G207" i="12"/>
  <c r="J207" i="12"/>
  <c r="Q206" i="12"/>
  <c r="L206" i="12"/>
  <c r="I206" i="12"/>
  <c r="S205" i="12"/>
  <c r="N205" i="12"/>
  <c r="G205" i="12"/>
  <c r="J205" i="12"/>
  <c r="Q204" i="12"/>
  <c r="L204" i="12"/>
  <c r="I204" i="12"/>
  <c r="S203" i="12"/>
  <c r="N203" i="12"/>
  <c r="G203" i="12"/>
  <c r="J203" i="12"/>
  <c r="Q202" i="12"/>
  <c r="L202" i="12"/>
  <c r="I202" i="12"/>
  <c r="S201" i="12"/>
  <c r="N201" i="12"/>
  <c r="G201" i="12"/>
  <c r="J201" i="12"/>
  <c r="Q200" i="12"/>
  <c r="L200" i="12"/>
  <c r="I200" i="12"/>
  <c r="S199" i="12"/>
  <c r="N199" i="12"/>
  <c r="G199" i="12"/>
  <c r="J199" i="12"/>
  <c r="Q198" i="12"/>
  <c r="L198" i="12"/>
  <c r="I198" i="12"/>
  <c r="S197" i="12"/>
  <c r="N197" i="12"/>
  <c r="G197" i="12"/>
  <c r="J197" i="12"/>
  <c r="Q196" i="12"/>
  <c r="L196" i="12"/>
  <c r="I196" i="12"/>
  <c r="S195" i="12"/>
  <c r="N195" i="12"/>
  <c r="G195" i="12"/>
  <c r="J195" i="12"/>
  <c r="Q194" i="12"/>
  <c r="L194" i="12"/>
  <c r="I194" i="12"/>
  <c r="S193" i="12"/>
  <c r="N193" i="12"/>
  <c r="G193" i="12"/>
  <c r="J193" i="12"/>
  <c r="Q192" i="12"/>
  <c r="L192" i="12"/>
  <c r="I192" i="12"/>
  <c r="S191" i="12"/>
  <c r="N191" i="12"/>
  <c r="G191" i="12"/>
  <c r="J191" i="12"/>
  <c r="Q190" i="12"/>
  <c r="L190" i="12"/>
  <c r="I190" i="12"/>
  <c r="S189" i="12"/>
  <c r="N189" i="12"/>
  <c r="G189" i="12"/>
  <c r="J189" i="12"/>
  <c r="Q188" i="12"/>
  <c r="L188" i="12"/>
  <c r="I188" i="12"/>
  <c r="S187" i="12"/>
  <c r="N187" i="12"/>
  <c r="G187" i="12"/>
  <c r="J187" i="12"/>
  <c r="Q186" i="12"/>
  <c r="L186" i="12"/>
  <c r="I186" i="12"/>
  <c r="S185" i="12"/>
  <c r="N185" i="12"/>
  <c r="G185" i="12"/>
  <c r="J185" i="12"/>
  <c r="Q184" i="12"/>
  <c r="L184" i="12"/>
  <c r="I184" i="12"/>
  <c r="S183" i="12"/>
  <c r="N183" i="12"/>
  <c r="G183" i="12"/>
  <c r="J183" i="12"/>
  <c r="Q182" i="12"/>
  <c r="L182" i="12"/>
  <c r="I182" i="12"/>
  <c r="S181" i="12"/>
  <c r="N181" i="12"/>
  <c r="G181" i="12"/>
  <c r="J181" i="12"/>
  <c r="Q180" i="12"/>
  <c r="L180" i="12"/>
  <c r="I180" i="12"/>
  <c r="S179" i="12"/>
  <c r="N179" i="12"/>
  <c r="G179" i="12"/>
  <c r="J179" i="12"/>
  <c r="Q178" i="12"/>
  <c r="L178" i="12"/>
  <c r="I178" i="12"/>
  <c r="S177" i="12"/>
  <c r="N177" i="12"/>
  <c r="G177" i="12"/>
  <c r="J177" i="12"/>
  <c r="Q176" i="12"/>
  <c r="L176" i="12"/>
  <c r="I176" i="12"/>
  <c r="S175" i="12"/>
  <c r="N175" i="12"/>
  <c r="G175" i="12"/>
  <c r="J175" i="12"/>
  <c r="Q174" i="12"/>
  <c r="L174" i="12"/>
  <c r="I174" i="12"/>
  <c r="S173" i="12"/>
  <c r="N173" i="12"/>
  <c r="G173" i="12"/>
  <c r="J173" i="12"/>
  <c r="Q172" i="12"/>
  <c r="L172" i="12"/>
  <c r="I172" i="12"/>
  <c r="S171" i="12"/>
  <c r="N171" i="12"/>
  <c r="G171" i="12"/>
  <c r="J171" i="12"/>
  <c r="Q170" i="12"/>
  <c r="L170" i="12"/>
  <c r="I170" i="12"/>
  <c r="S169" i="12"/>
  <c r="N169" i="12"/>
  <c r="G169" i="12"/>
  <c r="J169" i="12"/>
  <c r="Q168" i="12"/>
  <c r="L168" i="12"/>
  <c r="I168" i="12"/>
  <c r="S167" i="12"/>
  <c r="N167" i="12"/>
  <c r="G167" i="12"/>
  <c r="J167" i="12"/>
  <c r="Q166" i="12"/>
  <c r="L166" i="12"/>
  <c r="I166" i="12"/>
  <c r="S165" i="12"/>
  <c r="N165" i="12"/>
  <c r="G165" i="12"/>
  <c r="J165" i="12"/>
  <c r="Q164" i="12"/>
  <c r="L164" i="12"/>
  <c r="I164" i="12"/>
  <c r="S163" i="12"/>
  <c r="N163" i="12"/>
  <c r="G163" i="12"/>
  <c r="J163" i="12"/>
  <c r="Q162" i="12"/>
  <c r="L162" i="12"/>
  <c r="I162" i="12"/>
  <c r="S161" i="12"/>
  <c r="N161" i="12"/>
  <c r="G161" i="12"/>
  <c r="J161" i="12"/>
  <c r="Q160" i="12"/>
  <c r="L160" i="12"/>
  <c r="I160" i="12"/>
  <c r="S159" i="12"/>
  <c r="N159" i="12"/>
  <c r="G159" i="12"/>
  <c r="J159" i="12"/>
  <c r="Q158" i="12"/>
  <c r="L158" i="12"/>
  <c r="I158" i="12"/>
  <c r="S157" i="12"/>
  <c r="N157" i="12"/>
  <c r="G157" i="12"/>
  <c r="J157" i="12"/>
  <c r="Q156" i="12"/>
  <c r="L156" i="12"/>
  <c r="I156" i="12"/>
  <c r="S155" i="12"/>
  <c r="N155" i="12"/>
  <c r="G155" i="12"/>
  <c r="J155" i="12"/>
  <c r="Q154" i="12"/>
  <c r="L154" i="12"/>
  <c r="I154" i="12"/>
  <c r="S153" i="12"/>
  <c r="N153" i="12"/>
  <c r="G153" i="12"/>
  <c r="J153" i="12"/>
  <c r="Q152" i="12"/>
  <c r="L152" i="12"/>
  <c r="I152" i="12"/>
  <c r="S151" i="12"/>
  <c r="N151" i="12"/>
  <c r="G151" i="12"/>
  <c r="J151" i="12"/>
  <c r="Q150" i="12"/>
  <c r="L150" i="12"/>
  <c r="I150" i="12"/>
  <c r="S149" i="12"/>
  <c r="N149" i="12"/>
  <c r="G149" i="12"/>
  <c r="J149" i="12"/>
  <c r="Q148" i="12"/>
  <c r="L148" i="12"/>
  <c r="I148" i="12"/>
  <c r="S147" i="12"/>
  <c r="N147" i="12"/>
  <c r="G147" i="12"/>
  <c r="J147" i="12"/>
  <c r="Q146" i="12"/>
  <c r="L146" i="12"/>
  <c r="I146" i="12"/>
  <c r="S145" i="12"/>
  <c r="N145" i="12"/>
  <c r="G145" i="12"/>
  <c r="J145" i="12"/>
  <c r="Q144" i="12"/>
  <c r="L144" i="12"/>
  <c r="I144" i="12"/>
  <c r="S143" i="12"/>
  <c r="N143" i="12"/>
  <c r="G143" i="12"/>
  <c r="J143" i="12"/>
  <c r="Q142" i="12"/>
  <c r="L142" i="12"/>
  <c r="I142" i="12"/>
  <c r="S141" i="12"/>
  <c r="N141" i="12"/>
  <c r="G141" i="12"/>
  <c r="J141" i="12"/>
  <c r="Q140" i="12"/>
  <c r="L140" i="12"/>
  <c r="I140" i="12"/>
  <c r="S139" i="12"/>
  <c r="N139" i="12"/>
  <c r="G139" i="12"/>
  <c r="J139" i="12"/>
  <c r="Q138" i="12"/>
  <c r="L138" i="12"/>
  <c r="I138" i="12"/>
  <c r="S137" i="12"/>
  <c r="N137" i="12"/>
  <c r="G137" i="12"/>
  <c r="J137" i="12"/>
  <c r="Q136" i="12"/>
  <c r="L136" i="12"/>
  <c r="I136" i="12"/>
  <c r="S135" i="12"/>
  <c r="N135" i="12"/>
  <c r="G135" i="12"/>
  <c r="J135" i="12"/>
  <c r="Q134" i="12"/>
  <c r="L134" i="12"/>
  <c r="I134" i="12"/>
  <c r="S133" i="12"/>
  <c r="N133" i="12"/>
  <c r="G133" i="12"/>
  <c r="J133" i="12"/>
  <c r="Q132" i="12"/>
  <c r="L132" i="12"/>
  <c r="I132" i="12"/>
  <c r="S131" i="12"/>
  <c r="N131" i="12"/>
  <c r="G131" i="12"/>
  <c r="J131" i="12"/>
  <c r="Q130" i="12"/>
  <c r="L130" i="12"/>
  <c r="I130" i="12"/>
  <c r="S129" i="12"/>
  <c r="N129" i="12"/>
  <c r="G129" i="12"/>
  <c r="J129" i="12"/>
  <c r="Q128" i="12"/>
  <c r="L128" i="12"/>
  <c r="I128" i="12"/>
  <c r="S127" i="12"/>
  <c r="N127" i="12"/>
  <c r="G127" i="12"/>
  <c r="J127" i="12"/>
  <c r="Q126" i="12"/>
  <c r="L126" i="12"/>
  <c r="I126" i="12"/>
  <c r="S125" i="12"/>
  <c r="N125" i="12"/>
  <c r="G125" i="12"/>
  <c r="J125" i="12"/>
  <c r="Q124" i="12"/>
  <c r="L124" i="12"/>
  <c r="I124" i="12"/>
  <c r="S123" i="12"/>
  <c r="N123" i="12"/>
  <c r="G123" i="12"/>
  <c r="J123" i="12"/>
  <c r="Q122" i="12"/>
  <c r="L122" i="12"/>
  <c r="I122" i="12"/>
  <c r="S121" i="12"/>
  <c r="N121" i="12"/>
  <c r="G121" i="12"/>
  <c r="J121" i="12"/>
  <c r="Q120" i="12"/>
  <c r="L120" i="12"/>
  <c r="I120" i="12"/>
  <c r="S119" i="12"/>
  <c r="N119" i="12"/>
  <c r="G119" i="12"/>
  <c r="J119" i="12"/>
  <c r="Q118" i="12"/>
  <c r="L118" i="12"/>
  <c r="I118" i="12"/>
  <c r="S117" i="12"/>
  <c r="N117" i="12"/>
  <c r="G117" i="12"/>
  <c r="J117" i="12"/>
  <c r="Q116" i="12"/>
  <c r="L116" i="12"/>
  <c r="I116" i="12"/>
  <c r="S115" i="12"/>
  <c r="N115" i="12"/>
  <c r="G115" i="12"/>
  <c r="J115" i="12"/>
  <c r="Q114" i="12"/>
  <c r="L114" i="12"/>
  <c r="I114" i="12"/>
  <c r="S113" i="12"/>
  <c r="N113" i="12"/>
  <c r="G113" i="12"/>
  <c r="J113" i="12"/>
  <c r="Q112" i="12"/>
  <c r="L112" i="12"/>
  <c r="I112" i="12"/>
  <c r="S111" i="12"/>
  <c r="N111" i="12"/>
  <c r="G111" i="12"/>
  <c r="J111" i="12"/>
  <c r="Q110" i="12"/>
  <c r="L110" i="12"/>
  <c r="I110" i="12"/>
  <c r="S109" i="12"/>
  <c r="N109" i="12"/>
  <c r="G109" i="12"/>
  <c r="J109" i="12"/>
  <c r="Q108" i="12"/>
  <c r="L108" i="12"/>
  <c r="I108" i="12"/>
  <c r="S107" i="12"/>
  <c r="N107" i="12"/>
  <c r="G107" i="12"/>
  <c r="J107" i="12"/>
  <c r="Q106" i="12"/>
  <c r="L106" i="12"/>
  <c r="I106" i="12"/>
  <c r="S105" i="12"/>
  <c r="N105" i="12"/>
  <c r="G105" i="12"/>
  <c r="J105" i="12"/>
  <c r="Q104" i="12"/>
  <c r="L104" i="12"/>
  <c r="F104" i="12"/>
  <c r="K104" i="12"/>
  <c r="O103" i="12"/>
  <c r="E103" i="12"/>
  <c r="I103" i="12"/>
  <c r="S102" i="12"/>
  <c r="N102" i="12"/>
  <c r="D102" i="12"/>
  <c r="H102" i="12"/>
  <c r="R101" i="12"/>
  <c r="M101" i="12"/>
  <c r="G101" i="12"/>
  <c r="J101" i="12"/>
  <c r="Q100" i="12"/>
  <c r="L100" i="12"/>
  <c r="I100" i="12"/>
  <c r="S99" i="12"/>
  <c r="N99" i="12"/>
  <c r="G99" i="12"/>
  <c r="J99" i="12"/>
  <c r="Q98" i="12"/>
  <c r="L98" i="12"/>
  <c r="I98" i="12"/>
  <c r="S97" i="12"/>
  <c r="N97" i="12"/>
  <c r="G97" i="12"/>
  <c r="J97" i="12"/>
  <c r="Q96" i="12"/>
  <c r="L96" i="12"/>
  <c r="I96" i="12"/>
  <c r="S95" i="12"/>
  <c r="N95" i="12"/>
  <c r="G95" i="12"/>
  <c r="J95" i="12"/>
  <c r="Q94" i="12"/>
  <c r="L94" i="12"/>
  <c r="I94" i="12"/>
  <c r="S93" i="12"/>
  <c r="N93" i="12"/>
  <c r="G93" i="12"/>
  <c r="J93" i="12"/>
  <c r="Q92" i="12"/>
  <c r="L92" i="12"/>
  <c r="I92" i="12"/>
  <c r="S91" i="12"/>
  <c r="N91" i="12"/>
  <c r="G91" i="12"/>
  <c r="J91" i="12"/>
  <c r="Q90" i="12"/>
  <c r="L90" i="12"/>
  <c r="I90" i="12"/>
  <c r="S89" i="12"/>
  <c r="N89" i="12"/>
  <c r="G89" i="12"/>
  <c r="J89" i="12"/>
  <c r="Q88" i="12"/>
  <c r="L88" i="12"/>
  <c r="I88" i="12"/>
  <c r="S87" i="12"/>
  <c r="N87" i="12"/>
  <c r="G87" i="12"/>
  <c r="J87" i="12"/>
  <c r="Q86" i="12"/>
  <c r="L86" i="12"/>
  <c r="I86" i="12"/>
  <c r="S85" i="12"/>
  <c r="N85" i="12"/>
  <c r="G85" i="12"/>
  <c r="J85" i="12"/>
  <c r="Q84" i="12"/>
  <c r="L84" i="12"/>
  <c r="I84" i="12"/>
  <c r="S83" i="12"/>
  <c r="N83" i="12"/>
  <c r="G83" i="12"/>
  <c r="J83" i="12"/>
  <c r="Q82" i="12"/>
  <c r="L82" i="12"/>
  <c r="I82" i="12"/>
  <c r="S81" i="12"/>
  <c r="N81" i="12"/>
  <c r="G81" i="12"/>
  <c r="J81" i="12"/>
  <c r="Q80" i="12"/>
  <c r="L80" i="12"/>
  <c r="I80" i="12"/>
  <c r="S79" i="12"/>
  <c r="N79" i="12"/>
  <c r="G79" i="12"/>
  <c r="J79" i="12"/>
  <c r="Q78" i="12"/>
  <c r="L78" i="12"/>
  <c r="I78" i="12"/>
  <c r="S77" i="12"/>
  <c r="N77" i="12"/>
  <c r="G77" i="12"/>
  <c r="J77" i="12"/>
  <c r="Q76" i="12"/>
  <c r="L76" i="12"/>
  <c r="I76" i="12"/>
  <c r="S75" i="12"/>
  <c r="N75" i="12"/>
  <c r="G75" i="12"/>
  <c r="J75" i="12"/>
  <c r="Q74" i="12"/>
  <c r="L74" i="12"/>
  <c r="F74" i="12"/>
  <c r="K74" i="12"/>
  <c r="O73" i="12"/>
  <c r="E73" i="12"/>
  <c r="I73" i="12"/>
  <c r="S72" i="12"/>
  <c r="N72" i="12"/>
  <c r="D72" i="12"/>
  <c r="H72" i="12"/>
  <c r="R71" i="12"/>
  <c r="M71" i="12"/>
  <c r="F71" i="12"/>
  <c r="K71" i="12"/>
  <c r="O70" i="12"/>
  <c r="D70" i="12"/>
  <c r="H70" i="12"/>
  <c r="R69" i="12"/>
  <c r="M69" i="12"/>
  <c r="F69" i="12"/>
  <c r="K69" i="12"/>
  <c r="O68" i="12"/>
  <c r="D68" i="12"/>
  <c r="H68" i="12"/>
  <c r="R67" i="12"/>
  <c r="M67" i="12"/>
  <c r="F67" i="12"/>
  <c r="K67" i="12"/>
  <c r="O66" i="12"/>
  <c r="D66" i="12"/>
  <c r="H66" i="12"/>
  <c r="R65" i="12"/>
  <c r="M65" i="12"/>
  <c r="F65" i="12"/>
  <c r="K65" i="12"/>
  <c r="O64" i="12"/>
  <c r="D64" i="12"/>
  <c r="H64" i="12"/>
  <c r="R63" i="12"/>
  <c r="M63" i="12"/>
  <c r="F63" i="12"/>
  <c r="K63" i="12"/>
  <c r="O62" i="12"/>
  <c r="D62" i="12"/>
  <c r="H62" i="12"/>
  <c r="R61" i="12"/>
  <c r="M61" i="12"/>
  <c r="F61" i="12"/>
  <c r="K61" i="12"/>
  <c r="O60" i="12"/>
  <c r="D60" i="12"/>
  <c r="H60" i="12"/>
  <c r="R59" i="12"/>
  <c r="M59" i="12"/>
  <c r="F59" i="12"/>
  <c r="K59" i="12"/>
  <c r="O58" i="12"/>
  <c r="D58" i="12"/>
  <c r="H58" i="12"/>
  <c r="R57" i="12"/>
  <c r="M57" i="12"/>
  <c r="F57" i="12"/>
  <c r="K57" i="12"/>
  <c r="O56" i="12"/>
  <c r="D56" i="12"/>
  <c r="H56" i="12"/>
  <c r="R55" i="12"/>
  <c r="M55" i="12"/>
  <c r="F55" i="12"/>
  <c r="K55" i="12"/>
  <c r="O54" i="12"/>
  <c r="D54" i="12"/>
  <c r="H54" i="12"/>
  <c r="R53" i="12"/>
  <c r="M53" i="12"/>
  <c r="F53" i="12"/>
  <c r="K53" i="12"/>
  <c r="O52" i="12"/>
  <c r="D52" i="12"/>
  <c r="H52" i="12"/>
  <c r="R51" i="12"/>
  <c r="M51" i="12"/>
  <c r="F51" i="12"/>
  <c r="K51" i="12"/>
  <c r="O50" i="12"/>
  <c r="D50" i="12"/>
  <c r="H50" i="12"/>
  <c r="R49" i="12"/>
  <c r="M49" i="12"/>
  <c r="F49" i="12"/>
  <c r="K49" i="12"/>
  <c r="O48" i="12"/>
  <c r="D48" i="12"/>
  <c r="H48" i="12"/>
  <c r="R47" i="12"/>
  <c r="M47" i="12"/>
  <c r="F47" i="12"/>
  <c r="K47" i="12"/>
  <c r="O46" i="12"/>
  <c r="D46" i="12"/>
  <c r="H46" i="12"/>
  <c r="R45" i="12"/>
  <c r="M45" i="12"/>
  <c r="F45" i="12"/>
  <c r="K45" i="12"/>
  <c r="O44" i="12"/>
  <c r="D44" i="12"/>
  <c r="H44" i="12"/>
  <c r="R43" i="12"/>
  <c r="M43" i="12"/>
  <c r="F43" i="12"/>
  <c r="K43" i="12"/>
  <c r="O42" i="12"/>
  <c r="D42" i="12"/>
  <c r="H42" i="12"/>
  <c r="R41" i="12"/>
  <c r="M41" i="12"/>
  <c r="F41" i="12"/>
  <c r="K41" i="12"/>
  <c r="O40" i="12"/>
  <c r="D40" i="12"/>
  <c r="H40" i="12"/>
  <c r="R39" i="12"/>
  <c r="M39" i="12"/>
  <c r="F39" i="12"/>
  <c r="K39" i="12"/>
  <c r="O38" i="12"/>
  <c r="D38" i="12"/>
  <c r="H38" i="12"/>
  <c r="R37" i="12"/>
  <c r="M37" i="12"/>
  <c r="F37" i="12"/>
  <c r="K37" i="12"/>
  <c r="O36" i="12"/>
  <c r="D36" i="12"/>
  <c r="H36" i="12"/>
  <c r="R35" i="12"/>
  <c r="M35" i="12"/>
  <c r="F35" i="12"/>
  <c r="K35" i="12"/>
  <c r="O34" i="12"/>
  <c r="D34" i="12"/>
  <c r="H34" i="12"/>
  <c r="R33" i="12"/>
  <c r="M33" i="12"/>
  <c r="F33" i="12"/>
  <c r="K33" i="12"/>
  <c r="O32" i="12"/>
  <c r="D32" i="12"/>
  <c r="H32" i="12"/>
  <c r="R31" i="12"/>
  <c r="M31" i="12"/>
  <c r="F31" i="12"/>
  <c r="K31" i="12"/>
  <c r="O30" i="12"/>
  <c r="D30" i="12"/>
  <c r="H30" i="12"/>
  <c r="R29" i="12"/>
  <c r="M29" i="12"/>
  <c r="F29" i="12"/>
  <c r="K29" i="12"/>
  <c r="O28" i="12"/>
  <c r="D28" i="12"/>
  <c r="H28" i="12"/>
  <c r="R27" i="12"/>
  <c r="M27" i="12"/>
  <c r="F27" i="12"/>
  <c r="K27" i="12"/>
  <c r="O26" i="12"/>
  <c r="D26" i="12"/>
  <c r="H26" i="12"/>
  <c r="R25" i="12"/>
  <c r="M25" i="12"/>
  <c r="F25" i="12"/>
  <c r="K25" i="12"/>
  <c r="O24" i="12"/>
  <c r="D24" i="12"/>
  <c r="H24" i="12"/>
  <c r="R23" i="12"/>
  <c r="M23" i="12"/>
  <c r="F23" i="12"/>
  <c r="K23" i="12"/>
  <c r="O22" i="12"/>
  <c r="D22" i="12"/>
  <c r="H22" i="12"/>
  <c r="R21" i="12"/>
  <c r="M21" i="12"/>
  <c r="F21" i="12"/>
  <c r="K21" i="12"/>
  <c r="O20" i="12"/>
  <c r="D20" i="12"/>
  <c r="H20" i="12"/>
  <c r="R19" i="12"/>
  <c r="M19" i="12"/>
  <c r="F19" i="12"/>
  <c r="K19" i="12"/>
  <c r="O18" i="12"/>
  <c r="D18" i="12"/>
  <c r="H18" i="12"/>
  <c r="R17" i="12"/>
  <c r="M17" i="12"/>
  <c r="F17" i="12"/>
  <c r="K17" i="12"/>
  <c r="O16" i="12"/>
  <c r="D16" i="12"/>
  <c r="H16" i="12"/>
  <c r="R15" i="12"/>
  <c r="M15" i="12"/>
  <c r="F15" i="12"/>
  <c r="K15" i="12"/>
  <c r="O14" i="12"/>
  <c r="D14" i="12"/>
  <c r="H14" i="12"/>
  <c r="R13" i="12"/>
  <c r="M13" i="12"/>
  <c r="F13" i="12"/>
  <c r="K13" i="12"/>
  <c r="O12" i="12"/>
  <c r="D12" i="12"/>
  <c r="H12" i="12"/>
  <c r="R11" i="12"/>
  <c r="M11" i="12"/>
  <c r="F11" i="12"/>
  <c r="K11" i="12"/>
  <c r="O10" i="12"/>
  <c r="D10" i="12"/>
  <c r="H10" i="12"/>
  <c r="R9" i="12"/>
  <c r="M9" i="12"/>
  <c r="F9" i="12"/>
  <c r="K9" i="12"/>
  <c r="O8" i="12"/>
  <c r="D8" i="12"/>
  <c r="H8" i="12"/>
  <c r="R7" i="12"/>
  <c r="M7" i="12"/>
  <c r="F7" i="12"/>
  <c r="K7" i="12"/>
  <c r="O6" i="12"/>
  <c r="D6" i="12"/>
  <c r="H6" i="12"/>
  <c r="R5" i="12"/>
  <c r="M5" i="12"/>
  <c r="F5" i="12"/>
  <c r="K5" i="12"/>
  <c r="O4" i="12"/>
  <c r="D4" i="12"/>
  <c r="H4" i="12"/>
  <c r="R3" i="12"/>
  <c r="M3" i="12"/>
  <c r="F3" i="12"/>
  <c r="K3" i="12"/>
  <c r="Q2" i="5"/>
  <c r="R2" i="5"/>
  <c r="R1" i="5"/>
  <c r="R1" i="14" s="1"/>
  <c r="Q1" i="5"/>
  <c r="Q1" i="14" s="1"/>
  <c r="D2" i="5"/>
  <c r="J2" i="5"/>
  <c r="K2" i="5"/>
  <c r="N2" i="5"/>
  <c r="K1" i="5"/>
  <c r="K1" i="14" s="1"/>
  <c r="N1" i="5"/>
  <c r="N1" i="14" s="1"/>
  <c r="J1" i="5"/>
  <c r="J1" i="14" s="1"/>
  <c r="D1" i="5"/>
  <c r="D1" i="14" s="1"/>
  <c r="M2" i="5"/>
  <c r="L2" i="5"/>
  <c r="L1" i="5"/>
  <c r="L1" i="14" s="1"/>
  <c r="M1" i="5"/>
  <c r="M1" i="14" s="1"/>
  <c r="S2" i="5"/>
  <c r="S1" i="5"/>
  <c r="S1" i="14" s="1"/>
  <c r="P1" i="5"/>
  <c r="P1" i="14" s="1"/>
  <c r="G2" i="5"/>
  <c r="G1" i="5"/>
  <c r="G1" i="14" s="1"/>
  <c r="H2" i="5"/>
  <c r="I2" i="5"/>
  <c r="F2" i="5"/>
  <c r="H1" i="5"/>
  <c r="H1" i="14" s="1"/>
  <c r="I1" i="5"/>
  <c r="I1" i="14" s="1"/>
  <c r="C1" i="5"/>
  <c r="C1" i="14" s="1"/>
  <c r="F1" i="5"/>
  <c r="F1" i="14" s="1"/>
  <c r="E1" i="5"/>
  <c r="E1" i="14" s="1"/>
  <c r="P56" i="1"/>
  <c r="P245" i="1"/>
  <c r="P246" i="1"/>
  <c r="P439" i="1"/>
  <c r="P440" i="1"/>
  <c r="B1" i="5"/>
  <c r="A1" i="5"/>
  <c r="A1" i="12" l="1"/>
  <c r="A1" i="14"/>
  <c r="B1" i="12"/>
  <c r="B1" i="14"/>
  <c r="K1" i="13"/>
  <c r="K1" i="12"/>
  <c r="N2" i="12"/>
  <c r="F2" i="12"/>
  <c r="Q1" i="13"/>
  <c r="Q1" i="12"/>
  <c r="C1" i="13"/>
  <c r="C1" i="12"/>
  <c r="I2" i="12"/>
  <c r="P1" i="13"/>
  <c r="P1" i="12"/>
  <c r="J1" i="13"/>
  <c r="J1" i="12"/>
  <c r="L1" i="13"/>
  <c r="L1" i="12"/>
  <c r="M2" i="12"/>
  <c r="R1" i="13"/>
  <c r="R1" i="12"/>
  <c r="I1" i="13"/>
  <c r="I1" i="12"/>
  <c r="H2" i="12"/>
  <c r="S1" i="13"/>
  <c r="S1" i="12"/>
  <c r="J2" i="12"/>
  <c r="N1" i="13"/>
  <c r="N1" i="12"/>
  <c r="L2" i="12"/>
  <c r="R2" i="12"/>
  <c r="F1" i="13"/>
  <c r="F1" i="12"/>
  <c r="G2" i="12"/>
  <c r="D1" i="13"/>
  <c r="D1" i="12"/>
  <c r="E1" i="13"/>
  <c r="E1" i="12"/>
  <c r="H1" i="13"/>
  <c r="H1" i="12"/>
  <c r="G1" i="13"/>
  <c r="G1" i="12"/>
  <c r="S2" i="12"/>
  <c r="K2" i="12"/>
  <c r="M1" i="13"/>
  <c r="M1" i="12"/>
  <c r="D2" i="12"/>
  <c r="Q2" i="12"/>
  <c r="C56" i="5"/>
  <c r="C59" i="5"/>
  <c r="C60" i="5"/>
  <c r="C61" i="5"/>
  <c r="C64" i="5"/>
  <c r="C65" i="5"/>
  <c r="C66" i="5"/>
  <c r="C69" i="5"/>
  <c r="C70" i="5"/>
  <c r="C71" i="5"/>
  <c r="C245" i="5"/>
  <c r="C24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406" i="5"/>
  <c r="C407" i="5"/>
  <c r="C408" i="5"/>
  <c r="C409" i="5"/>
  <c r="C410" i="5"/>
  <c r="C411" i="5"/>
  <c r="C439" i="5"/>
  <c r="C440" i="5"/>
  <c r="C298" i="12" l="1"/>
  <c r="C286" i="12"/>
  <c r="C274" i="12"/>
  <c r="C262" i="12"/>
  <c r="C59" i="12"/>
  <c r="C439" i="12"/>
  <c r="C408" i="12"/>
  <c r="C297" i="12"/>
  <c r="C293" i="12"/>
  <c r="C289" i="12"/>
  <c r="C285" i="12"/>
  <c r="C281" i="12"/>
  <c r="C277" i="12"/>
  <c r="C273" i="12"/>
  <c r="C269" i="12"/>
  <c r="C265" i="12"/>
  <c r="C261" i="12"/>
  <c r="C257" i="12"/>
  <c r="C70" i="12"/>
  <c r="C64" i="12"/>
  <c r="C56" i="12"/>
  <c r="C409" i="12"/>
  <c r="C290" i="12"/>
  <c r="C278" i="12"/>
  <c r="C266" i="12"/>
  <c r="C71" i="12"/>
  <c r="C411" i="12"/>
  <c r="C407" i="12"/>
  <c r="C296" i="12"/>
  <c r="C292" i="12"/>
  <c r="C288" i="12"/>
  <c r="C284" i="12"/>
  <c r="C280" i="12"/>
  <c r="C276" i="12"/>
  <c r="C272" i="12"/>
  <c r="C268" i="12"/>
  <c r="C264" i="12"/>
  <c r="C260" i="12"/>
  <c r="C246" i="12"/>
  <c r="C69" i="12"/>
  <c r="C61" i="12"/>
  <c r="C440" i="12"/>
  <c r="C294" i="12"/>
  <c r="C282" i="12"/>
  <c r="C270" i="12"/>
  <c r="C258" i="12"/>
  <c r="C65" i="12"/>
  <c r="C410" i="12"/>
  <c r="C406" i="12"/>
  <c r="C295" i="12"/>
  <c r="C291" i="12"/>
  <c r="C287" i="12"/>
  <c r="C283" i="12"/>
  <c r="C279" i="12"/>
  <c r="C275" i="12"/>
  <c r="C271" i="12"/>
  <c r="C267" i="12"/>
  <c r="C263" i="12"/>
  <c r="C259" i="12"/>
  <c r="C245" i="12"/>
  <c r="C66" i="12"/>
  <c r="C60" i="12"/>
  <c r="AW302" i="1"/>
  <c r="O442" i="1" l="1"/>
  <c r="O443" i="1"/>
  <c r="G443" i="1"/>
  <c r="O441" i="1"/>
  <c r="AW440" i="1"/>
  <c r="AX440" i="1"/>
  <c r="AC440" i="1"/>
  <c r="AD440" i="1"/>
  <c r="P440" i="5" s="1"/>
  <c r="T440" i="1"/>
  <c r="E440" i="5" s="1"/>
  <c r="N440" i="1"/>
  <c r="AH440" i="1"/>
  <c r="A440" i="13" s="1"/>
  <c r="A440" i="14" s="1"/>
  <c r="J440" i="1"/>
  <c r="AP440" i="1" s="1"/>
  <c r="J441" i="1"/>
  <c r="G438" i="1"/>
  <c r="O438" i="1"/>
  <c r="N433" i="1"/>
  <c r="N434" i="1"/>
  <c r="N435" i="1"/>
  <c r="N436" i="1"/>
  <c r="N437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N428" i="1"/>
  <c r="N429" i="1"/>
  <c r="N430" i="1"/>
  <c r="N431" i="1"/>
  <c r="N432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O414" i="1"/>
  <c r="P440" i="12" l="1"/>
  <c r="E440" i="12"/>
  <c r="P415" i="1"/>
  <c r="C415" i="5"/>
  <c r="P441" i="1"/>
  <c r="C441" i="5"/>
  <c r="P436" i="1"/>
  <c r="C436" i="5"/>
  <c r="P432" i="1"/>
  <c r="C432" i="5"/>
  <c r="P428" i="1"/>
  <c r="C428" i="5"/>
  <c r="P438" i="1"/>
  <c r="C438" i="5"/>
  <c r="P425" i="1"/>
  <c r="C425" i="5"/>
  <c r="P421" i="1"/>
  <c r="C421" i="5"/>
  <c r="P417" i="1"/>
  <c r="C417" i="5"/>
  <c r="P437" i="1"/>
  <c r="C437" i="5"/>
  <c r="P433" i="1"/>
  <c r="C433" i="5"/>
  <c r="P429" i="1"/>
  <c r="C429" i="5"/>
  <c r="P424" i="1"/>
  <c r="C424" i="5"/>
  <c r="P422" i="1"/>
  <c r="C422" i="5"/>
  <c r="P420" i="1"/>
  <c r="C420" i="5"/>
  <c r="P418" i="1"/>
  <c r="C418" i="5"/>
  <c r="P416" i="1"/>
  <c r="C416" i="5"/>
  <c r="P435" i="1"/>
  <c r="C435" i="5"/>
  <c r="P431" i="1"/>
  <c r="C431" i="5"/>
  <c r="P427" i="1"/>
  <c r="C427" i="5"/>
  <c r="P443" i="1"/>
  <c r="C443" i="5"/>
  <c r="P423" i="1"/>
  <c r="C423" i="5"/>
  <c r="P419" i="1"/>
  <c r="C419" i="5"/>
  <c r="P414" i="1"/>
  <c r="C414" i="5"/>
  <c r="P434" i="1"/>
  <c r="C434" i="5"/>
  <c r="P430" i="1"/>
  <c r="C430" i="5"/>
  <c r="P426" i="1"/>
  <c r="C426" i="5"/>
  <c r="P442" i="1"/>
  <c r="C442" i="5"/>
  <c r="AI440" i="1"/>
  <c r="A440" i="5" s="1"/>
  <c r="A440" i="12" s="1"/>
  <c r="O412" i="1"/>
  <c r="O413" i="1"/>
  <c r="N407" i="1"/>
  <c r="O407" i="1"/>
  <c r="P407" i="1" s="1"/>
  <c r="N408" i="1"/>
  <c r="O408" i="1"/>
  <c r="P408" i="1" s="1"/>
  <c r="N409" i="1"/>
  <c r="O409" i="1"/>
  <c r="P409" i="1" s="1"/>
  <c r="N410" i="1"/>
  <c r="O410" i="1"/>
  <c r="P410" i="1" s="1"/>
  <c r="N411" i="1"/>
  <c r="O411" i="1"/>
  <c r="P411" i="1" s="1"/>
  <c r="O406" i="1"/>
  <c r="P406" i="1" s="1"/>
  <c r="N402" i="1"/>
  <c r="O402" i="1"/>
  <c r="N403" i="1"/>
  <c r="O403" i="1"/>
  <c r="N404" i="1"/>
  <c r="O404" i="1"/>
  <c r="N405" i="1"/>
  <c r="O405" i="1"/>
  <c r="O401" i="1"/>
  <c r="G402" i="1"/>
  <c r="G401" i="1"/>
  <c r="C442" i="12" l="1"/>
  <c r="C423" i="12"/>
  <c r="C435" i="12"/>
  <c r="C429" i="12"/>
  <c r="C438" i="12"/>
  <c r="C432" i="12"/>
  <c r="C441" i="12"/>
  <c r="C430" i="12"/>
  <c r="C427" i="12"/>
  <c r="C422" i="12"/>
  <c r="C421" i="12"/>
  <c r="C434" i="12"/>
  <c r="C419" i="12"/>
  <c r="C431" i="12"/>
  <c r="C416" i="12"/>
  <c r="C420" i="12"/>
  <c r="C424" i="12"/>
  <c r="C433" i="12"/>
  <c r="C417" i="12"/>
  <c r="C425" i="12"/>
  <c r="C428" i="12"/>
  <c r="C436" i="12"/>
  <c r="C415" i="12"/>
  <c r="C414" i="12"/>
  <c r="C418" i="12"/>
  <c r="C437" i="12"/>
  <c r="C426" i="12"/>
  <c r="C443" i="12"/>
  <c r="P404" i="1"/>
  <c r="C404" i="5"/>
  <c r="P401" i="1"/>
  <c r="C401" i="5"/>
  <c r="P413" i="1"/>
  <c r="C413" i="5"/>
  <c r="P402" i="1"/>
  <c r="C402" i="5"/>
  <c r="P412" i="1"/>
  <c r="C412" i="5"/>
  <c r="P405" i="1"/>
  <c r="C405" i="5"/>
  <c r="P403" i="1"/>
  <c r="C403" i="5"/>
  <c r="AJ440" i="1"/>
  <c r="O396" i="1"/>
  <c r="O397" i="1"/>
  <c r="O398" i="1"/>
  <c r="O399" i="1"/>
  <c r="O400" i="1"/>
  <c r="N397" i="1"/>
  <c r="N398" i="1"/>
  <c r="N399" i="1"/>
  <c r="N400" i="1"/>
  <c r="N393" i="1"/>
  <c r="O393" i="1"/>
  <c r="N394" i="1"/>
  <c r="O394" i="1"/>
  <c r="N395" i="1"/>
  <c r="O395" i="1"/>
  <c r="O392" i="1"/>
  <c r="O391" i="1"/>
  <c r="N391" i="1"/>
  <c r="O390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O343" i="1"/>
  <c r="N341" i="1"/>
  <c r="O341" i="1"/>
  <c r="N342" i="1"/>
  <c r="O342" i="1"/>
  <c r="O340" i="1"/>
  <c r="AX42" i="1"/>
  <c r="AW42" i="1"/>
  <c r="AC42" i="1"/>
  <c r="AD42" i="1"/>
  <c r="P42" i="5" s="1"/>
  <c r="T42" i="1"/>
  <c r="E42" i="5" s="1"/>
  <c r="O42" i="1"/>
  <c r="N42" i="1"/>
  <c r="J42" i="1"/>
  <c r="AH42" i="1"/>
  <c r="A42" i="13" s="1"/>
  <c r="A42" i="14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1" i="1"/>
  <c r="AC442" i="1"/>
  <c r="AC443" i="1"/>
  <c r="AC2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O312" i="1"/>
  <c r="O313" i="1"/>
  <c r="O314" i="1"/>
  <c r="O315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O309" i="1"/>
  <c r="O310" i="1"/>
  <c r="O311" i="1"/>
  <c r="O302" i="1"/>
  <c r="AW308" i="1"/>
  <c r="AX308" i="1"/>
  <c r="AW309" i="1"/>
  <c r="AX309" i="1"/>
  <c r="AW310" i="1"/>
  <c r="AX310" i="1"/>
  <c r="AW311" i="1"/>
  <c r="AX311" i="1"/>
  <c r="AH308" i="1"/>
  <c r="A308" i="13" s="1"/>
  <c r="A308" i="14" s="1"/>
  <c r="AH309" i="1"/>
  <c r="A309" i="13" s="1"/>
  <c r="A309" i="14" s="1"/>
  <c r="AH310" i="1"/>
  <c r="A310" i="13" s="1"/>
  <c r="A310" i="14" s="1"/>
  <c r="AH311" i="1"/>
  <c r="A311" i="13" s="1"/>
  <c r="A311" i="14" s="1"/>
  <c r="J308" i="1"/>
  <c r="AP308" i="1" s="1"/>
  <c r="J309" i="1"/>
  <c r="AP309" i="1" s="1"/>
  <c r="J310" i="1"/>
  <c r="AP310" i="1" s="1"/>
  <c r="J311" i="1"/>
  <c r="AP311" i="1" s="1"/>
  <c r="AD308" i="1"/>
  <c r="P308" i="5" s="1"/>
  <c r="AD309" i="1"/>
  <c r="P309" i="5" s="1"/>
  <c r="AD310" i="1"/>
  <c r="P310" i="5" s="1"/>
  <c r="AD311" i="1"/>
  <c r="P311" i="5" s="1"/>
  <c r="T308" i="1"/>
  <c r="E308" i="5" s="1"/>
  <c r="T309" i="1"/>
  <c r="E309" i="5" s="1"/>
  <c r="T310" i="1"/>
  <c r="E310" i="5" s="1"/>
  <c r="T311" i="1"/>
  <c r="E311" i="5" s="1"/>
  <c r="N300" i="1"/>
  <c r="O300" i="1"/>
  <c r="N301" i="1"/>
  <c r="O301" i="1"/>
  <c r="O299" i="1"/>
  <c r="G300" i="1"/>
  <c r="G301" i="1"/>
  <c r="G299" i="1"/>
  <c r="O298" i="1"/>
  <c r="P298" i="1" s="1"/>
  <c r="N298" i="1"/>
  <c r="O297" i="1"/>
  <c r="P297" i="1" s="1"/>
  <c r="N297" i="1"/>
  <c r="O296" i="1"/>
  <c r="P296" i="1" s="1"/>
  <c r="N296" i="1"/>
  <c r="O295" i="1"/>
  <c r="P295" i="1" s="1"/>
  <c r="N295" i="1"/>
  <c r="O294" i="1"/>
  <c r="P294" i="1" s="1"/>
  <c r="N294" i="1"/>
  <c r="O293" i="1"/>
  <c r="P293" i="1" s="1"/>
  <c r="N293" i="1"/>
  <c r="O292" i="1"/>
  <c r="P292" i="1" s="1"/>
  <c r="N292" i="1"/>
  <c r="O291" i="1"/>
  <c r="P291" i="1" s="1"/>
  <c r="N291" i="1"/>
  <c r="O290" i="1"/>
  <c r="P290" i="1" s="1"/>
  <c r="N290" i="1"/>
  <c r="O289" i="1"/>
  <c r="P289" i="1" s="1"/>
  <c r="N289" i="1"/>
  <c r="O288" i="1"/>
  <c r="P288" i="1" s="1"/>
  <c r="N288" i="1"/>
  <c r="O287" i="1"/>
  <c r="P287" i="1" s="1"/>
  <c r="N287" i="1"/>
  <c r="O286" i="1"/>
  <c r="P286" i="1" s="1"/>
  <c r="N286" i="1"/>
  <c r="O285" i="1"/>
  <c r="P285" i="1" s="1"/>
  <c r="N285" i="1"/>
  <c r="O284" i="1"/>
  <c r="P284" i="1" s="1"/>
  <c r="N284" i="1"/>
  <c r="O283" i="1"/>
  <c r="P283" i="1" s="1"/>
  <c r="N283" i="1"/>
  <c r="O282" i="1"/>
  <c r="P282" i="1" s="1"/>
  <c r="N282" i="1"/>
  <c r="O281" i="1"/>
  <c r="P281" i="1" s="1"/>
  <c r="N281" i="1"/>
  <c r="O280" i="1"/>
  <c r="P280" i="1" s="1"/>
  <c r="N280" i="1"/>
  <c r="O279" i="1"/>
  <c r="P279" i="1" s="1"/>
  <c r="N279" i="1"/>
  <c r="O278" i="1"/>
  <c r="P278" i="1" s="1"/>
  <c r="N278" i="1"/>
  <c r="O276" i="1"/>
  <c r="P276" i="1" s="1"/>
  <c r="O277" i="1"/>
  <c r="P277" i="1" s="1"/>
  <c r="O275" i="1"/>
  <c r="P275" i="1" s="1"/>
  <c r="AK440" i="1" l="1"/>
  <c r="D440" i="13"/>
  <c r="D440" i="14" s="1"/>
  <c r="S440" i="13"/>
  <c r="S440" i="14" s="1"/>
  <c r="G440" i="13"/>
  <c r="G440" i="14" s="1"/>
  <c r="N440" i="13"/>
  <c r="N440" i="14" s="1"/>
  <c r="J440" i="13"/>
  <c r="J440" i="14" s="1"/>
  <c r="O440" i="13"/>
  <c r="O440" i="14" s="1"/>
  <c r="R440" i="13"/>
  <c r="R440" i="14" s="1"/>
  <c r="F440" i="13"/>
  <c r="F440" i="14" s="1"/>
  <c r="H440" i="13"/>
  <c r="H440" i="14" s="1"/>
  <c r="M440" i="13"/>
  <c r="M440" i="14" s="1"/>
  <c r="K440" i="13"/>
  <c r="K440" i="14" s="1"/>
  <c r="Q440" i="13"/>
  <c r="Q440" i="14" s="1"/>
  <c r="L440" i="13"/>
  <c r="L440" i="14" s="1"/>
  <c r="I440" i="13"/>
  <c r="I440" i="14" s="1"/>
  <c r="C440" i="13"/>
  <c r="C440" i="14" s="1"/>
  <c r="P440" i="13"/>
  <c r="P440" i="14" s="1"/>
  <c r="E440" i="13"/>
  <c r="E440" i="14" s="1"/>
  <c r="C405" i="12"/>
  <c r="E310" i="12"/>
  <c r="P310" i="12"/>
  <c r="E311" i="12"/>
  <c r="P42" i="12"/>
  <c r="C401" i="12"/>
  <c r="E309" i="12"/>
  <c r="P309" i="12"/>
  <c r="C403" i="12"/>
  <c r="C412" i="12"/>
  <c r="C413" i="12"/>
  <c r="C404" i="12"/>
  <c r="P311" i="12"/>
  <c r="C402" i="12"/>
  <c r="E308" i="12"/>
  <c r="P308" i="12"/>
  <c r="E42" i="12"/>
  <c r="B440" i="5"/>
  <c r="B440" i="12" s="1"/>
  <c r="P309" i="1"/>
  <c r="C309" i="5"/>
  <c r="P339" i="1"/>
  <c r="C339" i="5"/>
  <c r="P327" i="1"/>
  <c r="C327" i="5"/>
  <c r="P387" i="1"/>
  <c r="C387" i="5"/>
  <c r="P381" i="1"/>
  <c r="C381" i="5"/>
  <c r="P377" i="1"/>
  <c r="C377" i="5"/>
  <c r="P373" i="1"/>
  <c r="C373" i="5"/>
  <c r="P367" i="1"/>
  <c r="C367" i="5"/>
  <c r="P363" i="1"/>
  <c r="C363" i="5"/>
  <c r="P359" i="1"/>
  <c r="C359" i="5"/>
  <c r="P355" i="1"/>
  <c r="C355" i="5"/>
  <c r="P347" i="1"/>
  <c r="C347" i="5"/>
  <c r="P390" i="1"/>
  <c r="C390" i="5"/>
  <c r="P393" i="1"/>
  <c r="C393" i="5"/>
  <c r="P398" i="1"/>
  <c r="C398" i="5"/>
  <c r="P300" i="1"/>
  <c r="C300" i="5"/>
  <c r="P302" i="1"/>
  <c r="C302" i="5"/>
  <c r="P308" i="1"/>
  <c r="C308" i="5"/>
  <c r="P306" i="1"/>
  <c r="C306" i="5"/>
  <c r="P304" i="1"/>
  <c r="C304" i="5"/>
  <c r="P315" i="1"/>
  <c r="C315" i="5"/>
  <c r="P338" i="1"/>
  <c r="C338" i="5"/>
  <c r="P334" i="1"/>
  <c r="C334" i="5"/>
  <c r="P330" i="1"/>
  <c r="C330" i="5"/>
  <c r="P326" i="1"/>
  <c r="C326" i="5"/>
  <c r="P322" i="1"/>
  <c r="C322" i="5"/>
  <c r="P318" i="1"/>
  <c r="C318" i="5"/>
  <c r="P341" i="1"/>
  <c r="C341" i="5"/>
  <c r="P397" i="1"/>
  <c r="C397" i="5"/>
  <c r="AL440" i="1"/>
  <c r="B440" i="13" s="1"/>
  <c r="B440" i="14" s="1"/>
  <c r="P312" i="1"/>
  <c r="C312" i="5"/>
  <c r="P335" i="1"/>
  <c r="C335" i="5"/>
  <c r="P319" i="1"/>
  <c r="C319" i="5"/>
  <c r="P42" i="1"/>
  <c r="C42" i="5"/>
  <c r="P383" i="1"/>
  <c r="C383" i="5"/>
  <c r="P371" i="1"/>
  <c r="C371" i="5"/>
  <c r="P353" i="1"/>
  <c r="C353" i="5"/>
  <c r="P299" i="1"/>
  <c r="C299" i="5"/>
  <c r="P311" i="1"/>
  <c r="C311" i="5"/>
  <c r="P314" i="1"/>
  <c r="C314" i="5"/>
  <c r="P337" i="1"/>
  <c r="C337" i="5"/>
  <c r="P333" i="1"/>
  <c r="C333" i="5"/>
  <c r="P329" i="1"/>
  <c r="C329" i="5"/>
  <c r="P325" i="1"/>
  <c r="C325" i="5"/>
  <c r="P321" i="1"/>
  <c r="C321" i="5"/>
  <c r="P317" i="1"/>
  <c r="C317" i="5"/>
  <c r="P340" i="1"/>
  <c r="C340" i="5"/>
  <c r="P388" i="1"/>
  <c r="C388" i="5"/>
  <c r="P386" i="1"/>
  <c r="C386" i="5"/>
  <c r="P384" i="1"/>
  <c r="C384" i="5"/>
  <c r="P382" i="1"/>
  <c r="C382" i="5"/>
  <c r="P380" i="1"/>
  <c r="C380" i="5"/>
  <c r="P378" i="1"/>
  <c r="C378" i="5"/>
  <c r="P376" i="1"/>
  <c r="C376" i="5"/>
  <c r="P374" i="1"/>
  <c r="C374" i="5"/>
  <c r="P372" i="1"/>
  <c r="C372" i="5"/>
  <c r="P370" i="1"/>
  <c r="C370" i="5"/>
  <c r="P368" i="1"/>
  <c r="C368" i="5"/>
  <c r="P366" i="1"/>
  <c r="C366" i="5"/>
  <c r="P364" i="1"/>
  <c r="C364" i="5"/>
  <c r="P362" i="1"/>
  <c r="C362" i="5"/>
  <c r="P360" i="1"/>
  <c r="C360" i="5"/>
  <c r="P358" i="1"/>
  <c r="C358" i="5"/>
  <c r="P356" i="1"/>
  <c r="C356" i="5"/>
  <c r="P354" i="1"/>
  <c r="C354" i="5"/>
  <c r="P352" i="1"/>
  <c r="C352" i="5"/>
  <c r="P350" i="1"/>
  <c r="C350" i="5"/>
  <c r="P348" i="1"/>
  <c r="C348" i="5"/>
  <c r="P346" i="1"/>
  <c r="C346" i="5"/>
  <c r="P344" i="1"/>
  <c r="C344" i="5"/>
  <c r="P391" i="1"/>
  <c r="C391" i="5"/>
  <c r="P394" i="1"/>
  <c r="C394" i="5"/>
  <c r="P400" i="1"/>
  <c r="C400" i="5"/>
  <c r="P396" i="1"/>
  <c r="C396" i="5"/>
  <c r="P331" i="1"/>
  <c r="C331" i="5"/>
  <c r="P323" i="1"/>
  <c r="C323" i="5"/>
  <c r="P389" i="1"/>
  <c r="C389" i="5"/>
  <c r="P385" i="1"/>
  <c r="C385" i="5"/>
  <c r="P379" i="1"/>
  <c r="C379" i="5"/>
  <c r="P375" i="1"/>
  <c r="C375" i="5"/>
  <c r="P369" i="1"/>
  <c r="C369" i="5"/>
  <c r="P365" i="1"/>
  <c r="C365" i="5"/>
  <c r="P361" i="1"/>
  <c r="C361" i="5"/>
  <c r="P357" i="1"/>
  <c r="C357" i="5"/>
  <c r="P351" i="1"/>
  <c r="C351" i="5"/>
  <c r="P349" i="1"/>
  <c r="C349" i="5"/>
  <c r="P345" i="1"/>
  <c r="C345" i="5"/>
  <c r="P395" i="1"/>
  <c r="C395" i="5"/>
  <c r="P301" i="1"/>
  <c r="C301" i="5"/>
  <c r="P310" i="1"/>
  <c r="C310" i="5"/>
  <c r="P307" i="1"/>
  <c r="C307" i="5"/>
  <c r="P305" i="1"/>
  <c r="C305" i="5"/>
  <c r="P303" i="1"/>
  <c r="C303" i="5"/>
  <c r="P313" i="1"/>
  <c r="C313" i="5"/>
  <c r="P336" i="1"/>
  <c r="C336" i="5"/>
  <c r="P332" i="1"/>
  <c r="C332" i="5"/>
  <c r="P328" i="1"/>
  <c r="C328" i="5"/>
  <c r="P324" i="1"/>
  <c r="C324" i="5"/>
  <c r="P320" i="1"/>
  <c r="C320" i="5"/>
  <c r="P316" i="1"/>
  <c r="C316" i="5"/>
  <c r="P342" i="1"/>
  <c r="C342" i="5"/>
  <c r="P343" i="1"/>
  <c r="C343" i="5"/>
  <c r="P392" i="1"/>
  <c r="C392" i="5"/>
  <c r="P399" i="1"/>
  <c r="C399" i="5"/>
  <c r="AI42" i="1"/>
  <c r="A42" i="5" s="1"/>
  <c r="A42" i="12" s="1"/>
  <c r="AI308" i="1"/>
  <c r="A308" i="5" s="1"/>
  <c r="A308" i="12" s="1"/>
  <c r="AI311" i="1"/>
  <c r="A311" i="5" s="1"/>
  <c r="A311" i="12" s="1"/>
  <c r="AI310" i="1"/>
  <c r="A310" i="5" s="1"/>
  <c r="A310" i="12" s="1"/>
  <c r="AP42" i="1"/>
  <c r="AI309" i="1"/>
  <c r="A309" i="5" s="1"/>
  <c r="A309" i="12" s="1"/>
  <c r="O274" i="1"/>
  <c r="P274" i="1" s="1"/>
  <c r="N274" i="1"/>
  <c r="O273" i="1"/>
  <c r="P273" i="1" s="1"/>
  <c r="N273" i="1"/>
  <c r="O272" i="1"/>
  <c r="P272" i="1" s="1"/>
  <c r="N272" i="1"/>
  <c r="O271" i="1"/>
  <c r="P271" i="1" s="1"/>
  <c r="N271" i="1"/>
  <c r="O270" i="1"/>
  <c r="P270" i="1" s="1"/>
  <c r="N270" i="1"/>
  <c r="O269" i="1"/>
  <c r="P269" i="1" s="1"/>
  <c r="N269" i="1"/>
  <c r="O268" i="1"/>
  <c r="P268" i="1" s="1"/>
  <c r="N268" i="1"/>
  <c r="O267" i="1"/>
  <c r="P267" i="1" s="1"/>
  <c r="N267" i="1"/>
  <c r="O266" i="1"/>
  <c r="P266" i="1" s="1"/>
  <c r="N266" i="1"/>
  <c r="O265" i="1"/>
  <c r="P265" i="1" s="1"/>
  <c r="N264" i="1"/>
  <c r="O264" i="1"/>
  <c r="P264" i="1" s="1"/>
  <c r="O263" i="1"/>
  <c r="P263" i="1" s="1"/>
  <c r="N258" i="1"/>
  <c r="O258" i="1"/>
  <c r="P258" i="1" s="1"/>
  <c r="N259" i="1"/>
  <c r="O259" i="1"/>
  <c r="P259" i="1" s="1"/>
  <c r="N260" i="1"/>
  <c r="O260" i="1"/>
  <c r="P260" i="1" s="1"/>
  <c r="N261" i="1"/>
  <c r="O261" i="1"/>
  <c r="P261" i="1" s="1"/>
  <c r="N262" i="1"/>
  <c r="O262" i="1"/>
  <c r="P262" i="1" s="1"/>
  <c r="O257" i="1"/>
  <c r="P257" i="1" s="1"/>
  <c r="G258" i="1"/>
  <c r="G259" i="1"/>
  <c r="G260" i="1"/>
  <c r="G261" i="1"/>
  <c r="G262" i="1"/>
  <c r="G257" i="1"/>
  <c r="N255" i="1"/>
  <c r="O255" i="1"/>
  <c r="N256" i="1"/>
  <c r="O256" i="1"/>
  <c r="O254" i="1"/>
  <c r="O251" i="1"/>
  <c r="O252" i="1"/>
  <c r="O253" i="1"/>
  <c r="G250" i="1"/>
  <c r="O250" i="1"/>
  <c r="N248" i="1"/>
  <c r="O248" i="1"/>
  <c r="N249" i="1"/>
  <c r="O249" i="1"/>
  <c r="O247" i="1"/>
  <c r="M246" i="1"/>
  <c r="L246" i="1"/>
  <c r="N245" i="1"/>
  <c r="N246" i="1" s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N147" i="1"/>
  <c r="O147" i="1"/>
  <c r="N148" i="1"/>
  <c r="O148" i="1"/>
  <c r="O146" i="1"/>
  <c r="N141" i="1"/>
  <c r="O141" i="1"/>
  <c r="N142" i="1"/>
  <c r="O142" i="1"/>
  <c r="N143" i="1"/>
  <c r="O143" i="1"/>
  <c r="N144" i="1"/>
  <c r="O144" i="1"/>
  <c r="N145" i="1"/>
  <c r="O145" i="1"/>
  <c r="O140" i="1"/>
  <c r="C320" i="12" l="1"/>
  <c r="C307" i="12"/>
  <c r="C351" i="12"/>
  <c r="C389" i="12"/>
  <c r="C391" i="12"/>
  <c r="C354" i="12"/>
  <c r="C366" i="12"/>
  <c r="C378" i="12"/>
  <c r="C340" i="12"/>
  <c r="C337" i="12"/>
  <c r="C383" i="12"/>
  <c r="C341" i="12"/>
  <c r="C322" i="12"/>
  <c r="C330" i="12"/>
  <c r="C338" i="12"/>
  <c r="C304" i="12"/>
  <c r="C308" i="12"/>
  <c r="C300" i="12"/>
  <c r="C393" i="12"/>
  <c r="C347" i="12"/>
  <c r="C359" i="12"/>
  <c r="C367" i="12"/>
  <c r="C377" i="12"/>
  <c r="C387" i="12"/>
  <c r="C339" i="12"/>
  <c r="C342" i="12"/>
  <c r="C336" i="12"/>
  <c r="C301" i="12"/>
  <c r="C361" i="12"/>
  <c r="C379" i="12"/>
  <c r="C400" i="12"/>
  <c r="C350" i="12"/>
  <c r="C362" i="12"/>
  <c r="C374" i="12"/>
  <c r="C382" i="12"/>
  <c r="C321" i="12"/>
  <c r="C353" i="12"/>
  <c r="C319" i="12"/>
  <c r="C399" i="12"/>
  <c r="C343" i="12"/>
  <c r="C316" i="12"/>
  <c r="C324" i="12"/>
  <c r="C332" i="12"/>
  <c r="C313" i="12"/>
  <c r="C305" i="12"/>
  <c r="C310" i="12"/>
  <c r="C395" i="12"/>
  <c r="C349" i="12"/>
  <c r="C357" i="12"/>
  <c r="C365" i="12"/>
  <c r="C375" i="12"/>
  <c r="C385" i="12"/>
  <c r="C323" i="12"/>
  <c r="C396" i="12"/>
  <c r="C394" i="12"/>
  <c r="C344" i="12"/>
  <c r="C348" i="12"/>
  <c r="C352" i="12"/>
  <c r="C356" i="12"/>
  <c r="C360" i="12"/>
  <c r="C364" i="12"/>
  <c r="C368" i="12"/>
  <c r="C372" i="12"/>
  <c r="C376" i="12"/>
  <c r="C380" i="12"/>
  <c r="C384" i="12"/>
  <c r="C388" i="12"/>
  <c r="C317" i="12"/>
  <c r="C325" i="12"/>
  <c r="C333" i="12"/>
  <c r="C314" i="12"/>
  <c r="C299" i="12"/>
  <c r="C371" i="12"/>
  <c r="C42" i="12"/>
  <c r="C335" i="12"/>
  <c r="C392" i="12"/>
  <c r="C328" i="12"/>
  <c r="C303" i="12"/>
  <c r="C345" i="12"/>
  <c r="C369" i="12"/>
  <c r="C331" i="12"/>
  <c r="C346" i="12"/>
  <c r="C358" i="12"/>
  <c r="C370" i="12"/>
  <c r="C386" i="12"/>
  <c r="C329" i="12"/>
  <c r="C311" i="12"/>
  <c r="C312" i="12"/>
  <c r="C397" i="12"/>
  <c r="C318" i="12"/>
  <c r="C326" i="12"/>
  <c r="C334" i="12"/>
  <c r="C315" i="12"/>
  <c r="C306" i="12"/>
  <c r="C302" i="12"/>
  <c r="C398" i="12"/>
  <c r="C390" i="12"/>
  <c r="C355" i="12"/>
  <c r="C363" i="12"/>
  <c r="C373" i="12"/>
  <c r="C381" i="12"/>
  <c r="C327" i="12"/>
  <c r="C309" i="12"/>
  <c r="P153" i="1"/>
  <c r="C153" i="5"/>
  <c r="P157" i="1"/>
  <c r="C157" i="5"/>
  <c r="P163" i="1"/>
  <c r="C163" i="5"/>
  <c r="P169" i="1"/>
  <c r="C169" i="5"/>
  <c r="P175" i="1"/>
  <c r="C175" i="5"/>
  <c r="P179" i="1"/>
  <c r="C179" i="5"/>
  <c r="P185" i="1"/>
  <c r="C185" i="5"/>
  <c r="P191" i="1"/>
  <c r="C191" i="5"/>
  <c r="P197" i="1"/>
  <c r="C197" i="5"/>
  <c r="P201" i="1"/>
  <c r="C201" i="5"/>
  <c r="P207" i="1"/>
  <c r="C207" i="5"/>
  <c r="P213" i="1"/>
  <c r="C213" i="5"/>
  <c r="P219" i="1"/>
  <c r="C219" i="5"/>
  <c r="P147" i="1"/>
  <c r="C147" i="5"/>
  <c r="P243" i="1"/>
  <c r="C243" i="5"/>
  <c r="P241" i="1"/>
  <c r="C241" i="5"/>
  <c r="P239" i="1"/>
  <c r="C239" i="5"/>
  <c r="P237" i="1"/>
  <c r="C237" i="5"/>
  <c r="P235" i="1"/>
  <c r="C235" i="5"/>
  <c r="P233" i="1"/>
  <c r="C233" i="5"/>
  <c r="P231" i="1"/>
  <c r="C231" i="5"/>
  <c r="P229" i="1"/>
  <c r="C229" i="5"/>
  <c r="P227" i="1"/>
  <c r="C227" i="5"/>
  <c r="P225" i="1"/>
  <c r="C225" i="5"/>
  <c r="P223" i="1"/>
  <c r="C223" i="5"/>
  <c r="P221" i="1"/>
  <c r="C221" i="5"/>
  <c r="P248" i="1"/>
  <c r="C248" i="5"/>
  <c r="P253" i="1"/>
  <c r="C253" i="5"/>
  <c r="P256" i="1"/>
  <c r="C256" i="5"/>
  <c r="P143" i="1"/>
  <c r="C143" i="5"/>
  <c r="P149" i="1"/>
  <c r="C149" i="5"/>
  <c r="P159" i="1"/>
  <c r="C159" i="5"/>
  <c r="P165" i="1"/>
  <c r="C165" i="5"/>
  <c r="P173" i="1"/>
  <c r="C173" i="5"/>
  <c r="P181" i="1"/>
  <c r="C181" i="5"/>
  <c r="P189" i="1"/>
  <c r="C189" i="5"/>
  <c r="P195" i="1"/>
  <c r="C195" i="5"/>
  <c r="P203" i="1"/>
  <c r="C203" i="5"/>
  <c r="P211" i="1"/>
  <c r="C211" i="5"/>
  <c r="P217" i="1"/>
  <c r="C217" i="5"/>
  <c r="P254" i="1"/>
  <c r="C254" i="5"/>
  <c r="P144" i="1"/>
  <c r="C144" i="5"/>
  <c r="P142" i="1"/>
  <c r="C142" i="5"/>
  <c r="P146" i="1"/>
  <c r="C146" i="5"/>
  <c r="P150" i="1"/>
  <c r="C150" i="5"/>
  <c r="P152" i="1"/>
  <c r="C152" i="5"/>
  <c r="P154" i="1"/>
  <c r="C154" i="5"/>
  <c r="P156" i="1"/>
  <c r="C156" i="5"/>
  <c r="P158" i="1"/>
  <c r="C158" i="5"/>
  <c r="P160" i="1"/>
  <c r="C160" i="5"/>
  <c r="P162" i="1"/>
  <c r="C162" i="5"/>
  <c r="P164" i="1"/>
  <c r="C164" i="5"/>
  <c r="P166" i="1"/>
  <c r="C166" i="5"/>
  <c r="P168" i="1"/>
  <c r="C168" i="5"/>
  <c r="P170" i="1"/>
  <c r="C170" i="5"/>
  <c r="P172" i="1"/>
  <c r="C172" i="5"/>
  <c r="P174" i="1"/>
  <c r="C174" i="5"/>
  <c r="P176" i="1"/>
  <c r="C176" i="5"/>
  <c r="P178" i="1"/>
  <c r="C178" i="5"/>
  <c r="P180" i="1"/>
  <c r="C180" i="5"/>
  <c r="P182" i="1"/>
  <c r="C182" i="5"/>
  <c r="P184" i="1"/>
  <c r="C184" i="5"/>
  <c r="P186" i="1"/>
  <c r="C186" i="5"/>
  <c r="P188" i="1"/>
  <c r="C188" i="5"/>
  <c r="P190" i="1"/>
  <c r="C190" i="5"/>
  <c r="P192" i="1"/>
  <c r="C192" i="5"/>
  <c r="P194" i="1"/>
  <c r="C194" i="5"/>
  <c r="P196" i="1"/>
  <c r="C196" i="5"/>
  <c r="P198" i="1"/>
  <c r="C198" i="5"/>
  <c r="P200" i="1"/>
  <c r="C200" i="5"/>
  <c r="P202" i="1"/>
  <c r="C202" i="5"/>
  <c r="P204" i="1"/>
  <c r="C204" i="5"/>
  <c r="P206" i="1"/>
  <c r="C206" i="5"/>
  <c r="P208" i="1"/>
  <c r="C208" i="5"/>
  <c r="P210" i="1"/>
  <c r="C210" i="5"/>
  <c r="P212" i="1"/>
  <c r="C212" i="5"/>
  <c r="P214" i="1"/>
  <c r="C214" i="5"/>
  <c r="P216" i="1"/>
  <c r="C216" i="5"/>
  <c r="P218" i="1"/>
  <c r="C218" i="5"/>
  <c r="P220" i="1"/>
  <c r="C220" i="5"/>
  <c r="P247" i="1"/>
  <c r="C247" i="5"/>
  <c r="P252" i="1"/>
  <c r="C252" i="5"/>
  <c r="AJ308" i="1"/>
  <c r="P145" i="1"/>
  <c r="C145" i="5"/>
  <c r="P141" i="1"/>
  <c r="C141" i="5"/>
  <c r="P151" i="1"/>
  <c r="C151" i="5"/>
  <c r="P155" i="1"/>
  <c r="C155" i="5"/>
  <c r="P161" i="1"/>
  <c r="C161" i="5"/>
  <c r="P167" i="1"/>
  <c r="C167" i="5"/>
  <c r="P171" i="1"/>
  <c r="C171" i="5"/>
  <c r="P177" i="1"/>
  <c r="C177" i="5"/>
  <c r="P183" i="1"/>
  <c r="C183" i="5"/>
  <c r="P187" i="1"/>
  <c r="C187" i="5"/>
  <c r="P193" i="1"/>
  <c r="C193" i="5"/>
  <c r="P199" i="1"/>
  <c r="C199" i="5"/>
  <c r="P205" i="1"/>
  <c r="C205" i="5"/>
  <c r="P209" i="1"/>
  <c r="C209" i="5"/>
  <c r="P215" i="1"/>
  <c r="C215" i="5"/>
  <c r="P140" i="1"/>
  <c r="C140" i="5"/>
  <c r="P148" i="1"/>
  <c r="C148" i="5"/>
  <c r="P244" i="1"/>
  <c r="C244" i="5"/>
  <c r="P242" i="1"/>
  <c r="C242" i="5"/>
  <c r="P240" i="1"/>
  <c r="C240" i="5"/>
  <c r="P238" i="1"/>
  <c r="C238" i="5"/>
  <c r="P236" i="1"/>
  <c r="C236" i="5"/>
  <c r="P234" i="1"/>
  <c r="C234" i="5"/>
  <c r="P232" i="1"/>
  <c r="C232" i="5"/>
  <c r="P230" i="1"/>
  <c r="C230" i="5"/>
  <c r="P228" i="1"/>
  <c r="C228" i="5"/>
  <c r="P226" i="1"/>
  <c r="C226" i="5"/>
  <c r="P224" i="1"/>
  <c r="C224" i="5"/>
  <c r="P222" i="1"/>
  <c r="C222" i="5"/>
  <c r="P249" i="1"/>
  <c r="C249" i="5"/>
  <c r="P250" i="1"/>
  <c r="C250" i="5"/>
  <c r="P251" i="1"/>
  <c r="C251" i="5"/>
  <c r="P255" i="1"/>
  <c r="C255" i="5"/>
  <c r="AJ42" i="1"/>
  <c r="C42" i="13" s="1"/>
  <c r="C42" i="14" s="1"/>
  <c r="AL308" i="1"/>
  <c r="B308" i="13" s="1"/>
  <c r="B308" i="14" s="1"/>
  <c r="AJ309" i="1"/>
  <c r="AJ310" i="1"/>
  <c r="C310" i="13" s="1"/>
  <c r="C310" i="14" s="1"/>
  <c r="AJ311" i="1"/>
  <c r="O138" i="1"/>
  <c r="O139" i="1"/>
  <c r="O133" i="1"/>
  <c r="O134" i="1"/>
  <c r="O135" i="1"/>
  <c r="O136" i="1"/>
  <c r="O137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18" i="1"/>
  <c r="O116" i="1"/>
  <c r="O117" i="1"/>
  <c r="O115" i="1"/>
  <c r="O110" i="1"/>
  <c r="O111" i="1"/>
  <c r="O112" i="1"/>
  <c r="O113" i="1"/>
  <c r="O11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N106" i="1"/>
  <c r="O106" i="1"/>
  <c r="N107" i="1"/>
  <c r="O107" i="1"/>
  <c r="N108" i="1"/>
  <c r="O108" i="1"/>
  <c r="N109" i="1"/>
  <c r="O109" i="1"/>
  <c r="O105" i="1"/>
  <c r="O102" i="1"/>
  <c r="O103" i="1"/>
  <c r="O104" i="1"/>
  <c r="O101" i="1"/>
  <c r="M309" i="13" l="1"/>
  <c r="M309" i="14" s="1"/>
  <c r="K309" i="13"/>
  <c r="K309" i="14" s="1"/>
  <c r="L309" i="13"/>
  <c r="L309" i="14" s="1"/>
  <c r="I309" i="13"/>
  <c r="I309" i="14" s="1"/>
  <c r="Q309" i="13"/>
  <c r="Q309" i="14" s="1"/>
  <c r="H309" i="13"/>
  <c r="H309" i="14" s="1"/>
  <c r="R309" i="13"/>
  <c r="R309" i="14" s="1"/>
  <c r="D309" i="13"/>
  <c r="D309" i="14" s="1"/>
  <c r="S309" i="13"/>
  <c r="S309" i="14" s="1"/>
  <c r="F309" i="13"/>
  <c r="F309" i="14" s="1"/>
  <c r="J309" i="13"/>
  <c r="J309" i="14" s="1"/>
  <c r="N309" i="13"/>
  <c r="N309" i="14" s="1"/>
  <c r="O309" i="13"/>
  <c r="O309" i="14" s="1"/>
  <c r="G309" i="13"/>
  <c r="G309" i="14" s="1"/>
  <c r="P309" i="13"/>
  <c r="P309" i="14" s="1"/>
  <c r="E309" i="13"/>
  <c r="E309" i="14" s="1"/>
  <c r="D308" i="13"/>
  <c r="D308" i="14" s="1"/>
  <c r="S308" i="13"/>
  <c r="S308" i="14" s="1"/>
  <c r="G308" i="13"/>
  <c r="G308" i="14" s="1"/>
  <c r="J308" i="13"/>
  <c r="J308" i="14" s="1"/>
  <c r="N308" i="13"/>
  <c r="N308" i="14" s="1"/>
  <c r="O308" i="13"/>
  <c r="O308" i="14" s="1"/>
  <c r="R308" i="13"/>
  <c r="R308" i="14" s="1"/>
  <c r="F308" i="13"/>
  <c r="F308" i="14" s="1"/>
  <c r="H308" i="13"/>
  <c r="H308" i="14" s="1"/>
  <c r="M308" i="13"/>
  <c r="M308" i="14" s="1"/>
  <c r="K308" i="13"/>
  <c r="K308" i="14" s="1"/>
  <c r="I308" i="13"/>
  <c r="I308" i="14" s="1"/>
  <c r="L308" i="13"/>
  <c r="L308" i="14" s="1"/>
  <c r="Q308" i="13"/>
  <c r="Q308" i="14" s="1"/>
  <c r="P308" i="13"/>
  <c r="P308" i="14" s="1"/>
  <c r="E308" i="13"/>
  <c r="E308" i="14" s="1"/>
  <c r="K311" i="13"/>
  <c r="K311" i="14" s="1"/>
  <c r="M311" i="13"/>
  <c r="M311" i="14" s="1"/>
  <c r="L311" i="13"/>
  <c r="L311" i="14" s="1"/>
  <c r="Q311" i="13"/>
  <c r="Q311" i="14" s="1"/>
  <c r="I311" i="13"/>
  <c r="I311" i="14" s="1"/>
  <c r="R311" i="13"/>
  <c r="R311" i="14" s="1"/>
  <c r="O311" i="13"/>
  <c r="O311" i="14" s="1"/>
  <c r="H311" i="13"/>
  <c r="H311" i="14" s="1"/>
  <c r="N311" i="13"/>
  <c r="N311" i="14" s="1"/>
  <c r="S311" i="13"/>
  <c r="S311" i="14" s="1"/>
  <c r="G311" i="13"/>
  <c r="G311" i="14" s="1"/>
  <c r="D311" i="13"/>
  <c r="D311" i="14" s="1"/>
  <c r="F311" i="13"/>
  <c r="F311" i="14" s="1"/>
  <c r="J311" i="13"/>
  <c r="J311" i="14" s="1"/>
  <c r="E311" i="13"/>
  <c r="E311" i="14" s="1"/>
  <c r="P311" i="13"/>
  <c r="P311" i="14" s="1"/>
  <c r="N42" i="13"/>
  <c r="N42" i="14" s="1"/>
  <c r="J42" i="13"/>
  <c r="J42" i="14" s="1"/>
  <c r="S42" i="13"/>
  <c r="S42" i="14" s="1"/>
  <c r="G42" i="13"/>
  <c r="G42" i="14" s="1"/>
  <c r="M42" i="13"/>
  <c r="M42" i="14" s="1"/>
  <c r="K42" i="13"/>
  <c r="K42" i="14" s="1"/>
  <c r="L42" i="13"/>
  <c r="L42" i="14" s="1"/>
  <c r="F42" i="13"/>
  <c r="F42" i="14" s="1"/>
  <c r="I42" i="13"/>
  <c r="I42" i="14" s="1"/>
  <c r="O42" i="13"/>
  <c r="O42" i="14" s="1"/>
  <c r="Q42" i="13"/>
  <c r="Q42" i="14" s="1"/>
  <c r="H42" i="13"/>
  <c r="H42" i="14" s="1"/>
  <c r="D42" i="13"/>
  <c r="D42" i="14" s="1"/>
  <c r="R42" i="13"/>
  <c r="R42" i="14" s="1"/>
  <c r="P42" i="13"/>
  <c r="P42" i="14" s="1"/>
  <c r="E42" i="13"/>
  <c r="E42" i="14" s="1"/>
  <c r="H310" i="13"/>
  <c r="H310" i="14" s="1"/>
  <c r="N310" i="13"/>
  <c r="N310" i="14" s="1"/>
  <c r="J310" i="13"/>
  <c r="J310" i="14" s="1"/>
  <c r="G310" i="13"/>
  <c r="G310" i="14" s="1"/>
  <c r="S310" i="13"/>
  <c r="S310" i="14" s="1"/>
  <c r="O310" i="13"/>
  <c r="O310" i="14" s="1"/>
  <c r="M310" i="13"/>
  <c r="M310" i="14" s="1"/>
  <c r="K310" i="13"/>
  <c r="K310" i="14" s="1"/>
  <c r="F310" i="13"/>
  <c r="F310" i="14" s="1"/>
  <c r="R310" i="13"/>
  <c r="R310" i="14" s="1"/>
  <c r="Q310" i="13"/>
  <c r="Q310" i="14" s="1"/>
  <c r="I310" i="13"/>
  <c r="I310" i="14" s="1"/>
  <c r="L310" i="13"/>
  <c r="L310" i="14" s="1"/>
  <c r="D310" i="13"/>
  <c r="D310" i="14" s="1"/>
  <c r="E310" i="13"/>
  <c r="E310" i="14" s="1"/>
  <c r="P310" i="13"/>
  <c r="P310" i="14" s="1"/>
  <c r="C309" i="13"/>
  <c r="C309" i="14" s="1"/>
  <c r="C311" i="13"/>
  <c r="C311" i="14" s="1"/>
  <c r="C308" i="13"/>
  <c r="C308" i="14" s="1"/>
  <c r="C214" i="12"/>
  <c r="C202" i="12"/>
  <c r="C190" i="12"/>
  <c r="C178" i="12"/>
  <c r="C166" i="12"/>
  <c r="C154" i="12"/>
  <c r="C254" i="12"/>
  <c r="C181" i="12"/>
  <c r="C256" i="12"/>
  <c r="C227" i="12"/>
  <c r="C239" i="12"/>
  <c r="C207" i="12"/>
  <c r="C185" i="12"/>
  <c r="C153" i="12"/>
  <c r="C249" i="12"/>
  <c r="C232" i="12"/>
  <c r="C240" i="12"/>
  <c r="C140" i="12"/>
  <c r="C155" i="12"/>
  <c r="C218" i="12"/>
  <c r="C210" i="12"/>
  <c r="C198" i="12"/>
  <c r="C186" i="12"/>
  <c r="C170" i="12"/>
  <c r="C158" i="12"/>
  <c r="C150" i="12"/>
  <c r="C211" i="12"/>
  <c r="C165" i="12"/>
  <c r="C248" i="12"/>
  <c r="C231" i="12"/>
  <c r="C243" i="12"/>
  <c r="C197" i="12"/>
  <c r="C163" i="12"/>
  <c r="C251" i="12"/>
  <c r="C224" i="12"/>
  <c r="C228" i="12"/>
  <c r="C236" i="12"/>
  <c r="C244" i="12"/>
  <c r="C209" i="12"/>
  <c r="C199" i="12"/>
  <c r="C187" i="12"/>
  <c r="C177" i="12"/>
  <c r="C167" i="12"/>
  <c r="C141" i="12"/>
  <c r="C252" i="12"/>
  <c r="C220" i="12"/>
  <c r="C216" i="12"/>
  <c r="C212" i="12"/>
  <c r="C208" i="12"/>
  <c r="C204" i="12"/>
  <c r="C200" i="12"/>
  <c r="C196" i="12"/>
  <c r="C192" i="12"/>
  <c r="C188" i="12"/>
  <c r="C184" i="12"/>
  <c r="C180" i="12"/>
  <c r="C176" i="12"/>
  <c r="C172" i="12"/>
  <c r="C168" i="12"/>
  <c r="C164" i="12"/>
  <c r="C160" i="12"/>
  <c r="C156" i="12"/>
  <c r="C152" i="12"/>
  <c r="C146" i="12"/>
  <c r="C144" i="12"/>
  <c r="C217" i="12"/>
  <c r="C203" i="12"/>
  <c r="C189" i="12"/>
  <c r="C173" i="12"/>
  <c r="C159" i="12"/>
  <c r="C143" i="12"/>
  <c r="C253" i="12"/>
  <c r="C221" i="12"/>
  <c r="C225" i="12"/>
  <c r="C229" i="12"/>
  <c r="C233" i="12"/>
  <c r="C237" i="12"/>
  <c r="C241" i="12"/>
  <c r="C147" i="12"/>
  <c r="C213" i="12"/>
  <c r="C201" i="12"/>
  <c r="C191" i="12"/>
  <c r="C179" i="12"/>
  <c r="C169" i="12"/>
  <c r="C157" i="12"/>
  <c r="C247" i="12"/>
  <c r="C206" i="12"/>
  <c r="C194" i="12"/>
  <c r="C182" i="12"/>
  <c r="C174" i="12"/>
  <c r="C162" i="12"/>
  <c r="C142" i="12"/>
  <c r="C195" i="12"/>
  <c r="C149" i="12"/>
  <c r="C223" i="12"/>
  <c r="C235" i="12"/>
  <c r="C219" i="12"/>
  <c r="C175" i="12"/>
  <c r="C255" i="12"/>
  <c r="C250" i="12"/>
  <c r="C222" i="12"/>
  <c r="C226" i="12"/>
  <c r="C230" i="12"/>
  <c r="C234" i="12"/>
  <c r="C238" i="12"/>
  <c r="C242" i="12"/>
  <c r="C148" i="12"/>
  <c r="C215" i="12"/>
  <c r="C205" i="12"/>
  <c r="C193" i="12"/>
  <c r="C183" i="12"/>
  <c r="C171" i="12"/>
  <c r="C161" i="12"/>
  <c r="C151" i="12"/>
  <c r="C145" i="12"/>
  <c r="B310" i="5"/>
  <c r="B310" i="12" s="1"/>
  <c r="B42" i="5"/>
  <c r="B42" i="12" s="1"/>
  <c r="B311" i="5"/>
  <c r="B311" i="12" s="1"/>
  <c r="B309" i="5"/>
  <c r="B309" i="12" s="1"/>
  <c r="B308" i="5"/>
  <c r="B308" i="12" s="1"/>
  <c r="P102" i="1"/>
  <c r="C102" i="5"/>
  <c r="P106" i="1"/>
  <c r="C106" i="5"/>
  <c r="P115" i="1"/>
  <c r="C115" i="5"/>
  <c r="P129" i="1"/>
  <c r="C129" i="5"/>
  <c r="P121" i="1"/>
  <c r="C121" i="5"/>
  <c r="P139" i="1"/>
  <c r="C139" i="5"/>
  <c r="P101" i="1"/>
  <c r="C101" i="5"/>
  <c r="P105" i="1"/>
  <c r="C105" i="5"/>
  <c r="P112" i="1"/>
  <c r="C112" i="5"/>
  <c r="P132" i="1"/>
  <c r="C132" i="5"/>
  <c r="P128" i="1"/>
  <c r="C128" i="5"/>
  <c r="P124" i="1"/>
  <c r="C124" i="5"/>
  <c r="P120" i="1"/>
  <c r="C120" i="5"/>
  <c r="P135" i="1"/>
  <c r="C135" i="5"/>
  <c r="P138" i="1"/>
  <c r="C138" i="5"/>
  <c r="AK308" i="1"/>
  <c r="P131" i="1"/>
  <c r="C131" i="5"/>
  <c r="P119" i="1"/>
  <c r="C119" i="5"/>
  <c r="P108" i="1"/>
  <c r="C108" i="5"/>
  <c r="P113" i="1"/>
  <c r="C113" i="5"/>
  <c r="P118" i="1"/>
  <c r="C118" i="5"/>
  <c r="P125" i="1"/>
  <c r="C125" i="5"/>
  <c r="P136" i="1"/>
  <c r="C136" i="5"/>
  <c r="P104" i="1"/>
  <c r="C104" i="5"/>
  <c r="P109" i="1"/>
  <c r="C109" i="5"/>
  <c r="P107" i="1"/>
  <c r="C107" i="5"/>
  <c r="P111" i="1"/>
  <c r="C111" i="5"/>
  <c r="P117" i="1"/>
  <c r="C117" i="5"/>
  <c r="P127" i="1"/>
  <c r="C127" i="5"/>
  <c r="P123" i="1"/>
  <c r="C123" i="5"/>
  <c r="P134" i="1"/>
  <c r="C134" i="5"/>
  <c r="P103" i="1"/>
  <c r="C103" i="5"/>
  <c r="P114" i="1"/>
  <c r="C114" i="5"/>
  <c r="P110" i="1"/>
  <c r="C110" i="5"/>
  <c r="P116" i="1"/>
  <c r="C116" i="5"/>
  <c r="P130" i="1"/>
  <c r="C130" i="5"/>
  <c r="P126" i="1"/>
  <c r="C126" i="5"/>
  <c r="P122" i="1"/>
  <c r="C122" i="5"/>
  <c r="P137" i="1"/>
  <c r="C137" i="5"/>
  <c r="P133" i="1"/>
  <c r="C133" i="5"/>
  <c r="AL42" i="1"/>
  <c r="B42" i="13" s="1"/>
  <c r="B42" i="14" s="1"/>
  <c r="AK42" i="1"/>
  <c r="AL310" i="1"/>
  <c r="B310" i="13" s="1"/>
  <c r="B310" i="14" s="1"/>
  <c r="AK310" i="1"/>
  <c r="AK311" i="1"/>
  <c r="AL311" i="1"/>
  <c r="B311" i="13" s="1"/>
  <c r="B311" i="14" s="1"/>
  <c r="AK309" i="1"/>
  <c r="AL309" i="1"/>
  <c r="B309" i="13" s="1"/>
  <c r="B309" i="14" s="1"/>
  <c r="O96" i="1"/>
  <c r="O97" i="1"/>
  <c r="O98" i="1"/>
  <c r="O99" i="1"/>
  <c r="O100" i="1"/>
  <c r="O95" i="1"/>
  <c r="N95" i="1"/>
  <c r="N96" i="1"/>
  <c r="N97" i="1"/>
  <c r="N98" i="1"/>
  <c r="N99" i="1"/>
  <c r="N100" i="1"/>
  <c r="N101" i="1"/>
  <c r="N102" i="1"/>
  <c r="N103" i="1"/>
  <c r="N104" i="1"/>
  <c r="N105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6" i="1"/>
  <c r="N247" i="1"/>
  <c r="N250" i="1"/>
  <c r="N251" i="1"/>
  <c r="N252" i="1"/>
  <c r="N253" i="1"/>
  <c r="N254" i="1"/>
  <c r="N257" i="1"/>
  <c r="N263" i="1"/>
  <c r="N265" i="1"/>
  <c r="N275" i="1"/>
  <c r="N276" i="1"/>
  <c r="N277" i="1"/>
  <c r="N299" i="1"/>
  <c r="N302" i="1"/>
  <c r="N340" i="1"/>
  <c r="N343" i="1"/>
  <c r="N390" i="1"/>
  <c r="N392" i="1"/>
  <c r="N396" i="1"/>
  <c r="N401" i="1"/>
  <c r="N406" i="1"/>
  <c r="N412" i="1"/>
  <c r="N413" i="1"/>
  <c r="N414" i="1"/>
  <c r="N426" i="1"/>
  <c r="N427" i="1"/>
  <c r="N438" i="1"/>
  <c r="N439" i="1"/>
  <c r="N441" i="1"/>
  <c r="N442" i="1"/>
  <c r="N443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58" i="1"/>
  <c r="N59" i="1"/>
  <c r="N60" i="1"/>
  <c r="N61" i="1"/>
  <c r="N62" i="1"/>
  <c r="N63" i="1"/>
  <c r="N64" i="1"/>
  <c r="N5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79" i="1"/>
  <c r="O76" i="1"/>
  <c r="O77" i="1"/>
  <c r="O78" i="1"/>
  <c r="O75" i="1"/>
  <c r="O58" i="1"/>
  <c r="O59" i="1"/>
  <c r="P59" i="1" s="1"/>
  <c r="O60" i="1"/>
  <c r="P60" i="1" s="1"/>
  <c r="O61" i="1"/>
  <c r="P61" i="1" s="1"/>
  <c r="O62" i="1"/>
  <c r="O63" i="1"/>
  <c r="O64" i="1"/>
  <c r="P64" i="1" s="1"/>
  <c r="O65" i="1"/>
  <c r="P65" i="1" s="1"/>
  <c r="O66" i="1"/>
  <c r="P66" i="1" s="1"/>
  <c r="O67" i="1"/>
  <c r="O68" i="1"/>
  <c r="O69" i="1"/>
  <c r="P69" i="1" s="1"/>
  <c r="O70" i="1"/>
  <c r="P70" i="1" s="1"/>
  <c r="O71" i="1"/>
  <c r="P71" i="1" s="1"/>
  <c r="O72" i="1"/>
  <c r="O73" i="1"/>
  <c r="O74" i="1"/>
  <c r="O57" i="1"/>
  <c r="N56" i="1"/>
  <c r="O50" i="1"/>
  <c r="O51" i="1"/>
  <c r="O52" i="1"/>
  <c r="O53" i="1"/>
  <c r="O54" i="1"/>
  <c r="O55" i="1"/>
  <c r="O45" i="1"/>
  <c r="O46" i="1"/>
  <c r="O47" i="1"/>
  <c r="O48" i="1"/>
  <c r="O49" i="1"/>
  <c r="O41" i="1"/>
  <c r="O43" i="1"/>
  <c r="O44" i="1"/>
  <c r="O39" i="1"/>
  <c r="O40" i="1"/>
  <c r="O36" i="1"/>
  <c r="O37" i="1"/>
  <c r="O38" i="1"/>
  <c r="O33" i="1"/>
  <c r="O34" i="1"/>
  <c r="O35" i="1"/>
  <c r="O3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C114" i="12" l="1"/>
  <c r="C136" i="12"/>
  <c r="C124" i="12"/>
  <c r="C105" i="12"/>
  <c r="C129" i="12"/>
  <c r="C137" i="12"/>
  <c r="C116" i="12"/>
  <c r="C127" i="12"/>
  <c r="C109" i="12"/>
  <c r="C108" i="12"/>
  <c r="C135" i="12"/>
  <c r="C132" i="12"/>
  <c r="C139" i="12"/>
  <c r="C106" i="12"/>
  <c r="C133" i="12"/>
  <c r="C122" i="12"/>
  <c r="C130" i="12"/>
  <c r="C110" i="12"/>
  <c r="C103" i="12"/>
  <c r="C123" i="12"/>
  <c r="C117" i="12"/>
  <c r="C107" i="12"/>
  <c r="C104" i="12"/>
  <c r="C125" i="12"/>
  <c r="C113" i="12"/>
  <c r="C119" i="12"/>
  <c r="C126" i="12"/>
  <c r="C134" i="12"/>
  <c r="C111" i="12"/>
  <c r="C118" i="12"/>
  <c r="C131" i="12"/>
  <c r="C138" i="12"/>
  <c r="C120" i="12"/>
  <c r="C128" i="12"/>
  <c r="C112" i="12"/>
  <c r="C101" i="12"/>
  <c r="C121" i="12"/>
  <c r="C115" i="12"/>
  <c r="C102" i="12"/>
  <c r="P28" i="1"/>
  <c r="C28" i="5"/>
  <c r="P16" i="1"/>
  <c r="C16" i="5"/>
  <c r="P8" i="1"/>
  <c r="C8" i="5"/>
  <c r="P36" i="1"/>
  <c r="C36" i="5"/>
  <c r="P54" i="1"/>
  <c r="C54" i="5"/>
  <c r="P73" i="1"/>
  <c r="C73" i="5"/>
  <c r="P91" i="1"/>
  <c r="C91" i="5"/>
  <c r="P31" i="1"/>
  <c r="C31" i="5"/>
  <c r="P27" i="1"/>
  <c r="C27" i="5"/>
  <c r="P23" i="1"/>
  <c r="C23" i="5"/>
  <c r="P19" i="1"/>
  <c r="C19" i="5"/>
  <c r="P15" i="1"/>
  <c r="C15" i="5"/>
  <c r="P11" i="1"/>
  <c r="C11" i="5"/>
  <c r="P7" i="1"/>
  <c r="C7" i="5"/>
  <c r="P3" i="1"/>
  <c r="C3" i="5"/>
  <c r="P33" i="1"/>
  <c r="C33" i="5"/>
  <c r="P40" i="1"/>
  <c r="C40" i="5"/>
  <c r="P41" i="1"/>
  <c r="C41" i="5"/>
  <c r="P46" i="1"/>
  <c r="C46" i="5"/>
  <c r="P53" i="1"/>
  <c r="C53" i="5"/>
  <c r="P72" i="1"/>
  <c r="C72" i="5"/>
  <c r="P68" i="1"/>
  <c r="C68" i="5"/>
  <c r="P78" i="1"/>
  <c r="C78" i="5"/>
  <c r="P94" i="1"/>
  <c r="C94" i="5"/>
  <c r="P90" i="1"/>
  <c r="C90" i="5"/>
  <c r="P86" i="1"/>
  <c r="C86" i="5"/>
  <c r="P82" i="1"/>
  <c r="C82" i="5"/>
  <c r="P98" i="1"/>
  <c r="C98" i="5"/>
  <c r="P2" i="1"/>
  <c r="C2" i="5"/>
  <c r="P20" i="1"/>
  <c r="C20" i="5"/>
  <c r="P34" i="1"/>
  <c r="C34" i="5"/>
  <c r="P47" i="1"/>
  <c r="C47" i="5"/>
  <c r="P75" i="1"/>
  <c r="C75" i="5"/>
  <c r="P83" i="1"/>
  <c r="C83" i="5"/>
  <c r="P26" i="1"/>
  <c r="C26" i="5"/>
  <c r="P18" i="1"/>
  <c r="C18" i="5"/>
  <c r="P10" i="1"/>
  <c r="C10" i="5"/>
  <c r="P32" i="1"/>
  <c r="C32" i="5"/>
  <c r="P49" i="1"/>
  <c r="C49" i="5"/>
  <c r="P67" i="1"/>
  <c r="C67" i="5"/>
  <c r="P63" i="1"/>
  <c r="C63" i="5"/>
  <c r="P77" i="1"/>
  <c r="C77" i="5"/>
  <c r="P89" i="1"/>
  <c r="C89" i="5"/>
  <c r="P81" i="1"/>
  <c r="C81" i="5"/>
  <c r="P95" i="1"/>
  <c r="C95" i="5"/>
  <c r="P97" i="1"/>
  <c r="C97" i="5"/>
  <c r="P24" i="1"/>
  <c r="C24" i="5"/>
  <c r="P12" i="1"/>
  <c r="C12" i="5"/>
  <c r="P4" i="1"/>
  <c r="C4" i="5"/>
  <c r="P43" i="1"/>
  <c r="C43" i="5"/>
  <c r="P50" i="1"/>
  <c r="C50" i="5"/>
  <c r="P79" i="1"/>
  <c r="C79" i="5"/>
  <c r="P87" i="1"/>
  <c r="C87" i="5"/>
  <c r="P99" i="1"/>
  <c r="C99" i="5"/>
  <c r="P30" i="1"/>
  <c r="C30" i="5"/>
  <c r="P22" i="1"/>
  <c r="C22" i="5"/>
  <c r="P14" i="1"/>
  <c r="C14" i="5"/>
  <c r="P6" i="1"/>
  <c r="C6" i="5"/>
  <c r="P38" i="1"/>
  <c r="C38" i="5"/>
  <c r="P39" i="1"/>
  <c r="C39" i="5"/>
  <c r="P45" i="1"/>
  <c r="C45" i="5"/>
  <c r="P52" i="1"/>
  <c r="C52" i="5"/>
  <c r="P57" i="1"/>
  <c r="C57" i="5"/>
  <c r="P93" i="1"/>
  <c r="C93" i="5"/>
  <c r="P85" i="1"/>
  <c r="C85" i="5"/>
  <c r="P29" i="1"/>
  <c r="C29" i="5"/>
  <c r="P25" i="1"/>
  <c r="C25" i="5"/>
  <c r="P21" i="1"/>
  <c r="C21" i="5"/>
  <c r="P17" i="1"/>
  <c r="C17" i="5"/>
  <c r="P13" i="1"/>
  <c r="C13" i="5"/>
  <c r="P9" i="1"/>
  <c r="C9" i="5"/>
  <c r="P5" i="1"/>
  <c r="C5" i="5"/>
  <c r="P35" i="1"/>
  <c r="C35" i="5"/>
  <c r="P37" i="1"/>
  <c r="C37" i="5"/>
  <c r="P44" i="1"/>
  <c r="C44" i="5"/>
  <c r="P48" i="1"/>
  <c r="C48" i="5"/>
  <c r="P55" i="1"/>
  <c r="C55" i="5"/>
  <c r="P51" i="1"/>
  <c r="C51" i="5"/>
  <c r="P74" i="1"/>
  <c r="C74" i="5"/>
  <c r="P62" i="1"/>
  <c r="C62" i="5"/>
  <c r="P58" i="1"/>
  <c r="C58" i="5"/>
  <c r="P76" i="1"/>
  <c r="C76" i="5"/>
  <c r="P92" i="1"/>
  <c r="C92" i="5"/>
  <c r="P88" i="1"/>
  <c r="C88" i="5"/>
  <c r="P84" i="1"/>
  <c r="C84" i="5"/>
  <c r="P80" i="1"/>
  <c r="C80" i="5"/>
  <c r="P100" i="1"/>
  <c r="C100" i="5"/>
  <c r="P96" i="1"/>
  <c r="C96" i="5"/>
  <c r="T3" i="1"/>
  <c r="E3" i="5" s="1"/>
  <c r="T4" i="1"/>
  <c r="E4" i="5" s="1"/>
  <c r="T5" i="1"/>
  <c r="E5" i="5" s="1"/>
  <c r="T6" i="1"/>
  <c r="E6" i="5" s="1"/>
  <c r="T7" i="1"/>
  <c r="E7" i="5" s="1"/>
  <c r="T8" i="1"/>
  <c r="E8" i="5" s="1"/>
  <c r="T9" i="1"/>
  <c r="E9" i="5" s="1"/>
  <c r="T10" i="1"/>
  <c r="E10" i="5" s="1"/>
  <c r="T11" i="1"/>
  <c r="E11" i="5" s="1"/>
  <c r="T12" i="1"/>
  <c r="E12" i="5" s="1"/>
  <c r="T13" i="1"/>
  <c r="E13" i="5" s="1"/>
  <c r="T14" i="1"/>
  <c r="E14" i="5" s="1"/>
  <c r="T15" i="1"/>
  <c r="E15" i="5" s="1"/>
  <c r="T16" i="1"/>
  <c r="E16" i="5" s="1"/>
  <c r="T17" i="1"/>
  <c r="E17" i="5" s="1"/>
  <c r="T18" i="1"/>
  <c r="E18" i="5" s="1"/>
  <c r="T19" i="1"/>
  <c r="E19" i="5" s="1"/>
  <c r="T20" i="1"/>
  <c r="E20" i="5" s="1"/>
  <c r="T21" i="1"/>
  <c r="E21" i="5" s="1"/>
  <c r="T22" i="1"/>
  <c r="E22" i="5" s="1"/>
  <c r="T23" i="1"/>
  <c r="E23" i="5" s="1"/>
  <c r="T24" i="1"/>
  <c r="E24" i="5" s="1"/>
  <c r="T25" i="1"/>
  <c r="E25" i="5" s="1"/>
  <c r="T26" i="1"/>
  <c r="E26" i="5" s="1"/>
  <c r="T27" i="1"/>
  <c r="E27" i="5" s="1"/>
  <c r="T28" i="1"/>
  <c r="E28" i="5" s="1"/>
  <c r="T29" i="1"/>
  <c r="E29" i="5" s="1"/>
  <c r="T30" i="1"/>
  <c r="E30" i="5" s="1"/>
  <c r="T31" i="1"/>
  <c r="E31" i="5" s="1"/>
  <c r="T32" i="1"/>
  <c r="E32" i="5" s="1"/>
  <c r="T33" i="1"/>
  <c r="E33" i="5" s="1"/>
  <c r="T34" i="1"/>
  <c r="E34" i="5" s="1"/>
  <c r="T35" i="1"/>
  <c r="E35" i="5" s="1"/>
  <c r="T36" i="1"/>
  <c r="E36" i="5" s="1"/>
  <c r="T37" i="1"/>
  <c r="E37" i="5" s="1"/>
  <c r="T38" i="1"/>
  <c r="E38" i="5" s="1"/>
  <c r="T39" i="1"/>
  <c r="E39" i="5" s="1"/>
  <c r="T40" i="1"/>
  <c r="E40" i="5" s="1"/>
  <c r="T41" i="1"/>
  <c r="E41" i="5" s="1"/>
  <c r="T43" i="1"/>
  <c r="E43" i="5" s="1"/>
  <c r="T44" i="1"/>
  <c r="E44" i="5" s="1"/>
  <c r="T45" i="1"/>
  <c r="E45" i="5" s="1"/>
  <c r="T46" i="1"/>
  <c r="E46" i="5" s="1"/>
  <c r="T47" i="1"/>
  <c r="E47" i="5" s="1"/>
  <c r="T48" i="1"/>
  <c r="E48" i="5" s="1"/>
  <c r="T49" i="1"/>
  <c r="E49" i="5" s="1"/>
  <c r="T50" i="1"/>
  <c r="E50" i="5" s="1"/>
  <c r="T51" i="1"/>
  <c r="E51" i="5" s="1"/>
  <c r="T52" i="1"/>
  <c r="E52" i="5" s="1"/>
  <c r="T53" i="1"/>
  <c r="E53" i="5" s="1"/>
  <c r="T54" i="1"/>
  <c r="E54" i="5" s="1"/>
  <c r="T55" i="1"/>
  <c r="E55" i="5" s="1"/>
  <c r="T56" i="1"/>
  <c r="E56" i="5" s="1"/>
  <c r="T57" i="1"/>
  <c r="E57" i="5" s="1"/>
  <c r="T58" i="1"/>
  <c r="E58" i="5" s="1"/>
  <c r="T59" i="1"/>
  <c r="E59" i="5" s="1"/>
  <c r="T60" i="1"/>
  <c r="E60" i="5" s="1"/>
  <c r="T61" i="1"/>
  <c r="E61" i="5" s="1"/>
  <c r="T62" i="1"/>
  <c r="E62" i="5" s="1"/>
  <c r="T63" i="1"/>
  <c r="E63" i="5" s="1"/>
  <c r="T64" i="1"/>
  <c r="E64" i="5" s="1"/>
  <c r="T65" i="1"/>
  <c r="E65" i="5" s="1"/>
  <c r="T66" i="1"/>
  <c r="E66" i="5" s="1"/>
  <c r="T67" i="1"/>
  <c r="E67" i="5" s="1"/>
  <c r="T68" i="1"/>
  <c r="E68" i="5" s="1"/>
  <c r="T69" i="1"/>
  <c r="E69" i="5" s="1"/>
  <c r="T70" i="1"/>
  <c r="E70" i="5" s="1"/>
  <c r="T71" i="1"/>
  <c r="E71" i="5" s="1"/>
  <c r="T75" i="1"/>
  <c r="E75" i="5" s="1"/>
  <c r="T76" i="1"/>
  <c r="E76" i="5" s="1"/>
  <c r="T77" i="1"/>
  <c r="E77" i="5" s="1"/>
  <c r="T78" i="1"/>
  <c r="E78" i="5" s="1"/>
  <c r="T79" i="1"/>
  <c r="E79" i="5" s="1"/>
  <c r="T80" i="1"/>
  <c r="E80" i="5" s="1"/>
  <c r="T81" i="1"/>
  <c r="E81" i="5" s="1"/>
  <c r="T82" i="1"/>
  <c r="E82" i="5" s="1"/>
  <c r="T83" i="1"/>
  <c r="E83" i="5" s="1"/>
  <c r="T84" i="1"/>
  <c r="E84" i="5" s="1"/>
  <c r="T85" i="1"/>
  <c r="E85" i="5" s="1"/>
  <c r="T86" i="1"/>
  <c r="E86" i="5" s="1"/>
  <c r="T87" i="1"/>
  <c r="E87" i="5" s="1"/>
  <c r="T88" i="1"/>
  <c r="E88" i="5" s="1"/>
  <c r="T89" i="1"/>
  <c r="E89" i="5" s="1"/>
  <c r="T90" i="1"/>
  <c r="E90" i="5" s="1"/>
  <c r="T91" i="1"/>
  <c r="E91" i="5" s="1"/>
  <c r="T92" i="1"/>
  <c r="E92" i="5" s="1"/>
  <c r="T93" i="1"/>
  <c r="E93" i="5" s="1"/>
  <c r="T94" i="1"/>
  <c r="E94" i="5" s="1"/>
  <c r="T95" i="1"/>
  <c r="E95" i="5" s="1"/>
  <c r="T96" i="1"/>
  <c r="E96" i="5" s="1"/>
  <c r="T97" i="1"/>
  <c r="E97" i="5" s="1"/>
  <c r="T98" i="1"/>
  <c r="E98" i="5" s="1"/>
  <c r="T99" i="1"/>
  <c r="E99" i="5" s="1"/>
  <c r="T100" i="1"/>
  <c r="E100" i="5" s="1"/>
  <c r="T105" i="1"/>
  <c r="E105" i="5" s="1"/>
  <c r="T106" i="1"/>
  <c r="E106" i="5" s="1"/>
  <c r="T107" i="1"/>
  <c r="E107" i="5" s="1"/>
  <c r="T108" i="1"/>
  <c r="E108" i="5" s="1"/>
  <c r="T109" i="1"/>
  <c r="E109" i="5" s="1"/>
  <c r="T110" i="1"/>
  <c r="E110" i="5" s="1"/>
  <c r="T111" i="1"/>
  <c r="E111" i="5" s="1"/>
  <c r="T112" i="1"/>
  <c r="E112" i="5" s="1"/>
  <c r="T113" i="1"/>
  <c r="E113" i="5" s="1"/>
  <c r="T114" i="1"/>
  <c r="E114" i="5" s="1"/>
  <c r="T115" i="1"/>
  <c r="E115" i="5" s="1"/>
  <c r="T116" i="1"/>
  <c r="E116" i="5" s="1"/>
  <c r="T117" i="1"/>
  <c r="E117" i="5" s="1"/>
  <c r="T118" i="1"/>
  <c r="E118" i="5" s="1"/>
  <c r="T119" i="1"/>
  <c r="E119" i="5" s="1"/>
  <c r="T120" i="1"/>
  <c r="E120" i="5" s="1"/>
  <c r="T121" i="1"/>
  <c r="E121" i="5" s="1"/>
  <c r="T122" i="1"/>
  <c r="E122" i="5" s="1"/>
  <c r="T123" i="1"/>
  <c r="E123" i="5" s="1"/>
  <c r="T124" i="1"/>
  <c r="E124" i="5" s="1"/>
  <c r="T125" i="1"/>
  <c r="E125" i="5" s="1"/>
  <c r="T126" i="1"/>
  <c r="E126" i="5" s="1"/>
  <c r="T127" i="1"/>
  <c r="E127" i="5" s="1"/>
  <c r="T128" i="1"/>
  <c r="E128" i="5" s="1"/>
  <c r="T129" i="1"/>
  <c r="E129" i="5" s="1"/>
  <c r="T130" i="1"/>
  <c r="E130" i="5" s="1"/>
  <c r="T131" i="1"/>
  <c r="E131" i="5" s="1"/>
  <c r="T132" i="1"/>
  <c r="E132" i="5" s="1"/>
  <c r="T133" i="1"/>
  <c r="E133" i="5" s="1"/>
  <c r="T134" i="1"/>
  <c r="E134" i="5" s="1"/>
  <c r="T135" i="1"/>
  <c r="E135" i="5" s="1"/>
  <c r="T136" i="1"/>
  <c r="E136" i="5" s="1"/>
  <c r="T137" i="1"/>
  <c r="E137" i="5" s="1"/>
  <c r="T138" i="1"/>
  <c r="E138" i="5" s="1"/>
  <c r="T139" i="1"/>
  <c r="E139" i="5" s="1"/>
  <c r="T140" i="1"/>
  <c r="E140" i="5" s="1"/>
  <c r="T141" i="1"/>
  <c r="E141" i="5" s="1"/>
  <c r="T142" i="1"/>
  <c r="E142" i="5" s="1"/>
  <c r="T143" i="1"/>
  <c r="E143" i="5" s="1"/>
  <c r="T144" i="1"/>
  <c r="E144" i="5" s="1"/>
  <c r="T145" i="1"/>
  <c r="E145" i="5" s="1"/>
  <c r="T146" i="1"/>
  <c r="E146" i="5" s="1"/>
  <c r="T147" i="1"/>
  <c r="E147" i="5" s="1"/>
  <c r="T148" i="1"/>
  <c r="E148" i="5" s="1"/>
  <c r="T149" i="1"/>
  <c r="E149" i="5" s="1"/>
  <c r="T150" i="1"/>
  <c r="E150" i="5" s="1"/>
  <c r="T151" i="1"/>
  <c r="E151" i="5" s="1"/>
  <c r="T152" i="1"/>
  <c r="E152" i="5" s="1"/>
  <c r="T153" i="1"/>
  <c r="E153" i="5" s="1"/>
  <c r="T154" i="1"/>
  <c r="E154" i="5" s="1"/>
  <c r="T155" i="1"/>
  <c r="E155" i="5" s="1"/>
  <c r="T156" i="1"/>
  <c r="E156" i="5" s="1"/>
  <c r="T157" i="1"/>
  <c r="E157" i="5" s="1"/>
  <c r="T158" i="1"/>
  <c r="E158" i="5" s="1"/>
  <c r="T159" i="1"/>
  <c r="E159" i="5" s="1"/>
  <c r="T160" i="1"/>
  <c r="E160" i="5" s="1"/>
  <c r="T161" i="1"/>
  <c r="E161" i="5" s="1"/>
  <c r="T162" i="1"/>
  <c r="E162" i="5" s="1"/>
  <c r="T163" i="1"/>
  <c r="E163" i="5" s="1"/>
  <c r="T164" i="1"/>
  <c r="E164" i="5" s="1"/>
  <c r="T165" i="1"/>
  <c r="E165" i="5" s="1"/>
  <c r="T166" i="1"/>
  <c r="E166" i="5" s="1"/>
  <c r="T167" i="1"/>
  <c r="E167" i="5" s="1"/>
  <c r="T168" i="1"/>
  <c r="E168" i="5" s="1"/>
  <c r="T169" i="1"/>
  <c r="E169" i="5" s="1"/>
  <c r="T170" i="1"/>
  <c r="E170" i="5" s="1"/>
  <c r="T171" i="1"/>
  <c r="E171" i="5" s="1"/>
  <c r="T172" i="1"/>
  <c r="E172" i="5" s="1"/>
  <c r="T173" i="1"/>
  <c r="E173" i="5" s="1"/>
  <c r="T174" i="1"/>
  <c r="E174" i="5" s="1"/>
  <c r="T175" i="1"/>
  <c r="E175" i="5" s="1"/>
  <c r="T176" i="1"/>
  <c r="E176" i="5" s="1"/>
  <c r="T177" i="1"/>
  <c r="E177" i="5" s="1"/>
  <c r="T178" i="1"/>
  <c r="E178" i="5" s="1"/>
  <c r="T179" i="1"/>
  <c r="E179" i="5" s="1"/>
  <c r="T180" i="1"/>
  <c r="E180" i="5" s="1"/>
  <c r="T181" i="1"/>
  <c r="E181" i="5" s="1"/>
  <c r="T182" i="1"/>
  <c r="E182" i="5" s="1"/>
  <c r="T183" i="1"/>
  <c r="E183" i="5" s="1"/>
  <c r="T184" i="1"/>
  <c r="E184" i="5" s="1"/>
  <c r="T185" i="1"/>
  <c r="E185" i="5" s="1"/>
  <c r="T186" i="1"/>
  <c r="E186" i="5" s="1"/>
  <c r="T187" i="1"/>
  <c r="E187" i="5" s="1"/>
  <c r="T188" i="1"/>
  <c r="E188" i="5" s="1"/>
  <c r="T189" i="1"/>
  <c r="E189" i="5" s="1"/>
  <c r="T190" i="1"/>
  <c r="E190" i="5" s="1"/>
  <c r="T191" i="1"/>
  <c r="E191" i="5" s="1"/>
  <c r="T192" i="1"/>
  <c r="E192" i="5" s="1"/>
  <c r="T193" i="1"/>
  <c r="E193" i="5" s="1"/>
  <c r="T194" i="1"/>
  <c r="E194" i="5" s="1"/>
  <c r="T195" i="1"/>
  <c r="E195" i="5" s="1"/>
  <c r="T196" i="1"/>
  <c r="E196" i="5" s="1"/>
  <c r="T197" i="1"/>
  <c r="E197" i="5" s="1"/>
  <c r="T198" i="1"/>
  <c r="E198" i="5" s="1"/>
  <c r="T199" i="1"/>
  <c r="E199" i="5" s="1"/>
  <c r="T200" i="1"/>
  <c r="E200" i="5" s="1"/>
  <c r="T201" i="1"/>
  <c r="E201" i="5" s="1"/>
  <c r="T202" i="1"/>
  <c r="E202" i="5" s="1"/>
  <c r="T203" i="1"/>
  <c r="E203" i="5" s="1"/>
  <c r="T204" i="1"/>
  <c r="E204" i="5" s="1"/>
  <c r="T205" i="1"/>
  <c r="E205" i="5" s="1"/>
  <c r="T206" i="1"/>
  <c r="E206" i="5" s="1"/>
  <c r="T207" i="1"/>
  <c r="E207" i="5" s="1"/>
  <c r="T208" i="1"/>
  <c r="E208" i="5" s="1"/>
  <c r="T209" i="1"/>
  <c r="E209" i="5" s="1"/>
  <c r="T210" i="1"/>
  <c r="E210" i="5" s="1"/>
  <c r="T211" i="1"/>
  <c r="E211" i="5" s="1"/>
  <c r="T212" i="1"/>
  <c r="E212" i="5" s="1"/>
  <c r="T213" i="1"/>
  <c r="E213" i="5" s="1"/>
  <c r="T214" i="1"/>
  <c r="E214" i="5" s="1"/>
  <c r="T215" i="1"/>
  <c r="E215" i="5" s="1"/>
  <c r="T216" i="1"/>
  <c r="E216" i="5" s="1"/>
  <c r="T217" i="1"/>
  <c r="E217" i="5" s="1"/>
  <c r="T218" i="1"/>
  <c r="E218" i="5" s="1"/>
  <c r="T219" i="1"/>
  <c r="E219" i="5" s="1"/>
  <c r="T220" i="1"/>
  <c r="E220" i="5" s="1"/>
  <c r="T221" i="1"/>
  <c r="E221" i="5" s="1"/>
  <c r="T222" i="1"/>
  <c r="E222" i="5" s="1"/>
  <c r="T223" i="1"/>
  <c r="E223" i="5" s="1"/>
  <c r="T224" i="1"/>
  <c r="E224" i="5" s="1"/>
  <c r="T225" i="1"/>
  <c r="E225" i="5" s="1"/>
  <c r="T226" i="1"/>
  <c r="E226" i="5" s="1"/>
  <c r="T227" i="1"/>
  <c r="E227" i="5" s="1"/>
  <c r="T228" i="1"/>
  <c r="E228" i="5" s="1"/>
  <c r="T229" i="1"/>
  <c r="E229" i="5" s="1"/>
  <c r="T230" i="1"/>
  <c r="E230" i="5" s="1"/>
  <c r="T231" i="1"/>
  <c r="E231" i="5" s="1"/>
  <c r="T232" i="1"/>
  <c r="E232" i="5" s="1"/>
  <c r="T233" i="1"/>
  <c r="E233" i="5" s="1"/>
  <c r="T234" i="1"/>
  <c r="E234" i="5" s="1"/>
  <c r="T235" i="1"/>
  <c r="E235" i="5" s="1"/>
  <c r="T236" i="1"/>
  <c r="E236" i="5" s="1"/>
  <c r="T237" i="1"/>
  <c r="E237" i="5" s="1"/>
  <c r="T238" i="1"/>
  <c r="E238" i="5" s="1"/>
  <c r="T239" i="1"/>
  <c r="E239" i="5" s="1"/>
  <c r="T240" i="1"/>
  <c r="E240" i="5" s="1"/>
  <c r="T241" i="1"/>
  <c r="E241" i="5" s="1"/>
  <c r="T242" i="1"/>
  <c r="E242" i="5" s="1"/>
  <c r="T243" i="1"/>
  <c r="E243" i="5" s="1"/>
  <c r="T244" i="1"/>
  <c r="E244" i="5" s="1"/>
  <c r="T245" i="1"/>
  <c r="E245" i="5" s="1"/>
  <c r="T246" i="1"/>
  <c r="E246" i="5" s="1"/>
  <c r="T247" i="1"/>
  <c r="E247" i="5" s="1"/>
  <c r="T248" i="1"/>
  <c r="E248" i="5" s="1"/>
  <c r="T249" i="1"/>
  <c r="E249" i="5" s="1"/>
  <c r="T250" i="1"/>
  <c r="E250" i="5" s="1"/>
  <c r="T251" i="1"/>
  <c r="E251" i="5" s="1"/>
  <c r="T252" i="1"/>
  <c r="E252" i="5" s="1"/>
  <c r="T253" i="1"/>
  <c r="E253" i="5" s="1"/>
  <c r="T254" i="1"/>
  <c r="E254" i="5" s="1"/>
  <c r="T255" i="1"/>
  <c r="E255" i="5" s="1"/>
  <c r="T256" i="1"/>
  <c r="E256" i="5" s="1"/>
  <c r="T257" i="1"/>
  <c r="E257" i="5" s="1"/>
  <c r="T258" i="1"/>
  <c r="E258" i="5" s="1"/>
  <c r="T259" i="1"/>
  <c r="E259" i="5" s="1"/>
  <c r="T260" i="1"/>
  <c r="E260" i="5" s="1"/>
  <c r="T261" i="1"/>
  <c r="E261" i="5" s="1"/>
  <c r="T262" i="1"/>
  <c r="E262" i="5" s="1"/>
  <c r="T263" i="1"/>
  <c r="E263" i="5" s="1"/>
  <c r="T264" i="1"/>
  <c r="E264" i="5" s="1"/>
  <c r="T265" i="1"/>
  <c r="E265" i="5" s="1"/>
  <c r="T266" i="1"/>
  <c r="E266" i="5" s="1"/>
  <c r="T267" i="1"/>
  <c r="E267" i="5" s="1"/>
  <c r="T268" i="1"/>
  <c r="E268" i="5" s="1"/>
  <c r="T269" i="1"/>
  <c r="E269" i="5" s="1"/>
  <c r="T270" i="1"/>
  <c r="E270" i="5" s="1"/>
  <c r="T271" i="1"/>
  <c r="E271" i="5" s="1"/>
  <c r="T272" i="1"/>
  <c r="E272" i="5" s="1"/>
  <c r="T273" i="1"/>
  <c r="E273" i="5" s="1"/>
  <c r="T274" i="1"/>
  <c r="E274" i="5" s="1"/>
  <c r="T275" i="1"/>
  <c r="E275" i="5" s="1"/>
  <c r="T276" i="1"/>
  <c r="E276" i="5" s="1"/>
  <c r="T277" i="1"/>
  <c r="E277" i="5" s="1"/>
  <c r="T278" i="1"/>
  <c r="E278" i="5" s="1"/>
  <c r="T279" i="1"/>
  <c r="E279" i="5" s="1"/>
  <c r="T280" i="1"/>
  <c r="E280" i="5" s="1"/>
  <c r="T281" i="1"/>
  <c r="E281" i="5" s="1"/>
  <c r="T282" i="1"/>
  <c r="E282" i="5" s="1"/>
  <c r="T283" i="1"/>
  <c r="E283" i="5" s="1"/>
  <c r="T284" i="1"/>
  <c r="E284" i="5" s="1"/>
  <c r="T285" i="1"/>
  <c r="E285" i="5" s="1"/>
  <c r="T286" i="1"/>
  <c r="E286" i="5" s="1"/>
  <c r="T287" i="1"/>
  <c r="E287" i="5" s="1"/>
  <c r="T288" i="1"/>
  <c r="E288" i="5" s="1"/>
  <c r="T289" i="1"/>
  <c r="E289" i="5" s="1"/>
  <c r="T290" i="1"/>
  <c r="E290" i="5" s="1"/>
  <c r="T291" i="1"/>
  <c r="E291" i="5" s="1"/>
  <c r="T292" i="1"/>
  <c r="E292" i="5" s="1"/>
  <c r="T293" i="1"/>
  <c r="E293" i="5" s="1"/>
  <c r="T294" i="1"/>
  <c r="E294" i="5" s="1"/>
  <c r="T295" i="1"/>
  <c r="E295" i="5" s="1"/>
  <c r="T296" i="1"/>
  <c r="E296" i="5" s="1"/>
  <c r="T297" i="1"/>
  <c r="E297" i="5" s="1"/>
  <c r="T298" i="1"/>
  <c r="E298" i="5" s="1"/>
  <c r="T299" i="1"/>
  <c r="E299" i="5" s="1"/>
  <c r="T300" i="1"/>
  <c r="E300" i="5" s="1"/>
  <c r="T301" i="1"/>
  <c r="E301" i="5" s="1"/>
  <c r="T302" i="1"/>
  <c r="E302" i="5" s="1"/>
  <c r="T303" i="1"/>
  <c r="E303" i="5" s="1"/>
  <c r="T304" i="1"/>
  <c r="E304" i="5" s="1"/>
  <c r="T305" i="1"/>
  <c r="E305" i="5" s="1"/>
  <c r="T306" i="1"/>
  <c r="E306" i="5" s="1"/>
  <c r="T307" i="1"/>
  <c r="E307" i="5" s="1"/>
  <c r="T312" i="1"/>
  <c r="E312" i="5" s="1"/>
  <c r="T313" i="1"/>
  <c r="E313" i="5" s="1"/>
  <c r="T314" i="1"/>
  <c r="E314" i="5" s="1"/>
  <c r="T315" i="1"/>
  <c r="E315" i="5" s="1"/>
  <c r="T316" i="1"/>
  <c r="E316" i="5" s="1"/>
  <c r="T317" i="1"/>
  <c r="E317" i="5" s="1"/>
  <c r="T318" i="1"/>
  <c r="E318" i="5" s="1"/>
  <c r="T319" i="1"/>
  <c r="E319" i="5" s="1"/>
  <c r="T320" i="1"/>
  <c r="E320" i="5" s="1"/>
  <c r="T321" i="1"/>
  <c r="E321" i="5" s="1"/>
  <c r="T322" i="1"/>
  <c r="E322" i="5" s="1"/>
  <c r="T323" i="1"/>
  <c r="E323" i="5" s="1"/>
  <c r="T324" i="1"/>
  <c r="E324" i="5" s="1"/>
  <c r="T325" i="1"/>
  <c r="E325" i="5" s="1"/>
  <c r="T326" i="1"/>
  <c r="E326" i="5" s="1"/>
  <c r="T327" i="1"/>
  <c r="E327" i="5" s="1"/>
  <c r="T328" i="1"/>
  <c r="E328" i="5" s="1"/>
  <c r="T329" i="1"/>
  <c r="E329" i="5" s="1"/>
  <c r="T330" i="1"/>
  <c r="E330" i="5" s="1"/>
  <c r="T331" i="1"/>
  <c r="E331" i="5" s="1"/>
  <c r="T332" i="1"/>
  <c r="E332" i="5" s="1"/>
  <c r="T333" i="1"/>
  <c r="E333" i="5" s="1"/>
  <c r="T334" i="1"/>
  <c r="E334" i="5" s="1"/>
  <c r="T335" i="1"/>
  <c r="E335" i="5" s="1"/>
  <c r="T336" i="1"/>
  <c r="E336" i="5" s="1"/>
  <c r="T337" i="1"/>
  <c r="E337" i="5" s="1"/>
  <c r="T338" i="1"/>
  <c r="E338" i="5" s="1"/>
  <c r="T339" i="1"/>
  <c r="E339" i="5" s="1"/>
  <c r="T340" i="1"/>
  <c r="E340" i="5" s="1"/>
  <c r="T341" i="1"/>
  <c r="E341" i="5" s="1"/>
  <c r="T342" i="1"/>
  <c r="E342" i="5" s="1"/>
  <c r="T343" i="1"/>
  <c r="E343" i="5" s="1"/>
  <c r="T344" i="1"/>
  <c r="E344" i="5" s="1"/>
  <c r="T345" i="1"/>
  <c r="E345" i="5" s="1"/>
  <c r="T346" i="1"/>
  <c r="E346" i="5" s="1"/>
  <c r="T347" i="1"/>
  <c r="E347" i="5" s="1"/>
  <c r="T348" i="1"/>
  <c r="E348" i="5" s="1"/>
  <c r="T349" i="1"/>
  <c r="E349" i="5" s="1"/>
  <c r="T350" i="1"/>
  <c r="E350" i="5" s="1"/>
  <c r="T351" i="1"/>
  <c r="E351" i="5" s="1"/>
  <c r="T352" i="1"/>
  <c r="E352" i="5" s="1"/>
  <c r="T353" i="1"/>
  <c r="E353" i="5" s="1"/>
  <c r="T354" i="1"/>
  <c r="E354" i="5" s="1"/>
  <c r="T355" i="1"/>
  <c r="E355" i="5" s="1"/>
  <c r="T356" i="1"/>
  <c r="E356" i="5" s="1"/>
  <c r="T357" i="1"/>
  <c r="E357" i="5" s="1"/>
  <c r="T358" i="1"/>
  <c r="E358" i="5" s="1"/>
  <c r="T359" i="1"/>
  <c r="E359" i="5" s="1"/>
  <c r="T360" i="1"/>
  <c r="E360" i="5" s="1"/>
  <c r="T361" i="1"/>
  <c r="E361" i="5" s="1"/>
  <c r="T362" i="1"/>
  <c r="E362" i="5" s="1"/>
  <c r="T363" i="1"/>
  <c r="E363" i="5" s="1"/>
  <c r="T364" i="1"/>
  <c r="E364" i="5" s="1"/>
  <c r="T365" i="1"/>
  <c r="E365" i="5" s="1"/>
  <c r="T366" i="1"/>
  <c r="E366" i="5" s="1"/>
  <c r="T367" i="1"/>
  <c r="E367" i="5" s="1"/>
  <c r="T368" i="1"/>
  <c r="E368" i="5" s="1"/>
  <c r="T369" i="1"/>
  <c r="E369" i="5" s="1"/>
  <c r="T370" i="1"/>
  <c r="E370" i="5" s="1"/>
  <c r="T371" i="1"/>
  <c r="E371" i="5" s="1"/>
  <c r="T372" i="1"/>
  <c r="E372" i="5" s="1"/>
  <c r="T373" i="1"/>
  <c r="E373" i="5" s="1"/>
  <c r="T374" i="1"/>
  <c r="E374" i="5" s="1"/>
  <c r="T375" i="1"/>
  <c r="E375" i="5" s="1"/>
  <c r="T376" i="1"/>
  <c r="E376" i="5" s="1"/>
  <c r="T377" i="1"/>
  <c r="E377" i="5" s="1"/>
  <c r="T378" i="1"/>
  <c r="E378" i="5" s="1"/>
  <c r="T379" i="1"/>
  <c r="E379" i="5" s="1"/>
  <c r="T380" i="1"/>
  <c r="E380" i="5" s="1"/>
  <c r="T381" i="1"/>
  <c r="E381" i="5" s="1"/>
  <c r="T382" i="1"/>
  <c r="E382" i="5" s="1"/>
  <c r="T383" i="1"/>
  <c r="E383" i="5" s="1"/>
  <c r="T384" i="1"/>
  <c r="E384" i="5" s="1"/>
  <c r="T385" i="1"/>
  <c r="E385" i="5" s="1"/>
  <c r="T386" i="1"/>
  <c r="E386" i="5" s="1"/>
  <c r="T387" i="1"/>
  <c r="E387" i="5" s="1"/>
  <c r="T388" i="1"/>
  <c r="E388" i="5" s="1"/>
  <c r="T389" i="1"/>
  <c r="E389" i="5" s="1"/>
  <c r="T390" i="1"/>
  <c r="E390" i="5" s="1"/>
  <c r="T391" i="1"/>
  <c r="E391" i="5" s="1"/>
  <c r="T392" i="1"/>
  <c r="E392" i="5" s="1"/>
  <c r="T393" i="1"/>
  <c r="E393" i="5" s="1"/>
  <c r="T394" i="1"/>
  <c r="E394" i="5" s="1"/>
  <c r="T395" i="1"/>
  <c r="E395" i="5" s="1"/>
  <c r="T396" i="1"/>
  <c r="E396" i="5" s="1"/>
  <c r="T397" i="1"/>
  <c r="E397" i="5" s="1"/>
  <c r="T398" i="1"/>
  <c r="E398" i="5" s="1"/>
  <c r="T399" i="1"/>
  <c r="E399" i="5" s="1"/>
  <c r="T400" i="1"/>
  <c r="E400" i="5" s="1"/>
  <c r="T401" i="1"/>
  <c r="E401" i="5" s="1"/>
  <c r="T402" i="1"/>
  <c r="E402" i="5" s="1"/>
  <c r="T403" i="1"/>
  <c r="E403" i="5" s="1"/>
  <c r="T404" i="1"/>
  <c r="E404" i="5" s="1"/>
  <c r="T405" i="1"/>
  <c r="E405" i="5" s="1"/>
  <c r="T406" i="1"/>
  <c r="E406" i="5" s="1"/>
  <c r="T407" i="1"/>
  <c r="E407" i="5" s="1"/>
  <c r="T408" i="1"/>
  <c r="E408" i="5" s="1"/>
  <c r="T409" i="1"/>
  <c r="E409" i="5" s="1"/>
  <c r="T410" i="1"/>
  <c r="E410" i="5" s="1"/>
  <c r="T411" i="1"/>
  <c r="E411" i="5" s="1"/>
  <c r="T412" i="1"/>
  <c r="E412" i="5" s="1"/>
  <c r="T413" i="1"/>
  <c r="E413" i="5" s="1"/>
  <c r="T414" i="1"/>
  <c r="E414" i="5" s="1"/>
  <c r="T415" i="1"/>
  <c r="E415" i="5" s="1"/>
  <c r="T416" i="1"/>
  <c r="E416" i="5" s="1"/>
  <c r="T417" i="1"/>
  <c r="E417" i="5" s="1"/>
  <c r="T418" i="1"/>
  <c r="E418" i="5" s="1"/>
  <c r="T419" i="1"/>
  <c r="E419" i="5" s="1"/>
  <c r="T420" i="1"/>
  <c r="E420" i="5" s="1"/>
  <c r="T421" i="1"/>
  <c r="E421" i="5" s="1"/>
  <c r="T422" i="1"/>
  <c r="E422" i="5" s="1"/>
  <c r="T423" i="1"/>
  <c r="E423" i="5" s="1"/>
  <c r="T424" i="1"/>
  <c r="E424" i="5" s="1"/>
  <c r="T425" i="1"/>
  <c r="E425" i="5" s="1"/>
  <c r="T426" i="1"/>
  <c r="E426" i="5" s="1"/>
  <c r="T427" i="1"/>
  <c r="E427" i="5" s="1"/>
  <c r="T428" i="1"/>
  <c r="E428" i="5" s="1"/>
  <c r="T429" i="1"/>
  <c r="E429" i="5" s="1"/>
  <c r="T430" i="1"/>
  <c r="E430" i="5" s="1"/>
  <c r="T431" i="1"/>
  <c r="E431" i="5" s="1"/>
  <c r="T432" i="1"/>
  <c r="E432" i="5" s="1"/>
  <c r="T433" i="1"/>
  <c r="E433" i="5" s="1"/>
  <c r="T434" i="1"/>
  <c r="E434" i="5" s="1"/>
  <c r="T435" i="1"/>
  <c r="E435" i="5" s="1"/>
  <c r="T436" i="1"/>
  <c r="E436" i="5" s="1"/>
  <c r="T437" i="1"/>
  <c r="E437" i="5" s="1"/>
  <c r="T438" i="1"/>
  <c r="E438" i="5" s="1"/>
  <c r="T439" i="1"/>
  <c r="E439" i="5" s="1"/>
  <c r="T441" i="1"/>
  <c r="E441" i="5" s="1"/>
  <c r="T442" i="1"/>
  <c r="E442" i="5" s="1"/>
  <c r="T443" i="1"/>
  <c r="E443" i="5" s="1"/>
  <c r="T2" i="1"/>
  <c r="E2" i="5" s="1"/>
  <c r="E441" i="12" l="1"/>
  <c r="E428" i="12"/>
  <c r="E412" i="12"/>
  <c r="E396" i="12"/>
  <c r="E380" i="12"/>
  <c r="E368" i="12"/>
  <c r="E356" i="12"/>
  <c r="E336" i="12"/>
  <c r="E324" i="12"/>
  <c r="E312" i="12"/>
  <c r="E296" i="12"/>
  <c r="E284" i="12"/>
  <c r="E264" i="12"/>
  <c r="E252" i="12"/>
  <c r="E240" i="12"/>
  <c r="E228" i="12"/>
  <c r="E212" i="12"/>
  <c r="E196" i="12"/>
  <c r="E192" i="12"/>
  <c r="E180" i="12"/>
  <c r="E168" i="12"/>
  <c r="E152" i="12"/>
  <c r="E136" i="12"/>
  <c r="E124" i="12"/>
  <c r="E112" i="12"/>
  <c r="E100" i="12"/>
  <c r="E88" i="12"/>
  <c r="E69" i="12"/>
  <c r="E53" i="12"/>
  <c r="E40" i="12"/>
  <c r="E28" i="12"/>
  <c r="E8" i="12"/>
  <c r="C84" i="12"/>
  <c r="C74" i="12"/>
  <c r="C35" i="12"/>
  <c r="C25" i="12"/>
  <c r="C45" i="12"/>
  <c r="C30" i="12"/>
  <c r="C50" i="12"/>
  <c r="C24" i="12"/>
  <c r="C63" i="12"/>
  <c r="C26" i="12"/>
  <c r="C2" i="12"/>
  <c r="C78" i="12"/>
  <c r="C40" i="12"/>
  <c r="C19" i="12"/>
  <c r="C54" i="12"/>
  <c r="E435" i="12"/>
  <c r="E431" i="12"/>
  <c r="E427" i="12"/>
  <c r="E423" i="12"/>
  <c r="E419" i="12"/>
  <c r="E415" i="12"/>
  <c r="E411" i="12"/>
  <c r="E407" i="12"/>
  <c r="E403" i="12"/>
  <c r="E399" i="12"/>
  <c r="E395" i="12"/>
  <c r="E391" i="12"/>
  <c r="E387" i="12"/>
  <c r="E383" i="12"/>
  <c r="E379" i="12"/>
  <c r="E375" i="12"/>
  <c r="E371" i="12"/>
  <c r="E367" i="12"/>
  <c r="E363" i="12"/>
  <c r="E359" i="12"/>
  <c r="E355" i="12"/>
  <c r="E351" i="12"/>
  <c r="E347" i="12"/>
  <c r="E343" i="12"/>
  <c r="E339" i="12"/>
  <c r="E335" i="12"/>
  <c r="E331" i="12"/>
  <c r="E327" i="12"/>
  <c r="E323" i="12"/>
  <c r="E319" i="12"/>
  <c r="E315" i="12"/>
  <c r="E307" i="12"/>
  <c r="E303" i="12"/>
  <c r="E299" i="12"/>
  <c r="E295" i="12"/>
  <c r="E291" i="12"/>
  <c r="E287" i="12"/>
  <c r="E283" i="12"/>
  <c r="E279" i="12"/>
  <c r="E275" i="12"/>
  <c r="E271" i="12"/>
  <c r="E267" i="12"/>
  <c r="E263" i="12"/>
  <c r="E259" i="12"/>
  <c r="E255" i="12"/>
  <c r="E251" i="12"/>
  <c r="E247" i="12"/>
  <c r="E243" i="12"/>
  <c r="E239" i="12"/>
  <c r="E235" i="12"/>
  <c r="E231" i="12"/>
  <c r="E227" i="12"/>
  <c r="E223" i="12"/>
  <c r="E219" i="12"/>
  <c r="E215" i="12"/>
  <c r="E211" i="12"/>
  <c r="E207" i="12"/>
  <c r="E203" i="12"/>
  <c r="E199" i="12"/>
  <c r="E195" i="12"/>
  <c r="E191" i="12"/>
  <c r="E187" i="12"/>
  <c r="E183" i="12"/>
  <c r="E179" i="12"/>
  <c r="E175" i="12"/>
  <c r="E171" i="12"/>
  <c r="E167" i="12"/>
  <c r="E163" i="12"/>
  <c r="E159" i="12"/>
  <c r="E155" i="12"/>
  <c r="E151" i="12"/>
  <c r="E147" i="12"/>
  <c r="E143" i="12"/>
  <c r="E139" i="12"/>
  <c r="E135" i="12"/>
  <c r="E131" i="12"/>
  <c r="E127" i="12"/>
  <c r="E123" i="12"/>
  <c r="E119" i="12"/>
  <c r="E115" i="12"/>
  <c r="E111" i="12"/>
  <c r="E107" i="12"/>
  <c r="E99" i="12"/>
  <c r="E95" i="12"/>
  <c r="E91" i="12"/>
  <c r="E87" i="12"/>
  <c r="E83" i="12"/>
  <c r="E79" i="12"/>
  <c r="E75" i="12"/>
  <c r="E68" i="12"/>
  <c r="E64" i="12"/>
  <c r="E60" i="12"/>
  <c r="E56" i="12"/>
  <c r="E52" i="12"/>
  <c r="E48" i="12"/>
  <c r="E44" i="12"/>
  <c r="E39" i="12"/>
  <c r="E35" i="12"/>
  <c r="E31" i="12"/>
  <c r="E27" i="12"/>
  <c r="E23" i="12"/>
  <c r="E19" i="12"/>
  <c r="E15" i="12"/>
  <c r="E11" i="12"/>
  <c r="E7" i="12"/>
  <c r="E3" i="12"/>
  <c r="E432" i="12"/>
  <c r="E420" i="12"/>
  <c r="E408" i="12"/>
  <c r="E400" i="12"/>
  <c r="E388" i="12"/>
  <c r="E376" i="12"/>
  <c r="E364" i="12"/>
  <c r="E352" i="12"/>
  <c r="E340" i="12"/>
  <c r="E328" i="12"/>
  <c r="E316" i="12"/>
  <c r="E304" i="12"/>
  <c r="E292" i="12"/>
  <c r="E280" i="12"/>
  <c r="E272" i="12"/>
  <c r="E260" i="12"/>
  <c r="E248" i="12"/>
  <c r="E232" i="12"/>
  <c r="E220" i="12"/>
  <c r="E208" i="12"/>
  <c r="E200" i="12"/>
  <c r="E188" i="12"/>
  <c r="E172" i="12"/>
  <c r="E164" i="12"/>
  <c r="E156" i="12"/>
  <c r="E140" i="12"/>
  <c r="E128" i="12"/>
  <c r="E116" i="12"/>
  <c r="E96" i="12"/>
  <c r="E84" i="12"/>
  <c r="E76" i="12"/>
  <c r="E61" i="12"/>
  <c r="E45" i="12"/>
  <c r="E36" i="12"/>
  <c r="E24" i="12"/>
  <c r="E12" i="12"/>
  <c r="E4" i="12"/>
  <c r="C92" i="12"/>
  <c r="C55" i="12"/>
  <c r="C9" i="12"/>
  <c r="C85" i="12"/>
  <c r="C38" i="12"/>
  <c r="C87" i="12"/>
  <c r="C95" i="12"/>
  <c r="C49" i="12"/>
  <c r="C75" i="12"/>
  <c r="C82" i="12"/>
  <c r="C72" i="12"/>
  <c r="C3" i="12"/>
  <c r="C27" i="12"/>
  <c r="C8" i="12"/>
  <c r="E2" i="12"/>
  <c r="E443" i="12"/>
  <c r="E430" i="12"/>
  <c r="E422" i="12"/>
  <c r="E414" i="12"/>
  <c r="E406" i="12"/>
  <c r="E398" i="12"/>
  <c r="E394" i="12"/>
  <c r="E390" i="12"/>
  <c r="E386" i="12"/>
  <c r="E382" i="12"/>
  <c r="E378" i="12"/>
  <c r="E374" i="12"/>
  <c r="E370" i="12"/>
  <c r="E366" i="12"/>
  <c r="E362" i="12"/>
  <c r="E358" i="12"/>
  <c r="E354" i="12"/>
  <c r="E350" i="12"/>
  <c r="E346" i="12"/>
  <c r="E342" i="12"/>
  <c r="E338" i="12"/>
  <c r="E334" i="12"/>
  <c r="E330" i="12"/>
  <c r="E326" i="12"/>
  <c r="E322" i="12"/>
  <c r="E318" i="12"/>
  <c r="E314" i="12"/>
  <c r="E306" i="12"/>
  <c r="E302" i="12"/>
  <c r="E298" i="12"/>
  <c r="E294" i="12"/>
  <c r="E290" i="12"/>
  <c r="E286" i="12"/>
  <c r="E282" i="12"/>
  <c r="E278" i="12"/>
  <c r="E274" i="12"/>
  <c r="E270" i="12"/>
  <c r="E266" i="12"/>
  <c r="E262" i="12"/>
  <c r="E258" i="12"/>
  <c r="E254" i="12"/>
  <c r="E250" i="12"/>
  <c r="E246" i="12"/>
  <c r="E242" i="12"/>
  <c r="E238" i="12"/>
  <c r="E234" i="12"/>
  <c r="E230" i="12"/>
  <c r="E226" i="12"/>
  <c r="E222" i="12"/>
  <c r="E218" i="12"/>
  <c r="E214" i="12"/>
  <c r="E210" i="12"/>
  <c r="E206" i="12"/>
  <c r="E202" i="12"/>
  <c r="E198" i="12"/>
  <c r="E194" i="12"/>
  <c r="E190" i="12"/>
  <c r="E186" i="12"/>
  <c r="E182" i="12"/>
  <c r="E178" i="12"/>
  <c r="E174" i="12"/>
  <c r="E170" i="12"/>
  <c r="E166" i="12"/>
  <c r="E162" i="12"/>
  <c r="E158" i="12"/>
  <c r="E154" i="12"/>
  <c r="E150" i="12"/>
  <c r="E146" i="12"/>
  <c r="E142" i="12"/>
  <c r="E138" i="12"/>
  <c r="E134" i="12"/>
  <c r="E130" i="12"/>
  <c r="E126" i="12"/>
  <c r="E122" i="12"/>
  <c r="E118" i="12"/>
  <c r="E114" i="12"/>
  <c r="E110" i="12"/>
  <c r="E106" i="12"/>
  <c r="E98" i="12"/>
  <c r="E94" i="12"/>
  <c r="E90" i="12"/>
  <c r="E86" i="12"/>
  <c r="E82" i="12"/>
  <c r="E78" i="12"/>
  <c r="E71" i="12"/>
  <c r="E67" i="12"/>
  <c r="E63" i="12"/>
  <c r="E59" i="12"/>
  <c r="E55" i="12"/>
  <c r="E51" i="12"/>
  <c r="E47" i="12"/>
  <c r="E43" i="12"/>
  <c r="E38" i="12"/>
  <c r="E34" i="12"/>
  <c r="E30" i="12"/>
  <c r="E26" i="12"/>
  <c r="E22" i="12"/>
  <c r="E18" i="12"/>
  <c r="E14" i="12"/>
  <c r="E10" i="12"/>
  <c r="E6" i="12"/>
  <c r="C96" i="12"/>
  <c r="C80" i="12"/>
  <c r="C88" i="12"/>
  <c r="C76" i="12"/>
  <c r="C62" i="12"/>
  <c r="C51" i="12"/>
  <c r="C48" i="12"/>
  <c r="C37" i="12"/>
  <c r="C5" i="12"/>
  <c r="C13" i="12"/>
  <c r="C21" i="12"/>
  <c r="C29" i="12"/>
  <c r="C93" i="12"/>
  <c r="C52" i="12"/>
  <c r="C39" i="12"/>
  <c r="C6" i="12"/>
  <c r="C22" i="12"/>
  <c r="C99" i="12"/>
  <c r="C79" i="12"/>
  <c r="C43" i="12"/>
  <c r="C12" i="12"/>
  <c r="C97" i="12"/>
  <c r="C81" i="12"/>
  <c r="C77" i="12"/>
  <c r="C67" i="12"/>
  <c r="C32" i="12"/>
  <c r="C18" i="12"/>
  <c r="C83" i="12"/>
  <c r="C47" i="12"/>
  <c r="C20" i="12"/>
  <c r="C98" i="12"/>
  <c r="C86" i="12"/>
  <c r="C94" i="12"/>
  <c r="C68" i="12"/>
  <c r="C53" i="12"/>
  <c r="C41" i="12"/>
  <c r="C33" i="12"/>
  <c r="C7" i="12"/>
  <c r="C15" i="12"/>
  <c r="C23" i="12"/>
  <c r="C31" i="12"/>
  <c r="C73" i="12"/>
  <c r="C36" i="12"/>
  <c r="C16" i="12"/>
  <c r="E436" i="12"/>
  <c r="E424" i="12"/>
  <c r="E416" i="12"/>
  <c r="E404" i="12"/>
  <c r="E392" i="12"/>
  <c r="E384" i="12"/>
  <c r="E372" i="12"/>
  <c r="E360" i="12"/>
  <c r="E348" i="12"/>
  <c r="E344" i="12"/>
  <c r="E332" i="12"/>
  <c r="E320" i="12"/>
  <c r="E300" i="12"/>
  <c r="E288" i="12"/>
  <c r="E276" i="12"/>
  <c r="E268" i="12"/>
  <c r="E256" i="12"/>
  <c r="E244" i="12"/>
  <c r="E236" i="12"/>
  <c r="E224" i="12"/>
  <c r="E216" i="12"/>
  <c r="E204" i="12"/>
  <c r="E184" i="12"/>
  <c r="E176" i="12"/>
  <c r="E160" i="12"/>
  <c r="E148" i="12"/>
  <c r="E144" i="12"/>
  <c r="E132" i="12"/>
  <c r="E120" i="12"/>
  <c r="E108" i="12"/>
  <c r="E92" i="12"/>
  <c r="E80" i="12"/>
  <c r="E65" i="12"/>
  <c r="E57" i="12"/>
  <c r="E49" i="12"/>
  <c r="E32" i="12"/>
  <c r="E20" i="12"/>
  <c r="E16" i="12"/>
  <c r="C100" i="12"/>
  <c r="C58" i="12"/>
  <c r="C44" i="12"/>
  <c r="C17" i="12"/>
  <c r="C57" i="12"/>
  <c r="C14" i="12"/>
  <c r="C4" i="12"/>
  <c r="C89" i="12"/>
  <c r="C10" i="12"/>
  <c r="C34" i="12"/>
  <c r="C90" i="12"/>
  <c r="C46" i="12"/>
  <c r="C11" i="12"/>
  <c r="C91" i="12"/>
  <c r="C28" i="12"/>
  <c r="E439" i="12"/>
  <c r="E438" i="12"/>
  <c r="E434" i="12"/>
  <c r="E426" i="12"/>
  <c r="E418" i="12"/>
  <c r="E410" i="12"/>
  <c r="E402" i="12"/>
  <c r="E442" i="12"/>
  <c r="E437" i="12"/>
  <c r="E433" i="12"/>
  <c r="E429" i="12"/>
  <c r="E425" i="12"/>
  <c r="E421" i="12"/>
  <c r="E417" i="12"/>
  <c r="E413" i="12"/>
  <c r="E409" i="12"/>
  <c r="E405" i="12"/>
  <c r="E401" i="12"/>
  <c r="E397" i="12"/>
  <c r="E393" i="12"/>
  <c r="E389" i="12"/>
  <c r="E385" i="12"/>
  <c r="E381" i="12"/>
  <c r="E377" i="12"/>
  <c r="E373" i="12"/>
  <c r="E369" i="12"/>
  <c r="E365" i="12"/>
  <c r="E361" i="12"/>
  <c r="E357" i="12"/>
  <c r="E353" i="12"/>
  <c r="E349" i="12"/>
  <c r="E345" i="12"/>
  <c r="E341" i="12"/>
  <c r="E337" i="12"/>
  <c r="E333" i="12"/>
  <c r="E329" i="12"/>
  <c r="E325" i="12"/>
  <c r="E321" i="12"/>
  <c r="E317" i="12"/>
  <c r="E313" i="12"/>
  <c r="E305" i="12"/>
  <c r="E301" i="12"/>
  <c r="E297" i="12"/>
  <c r="E293" i="12"/>
  <c r="E289" i="12"/>
  <c r="E285" i="12"/>
  <c r="E281" i="12"/>
  <c r="E277" i="12"/>
  <c r="E273" i="12"/>
  <c r="E269" i="12"/>
  <c r="E265" i="12"/>
  <c r="E261" i="12"/>
  <c r="E257" i="12"/>
  <c r="E253" i="12"/>
  <c r="E249" i="12"/>
  <c r="E245" i="12"/>
  <c r="E241" i="12"/>
  <c r="E237" i="12"/>
  <c r="E233" i="12"/>
  <c r="E229" i="12"/>
  <c r="E225" i="12"/>
  <c r="E221" i="12"/>
  <c r="E217" i="12"/>
  <c r="E213" i="12"/>
  <c r="E209" i="12"/>
  <c r="E205" i="12"/>
  <c r="E201" i="12"/>
  <c r="E197" i="12"/>
  <c r="E193" i="12"/>
  <c r="E189" i="12"/>
  <c r="E185" i="12"/>
  <c r="E181" i="12"/>
  <c r="E177" i="12"/>
  <c r="E173" i="12"/>
  <c r="E169" i="12"/>
  <c r="E165" i="12"/>
  <c r="E161" i="12"/>
  <c r="E157" i="12"/>
  <c r="E153" i="12"/>
  <c r="E149" i="12"/>
  <c r="E145" i="12"/>
  <c r="E141" i="12"/>
  <c r="E137" i="12"/>
  <c r="E133" i="12"/>
  <c r="E129" i="12"/>
  <c r="E125" i="12"/>
  <c r="E121" i="12"/>
  <c r="E117" i="12"/>
  <c r="E113" i="12"/>
  <c r="E109" i="12"/>
  <c r="E105" i="12"/>
  <c r="E97" i="12"/>
  <c r="E93" i="12"/>
  <c r="E89" i="12"/>
  <c r="E85" i="12"/>
  <c r="E81" i="12"/>
  <c r="E77" i="12"/>
  <c r="E70" i="12"/>
  <c r="E66" i="12"/>
  <c r="E62" i="12"/>
  <c r="E58" i="12"/>
  <c r="E54" i="12"/>
  <c r="E50" i="12"/>
  <c r="E46" i="12"/>
  <c r="E41" i="12"/>
  <c r="E37" i="12"/>
  <c r="E33" i="12"/>
  <c r="E29" i="12"/>
  <c r="E25" i="12"/>
  <c r="E21" i="12"/>
  <c r="E17" i="12"/>
  <c r="E13" i="12"/>
  <c r="E9" i="12"/>
  <c r="E5" i="12"/>
  <c r="AH106" i="1"/>
  <c r="A106" i="13" s="1"/>
  <c r="A106" i="14" s="1"/>
  <c r="AH107" i="1"/>
  <c r="A107" i="13" s="1"/>
  <c r="A107" i="14" s="1"/>
  <c r="AH108" i="1"/>
  <c r="A108" i="13" s="1"/>
  <c r="A108" i="14" s="1"/>
  <c r="AH109" i="1"/>
  <c r="A109" i="13" s="1"/>
  <c r="A109" i="14" s="1"/>
  <c r="AH427" i="1"/>
  <c r="A427" i="13" s="1"/>
  <c r="A427" i="14" s="1"/>
  <c r="AH428" i="1"/>
  <c r="A428" i="13" s="1"/>
  <c r="A428" i="14" s="1"/>
  <c r="AH429" i="1"/>
  <c r="A429" i="13" s="1"/>
  <c r="A429" i="14" s="1"/>
  <c r="AH430" i="1"/>
  <c r="A430" i="13" s="1"/>
  <c r="A430" i="14" s="1"/>
  <c r="AH431" i="1"/>
  <c r="A431" i="13" s="1"/>
  <c r="A431" i="14" s="1"/>
  <c r="AH432" i="1"/>
  <c r="A432" i="13" s="1"/>
  <c r="A432" i="14" s="1"/>
  <c r="AH433" i="1"/>
  <c r="A433" i="13" s="1"/>
  <c r="A433" i="14" s="1"/>
  <c r="AH434" i="1"/>
  <c r="A434" i="13" s="1"/>
  <c r="A434" i="14" s="1"/>
  <c r="AH435" i="1"/>
  <c r="A435" i="13" s="1"/>
  <c r="A435" i="14" s="1"/>
  <c r="AH436" i="1"/>
  <c r="A436" i="13" s="1"/>
  <c r="A436" i="14" s="1"/>
  <c r="AH437" i="1"/>
  <c r="A437" i="13" s="1"/>
  <c r="A437" i="14" s="1"/>
  <c r="AH46" i="1"/>
  <c r="A46" i="13" s="1"/>
  <c r="A46" i="14" s="1"/>
  <c r="AH47" i="1"/>
  <c r="A47" i="13" s="1"/>
  <c r="A47" i="14" s="1"/>
  <c r="AH48" i="1"/>
  <c r="A48" i="13" s="1"/>
  <c r="A48" i="14" s="1"/>
  <c r="AH49" i="1"/>
  <c r="A49" i="13" s="1"/>
  <c r="A49" i="14" s="1"/>
  <c r="AH110" i="1"/>
  <c r="A110" i="13" s="1"/>
  <c r="A110" i="14" s="1"/>
  <c r="AH111" i="1"/>
  <c r="A111" i="13" s="1"/>
  <c r="A111" i="14" s="1"/>
  <c r="AH112" i="1"/>
  <c r="A112" i="13" s="1"/>
  <c r="A112" i="14" s="1"/>
  <c r="AH113" i="1"/>
  <c r="A113" i="13" s="1"/>
  <c r="A113" i="14" s="1"/>
  <c r="AH114" i="1"/>
  <c r="A114" i="13" s="1"/>
  <c r="A114" i="14" s="1"/>
  <c r="AH116" i="1"/>
  <c r="A116" i="13" s="1"/>
  <c r="A116" i="14" s="1"/>
  <c r="AH117" i="1"/>
  <c r="A117" i="13" s="1"/>
  <c r="A117" i="14" s="1"/>
  <c r="AH118" i="1"/>
  <c r="A118" i="13" s="1"/>
  <c r="A118" i="14" s="1"/>
  <c r="AH75" i="1"/>
  <c r="A75" i="13" s="1"/>
  <c r="A75" i="14" s="1"/>
  <c r="AH76" i="1"/>
  <c r="A76" i="13" s="1"/>
  <c r="A76" i="14" s="1"/>
  <c r="AH77" i="1"/>
  <c r="A77" i="13" s="1"/>
  <c r="A77" i="14" s="1"/>
  <c r="AH78" i="1"/>
  <c r="A78" i="13" s="1"/>
  <c r="A78" i="14" s="1"/>
  <c r="AH140" i="1"/>
  <c r="A140" i="13" s="1"/>
  <c r="A140" i="14" s="1"/>
  <c r="AH141" i="1"/>
  <c r="A141" i="13" s="1"/>
  <c r="A141" i="14" s="1"/>
  <c r="AH142" i="1"/>
  <c r="A142" i="13" s="1"/>
  <c r="A142" i="14" s="1"/>
  <c r="AH143" i="1"/>
  <c r="A143" i="13" s="1"/>
  <c r="A143" i="14" s="1"/>
  <c r="AH144" i="1"/>
  <c r="A144" i="13" s="1"/>
  <c r="A144" i="14" s="1"/>
  <c r="AH145" i="1"/>
  <c r="A145" i="13" s="1"/>
  <c r="A145" i="14" s="1"/>
  <c r="AH146" i="1"/>
  <c r="A146" i="13" s="1"/>
  <c r="A146" i="14" s="1"/>
  <c r="AH147" i="1"/>
  <c r="A147" i="13" s="1"/>
  <c r="A147" i="14" s="1"/>
  <c r="AH148" i="1"/>
  <c r="A148" i="13" s="1"/>
  <c r="A148" i="14" s="1"/>
  <c r="AH149" i="1"/>
  <c r="A149" i="13" s="1"/>
  <c r="A149" i="14" s="1"/>
  <c r="AH150" i="1"/>
  <c r="A150" i="13" s="1"/>
  <c r="A150" i="14" s="1"/>
  <c r="AH151" i="1"/>
  <c r="A151" i="13" s="1"/>
  <c r="A151" i="14" s="1"/>
  <c r="AH152" i="1"/>
  <c r="A152" i="13" s="1"/>
  <c r="A152" i="14" s="1"/>
  <c r="AH153" i="1"/>
  <c r="A153" i="13" s="1"/>
  <c r="A153" i="14" s="1"/>
  <c r="AH154" i="1"/>
  <c r="A154" i="13" s="1"/>
  <c r="A154" i="14" s="1"/>
  <c r="AH155" i="1"/>
  <c r="A155" i="13" s="1"/>
  <c r="A155" i="14" s="1"/>
  <c r="AH156" i="1"/>
  <c r="A156" i="13" s="1"/>
  <c r="A156" i="14" s="1"/>
  <c r="AH157" i="1"/>
  <c r="A157" i="13" s="1"/>
  <c r="A157" i="14" s="1"/>
  <c r="AH158" i="1"/>
  <c r="A158" i="13" s="1"/>
  <c r="A158" i="14" s="1"/>
  <c r="AH159" i="1"/>
  <c r="A159" i="13" s="1"/>
  <c r="A159" i="14" s="1"/>
  <c r="AH160" i="1"/>
  <c r="A160" i="13" s="1"/>
  <c r="A160" i="14" s="1"/>
  <c r="AH161" i="1"/>
  <c r="A161" i="13" s="1"/>
  <c r="A161" i="14" s="1"/>
  <c r="AH162" i="1"/>
  <c r="A162" i="13" s="1"/>
  <c r="A162" i="14" s="1"/>
  <c r="AH163" i="1"/>
  <c r="A163" i="13" s="1"/>
  <c r="A163" i="14" s="1"/>
  <c r="AH164" i="1"/>
  <c r="A164" i="13" s="1"/>
  <c r="A164" i="14" s="1"/>
  <c r="AH165" i="1"/>
  <c r="A165" i="13" s="1"/>
  <c r="A165" i="14" s="1"/>
  <c r="AH166" i="1"/>
  <c r="A166" i="13" s="1"/>
  <c r="A166" i="14" s="1"/>
  <c r="AH167" i="1"/>
  <c r="A167" i="13" s="1"/>
  <c r="A167" i="14" s="1"/>
  <c r="AH168" i="1"/>
  <c r="A168" i="13" s="1"/>
  <c r="A168" i="14" s="1"/>
  <c r="AH169" i="1"/>
  <c r="A169" i="13" s="1"/>
  <c r="A169" i="14" s="1"/>
  <c r="AH170" i="1"/>
  <c r="A170" i="13" s="1"/>
  <c r="A170" i="14" s="1"/>
  <c r="AH171" i="1"/>
  <c r="A171" i="13" s="1"/>
  <c r="A171" i="14" s="1"/>
  <c r="AH172" i="1"/>
  <c r="A172" i="13" s="1"/>
  <c r="A172" i="14" s="1"/>
  <c r="AH173" i="1"/>
  <c r="A173" i="13" s="1"/>
  <c r="A173" i="14" s="1"/>
  <c r="AH174" i="1"/>
  <c r="A174" i="13" s="1"/>
  <c r="A174" i="14" s="1"/>
  <c r="AH175" i="1"/>
  <c r="A175" i="13" s="1"/>
  <c r="A175" i="14" s="1"/>
  <c r="AH176" i="1"/>
  <c r="A176" i="13" s="1"/>
  <c r="A176" i="14" s="1"/>
  <c r="AH177" i="1"/>
  <c r="A177" i="13" s="1"/>
  <c r="A177" i="14" s="1"/>
  <c r="AH178" i="1"/>
  <c r="A178" i="13" s="1"/>
  <c r="A178" i="14" s="1"/>
  <c r="AH179" i="1"/>
  <c r="A179" i="13" s="1"/>
  <c r="A179" i="14" s="1"/>
  <c r="AH180" i="1"/>
  <c r="A180" i="13" s="1"/>
  <c r="A180" i="14" s="1"/>
  <c r="AH181" i="1"/>
  <c r="A181" i="13" s="1"/>
  <c r="A181" i="14" s="1"/>
  <c r="AH182" i="1"/>
  <c r="A182" i="13" s="1"/>
  <c r="A182" i="14" s="1"/>
  <c r="AH183" i="1"/>
  <c r="A183" i="13" s="1"/>
  <c r="A183" i="14" s="1"/>
  <c r="AH184" i="1"/>
  <c r="A184" i="13" s="1"/>
  <c r="A184" i="14" s="1"/>
  <c r="AH185" i="1"/>
  <c r="A185" i="13" s="1"/>
  <c r="A185" i="14" s="1"/>
  <c r="AH186" i="1"/>
  <c r="A186" i="13" s="1"/>
  <c r="A186" i="14" s="1"/>
  <c r="AH187" i="1"/>
  <c r="A187" i="13" s="1"/>
  <c r="A187" i="14" s="1"/>
  <c r="AH188" i="1"/>
  <c r="A188" i="13" s="1"/>
  <c r="A188" i="14" s="1"/>
  <c r="AH189" i="1"/>
  <c r="A189" i="13" s="1"/>
  <c r="A189" i="14" s="1"/>
  <c r="AH190" i="1"/>
  <c r="A190" i="13" s="1"/>
  <c r="A190" i="14" s="1"/>
  <c r="AH191" i="1"/>
  <c r="A191" i="13" s="1"/>
  <c r="A191" i="14" s="1"/>
  <c r="AH192" i="1"/>
  <c r="A192" i="13" s="1"/>
  <c r="A192" i="14" s="1"/>
  <c r="AH193" i="1"/>
  <c r="A193" i="13" s="1"/>
  <c r="A193" i="14" s="1"/>
  <c r="AH194" i="1"/>
  <c r="A194" i="13" s="1"/>
  <c r="A194" i="14" s="1"/>
  <c r="AH195" i="1"/>
  <c r="A195" i="13" s="1"/>
  <c r="A195" i="14" s="1"/>
  <c r="AH196" i="1"/>
  <c r="A196" i="13" s="1"/>
  <c r="A196" i="14" s="1"/>
  <c r="AH197" i="1"/>
  <c r="A197" i="13" s="1"/>
  <c r="A197" i="14" s="1"/>
  <c r="AH198" i="1"/>
  <c r="A198" i="13" s="1"/>
  <c r="A198" i="14" s="1"/>
  <c r="AH199" i="1"/>
  <c r="A199" i="13" s="1"/>
  <c r="A199" i="14" s="1"/>
  <c r="AH200" i="1"/>
  <c r="A200" i="13" s="1"/>
  <c r="A200" i="14" s="1"/>
  <c r="AH201" i="1"/>
  <c r="A201" i="13" s="1"/>
  <c r="A201" i="14" s="1"/>
  <c r="AH202" i="1"/>
  <c r="A202" i="13" s="1"/>
  <c r="A202" i="14" s="1"/>
  <c r="AH203" i="1"/>
  <c r="A203" i="13" s="1"/>
  <c r="A203" i="14" s="1"/>
  <c r="AH204" i="1"/>
  <c r="A204" i="13" s="1"/>
  <c r="A204" i="14" s="1"/>
  <c r="AH205" i="1"/>
  <c r="A205" i="13" s="1"/>
  <c r="A205" i="14" s="1"/>
  <c r="AH206" i="1"/>
  <c r="A206" i="13" s="1"/>
  <c r="A206" i="14" s="1"/>
  <c r="AH207" i="1"/>
  <c r="A207" i="13" s="1"/>
  <c r="A207" i="14" s="1"/>
  <c r="AH208" i="1"/>
  <c r="A208" i="13" s="1"/>
  <c r="A208" i="14" s="1"/>
  <c r="AH209" i="1"/>
  <c r="A209" i="13" s="1"/>
  <c r="A209" i="14" s="1"/>
  <c r="AH210" i="1"/>
  <c r="A210" i="13" s="1"/>
  <c r="A210" i="14" s="1"/>
  <c r="AH211" i="1"/>
  <c r="A211" i="13" s="1"/>
  <c r="A211" i="14" s="1"/>
  <c r="AH212" i="1"/>
  <c r="A212" i="13" s="1"/>
  <c r="A212" i="14" s="1"/>
  <c r="AH213" i="1"/>
  <c r="A213" i="13" s="1"/>
  <c r="A213" i="14" s="1"/>
  <c r="AH214" i="1"/>
  <c r="A214" i="13" s="1"/>
  <c r="A214" i="14" s="1"/>
  <c r="AH215" i="1"/>
  <c r="A215" i="13" s="1"/>
  <c r="A215" i="14" s="1"/>
  <c r="AH216" i="1"/>
  <c r="A216" i="13" s="1"/>
  <c r="A216" i="14" s="1"/>
  <c r="AH217" i="1"/>
  <c r="A217" i="13" s="1"/>
  <c r="A217" i="14" s="1"/>
  <c r="AH218" i="1"/>
  <c r="A218" i="13" s="1"/>
  <c r="A218" i="14" s="1"/>
  <c r="AH219" i="1"/>
  <c r="A219" i="13" s="1"/>
  <c r="A219" i="14" s="1"/>
  <c r="AH220" i="1"/>
  <c r="A220" i="13" s="1"/>
  <c r="A220" i="14" s="1"/>
  <c r="AH221" i="1"/>
  <c r="A221" i="13" s="1"/>
  <c r="A221" i="14" s="1"/>
  <c r="AH222" i="1"/>
  <c r="A222" i="13" s="1"/>
  <c r="A222" i="14" s="1"/>
  <c r="AH223" i="1"/>
  <c r="A223" i="13" s="1"/>
  <c r="A223" i="14" s="1"/>
  <c r="AH224" i="1"/>
  <c r="A224" i="13" s="1"/>
  <c r="A224" i="14" s="1"/>
  <c r="AH225" i="1"/>
  <c r="A225" i="13" s="1"/>
  <c r="A225" i="14" s="1"/>
  <c r="AH226" i="1"/>
  <c r="A226" i="13" s="1"/>
  <c r="A226" i="14" s="1"/>
  <c r="AH227" i="1"/>
  <c r="A227" i="13" s="1"/>
  <c r="A227" i="14" s="1"/>
  <c r="AH228" i="1"/>
  <c r="A228" i="13" s="1"/>
  <c r="A228" i="14" s="1"/>
  <c r="AH229" i="1"/>
  <c r="A229" i="13" s="1"/>
  <c r="A229" i="14" s="1"/>
  <c r="AH230" i="1"/>
  <c r="A230" i="13" s="1"/>
  <c r="A230" i="14" s="1"/>
  <c r="AH231" i="1"/>
  <c r="A231" i="13" s="1"/>
  <c r="A231" i="14" s="1"/>
  <c r="AH232" i="1"/>
  <c r="A232" i="13" s="1"/>
  <c r="A232" i="14" s="1"/>
  <c r="AH233" i="1"/>
  <c r="A233" i="13" s="1"/>
  <c r="A233" i="14" s="1"/>
  <c r="AH234" i="1"/>
  <c r="A234" i="13" s="1"/>
  <c r="A234" i="14" s="1"/>
  <c r="AH235" i="1"/>
  <c r="A235" i="13" s="1"/>
  <c r="A235" i="14" s="1"/>
  <c r="AH236" i="1"/>
  <c r="A236" i="13" s="1"/>
  <c r="A236" i="14" s="1"/>
  <c r="AH237" i="1"/>
  <c r="A237" i="13" s="1"/>
  <c r="A237" i="14" s="1"/>
  <c r="AH238" i="1"/>
  <c r="A238" i="13" s="1"/>
  <c r="A238" i="14" s="1"/>
  <c r="AH239" i="1"/>
  <c r="A239" i="13" s="1"/>
  <c r="A239" i="14" s="1"/>
  <c r="AH240" i="1"/>
  <c r="A240" i="13" s="1"/>
  <c r="A240" i="14" s="1"/>
  <c r="AH241" i="1"/>
  <c r="A241" i="13" s="1"/>
  <c r="A241" i="14" s="1"/>
  <c r="AH242" i="1"/>
  <c r="A242" i="13" s="1"/>
  <c r="A242" i="14" s="1"/>
  <c r="AH243" i="1"/>
  <c r="A243" i="13" s="1"/>
  <c r="A243" i="14" s="1"/>
  <c r="AH244" i="1"/>
  <c r="A244" i="13" s="1"/>
  <c r="A244" i="14" s="1"/>
  <c r="AH101" i="1"/>
  <c r="A101" i="13" s="1"/>
  <c r="A101" i="14" s="1"/>
  <c r="AH102" i="1"/>
  <c r="A102" i="13" s="1"/>
  <c r="A102" i="14" s="1"/>
  <c r="AH103" i="1"/>
  <c r="A103" i="13" s="1"/>
  <c r="A103" i="14" s="1"/>
  <c r="AH104" i="1"/>
  <c r="A104" i="13" s="1"/>
  <c r="A104" i="14" s="1"/>
  <c r="AH263" i="1"/>
  <c r="A263" i="13" s="1"/>
  <c r="A263" i="14" s="1"/>
  <c r="AH264" i="1"/>
  <c r="A264" i="13" s="1"/>
  <c r="A264" i="14" s="1"/>
  <c r="AH265" i="1"/>
  <c r="A265" i="13" s="1"/>
  <c r="A265" i="14" s="1"/>
  <c r="AH266" i="1"/>
  <c r="A266" i="13" s="1"/>
  <c r="A266" i="14" s="1"/>
  <c r="AH267" i="1"/>
  <c r="A267" i="13" s="1"/>
  <c r="A267" i="14" s="1"/>
  <c r="AH268" i="1"/>
  <c r="A268" i="13" s="1"/>
  <c r="A268" i="14" s="1"/>
  <c r="AH269" i="1"/>
  <c r="A269" i="13" s="1"/>
  <c r="A269" i="14" s="1"/>
  <c r="AH270" i="1"/>
  <c r="A270" i="13" s="1"/>
  <c r="A270" i="14" s="1"/>
  <c r="AH271" i="1"/>
  <c r="A271" i="13" s="1"/>
  <c r="A271" i="14" s="1"/>
  <c r="AH272" i="1"/>
  <c r="A272" i="13" s="1"/>
  <c r="A272" i="14" s="1"/>
  <c r="AH273" i="1"/>
  <c r="A273" i="13" s="1"/>
  <c r="A273" i="14" s="1"/>
  <c r="AH274" i="1"/>
  <c r="A274" i="13" s="1"/>
  <c r="A274" i="14" s="1"/>
  <c r="AH275" i="1"/>
  <c r="A275" i="13" s="1"/>
  <c r="A275" i="14" s="1"/>
  <c r="AH276" i="1"/>
  <c r="A276" i="13" s="1"/>
  <c r="A276" i="14" s="1"/>
  <c r="AH277" i="1"/>
  <c r="A277" i="13" s="1"/>
  <c r="A277" i="14" s="1"/>
  <c r="AH278" i="1"/>
  <c r="A278" i="13" s="1"/>
  <c r="A278" i="14" s="1"/>
  <c r="AH279" i="1"/>
  <c r="A279" i="13" s="1"/>
  <c r="A279" i="14" s="1"/>
  <c r="AH280" i="1"/>
  <c r="A280" i="13" s="1"/>
  <c r="A280" i="14" s="1"/>
  <c r="AH281" i="1"/>
  <c r="A281" i="13" s="1"/>
  <c r="A281" i="14" s="1"/>
  <c r="AH282" i="1"/>
  <c r="A282" i="13" s="1"/>
  <c r="A282" i="14" s="1"/>
  <c r="AH283" i="1"/>
  <c r="A283" i="13" s="1"/>
  <c r="A283" i="14" s="1"/>
  <c r="AH284" i="1"/>
  <c r="A284" i="13" s="1"/>
  <c r="A284" i="14" s="1"/>
  <c r="AH285" i="1"/>
  <c r="A285" i="13" s="1"/>
  <c r="A285" i="14" s="1"/>
  <c r="AH286" i="1"/>
  <c r="A286" i="13" s="1"/>
  <c r="A286" i="14" s="1"/>
  <c r="AH287" i="1"/>
  <c r="A287" i="13" s="1"/>
  <c r="A287" i="14" s="1"/>
  <c r="AH288" i="1"/>
  <c r="A288" i="13" s="1"/>
  <c r="A288" i="14" s="1"/>
  <c r="AH289" i="1"/>
  <c r="A289" i="13" s="1"/>
  <c r="A289" i="14" s="1"/>
  <c r="AH290" i="1"/>
  <c r="A290" i="13" s="1"/>
  <c r="A290" i="14" s="1"/>
  <c r="AH291" i="1"/>
  <c r="A291" i="13" s="1"/>
  <c r="A291" i="14" s="1"/>
  <c r="AH292" i="1"/>
  <c r="A292" i="13" s="1"/>
  <c r="A292" i="14" s="1"/>
  <c r="AH293" i="1"/>
  <c r="A293" i="13" s="1"/>
  <c r="A293" i="14" s="1"/>
  <c r="AH294" i="1"/>
  <c r="A294" i="13" s="1"/>
  <c r="A294" i="14" s="1"/>
  <c r="AH295" i="1"/>
  <c r="A295" i="13" s="1"/>
  <c r="A295" i="14" s="1"/>
  <c r="AH296" i="1"/>
  <c r="A296" i="13" s="1"/>
  <c r="A296" i="14" s="1"/>
  <c r="AH297" i="1"/>
  <c r="A297" i="13" s="1"/>
  <c r="A297" i="14" s="1"/>
  <c r="AH298" i="1"/>
  <c r="A298" i="13" s="1"/>
  <c r="A298" i="14" s="1"/>
  <c r="AH343" i="1"/>
  <c r="A343" i="13" s="1"/>
  <c r="A343" i="14" s="1"/>
  <c r="AH344" i="1"/>
  <c r="A344" i="13" s="1"/>
  <c r="A344" i="14" s="1"/>
  <c r="AH345" i="1"/>
  <c r="A345" i="13" s="1"/>
  <c r="A345" i="14" s="1"/>
  <c r="AH346" i="1"/>
  <c r="A346" i="13" s="1"/>
  <c r="A346" i="14" s="1"/>
  <c r="AH347" i="1"/>
  <c r="A347" i="13" s="1"/>
  <c r="A347" i="14" s="1"/>
  <c r="AH348" i="1"/>
  <c r="A348" i="13" s="1"/>
  <c r="A348" i="14" s="1"/>
  <c r="AH349" i="1"/>
  <c r="A349" i="13" s="1"/>
  <c r="A349" i="14" s="1"/>
  <c r="AH350" i="1"/>
  <c r="A350" i="13" s="1"/>
  <c r="A350" i="14" s="1"/>
  <c r="AH351" i="1"/>
  <c r="A351" i="13" s="1"/>
  <c r="A351" i="14" s="1"/>
  <c r="AH352" i="1"/>
  <c r="A352" i="13" s="1"/>
  <c r="A352" i="14" s="1"/>
  <c r="AH353" i="1"/>
  <c r="A353" i="13" s="1"/>
  <c r="A353" i="14" s="1"/>
  <c r="AH354" i="1"/>
  <c r="A354" i="13" s="1"/>
  <c r="A354" i="14" s="1"/>
  <c r="AH355" i="1"/>
  <c r="A355" i="13" s="1"/>
  <c r="A355" i="14" s="1"/>
  <c r="AH356" i="1"/>
  <c r="A356" i="13" s="1"/>
  <c r="A356" i="14" s="1"/>
  <c r="AH357" i="1"/>
  <c r="A357" i="13" s="1"/>
  <c r="A357" i="14" s="1"/>
  <c r="AH358" i="1"/>
  <c r="A358" i="13" s="1"/>
  <c r="A358" i="14" s="1"/>
  <c r="AH359" i="1"/>
  <c r="A359" i="13" s="1"/>
  <c r="A359" i="14" s="1"/>
  <c r="AH360" i="1"/>
  <c r="A360" i="13" s="1"/>
  <c r="A360" i="14" s="1"/>
  <c r="AH361" i="1"/>
  <c r="A361" i="13" s="1"/>
  <c r="A361" i="14" s="1"/>
  <c r="AH362" i="1"/>
  <c r="A362" i="13" s="1"/>
  <c r="A362" i="14" s="1"/>
  <c r="AH363" i="1"/>
  <c r="A363" i="13" s="1"/>
  <c r="A363" i="14" s="1"/>
  <c r="AH364" i="1"/>
  <c r="A364" i="13" s="1"/>
  <c r="A364" i="14" s="1"/>
  <c r="AH365" i="1"/>
  <c r="A365" i="13" s="1"/>
  <c r="A365" i="14" s="1"/>
  <c r="AH366" i="1"/>
  <c r="A366" i="13" s="1"/>
  <c r="A366" i="14" s="1"/>
  <c r="AH367" i="1"/>
  <c r="A367" i="13" s="1"/>
  <c r="A367" i="14" s="1"/>
  <c r="AH368" i="1"/>
  <c r="A368" i="13" s="1"/>
  <c r="A368" i="14" s="1"/>
  <c r="AH369" i="1"/>
  <c r="A369" i="13" s="1"/>
  <c r="A369" i="14" s="1"/>
  <c r="AH370" i="1"/>
  <c r="A370" i="13" s="1"/>
  <c r="A370" i="14" s="1"/>
  <c r="AH371" i="1"/>
  <c r="A371" i="13" s="1"/>
  <c r="A371" i="14" s="1"/>
  <c r="AH372" i="1"/>
  <c r="A372" i="13" s="1"/>
  <c r="A372" i="14" s="1"/>
  <c r="AH373" i="1"/>
  <c r="A373" i="13" s="1"/>
  <c r="A373" i="14" s="1"/>
  <c r="AH374" i="1"/>
  <c r="A374" i="13" s="1"/>
  <c r="A374" i="14" s="1"/>
  <c r="AH375" i="1"/>
  <c r="A375" i="13" s="1"/>
  <c r="A375" i="14" s="1"/>
  <c r="AH376" i="1"/>
  <c r="A376" i="13" s="1"/>
  <c r="A376" i="14" s="1"/>
  <c r="AH377" i="1"/>
  <c r="A377" i="13" s="1"/>
  <c r="A377" i="14" s="1"/>
  <c r="AH378" i="1"/>
  <c r="A378" i="13" s="1"/>
  <c r="A378" i="14" s="1"/>
  <c r="AH379" i="1"/>
  <c r="A379" i="13" s="1"/>
  <c r="A379" i="14" s="1"/>
  <c r="AH380" i="1"/>
  <c r="A380" i="13" s="1"/>
  <c r="A380" i="14" s="1"/>
  <c r="AH381" i="1"/>
  <c r="A381" i="13" s="1"/>
  <c r="A381" i="14" s="1"/>
  <c r="AH382" i="1"/>
  <c r="A382" i="13" s="1"/>
  <c r="A382" i="14" s="1"/>
  <c r="AH383" i="1"/>
  <c r="A383" i="13" s="1"/>
  <c r="A383" i="14" s="1"/>
  <c r="AH384" i="1"/>
  <c r="A384" i="13" s="1"/>
  <c r="A384" i="14" s="1"/>
  <c r="AH385" i="1"/>
  <c r="A385" i="13" s="1"/>
  <c r="A385" i="14" s="1"/>
  <c r="AH386" i="1"/>
  <c r="A386" i="13" s="1"/>
  <c r="A386" i="14" s="1"/>
  <c r="AH387" i="1"/>
  <c r="A387" i="13" s="1"/>
  <c r="A387" i="14" s="1"/>
  <c r="AH388" i="1"/>
  <c r="A388" i="13" s="1"/>
  <c r="A388" i="14" s="1"/>
  <c r="AH389" i="1"/>
  <c r="A389" i="13" s="1"/>
  <c r="A389" i="14" s="1"/>
  <c r="AH426" i="1"/>
  <c r="A426" i="13" s="1"/>
  <c r="A426" i="14" s="1"/>
  <c r="AH396" i="1"/>
  <c r="A396" i="13" s="1"/>
  <c r="A396" i="14" s="1"/>
  <c r="AH397" i="1"/>
  <c r="A397" i="13" s="1"/>
  <c r="A397" i="14" s="1"/>
  <c r="AH398" i="1"/>
  <c r="A398" i="13" s="1"/>
  <c r="A398" i="14" s="1"/>
  <c r="AH399" i="1"/>
  <c r="A399" i="13" s="1"/>
  <c r="A399" i="14" s="1"/>
  <c r="AH400" i="1"/>
  <c r="A400" i="13" s="1"/>
  <c r="A400" i="14" s="1"/>
  <c r="AH32" i="1"/>
  <c r="A32" i="13" s="1"/>
  <c r="A32" i="14" s="1"/>
  <c r="AH33" i="1"/>
  <c r="A33" i="13" s="1"/>
  <c r="A33" i="14" s="1"/>
  <c r="AH34" i="1"/>
  <c r="A34" i="13" s="1"/>
  <c r="A34" i="14" s="1"/>
  <c r="AH35" i="1"/>
  <c r="A35" i="13" s="1"/>
  <c r="A35" i="14" s="1"/>
  <c r="AH36" i="1"/>
  <c r="A36" i="13" s="1"/>
  <c r="A36" i="14" s="1"/>
  <c r="AH37" i="1"/>
  <c r="A37" i="13" s="1"/>
  <c r="A37" i="14" s="1"/>
  <c r="AH38" i="1"/>
  <c r="A38" i="13" s="1"/>
  <c r="A38" i="14" s="1"/>
  <c r="AH39" i="1"/>
  <c r="A39" i="13" s="1"/>
  <c r="A39" i="14" s="1"/>
  <c r="AH40" i="1"/>
  <c r="A40" i="13" s="1"/>
  <c r="A40" i="14" s="1"/>
  <c r="AH41" i="1"/>
  <c r="A41" i="13" s="1"/>
  <c r="A41" i="14" s="1"/>
  <c r="AH43" i="1"/>
  <c r="A43" i="13" s="1"/>
  <c r="A43" i="14" s="1"/>
  <c r="AH44" i="1"/>
  <c r="A44" i="13" s="1"/>
  <c r="A44" i="14" s="1"/>
  <c r="AH45" i="1"/>
  <c r="A45" i="13" s="1"/>
  <c r="A45" i="14" s="1"/>
  <c r="AH56" i="1"/>
  <c r="A56" i="13" s="1"/>
  <c r="A56" i="14" s="1"/>
  <c r="AH57" i="1"/>
  <c r="A57" i="13" s="1"/>
  <c r="A57" i="14" s="1"/>
  <c r="AH58" i="1"/>
  <c r="A58" i="13" s="1"/>
  <c r="A58" i="14" s="1"/>
  <c r="AH59" i="1"/>
  <c r="A59" i="13" s="1"/>
  <c r="A59" i="14" s="1"/>
  <c r="AH60" i="1"/>
  <c r="A60" i="13" s="1"/>
  <c r="A60" i="14" s="1"/>
  <c r="AH61" i="1"/>
  <c r="A61" i="13" s="1"/>
  <c r="A61" i="14" s="1"/>
  <c r="AH62" i="1"/>
  <c r="A62" i="13" s="1"/>
  <c r="A62" i="14" s="1"/>
  <c r="AH63" i="1"/>
  <c r="A63" i="13" s="1"/>
  <c r="A63" i="14" s="1"/>
  <c r="AH64" i="1"/>
  <c r="A64" i="13" s="1"/>
  <c r="A64" i="14" s="1"/>
  <c r="AH65" i="1"/>
  <c r="A65" i="13" s="1"/>
  <c r="A65" i="14" s="1"/>
  <c r="AH66" i="1"/>
  <c r="A66" i="13" s="1"/>
  <c r="A66" i="14" s="1"/>
  <c r="AH67" i="1"/>
  <c r="A67" i="13" s="1"/>
  <c r="A67" i="14" s="1"/>
  <c r="AH68" i="1"/>
  <c r="A68" i="13" s="1"/>
  <c r="A68" i="14" s="1"/>
  <c r="AH69" i="1"/>
  <c r="A69" i="13" s="1"/>
  <c r="A69" i="14" s="1"/>
  <c r="AH70" i="1"/>
  <c r="A70" i="13" s="1"/>
  <c r="A70" i="14" s="1"/>
  <c r="AH71" i="1"/>
  <c r="A71" i="13" s="1"/>
  <c r="A71" i="14" s="1"/>
  <c r="AH72" i="1"/>
  <c r="A72" i="13" s="1"/>
  <c r="A72" i="14" s="1"/>
  <c r="AH73" i="1"/>
  <c r="A73" i="13" s="1"/>
  <c r="A73" i="14" s="1"/>
  <c r="AH74" i="1"/>
  <c r="A74" i="13" s="1"/>
  <c r="A74" i="14" s="1"/>
  <c r="AH95" i="1"/>
  <c r="A95" i="13" s="1"/>
  <c r="A95" i="14" s="1"/>
  <c r="AH96" i="1"/>
  <c r="A96" i="13" s="1"/>
  <c r="A96" i="14" s="1"/>
  <c r="AH97" i="1"/>
  <c r="A97" i="13" s="1"/>
  <c r="A97" i="14" s="1"/>
  <c r="AH98" i="1"/>
  <c r="A98" i="13" s="1"/>
  <c r="A98" i="14" s="1"/>
  <c r="AH99" i="1"/>
  <c r="A99" i="13" s="1"/>
  <c r="A99" i="14" s="1"/>
  <c r="AH100" i="1"/>
  <c r="A100" i="13" s="1"/>
  <c r="A100" i="14" s="1"/>
  <c r="AH115" i="1"/>
  <c r="A115" i="13" s="1"/>
  <c r="A115" i="14" s="1"/>
  <c r="AH245" i="1"/>
  <c r="A245" i="13" s="1"/>
  <c r="A245" i="14" s="1"/>
  <c r="AH246" i="1"/>
  <c r="A246" i="13" s="1"/>
  <c r="A246" i="14" s="1"/>
  <c r="AH247" i="1"/>
  <c r="A247" i="13" s="1"/>
  <c r="A247" i="14" s="1"/>
  <c r="AH248" i="1"/>
  <c r="A248" i="13" s="1"/>
  <c r="A248" i="14" s="1"/>
  <c r="AH249" i="1"/>
  <c r="A249" i="13" s="1"/>
  <c r="A249" i="14" s="1"/>
  <c r="AH302" i="1"/>
  <c r="A302" i="13" s="1"/>
  <c r="A302" i="14" s="1"/>
  <c r="AH303" i="1"/>
  <c r="A303" i="13" s="1"/>
  <c r="A303" i="14" s="1"/>
  <c r="AH304" i="1"/>
  <c r="A304" i="13" s="1"/>
  <c r="A304" i="14" s="1"/>
  <c r="AH305" i="1"/>
  <c r="A305" i="13" s="1"/>
  <c r="A305" i="14" s="1"/>
  <c r="AH306" i="1"/>
  <c r="A306" i="13" s="1"/>
  <c r="A306" i="14" s="1"/>
  <c r="AH307" i="1"/>
  <c r="A307" i="13" s="1"/>
  <c r="A307" i="14" s="1"/>
  <c r="AH312" i="1"/>
  <c r="A312" i="13" s="1"/>
  <c r="A312" i="14" s="1"/>
  <c r="AH313" i="1"/>
  <c r="A313" i="13" s="1"/>
  <c r="A313" i="14" s="1"/>
  <c r="AH314" i="1"/>
  <c r="A314" i="13" s="1"/>
  <c r="A314" i="14" s="1"/>
  <c r="AH315" i="1"/>
  <c r="A315" i="13" s="1"/>
  <c r="A315" i="14" s="1"/>
  <c r="AH316" i="1"/>
  <c r="A316" i="13" s="1"/>
  <c r="A316" i="14" s="1"/>
  <c r="AH317" i="1"/>
  <c r="A317" i="13" s="1"/>
  <c r="A317" i="14" s="1"/>
  <c r="AH318" i="1"/>
  <c r="A318" i="13" s="1"/>
  <c r="A318" i="14" s="1"/>
  <c r="AH319" i="1"/>
  <c r="A319" i="13" s="1"/>
  <c r="A319" i="14" s="1"/>
  <c r="AH320" i="1"/>
  <c r="A320" i="13" s="1"/>
  <c r="A320" i="14" s="1"/>
  <c r="AH321" i="1"/>
  <c r="A321" i="13" s="1"/>
  <c r="A321" i="14" s="1"/>
  <c r="AH322" i="1"/>
  <c r="A322" i="13" s="1"/>
  <c r="A322" i="14" s="1"/>
  <c r="AH323" i="1"/>
  <c r="A323" i="13" s="1"/>
  <c r="A323" i="14" s="1"/>
  <c r="AH324" i="1"/>
  <c r="A324" i="13" s="1"/>
  <c r="A324" i="14" s="1"/>
  <c r="AH325" i="1"/>
  <c r="A325" i="13" s="1"/>
  <c r="A325" i="14" s="1"/>
  <c r="AH326" i="1"/>
  <c r="A326" i="13" s="1"/>
  <c r="A326" i="14" s="1"/>
  <c r="AH327" i="1"/>
  <c r="A327" i="13" s="1"/>
  <c r="A327" i="14" s="1"/>
  <c r="AH328" i="1"/>
  <c r="A328" i="13" s="1"/>
  <c r="A328" i="14" s="1"/>
  <c r="AH329" i="1"/>
  <c r="A329" i="13" s="1"/>
  <c r="A329" i="14" s="1"/>
  <c r="AH330" i="1"/>
  <c r="A330" i="13" s="1"/>
  <c r="A330" i="14" s="1"/>
  <c r="AH331" i="1"/>
  <c r="A331" i="13" s="1"/>
  <c r="A331" i="14" s="1"/>
  <c r="AH332" i="1"/>
  <c r="A332" i="13" s="1"/>
  <c r="A332" i="14" s="1"/>
  <c r="AH333" i="1"/>
  <c r="A333" i="13" s="1"/>
  <c r="A333" i="14" s="1"/>
  <c r="AH334" i="1"/>
  <c r="A334" i="13" s="1"/>
  <c r="A334" i="14" s="1"/>
  <c r="AH335" i="1"/>
  <c r="A335" i="13" s="1"/>
  <c r="A335" i="14" s="1"/>
  <c r="AH336" i="1"/>
  <c r="A336" i="13" s="1"/>
  <c r="A336" i="14" s="1"/>
  <c r="AH337" i="1"/>
  <c r="A337" i="13" s="1"/>
  <c r="A337" i="14" s="1"/>
  <c r="AH338" i="1"/>
  <c r="A338" i="13" s="1"/>
  <c r="A338" i="14" s="1"/>
  <c r="AH339" i="1"/>
  <c r="A339" i="13" s="1"/>
  <c r="A339" i="14" s="1"/>
  <c r="AH2" i="1"/>
  <c r="A2" i="13" s="1"/>
  <c r="A2" i="14" s="1"/>
  <c r="AH3" i="1"/>
  <c r="A3" i="13" s="1"/>
  <c r="A3" i="14" s="1"/>
  <c r="AH4" i="1"/>
  <c r="A4" i="13" s="1"/>
  <c r="A4" i="14" s="1"/>
  <c r="AH5" i="1"/>
  <c r="A5" i="13" s="1"/>
  <c r="A5" i="14" s="1"/>
  <c r="AH6" i="1"/>
  <c r="A6" i="13" s="1"/>
  <c r="A6" i="14" s="1"/>
  <c r="AH7" i="1"/>
  <c r="A7" i="13" s="1"/>
  <c r="A7" i="14" s="1"/>
  <c r="AH8" i="1"/>
  <c r="A8" i="13" s="1"/>
  <c r="A8" i="14" s="1"/>
  <c r="AH9" i="1"/>
  <c r="A9" i="13" s="1"/>
  <c r="A9" i="14" s="1"/>
  <c r="AH10" i="1"/>
  <c r="A10" i="13" s="1"/>
  <c r="A10" i="14" s="1"/>
  <c r="AH11" i="1"/>
  <c r="A11" i="13" s="1"/>
  <c r="A11" i="14" s="1"/>
  <c r="AH12" i="1"/>
  <c r="A12" i="13" s="1"/>
  <c r="A12" i="14" s="1"/>
  <c r="AH13" i="1"/>
  <c r="A13" i="13" s="1"/>
  <c r="A13" i="14" s="1"/>
  <c r="AH14" i="1"/>
  <c r="A14" i="13" s="1"/>
  <c r="A14" i="14" s="1"/>
  <c r="AH15" i="1"/>
  <c r="A15" i="13" s="1"/>
  <c r="A15" i="14" s="1"/>
  <c r="AH16" i="1"/>
  <c r="A16" i="13" s="1"/>
  <c r="A16" i="14" s="1"/>
  <c r="AH17" i="1"/>
  <c r="A17" i="13" s="1"/>
  <c r="A17" i="14" s="1"/>
  <c r="AH18" i="1"/>
  <c r="A18" i="13" s="1"/>
  <c r="A18" i="14" s="1"/>
  <c r="AH19" i="1"/>
  <c r="A19" i="13" s="1"/>
  <c r="A19" i="14" s="1"/>
  <c r="AH20" i="1"/>
  <c r="A20" i="13" s="1"/>
  <c r="A20" i="14" s="1"/>
  <c r="AH21" i="1"/>
  <c r="A21" i="13" s="1"/>
  <c r="A21" i="14" s="1"/>
  <c r="AH22" i="1"/>
  <c r="A22" i="13" s="1"/>
  <c r="A22" i="14" s="1"/>
  <c r="AH23" i="1"/>
  <c r="A23" i="13" s="1"/>
  <c r="A23" i="14" s="1"/>
  <c r="AH24" i="1"/>
  <c r="A24" i="13" s="1"/>
  <c r="A24" i="14" s="1"/>
  <c r="AH25" i="1"/>
  <c r="A25" i="13" s="1"/>
  <c r="A25" i="14" s="1"/>
  <c r="AH26" i="1"/>
  <c r="A26" i="13" s="1"/>
  <c r="A26" i="14" s="1"/>
  <c r="AH27" i="1"/>
  <c r="A27" i="13" s="1"/>
  <c r="A27" i="14" s="1"/>
  <c r="AH28" i="1"/>
  <c r="A28" i="13" s="1"/>
  <c r="A28" i="14" s="1"/>
  <c r="AH29" i="1"/>
  <c r="A29" i="13" s="1"/>
  <c r="A29" i="14" s="1"/>
  <c r="AH30" i="1"/>
  <c r="A30" i="13" s="1"/>
  <c r="A30" i="14" s="1"/>
  <c r="AH31" i="1"/>
  <c r="A31" i="13" s="1"/>
  <c r="A31" i="14" s="1"/>
  <c r="AH50" i="1"/>
  <c r="A50" i="13" s="1"/>
  <c r="A50" i="14" s="1"/>
  <c r="AH51" i="1"/>
  <c r="A51" i="13" s="1"/>
  <c r="A51" i="14" s="1"/>
  <c r="AH52" i="1"/>
  <c r="A52" i="13" s="1"/>
  <c r="A52" i="14" s="1"/>
  <c r="AH53" i="1"/>
  <c r="A53" i="13" s="1"/>
  <c r="A53" i="14" s="1"/>
  <c r="AH54" i="1"/>
  <c r="A54" i="13" s="1"/>
  <c r="A54" i="14" s="1"/>
  <c r="AH55" i="1"/>
  <c r="A55" i="13" s="1"/>
  <c r="A55" i="14" s="1"/>
  <c r="AH79" i="1"/>
  <c r="A79" i="13" s="1"/>
  <c r="A79" i="14" s="1"/>
  <c r="AH80" i="1"/>
  <c r="A80" i="13" s="1"/>
  <c r="A80" i="14" s="1"/>
  <c r="AH81" i="1"/>
  <c r="A81" i="13" s="1"/>
  <c r="A81" i="14" s="1"/>
  <c r="AH82" i="1"/>
  <c r="A82" i="13" s="1"/>
  <c r="A82" i="14" s="1"/>
  <c r="AH83" i="1"/>
  <c r="A83" i="13" s="1"/>
  <c r="A83" i="14" s="1"/>
  <c r="AH84" i="1"/>
  <c r="A84" i="13" s="1"/>
  <c r="A84" i="14" s="1"/>
  <c r="AH85" i="1"/>
  <c r="A85" i="13" s="1"/>
  <c r="A85" i="14" s="1"/>
  <c r="AH86" i="1"/>
  <c r="A86" i="13" s="1"/>
  <c r="A86" i="14" s="1"/>
  <c r="AH87" i="1"/>
  <c r="A87" i="13" s="1"/>
  <c r="A87" i="14" s="1"/>
  <c r="AH88" i="1"/>
  <c r="A88" i="13" s="1"/>
  <c r="A88" i="14" s="1"/>
  <c r="AH89" i="1"/>
  <c r="A89" i="13" s="1"/>
  <c r="A89" i="14" s="1"/>
  <c r="AH90" i="1"/>
  <c r="A90" i="13" s="1"/>
  <c r="A90" i="14" s="1"/>
  <c r="AH91" i="1"/>
  <c r="A91" i="13" s="1"/>
  <c r="A91" i="14" s="1"/>
  <c r="AH92" i="1"/>
  <c r="A92" i="13" s="1"/>
  <c r="A92" i="14" s="1"/>
  <c r="AH93" i="1"/>
  <c r="A93" i="13" s="1"/>
  <c r="A93" i="14" s="1"/>
  <c r="AH94" i="1"/>
  <c r="A94" i="13" s="1"/>
  <c r="A94" i="14" s="1"/>
  <c r="AH119" i="1"/>
  <c r="A119" i="13" s="1"/>
  <c r="A119" i="14" s="1"/>
  <c r="AH120" i="1"/>
  <c r="A120" i="13" s="1"/>
  <c r="A120" i="14" s="1"/>
  <c r="AH121" i="1"/>
  <c r="A121" i="13" s="1"/>
  <c r="A121" i="14" s="1"/>
  <c r="AH122" i="1"/>
  <c r="A122" i="13" s="1"/>
  <c r="A122" i="14" s="1"/>
  <c r="AH123" i="1"/>
  <c r="A123" i="13" s="1"/>
  <c r="A123" i="14" s="1"/>
  <c r="AH124" i="1"/>
  <c r="A124" i="13" s="1"/>
  <c r="A124" i="14" s="1"/>
  <c r="AH125" i="1"/>
  <c r="A125" i="13" s="1"/>
  <c r="A125" i="14" s="1"/>
  <c r="AH126" i="1"/>
  <c r="A126" i="13" s="1"/>
  <c r="A126" i="14" s="1"/>
  <c r="AH127" i="1"/>
  <c r="A127" i="13" s="1"/>
  <c r="A127" i="14" s="1"/>
  <c r="AH128" i="1"/>
  <c r="A128" i="13" s="1"/>
  <c r="A128" i="14" s="1"/>
  <c r="AH129" i="1"/>
  <c r="A129" i="13" s="1"/>
  <c r="A129" i="14" s="1"/>
  <c r="AH130" i="1"/>
  <c r="A130" i="13" s="1"/>
  <c r="A130" i="14" s="1"/>
  <c r="AH131" i="1"/>
  <c r="A131" i="13" s="1"/>
  <c r="A131" i="14" s="1"/>
  <c r="AH132" i="1"/>
  <c r="A132" i="13" s="1"/>
  <c r="A132" i="14" s="1"/>
  <c r="AH133" i="1"/>
  <c r="A133" i="13" s="1"/>
  <c r="A133" i="14" s="1"/>
  <c r="AH134" i="1"/>
  <c r="A134" i="13" s="1"/>
  <c r="A134" i="14" s="1"/>
  <c r="AH135" i="1"/>
  <c r="A135" i="13" s="1"/>
  <c r="A135" i="14" s="1"/>
  <c r="AH136" i="1"/>
  <c r="A136" i="13" s="1"/>
  <c r="A136" i="14" s="1"/>
  <c r="AH137" i="1"/>
  <c r="A137" i="13" s="1"/>
  <c r="A137" i="14" s="1"/>
  <c r="AH138" i="1"/>
  <c r="A138" i="13" s="1"/>
  <c r="A138" i="14" s="1"/>
  <c r="AH139" i="1"/>
  <c r="A139" i="13" s="1"/>
  <c r="A139" i="14" s="1"/>
  <c r="AH254" i="1"/>
  <c r="A254" i="13" s="1"/>
  <c r="A254" i="14" s="1"/>
  <c r="AH255" i="1"/>
  <c r="A255" i="13" s="1"/>
  <c r="A255" i="14" s="1"/>
  <c r="AH256" i="1"/>
  <c r="A256" i="13" s="1"/>
  <c r="A256" i="14" s="1"/>
  <c r="AH340" i="1"/>
  <c r="A340" i="13" s="1"/>
  <c r="A340" i="14" s="1"/>
  <c r="AH341" i="1"/>
  <c r="A341" i="13" s="1"/>
  <c r="A341" i="14" s="1"/>
  <c r="AH342" i="1"/>
  <c r="A342" i="13" s="1"/>
  <c r="A342" i="14" s="1"/>
  <c r="AH390" i="1"/>
  <c r="A390" i="13" s="1"/>
  <c r="A390" i="14" s="1"/>
  <c r="AH391" i="1"/>
  <c r="A391" i="13" s="1"/>
  <c r="A391" i="14" s="1"/>
  <c r="AH392" i="1"/>
  <c r="A392" i="13" s="1"/>
  <c r="A392" i="14" s="1"/>
  <c r="AH393" i="1"/>
  <c r="A393" i="13" s="1"/>
  <c r="A393" i="14" s="1"/>
  <c r="AH394" i="1"/>
  <c r="A394" i="13" s="1"/>
  <c r="A394" i="14" s="1"/>
  <c r="AH395" i="1"/>
  <c r="A395" i="13" s="1"/>
  <c r="A395" i="14" s="1"/>
  <c r="AH403" i="1"/>
  <c r="A403" i="13" s="1"/>
  <c r="A403" i="14" s="1"/>
  <c r="AH404" i="1"/>
  <c r="A404" i="13" s="1"/>
  <c r="A404" i="14" s="1"/>
  <c r="AH405" i="1"/>
  <c r="A405" i="13" s="1"/>
  <c r="A405" i="14" s="1"/>
  <c r="AH406" i="1"/>
  <c r="A406" i="13" s="1"/>
  <c r="A406" i="14" s="1"/>
  <c r="AH407" i="1"/>
  <c r="A407" i="13" s="1"/>
  <c r="A407" i="14" s="1"/>
  <c r="AH408" i="1"/>
  <c r="A408" i="13" s="1"/>
  <c r="A408" i="14" s="1"/>
  <c r="AH409" i="1"/>
  <c r="A409" i="13" s="1"/>
  <c r="A409" i="14" s="1"/>
  <c r="AH410" i="1"/>
  <c r="A410" i="13" s="1"/>
  <c r="A410" i="14" s="1"/>
  <c r="AH411" i="1"/>
  <c r="A411" i="13" s="1"/>
  <c r="A411" i="14" s="1"/>
  <c r="AH414" i="1"/>
  <c r="A414" i="13" s="1"/>
  <c r="A414" i="14" s="1"/>
  <c r="AH415" i="1"/>
  <c r="A415" i="13" s="1"/>
  <c r="A415" i="14" s="1"/>
  <c r="AH416" i="1"/>
  <c r="A416" i="13" s="1"/>
  <c r="A416" i="14" s="1"/>
  <c r="AH417" i="1"/>
  <c r="A417" i="13" s="1"/>
  <c r="A417" i="14" s="1"/>
  <c r="AH418" i="1"/>
  <c r="A418" i="13" s="1"/>
  <c r="A418" i="14" s="1"/>
  <c r="AH419" i="1"/>
  <c r="A419" i="13" s="1"/>
  <c r="A419" i="14" s="1"/>
  <c r="AH420" i="1"/>
  <c r="A420" i="13" s="1"/>
  <c r="A420" i="14" s="1"/>
  <c r="AH421" i="1"/>
  <c r="A421" i="13" s="1"/>
  <c r="A421" i="14" s="1"/>
  <c r="AH422" i="1"/>
  <c r="A422" i="13" s="1"/>
  <c r="A422" i="14" s="1"/>
  <c r="AH423" i="1"/>
  <c r="A423" i="13" s="1"/>
  <c r="A423" i="14" s="1"/>
  <c r="AH424" i="1"/>
  <c r="A424" i="13" s="1"/>
  <c r="A424" i="14" s="1"/>
  <c r="AH425" i="1"/>
  <c r="A425" i="13" s="1"/>
  <c r="A425" i="14" s="1"/>
  <c r="AH439" i="1"/>
  <c r="A439" i="13" s="1"/>
  <c r="A439" i="14" s="1"/>
  <c r="AH441" i="1"/>
  <c r="A441" i="13" s="1"/>
  <c r="A441" i="14" s="1"/>
  <c r="AH412" i="1"/>
  <c r="A412" i="13" s="1"/>
  <c r="A412" i="14" s="1"/>
  <c r="AH413" i="1"/>
  <c r="A413" i="13" s="1"/>
  <c r="A413" i="14" s="1"/>
  <c r="AH105" i="1"/>
  <c r="A105" i="13" s="1"/>
  <c r="A105" i="14" s="1"/>
  <c r="AX106" i="1"/>
  <c r="AX107" i="1"/>
  <c r="AX108" i="1"/>
  <c r="AX109" i="1"/>
  <c r="AX427" i="1"/>
  <c r="AX428" i="1"/>
  <c r="AX429" i="1"/>
  <c r="AX430" i="1"/>
  <c r="AX431" i="1"/>
  <c r="AX432" i="1"/>
  <c r="AX433" i="1"/>
  <c r="AX434" i="1"/>
  <c r="AX435" i="1"/>
  <c r="AX436" i="1"/>
  <c r="AX437" i="1"/>
  <c r="AX46" i="1"/>
  <c r="AX47" i="1"/>
  <c r="AX48" i="1"/>
  <c r="AX49" i="1"/>
  <c r="AX110" i="1"/>
  <c r="AX111" i="1"/>
  <c r="AX112" i="1"/>
  <c r="AX113" i="1"/>
  <c r="AX114" i="1"/>
  <c r="AX116" i="1"/>
  <c r="AX117" i="1"/>
  <c r="AX118" i="1"/>
  <c r="AX75" i="1"/>
  <c r="AX76" i="1"/>
  <c r="AX77" i="1"/>
  <c r="AX78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101" i="1"/>
  <c r="AX102" i="1"/>
  <c r="AX103" i="1"/>
  <c r="AX104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426" i="1"/>
  <c r="AX396" i="1"/>
  <c r="AX397" i="1"/>
  <c r="AX398" i="1"/>
  <c r="AX399" i="1"/>
  <c r="AX400" i="1"/>
  <c r="AX32" i="1"/>
  <c r="AX33" i="1"/>
  <c r="AX34" i="1"/>
  <c r="AX35" i="1"/>
  <c r="AX36" i="1"/>
  <c r="AX37" i="1"/>
  <c r="AX38" i="1"/>
  <c r="AX39" i="1"/>
  <c r="AX40" i="1"/>
  <c r="AX41" i="1"/>
  <c r="AX43" i="1"/>
  <c r="AX44" i="1"/>
  <c r="AX4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95" i="1"/>
  <c r="AX96" i="1"/>
  <c r="AX97" i="1"/>
  <c r="AX98" i="1"/>
  <c r="AX99" i="1"/>
  <c r="AX100" i="1"/>
  <c r="AX115" i="1"/>
  <c r="AX245" i="1"/>
  <c r="AX246" i="1"/>
  <c r="AX247" i="1"/>
  <c r="AX248" i="1"/>
  <c r="AX249" i="1"/>
  <c r="AX302" i="1"/>
  <c r="AX303" i="1"/>
  <c r="AX304" i="1"/>
  <c r="AX305" i="1"/>
  <c r="AX306" i="1"/>
  <c r="AX307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442" i="1"/>
  <c r="AX443" i="1"/>
  <c r="AX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50" i="1"/>
  <c r="AX51" i="1"/>
  <c r="AX52" i="1"/>
  <c r="AX53" i="1"/>
  <c r="AX54" i="1"/>
  <c r="AX55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254" i="1"/>
  <c r="AX255" i="1"/>
  <c r="AX256" i="1"/>
  <c r="AX257" i="1"/>
  <c r="AX258" i="1"/>
  <c r="AX259" i="1"/>
  <c r="AX260" i="1"/>
  <c r="AX261" i="1"/>
  <c r="AX262" i="1"/>
  <c r="AX299" i="1"/>
  <c r="AX300" i="1"/>
  <c r="AX301" i="1"/>
  <c r="AX340" i="1"/>
  <c r="AX341" i="1"/>
  <c r="AX342" i="1"/>
  <c r="AX390" i="1"/>
  <c r="AX391" i="1"/>
  <c r="AX392" i="1"/>
  <c r="AX393" i="1"/>
  <c r="AX394" i="1"/>
  <c r="AX395" i="1"/>
  <c r="AX401" i="1"/>
  <c r="AX402" i="1"/>
  <c r="AX403" i="1"/>
  <c r="AX404" i="1"/>
  <c r="AX405" i="1"/>
  <c r="AX406" i="1"/>
  <c r="AX407" i="1"/>
  <c r="AX408" i="1"/>
  <c r="AX409" i="1"/>
  <c r="AX410" i="1"/>
  <c r="AX411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39" i="1"/>
  <c r="AX441" i="1"/>
  <c r="AX412" i="1"/>
  <c r="AX413" i="1"/>
  <c r="AX438" i="1"/>
  <c r="AX250" i="1"/>
  <c r="AX251" i="1"/>
  <c r="AX252" i="1"/>
  <c r="AX253" i="1"/>
  <c r="AW106" i="1"/>
  <c r="AW107" i="1"/>
  <c r="AW108" i="1"/>
  <c r="AW109" i="1"/>
  <c r="AW427" i="1"/>
  <c r="AW428" i="1"/>
  <c r="AW429" i="1"/>
  <c r="AW430" i="1"/>
  <c r="AW431" i="1"/>
  <c r="AW432" i="1"/>
  <c r="AW433" i="1"/>
  <c r="AW434" i="1"/>
  <c r="AW435" i="1"/>
  <c r="AW436" i="1"/>
  <c r="AW437" i="1"/>
  <c r="AW46" i="1"/>
  <c r="AW47" i="1"/>
  <c r="AW48" i="1"/>
  <c r="AW49" i="1"/>
  <c r="AW110" i="1"/>
  <c r="AW111" i="1"/>
  <c r="AW112" i="1"/>
  <c r="AW113" i="1"/>
  <c r="AW114" i="1"/>
  <c r="AW116" i="1"/>
  <c r="AW117" i="1"/>
  <c r="AW118" i="1"/>
  <c r="AW75" i="1"/>
  <c r="AW76" i="1"/>
  <c r="AW77" i="1"/>
  <c r="AW78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101" i="1"/>
  <c r="AW102" i="1"/>
  <c r="AW103" i="1"/>
  <c r="AW104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426" i="1"/>
  <c r="AW396" i="1"/>
  <c r="AW397" i="1"/>
  <c r="AW398" i="1"/>
  <c r="AW399" i="1"/>
  <c r="AW400" i="1"/>
  <c r="AW32" i="1"/>
  <c r="AW33" i="1"/>
  <c r="AW34" i="1"/>
  <c r="AW35" i="1"/>
  <c r="AW36" i="1"/>
  <c r="AW37" i="1"/>
  <c r="AW38" i="1"/>
  <c r="AW39" i="1"/>
  <c r="AW40" i="1"/>
  <c r="AW41" i="1"/>
  <c r="AW43" i="1"/>
  <c r="AW44" i="1"/>
  <c r="AW4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95" i="1"/>
  <c r="AW96" i="1"/>
  <c r="AW97" i="1"/>
  <c r="AW98" i="1"/>
  <c r="AW99" i="1"/>
  <c r="AW100" i="1"/>
  <c r="AW115" i="1"/>
  <c r="AW245" i="1"/>
  <c r="AW246" i="1"/>
  <c r="AW247" i="1"/>
  <c r="AW248" i="1"/>
  <c r="AW249" i="1"/>
  <c r="AW303" i="1"/>
  <c r="AW304" i="1"/>
  <c r="AW305" i="1"/>
  <c r="AW306" i="1"/>
  <c r="AW307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442" i="1"/>
  <c r="AW443" i="1"/>
  <c r="AW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50" i="1"/>
  <c r="AW51" i="1"/>
  <c r="AW52" i="1"/>
  <c r="AW53" i="1"/>
  <c r="AW54" i="1"/>
  <c r="AW55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254" i="1"/>
  <c r="AW255" i="1"/>
  <c r="AW256" i="1"/>
  <c r="AW257" i="1"/>
  <c r="AW258" i="1"/>
  <c r="AW259" i="1"/>
  <c r="AW260" i="1"/>
  <c r="AW261" i="1"/>
  <c r="AW262" i="1"/>
  <c r="AW299" i="1"/>
  <c r="AW300" i="1"/>
  <c r="AW301" i="1"/>
  <c r="AW340" i="1"/>
  <c r="AW341" i="1"/>
  <c r="AW342" i="1"/>
  <c r="AW390" i="1"/>
  <c r="AW391" i="1"/>
  <c r="AW392" i="1"/>
  <c r="AW393" i="1"/>
  <c r="AW394" i="1"/>
  <c r="AW395" i="1"/>
  <c r="AW401" i="1"/>
  <c r="AW402" i="1"/>
  <c r="AW403" i="1"/>
  <c r="AW404" i="1"/>
  <c r="AW405" i="1"/>
  <c r="AW406" i="1"/>
  <c r="AW407" i="1"/>
  <c r="AW408" i="1"/>
  <c r="AW409" i="1"/>
  <c r="AW410" i="1"/>
  <c r="AW411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39" i="1"/>
  <c r="AW441" i="1"/>
  <c r="AW412" i="1"/>
  <c r="AW413" i="1"/>
  <c r="AW438" i="1"/>
  <c r="AW250" i="1"/>
  <c r="AW251" i="1"/>
  <c r="AW252" i="1"/>
  <c r="AW253" i="1"/>
  <c r="AW105" i="1"/>
  <c r="J106" i="1"/>
  <c r="AP106" i="1" s="1"/>
  <c r="J107" i="1"/>
  <c r="AP107" i="1" s="1"/>
  <c r="J108" i="1"/>
  <c r="J109" i="1"/>
  <c r="J427" i="1"/>
  <c r="J428" i="1"/>
  <c r="AP428" i="1" s="1"/>
  <c r="J429" i="1"/>
  <c r="J430" i="1"/>
  <c r="J431" i="1"/>
  <c r="J432" i="1"/>
  <c r="J433" i="1"/>
  <c r="J434" i="1"/>
  <c r="J435" i="1"/>
  <c r="J436" i="1"/>
  <c r="AI436" i="1" s="1"/>
  <c r="A436" i="5" s="1"/>
  <c r="A436" i="12" s="1"/>
  <c r="J437" i="1"/>
  <c r="J46" i="1"/>
  <c r="J47" i="1"/>
  <c r="AP47" i="1" s="1"/>
  <c r="J48" i="1"/>
  <c r="J49" i="1"/>
  <c r="AP49" i="1" s="1"/>
  <c r="J110" i="1"/>
  <c r="AP110" i="1" s="1"/>
  <c r="J111" i="1"/>
  <c r="AP111" i="1" s="1"/>
  <c r="J112" i="1"/>
  <c r="J113" i="1"/>
  <c r="AP113" i="1" s="1"/>
  <c r="J114" i="1"/>
  <c r="AP114" i="1" s="1"/>
  <c r="J116" i="1"/>
  <c r="J117" i="1"/>
  <c r="J118" i="1"/>
  <c r="AP118" i="1" s="1"/>
  <c r="J75" i="1"/>
  <c r="J76" i="1"/>
  <c r="J77" i="1"/>
  <c r="J78" i="1"/>
  <c r="AP78" i="1" s="1"/>
  <c r="J140" i="1"/>
  <c r="J141" i="1"/>
  <c r="J142" i="1"/>
  <c r="J143" i="1"/>
  <c r="J144" i="1"/>
  <c r="J145" i="1"/>
  <c r="J146" i="1"/>
  <c r="AP146" i="1" s="1"/>
  <c r="J147" i="1"/>
  <c r="J148" i="1"/>
  <c r="J149" i="1"/>
  <c r="J150" i="1"/>
  <c r="AP150" i="1" s="1"/>
  <c r="J151" i="1"/>
  <c r="J152" i="1"/>
  <c r="J153" i="1"/>
  <c r="AP153" i="1" s="1"/>
  <c r="J154" i="1"/>
  <c r="AP154" i="1" s="1"/>
  <c r="J155" i="1"/>
  <c r="J156" i="1"/>
  <c r="J157" i="1"/>
  <c r="J158" i="1"/>
  <c r="J159" i="1"/>
  <c r="J160" i="1"/>
  <c r="J161" i="1"/>
  <c r="J162" i="1"/>
  <c r="AP162" i="1" s="1"/>
  <c r="J163" i="1"/>
  <c r="J164" i="1"/>
  <c r="J165" i="1"/>
  <c r="J166" i="1"/>
  <c r="AP166" i="1" s="1"/>
  <c r="J167" i="1"/>
  <c r="J168" i="1"/>
  <c r="J169" i="1"/>
  <c r="AP169" i="1" s="1"/>
  <c r="J170" i="1"/>
  <c r="AP170" i="1" s="1"/>
  <c r="J171" i="1"/>
  <c r="J172" i="1"/>
  <c r="J173" i="1"/>
  <c r="J174" i="1"/>
  <c r="J175" i="1"/>
  <c r="J176" i="1"/>
  <c r="J177" i="1"/>
  <c r="J178" i="1"/>
  <c r="AP178" i="1" s="1"/>
  <c r="J179" i="1"/>
  <c r="J180" i="1"/>
  <c r="J181" i="1"/>
  <c r="J182" i="1"/>
  <c r="AP182" i="1" s="1"/>
  <c r="J183" i="1"/>
  <c r="J184" i="1"/>
  <c r="J185" i="1"/>
  <c r="J186" i="1"/>
  <c r="AP186" i="1" s="1"/>
  <c r="J187" i="1"/>
  <c r="J188" i="1"/>
  <c r="J189" i="1"/>
  <c r="AP189" i="1" s="1"/>
  <c r="J190" i="1"/>
  <c r="J191" i="1"/>
  <c r="J192" i="1"/>
  <c r="J193" i="1"/>
  <c r="J194" i="1"/>
  <c r="AP194" i="1" s="1"/>
  <c r="J195" i="1"/>
  <c r="J196" i="1"/>
  <c r="AP196" i="1" s="1"/>
  <c r="J197" i="1"/>
  <c r="J198" i="1"/>
  <c r="AP198" i="1" s="1"/>
  <c r="J199" i="1"/>
  <c r="J200" i="1"/>
  <c r="J201" i="1"/>
  <c r="AP201" i="1" s="1"/>
  <c r="J202" i="1"/>
  <c r="AP202" i="1" s="1"/>
  <c r="J203" i="1"/>
  <c r="J204" i="1"/>
  <c r="AP204" i="1" s="1"/>
  <c r="J205" i="1"/>
  <c r="J206" i="1"/>
  <c r="J207" i="1"/>
  <c r="J208" i="1"/>
  <c r="J209" i="1"/>
  <c r="J210" i="1"/>
  <c r="AP210" i="1" s="1"/>
  <c r="J211" i="1"/>
  <c r="J212" i="1"/>
  <c r="AP212" i="1" s="1"/>
  <c r="J213" i="1"/>
  <c r="J214" i="1"/>
  <c r="AP214" i="1" s="1"/>
  <c r="J215" i="1"/>
  <c r="J216" i="1"/>
  <c r="J217" i="1"/>
  <c r="AP217" i="1" s="1"/>
  <c r="J218" i="1"/>
  <c r="AP218" i="1" s="1"/>
  <c r="J219" i="1"/>
  <c r="J220" i="1"/>
  <c r="AP220" i="1" s="1"/>
  <c r="J221" i="1"/>
  <c r="J222" i="1"/>
  <c r="J223" i="1"/>
  <c r="J224" i="1"/>
  <c r="J225" i="1"/>
  <c r="J226" i="1"/>
  <c r="AP226" i="1" s="1"/>
  <c r="J227" i="1"/>
  <c r="J228" i="1"/>
  <c r="AP228" i="1" s="1"/>
  <c r="J229" i="1"/>
  <c r="J230" i="1"/>
  <c r="AP230" i="1" s="1"/>
  <c r="J231" i="1"/>
  <c r="J232" i="1"/>
  <c r="J233" i="1"/>
  <c r="AP233" i="1" s="1"/>
  <c r="J234" i="1"/>
  <c r="AP234" i="1" s="1"/>
  <c r="J235" i="1"/>
  <c r="J236" i="1"/>
  <c r="AP236" i="1" s="1"/>
  <c r="J237" i="1"/>
  <c r="J238" i="1"/>
  <c r="J239" i="1"/>
  <c r="J240" i="1"/>
  <c r="J241" i="1"/>
  <c r="J242" i="1"/>
  <c r="AP242" i="1" s="1"/>
  <c r="J243" i="1"/>
  <c r="J244" i="1"/>
  <c r="AP244" i="1" s="1"/>
  <c r="J101" i="1"/>
  <c r="J102" i="1"/>
  <c r="AP102" i="1" s="1"/>
  <c r="J103" i="1"/>
  <c r="J104" i="1"/>
  <c r="J263" i="1"/>
  <c r="J264" i="1"/>
  <c r="AP264" i="1" s="1"/>
  <c r="J265" i="1"/>
  <c r="J266" i="1"/>
  <c r="J267" i="1"/>
  <c r="J268" i="1"/>
  <c r="J269" i="1"/>
  <c r="J270" i="1"/>
  <c r="AP270" i="1" s="1"/>
  <c r="J271" i="1"/>
  <c r="J272" i="1"/>
  <c r="J273" i="1"/>
  <c r="J274" i="1"/>
  <c r="AP274" i="1" s="1"/>
  <c r="J275" i="1"/>
  <c r="J276" i="1"/>
  <c r="J277" i="1"/>
  <c r="AP277" i="1" s="1"/>
  <c r="J278" i="1"/>
  <c r="AP278" i="1" s="1"/>
  <c r="J279" i="1"/>
  <c r="J280" i="1"/>
  <c r="J281" i="1"/>
  <c r="J282" i="1"/>
  <c r="AP282" i="1" s="1"/>
  <c r="J283" i="1"/>
  <c r="J284" i="1"/>
  <c r="J285" i="1"/>
  <c r="J286" i="1"/>
  <c r="J287" i="1"/>
  <c r="J288" i="1"/>
  <c r="J289" i="1"/>
  <c r="J290" i="1"/>
  <c r="AP290" i="1" s="1"/>
  <c r="J291" i="1"/>
  <c r="J292" i="1"/>
  <c r="J293" i="1"/>
  <c r="AP293" i="1" s="1"/>
  <c r="J294" i="1"/>
  <c r="AP294" i="1" s="1"/>
  <c r="J295" i="1"/>
  <c r="J296" i="1"/>
  <c r="J297" i="1"/>
  <c r="J298" i="1"/>
  <c r="J343" i="1"/>
  <c r="AP343" i="1" s="1"/>
  <c r="J344" i="1"/>
  <c r="J345" i="1"/>
  <c r="J346" i="1"/>
  <c r="J347" i="1"/>
  <c r="J348" i="1"/>
  <c r="J349" i="1"/>
  <c r="J350" i="1"/>
  <c r="J351" i="1"/>
  <c r="AP351" i="1" s="1"/>
  <c r="J352" i="1"/>
  <c r="J353" i="1"/>
  <c r="J354" i="1"/>
  <c r="AP354" i="1" s="1"/>
  <c r="J355" i="1"/>
  <c r="AP355" i="1" s="1"/>
  <c r="J356" i="1"/>
  <c r="J357" i="1"/>
  <c r="AP357" i="1" s="1"/>
  <c r="J358" i="1"/>
  <c r="AP358" i="1" s="1"/>
  <c r="J359" i="1"/>
  <c r="AP359" i="1" s="1"/>
  <c r="J360" i="1"/>
  <c r="J361" i="1"/>
  <c r="AP361" i="1" s="1"/>
  <c r="J362" i="1"/>
  <c r="J363" i="1"/>
  <c r="AP363" i="1" s="1"/>
  <c r="J364" i="1"/>
  <c r="J365" i="1"/>
  <c r="J366" i="1"/>
  <c r="J367" i="1"/>
  <c r="AP367" i="1" s="1"/>
  <c r="J368" i="1"/>
  <c r="J369" i="1"/>
  <c r="AP369" i="1" s="1"/>
  <c r="J370" i="1"/>
  <c r="AP370" i="1" s="1"/>
  <c r="J371" i="1"/>
  <c r="AP371" i="1" s="1"/>
  <c r="J372" i="1"/>
  <c r="J373" i="1"/>
  <c r="J374" i="1"/>
  <c r="J375" i="1"/>
  <c r="AP375" i="1" s="1"/>
  <c r="J376" i="1"/>
  <c r="J377" i="1"/>
  <c r="AP377" i="1" s="1"/>
  <c r="J378" i="1"/>
  <c r="J379" i="1"/>
  <c r="AP379" i="1" s="1"/>
  <c r="J380" i="1"/>
  <c r="J381" i="1"/>
  <c r="J382" i="1"/>
  <c r="J383" i="1"/>
  <c r="AP383" i="1" s="1"/>
  <c r="J384" i="1"/>
  <c r="J385" i="1"/>
  <c r="AP385" i="1" s="1"/>
  <c r="J386" i="1"/>
  <c r="AP386" i="1" s="1"/>
  <c r="J387" i="1"/>
  <c r="AP387" i="1" s="1"/>
  <c r="J388" i="1"/>
  <c r="J389" i="1"/>
  <c r="J426" i="1"/>
  <c r="J396" i="1"/>
  <c r="J397" i="1"/>
  <c r="J398" i="1"/>
  <c r="AP398" i="1" s="1"/>
  <c r="J399" i="1"/>
  <c r="J400" i="1"/>
  <c r="AP400" i="1" s="1"/>
  <c r="J32" i="1"/>
  <c r="J33" i="1"/>
  <c r="J34" i="1"/>
  <c r="J35" i="1"/>
  <c r="AP35" i="1" s="1"/>
  <c r="J36" i="1"/>
  <c r="J37" i="1"/>
  <c r="AP37" i="1" s="1"/>
  <c r="J38" i="1"/>
  <c r="AP38" i="1" s="1"/>
  <c r="J39" i="1"/>
  <c r="AP39" i="1" s="1"/>
  <c r="J40" i="1"/>
  <c r="J41" i="1"/>
  <c r="J43" i="1"/>
  <c r="J44" i="1"/>
  <c r="AP44" i="1" s="1"/>
  <c r="J45" i="1"/>
  <c r="J56" i="1"/>
  <c r="AP56" i="1" s="1"/>
  <c r="J57" i="1"/>
  <c r="J58" i="1"/>
  <c r="J59" i="1"/>
  <c r="J60" i="1"/>
  <c r="J61" i="1"/>
  <c r="J62" i="1"/>
  <c r="AP62" i="1" s="1"/>
  <c r="J63" i="1"/>
  <c r="J64" i="1"/>
  <c r="AP64" i="1" s="1"/>
  <c r="J65" i="1"/>
  <c r="AP65" i="1" s="1"/>
  <c r="J66" i="1"/>
  <c r="AP66" i="1" s="1"/>
  <c r="J67" i="1"/>
  <c r="J68" i="1"/>
  <c r="AP68" i="1" s="1"/>
  <c r="J69" i="1"/>
  <c r="J70" i="1"/>
  <c r="AP70" i="1" s="1"/>
  <c r="J71" i="1"/>
  <c r="J72" i="1"/>
  <c r="J73" i="1"/>
  <c r="J74" i="1"/>
  <c r="AP74" i="1" s="1"/>
  <c r="J95" i="1"/>
  <c r="J96" i="1"/>
  <c r="J97" i="1"/>
  <c r="J98" i="1"/>
  <c r="AP98" i="1" s="1"/>
  <c r="J99" i="1"/>
  <c r="J100" i="1"/>
  <c r="J115" i="1"/>
  <c r="J245" i="1"/>
  <c r="J246" i="1"/>
  <c r="J247" i="1"/>
  <c r="J248" i="1"/>
  <c r="J249" i="1"/>
  <c r="AP249" i="1" s="1"/>
  <c r="J302" i="1"/>
  <c r="J303" i="1"/>
  <c r="J304" i="1"/>
  <c r="J305" i="1"/>
  <c r="AP305" i="1" s="1"/>
  <c r="J306" i="1"/>
  <c r="J307" i="1"/>
  <c r="J312" i="1"/>
  <c r="AP312" i="1" s="1"/>
  <c r="J313" i="1"/>
  <c r="AP313" i="1" s="1"/>
  <c r="J314" i="1"/>
  <c r="J315" i="1"/>
  <c r="J316" i="1"/>
  <c r="J317" i="1"/>
  <c r="AP317" i="1" s="1"/>
  <c r="J318" i="1"/>
  <c r="J319" i="1"/>
  <c r="J320" i="1"/>
  <c r="J321" i="1"/>
  <c r="J322" i="1"/>
  <c r="J323" i="1"/>
  <c r="J324" i="1"/>
  <c r="J325" i="1"/>
  <c r="AP325" i="1" s="1"/>
  <c r="J326" i="1"/>
  <c r="J327" i="1"/>
  <c r="J328" i="1"/>
  <c r="AP328" i="1" s="1"/>
  <c r="J329" i="1"/>
  <c r="AP329" i="1" s="1"/>
  <c r="J330" i="1"/>
  <c r="J331" i="1"/>
  <c r="J332" i="1"/>
  <c r="AP332" i="1" s="1"/>
  <c r="J333" i="1"/>
  <c r="AP333" i="1" s="1"/>
  <c r="J334" i="1"/>
  <c r="J335" i="1"/>
  <c r="J336" i="1"/>
  <c r="J337" i="1"/>
  <c r="AP337" i="1" s="1"/>
  <c r="J338" i="1"/>
  <c r="J339" i="1"/>
  <c r="AP339" i="1" s="1"/>
  <c r="J442" i="1"/>
  <c r="J443" i="1"/>
  <c r="AP443" i="1" s="1"/>
  <c r="J2" i="1"/>
  <c r="J3" i="1"/>
  <c r="J4" i="1"/>
  <c r="AP4" i="1" s="1"/>
  <c r="J5" i="1"/>
  <c r="AP5" i="1" s="1"/>
  <c r="J6" i="1"/>
  <c r="J7" i="1"/>
  <c r="AP7" i="1" s="1"/>
  <c r="J8" i="1"/>
  <c r="J9" i="1"/>
  <c r="AP9" i="1" s="1"/>
  <c r="J10" i="1"/>
  <c r="J11" i="1"/>
  <c r="J12" i="1"/>
  <c r="J13" i="1"/>
  <c r="AP13" i="1" s="1"/>
  <c r="J14" i="1"/>
  <c r="J15" i="1"/>
  <c r="AP15" i="1" s="1"/>
  <c r="J16" i="1"/>
  <c r="J17" i="1"/>
  <c r="AP17" i="1" s="1"/>
  <c r="J18" i="1"/>
  <c r="J19" i="1"/>
  <c r="J20" i="1"/>
  <c r="AP20" i="1" s="1"/>
  <c r="J21" i="1"/>
  <c r="AP21" i="1" s="1"/>
  <c r="J22" i="1"/>
  <c r="J23" i="1"/>
  <c r="AP23" i="1" s="1"/>
  <c r="J24" i="1"/>
  <c r="J25" i="1"/>
  <c r="J26" i="1"/>
  <c r="J27" i="1"/>
  <c r="J28" i="1"/>
  <c r="J29" i="1"/>
  <c r="AP29" i="1" s="1"/>
  <c r="J30" i="1"/>
  <c r="J31" i="1"/>
  <c r="AP31" i="1" s="1"/>
  <c r="J50" i="1"/>
  <c r="J51" i="1"/>
  <c r="AP51" i="1" s="1"/>
  <c r="J52" i="1"/>
  <c r="J53" i="1"/>
  <c r="J54" i="1"/>
  <c r="AP54" i="1" s="1"/>
  <c r="J55" i="1"/>
  <c r="AP55" i="1" s="1"/>
  <c r="J79" i="1"/>
  <c r="J80" i="1"/>
  <c r="AP80" i="1" s="1"/>
  <c r="J81" i="1"/>
  <c r="J82" i="1"/>
  <c r="AP82" i="1" s="1"/>
  <c r="J83" i="1"/>
  <c r="J84" i="1"/>
  <c r="J85" i="1"/>
  <c r="J86" i="1"/>
  <c r="J87" i="1"/>
  <c r="J88" i="1"/>
  <c r="AP88" i="1" s="1"/>
  <c r="J89" i="1"/>
  <c r="J90" i="1"/>
  <c r="AP90" i="1" s="1"/>
  <c r="J91" i="1"/>
  <c r="J92" i="1"/>
  <c r="J93" i="1"/>
  <c r="AP93" i="1" s="1"/>
  <c r="J94" i="1"/>
  <c r="AP94" i="1" s="1"/>
  <c r="J119" i="1"/>
  <c r="J120" i="1"/>
  <c r="AP120" i="1" s="1"/>
  <c r="J121" i="1"/>
  <c r="J122" i="1"/>
  <c r="AP122" i="1" s="1"/>
  <c r="J123" i="1"/>
  <c r="J124" i="1"/>
  <c r="J125" i="1"/>
  <c r="AP125" i="1" s="1"/>
  <c r="J126" i="1"/>
  <c r="AP126" i="1" s="1"/>
  <c r="J127" i="1"/>
  <c r="J128" i="1"/>
  <c r="J129" i="1"/>
  <c r="J130" i="1"/>
  <c r="AP130" i="1" s="1"/>
  <c r="J131" i="1"/>
  <c r="J132" i="1"/>
  <c r="J133" i="1"/>
  <c r="AP133" i="1" s="1"/>
  <c r="J134" i="1"/>
  <c r="AP134" i="1" s="1"/>
  <c r="J135" i="1"/>
  <c r="J136" i="1"/>
  <c r="J137" i="1"/>
  <c r="J138" i="1"/>
  <c r="AP138" i="1" s="1"/>
  <c r="J139" i="1"/>
  <c r="J254" i="1"/>
  <c r="J255" i="1"/>
  <c r="AP255" i="1" s="1"/>
  <c r="J256" i="1"/>
  <c r="AP256" i="1" s="1"/>
  <c r="J257" i="1"/>
  <c r="AP257" i="1" s="1"/>
  <c r="J258" i="1"/>
  <c r="J259" i="1"/>
  <c r="J260" i="1"/>
  <c r="AP260" i="1" s="1"/>
  <c r="J261" i="1"/>
  <c r="AP261" i="1" s="1"/>
  <c r="J262" i="1"/>
  <c r="J299" i="1"/>
  <c r="AP299" i="1" s="1"/>
  <c r="J300" i="1"/>
  <c r="AP300" i="1" s="1"/>
  <c r="J301" i="1"/>
  <c r="AP301" i="1" s="1"/>
  <c r="J340" i="1"/>
  <c r="AP340" i="1" s="1"/>
  <c r="J341" i="1"/>
  <c r="J342" i="1"/>
  <c r="J390" i="1"/>
  <c r="AP390" i="1" s="1"/>
  <c r="J391" i="1"/>
  <c r="AP391" i="1" s="1"/>
  <c r="J392" i="1"/>
  <c r="AP392" i="1" s="1"/>
  <c r="J393" i="1"/>
  <c r="AP393" i="1" s="1"/>
  <c r="J394" i="1"/>
  <c r="AP394" i="1" s="1"/>
  <c r="J395" i="1"/>
  <c r="AP395" i="1" s="1"/>
  <c r="J401" i="1"/>
  <c r="J402" i="1"/>
  <c r="AP402" i="1" s="1"/>
  <c r="J403" i="1"/>
  <c r="AP403" i="1" s="1"/>
  <c r="J404" i="1"/>
  <c r="J405" i="1"/>
  <c r="AP405" i="1" s="1"/>
  <c r="J406" i="1"/>
  <c r="AP406" i="1" s="1"/>
  <c r="J407" i="1"/>
  <c r="AP407" i="1" s="1"/>
  <c r="J408" i="1"/>
  <c r="AP408" i="1" s="1"/>
  <c r="J409" i="1"/>
  <c r="J410" i="1"/>
  <c r="AP410" i="1" s="1"/>
  <c r="J411" i="1"/>
  <c r="AP411" i="1" s="1"/>
  <c r="J414" i="1"/>
  <c r="AP414" i="1" s="1"/>
  <c r="J415" i="1"/>
  <c r="AP415" i="1" s="1"/>
  <c r="J416" i="1"/>
  <c r="J417" i="1"/>
  <c r="AP417" i="1" s="1"/>
  <c r="J418" i="1"/>
  <c r="AP418" i="1" s="1"/>
  <c r="J419" i="1"/>
  <c r="J420" i="1"/>
  <c r="AP420" i="1" s="1"/>
  <c r="J421" i="1"/>
  <c r="AP421" i="1" s="1"/>
  <c r="J422" i="1"/>
  <c r="J423" i="1"/>
  <c r="AP423" i="1" s="1"/>
  <c r="J424" i="1"/>
  <c r="AP424" i="1" s="1"/>
  <c r="J425" i="1"/>
  <c r="AP425" i="1" s="1"/>
  <c r="J439" i="1"/>
  <c r="AP439" i="1" s="1"/>
  <c r="J412" i="1"/>
  <c r="AP412" i="1" s="1"/>
  <c r="J413" i="1"/>
  <c r="AP413" i="1" s="1"/>
  <c r="J438" i="1"/>
  <c r="AP438" i="1" s="1"/>
  <c r="J250" i="1"/>
  <c r="AP250" i="1" s="1"/>
  <c r="J251" i="1"/>
  <c r="AP251" i="1" s="1"/>
  <c r="J252" i="1"/>
  <c r="AP252" i="1" s="1"/>
  <c r="J253" i="1"/>
  <c r="AP253" i="1" s="1"/>
  <c r="J105" i="1"/>
  <c r="AX105" i="1"/>
  <c r="AJ436" i="1" l="1"/>
  <c r="AI426" i="1"/>
  <c r="A426" i="5" s="1"/>
  <c r="A426" i="12" s="1"/>
  <c r="AI238" i="1"/>
  <c r="A238" i="5" s="1"/>
  <c r="A238" i="12" s="1"/>
  <c r="AI222" i="1"/>
  <c r="A222" i="5" s="1"/>
  <c r="A222" i="12" s="1"/>
  <c r="AI206" i="1"/>
  <c r="A206" i="5" s="1"/>
  <c r="A206" i="12" s="1"/>
  <c r="AI190" i="1"/>
  <c r="A190" i="5" s="1"/>
  <c r="A190" i="12" s="1"/>
  <c r="AI174" i="1"/>
  <c r="A174" i="5" s="1"/>
  <c r="A174" i="12" s="1"/>
  <c r="AI158" i="1"/>
  <c r="A158" i="5" s="1"/>
  <c r="A158" i="12" s="1"/>
  <c r="AI142" i="1"/>
  <c r="A142" i="5" s="1"/>
  <c r="A142" i="12" s="1"/>
  <c r="AI416" i="1"/>
  <c r="A416" i="5" s="1"/>
  <c r="A416" i="12" s="1"/>
  <c r="AI342" i="1"/>
  <c r="A342" i="5" s="1"/>
  <c r="A342" i="12" s="1"/>
  <c r="AI86" i="1"/>
  <c r="A86" i="5" s="1"/>
  <c r="A86" i="12" s="1"/>
  <c r="AI25" i="1"/>
  <c r="A25" i="5" s="1"/>
  <c r="A25" i="12" s="1"/>
  <c r="AI321" i="1"/>
  <c r="A321" i="5" s="1"/>
  <c r="A321" i="12" s="1"/>
  <c r="AI245" i="1"/>
  <c r="A245" i="5" s="1"/>
  <c r="A245" i="12" s="1"/>
  <c r="AI58" i="1"/>
  <c r="A58" i="5" s="1"/>
  <c r="A58" i="12" s="1"/>
  <c r="AI396" i="1"/>
  <c r="A396" i="5" s="1"/>
  <c r="A396" i="12" s="1"/>
  <c r="AI347" i="1"/>
  <c r="A347" i="5" s="1"/>
  <c r="A347" i="12" s="1"/>
  <c r="AI298" i="1"/>
  <c r="AI286" i="1"/>
  <c r="A286" i="5" s="1"/>
  <c r="A286" i="12" s="1"/>
  <c r="AI266" i="1"/>
  <c r="A266" i="5" s="1"/>
  <c r="A266" i="12" s="1"/>
  <c r="AP396" i="1"/>
  <c r="AI256" i="1"/>
  <c r="AI379" i="1"/>
  <c r="A379" i="5" s="1"/>
  <c r="A379" i="12" s="1"/>
  <c r="AI55" i="1"/>
  <c r="A55" i="5" s="1"/>
  <c r="A55" i="12" s="1"/>
  <c r="AI282" i="1"/>
  <c r="A282" i="5" s="1"/>
  <c r="A282" i="12" s="1"/>
  <c r="AP416" i="1"/>
  <c r="AP298" i="1"/>
  <c r="AI333" i="1"/>
  <c r="A333" i="5" s="1"/>
  <c r="A333" i="12" s="1"/>
  <c r="AI210" i="1"/>
  <c r="A210" i="5" s="1"/>
  <c r="A210" i="12" s="1"/>
  <c r="AP86" i="1"/>
  <c r="AP222" i="1"/>
  <c r="AI412" i="1"/>
  <c r="A412" i="5" s="1"/>
  <c r="A412" i="12" s="1"/>
  <c r="AI70" i="1"/>
  <c r="A70" i="5" s="1"/>
  <c r="A70" i="12" s="1"/>
  <c r="AI146" i="1"/>
  <c r="A146" i="5" s="1"/>
  <c r="A146" i="12" s="1"/>
  <c r="AP321" i="1"/>
  <c r="AP158" i="1"/>
  <c r="AI410" i="1"/>
  <c r="A410" i="5" s="1"/>
  <c r="A410" i="12" s="1"/>
  <c r="AI126" i="1"/>
  <c r="A126" i="5" s="1"/>
  <c r="A126" i="12" s="1"/>
  <c r="AI21" i="1"/>
  <c r="A21" i="5" s="1"/>
  <c r="A21" i="12" s="1"/>
  <c r="AI317" i="1"/>
  <c r="A317" i="5" s="1"/>
  <c r="A317" i="12" s="1"/>
  <c r="AI44" i="1"/>
  <c r="A44" i="5" s="1"/>
  <c r="A44" i="12" s="1"/>
  <c r="AI363" i="1"/>
  <c r="AI274" i="1"/>
  <c r="A274" i="5" s="1"/>
  <c r="A274" i="12" s="1"/>
  <c r="AI198" i="1"/>
  <c r="A198" i="5" s="1"/>
  <c r="A198" i="12" s="1"/>
  <c r="AP342" i="1"/>
  <c r="AP25" i="1"/>
  <c r="AP245" i="1"/>
  <c r="AP286" i="1"/>
  <c r="AI406" i="1"/>
  <c r="A406" i="5" s="1"/>
  <c r="A406" i="12" s="1"/>
  <c r="AI122" i="1"/>
  <c r="A122" i="5" s="1"/>
  <c r="A122" i="12" s="1"/>
  <c r="AI13" i="1"/>
  <c r="A13" i="5" s="1"/>
  <c r="A13" i="12" s="1"/>
  <c r="AI313" i="1"/>
  <c r="A313" i="5" s="1"/>
  <c r="A313" i="12" s="1"/>
  <c r="AI39" i="1"/>
  <c r="A39" i="5" s="1"/>
  <c r="A39" i="12" s="1"/>
  <c r="AI359" i="1"/>
  <c r="A359" i="5" s="1"/>
  <c r="A359" i="12" s="1"/>
  <c r="AI242" i="1"/>
  <c r="A242" i="5" s="1"/>
  <c r="A242" i="12" s="1"/>
  <c r="AI178" i="1"/>
  <c r="A178" i="5" s="1"/>
  <c r="A178" i="12" s="1"/>
  <c r="AP266" i="1"/>
  <c r="AP190" i="1"/>
  <c r="AI343" i="1"/>
  <c r="A343" i="5" s="1"/>
  <c r="A343" i="12" s="1"/>
  <c r="AI300" i="1"/>
  <c r="A300" i="5" s="1"/>
  <c r="A300" i="12" s="1"/>
  <c r="AI82" i="1"/>
  <c r="A82" i="5" s="1"/>
  <c r="A82" i="12" s="1"/>
  <c r="AI337" i="1"/>
  <c r="A337" i="5" s="1"/>
  <c r="A337" i="12" s="1"/>
  <c r="AI74" i="1"/>
  <c r="A74" i="5" s="1"/>
  <c r="A74" i="12" s="1"/>
  <c r="AI387" i="1"/>
  <c r="A387" i="5" s="1"/>
  <c r="A387" i="12" s="1"/>
  <c r="AI230" i="1"/>
  <c r="A230" i="5" s="1"/>
  <c r="A230" i="12" s="1"/>
  <c r="AI166" i="1"/>
  <c r="A166" i="5" s="1"/>
  <c r="A166" i="12" s="1"/>
  <c r="AP58" i="1"/>
  <c r="AP347" i="1"/>
  <c r="AP436" i="1"/>
  <c r="AI140" i="1"/>
  <c r="A140" i="5" s="1"/>
  <c r="A140" i="12" s="1"/>
  <c r="AI78" i="1"/>
  <c r="A78" i="5" s="1"/>
  <c r="A78" i="12" s="1"/>
  <c r="AI429" i="1"/>
  <c r="A429" i="5" s="1"/>
  <c r="A429" i="12" s="1"/>
  <c r="AP108" i="1"/>
  <c r="AI108" i="1"/>
  <c r="A108" i="5" s="1"/>
  <c r="A108" i="12" s="1"/>
  <c r="AI420" i="1"/>
  <c r="A420" i="5" s="1"/>
  <c r="A420" i="12" s="1"/>
  <c r="AI402" i="1"/>
  <c r="A402" i="5" s="1"/>
  <c r="A402" i="12" s="1"/>
  <c r="AI260" i="1"/>
  <c r="A260" i="5" s="1"/>
  <c r="A260" i="12" s="1"/>
  <c r="AI130" i="1"/>
  <c r="A130" i="5" s="1"/>
  <c r="A130" i="12" s="1"/>
  <c r="AI90" i="1"/>
  <c r="A90" i="5" s="1"/>
  <c r="A90" i="12" s="1"/>
  <c r="AI51" i="1"/>
  <c r="A51" i="5" s="1"/>
  <c r="A51" i="12" s="1"/>
  <c r="AI17" i="1"/>
  <c r="A17" i="5" s="1"/>
  <c r="A17" i="12" s="1"/>
  <c r="AI443" i="1"/>
  <c r="A443" i="5" s="1"/>
  <c r="A443" i="12" s="1"/>
  <c r="AI325" i="1"/>
  <c r="A325" i="5" s="1"/>
  <c r="A325" i="12" s="1"/>
  <c r="AI305" i="1"/>
  <c r="A305" i="5" s="1"/>
  <c r="A305" i="12" s="1"/>
  <c r="AI98" i="1"/>
  <c r="A98" i="5" s="1"/>
  <c r="A98" i="12" s="1"/>
  <c r="AI62" i="1"/>
  <c r="A62" i="5" s="1"/>
  <c r="A62" i="12" s="1"/>
  <c r="AI35" i="1"/>
  <c r="A35" i="5" s="1"/>
  <c r="A35" i="12" s="1"/>
  <c r="AI383" i="1"/>
  <c r="A383" i="5" s="1"/>
  <c r="A383" i="12" s="1"/>
  <c r="AI367" i="1"/>
  <c r="A367" i="5" s="1"/>
  <c r="A367" i="12" s="1"/>
  <c r="AI351" i="1"/>
  <c r="A351" i="5" s="1"/>
  <c r="A351" i="12" s="1"/>
  <c r="AI294" i="1"/>
  <c r="A294" i="5" s="1"/>
  <c r="A294" i="12" s="1"/>
  <c r="AI278" i="1"/>
  <c r="A278" i="5" s="1"/>
  <c r="A278" i="12" s="1"/>
  <c r="AI234" i="1"/>
  <c r="A234" i="5" s="1"/>
  <c r="A234" i="12" s="1"/>
  <c r="AI218" i="1"/>
  <c r="A218" i="5" s="1"/>
  <c r="A218" i="12" s="1"/>
  <c r="AI202" i="1"/>
  <c r="A202" i="5" s="1"/>
  <c r="A202" i="12" s="1"/>
  <c r="AI186" i="1"/>
  <c r="A186" i="5" s="1"/>
  <c r="A186" i="12" s="1"/>
  <c r="AI170" i="1"/>
  <c r="A170" i="5" s="1"/>
  <c r="A170" i="12" s="1"/>
  <c r="AI154" i="1"/>
  <c r="A154" i="5" s="1"/>
  <c r="A154" i="12" s="1"/>
  <c r="AI111" i="1"/>
  <c r="A111" i="5" s="1"/>
  <c r="A111" i="12" s="1"/>
  <c r="AJ70" i="1"/>
  <c r="AP432" i="1"/>
  <c r="AI432" i="1"/>
  <c r="A432" i="5" s="1"/>
  <c r="A432" i="12" s="1"/>
  <c r="AI424" i="1"/>
  <c r="A424" i="5" s="1"/>
  <c r="A424" i="12" s="1"/>
  <c r="AI393" i="1"/>
  <c r="A393" i="5" s="1"/>
  <c r="A393" i="12" s="1"/>
  <c r="AI138" i="1"/>
  <c r="A138" i="5" s="1"/>
  <c r="A138" i="12" s="1"/>
  <c r="AI94" i="1"/>
  <c r="A94" i="5" s="1"/>
  <c r="A94" i="12" s="1"/>
  <c r="AI29" i="1"/>
  <c r="A29" i="5" s="1"/>
  <c r="A29" i="12" s="1"/>
  <c r="AI9" i="1"/>
  <c r="A9" i="5" s="1"/>
  <c r="A9" i="12" s="1"/>
  <c r="AI329" i="1"/>
  <c r="A329" i="5" s="1"/>
  <c r="A329" i="12" s="1"/>
  <c r="AI249" i="1"/>
  <c r="A249" i="5" s="1"/>
  <c r="A249" i="12" s="1"/>
  <c r="AI66" i="1"/>
  <c r="A66" i="5" s="1"/>
  <c r="A66" i="12" s="1"/>
  <c r="AI400" i="1"/>
  <c r="A400" i="5" s="1"/>
  <c r="A400" i="12" s="1"/>
  <c r="AI375" i="1"/>
  <c r="A375" i="5" s="1"/>
  <c r="A375" i="12" s="1"/>
  <c r="AI355" i="1"/>
  <c r="A355" i="5" s="1"/>
  <c r="A355" i="12" s="1"/>
  <c r="AI290" i="1"/>
  <c r="A290" i="5" s="1"/>
  <c r="A290" i="12" s="1"/>
  <c r="AI270" i="1"/>
  <c r="A270" i="5" s="1"/>
  <c r="A270" i="12" s="1"/>
  <c r="AI226" i="1"/>
  <c r="A226" i="5" s="1"/>
  <c r="A226" i="12" s="1"/>
  <c r="AI194" i="1"/>
  <c r="A194" i="5" s="1"/>
  <c r="A194" i="12" s="1"/>
  <c r="AI162" i="1"/>
  <c r="A162" i="5" s="1"/>
  <c r="A162" i="12" s="1"/>
  <c r="AI118" i="1"/>
  <c r="A118" i="5" s="1"/>
  <c r="A118" i="12" s="1"/>
  <c r="AP238" i="1"/>
  <c r="AP206" i="1"/>
  <c r="AP174" i="1"/>
  <c r="AP142" i="1"/>
  <c r="AI134" i="1"/>
  <c r="A134" i="5" s="1"/>
  <c r="A134" i="12" s="1"/>
  <c r="AI5" i="1"/>
  <c r="A5" i="5" s="1"/>
  <c r="A5" i="12" s="1"/>
  <c r="AI371" i="1"/>
  <c r="A371" i="5" s="1"/>
  <c r="A371" i="12" s="1"/>
  <c r="AI102" i="1"/>
  <c r="A102" i="5" s="1"/>
  <c r="A102" i="12" s="1"/>
  <c r="AI214" i="1"/>
  <c r="A214" i="5" s="1"/>
  <c r="A214" i="12" s="1"/>
  <c r="AI182" i="1"/>
  <c r="A182" i="5" s="1"/>
  <c r="A182" i="12" s="1"/>
  <c r="AI150" i="1"/>
  <c r="A150" i="5" s="1"/>
  <c r="A150" i="12" s="1"/>
  <c r="AI47" i="1"/>
  <c r="A47" i="5" s="1"/>
  <c r="A47" i="12" s="1"/>
  <c r="AI137" i="1"/>
  <c r="A137" i="5" s="1"/>
  <c r="A137" i="12" s="1"/>
  <c r="AI115" i="1"/>
  <c r="A115" i="5" s="1"/>
  <c r="A115" i="12" s="1"/>
  <c r="AI297" i="1"/>
  <c r="A297" i="5" s="1"/>
  <c r="A297" i="12" s="1"/>
  <c r="AI281" i="1"/>
  <c r="A281" i="5" s="1"/>
  <c r="A281" i="12" s="1"/>
  <c r="AI128" i="1"/>
  <c r="A128" i="5" s="1"/>
  <c r="A128" i="12" s="1"/>
  <c r="AI124" i="1"/>
  <c r="A124" i="5" s="1"/>
  <c r="A124" i="12" s="1"/>
  <c r="AI327" i="1"/>
  <c r="A327" i="5" s="1"/>
  <c r="A327" i="12" s="1"/>
  <c r="AI100" i="1"/>
  <c r="A100" i="5" s="1"/>
  <c r="A100" i="12" s="1"/>
  <c r="AI349" i="1"/>
  <c r="A349" i="5" s="1"/>
  <c r="A349" i="12" s="1"/>
  <c r="AI280" i="1"/>
  <c r="A280" i="5" s="1"/>
  <c r="A280" i="12" s="1"/>
  <c r="AI276" i="1"/>
  <c r="A276" i="5" s="1"/>
  <c r="A276" i="12" s="1"/>
  <c r="AI192" i="1"/>
  <c r="A192" i="5" s="1"/>
  <c r="A192" i="12" s="1"/>
  <c r="AI184" i="1"/>
  <c r="A184" i="5" s="1"/>
  <c r="A184" i="12" s="1"/>
  <c r="AI160" i="1"/>
  <c r="A160" i="5" s="1"/>
  <c r="A160" i="12" s="1"/>
  <c r="AI148" i="1"/>
  <c r="A148" i="5" s="1"/>
  <c r="A148" i="12" s="1"/>
  <c r="AI109" i="1"/>
  <c r="A109" i="5" s="1"/>
  <c r="A109" i="12" s="1"/>
  <c r="AI441" i="1"/>
  <c r="A441" i="5" s="1"/>
  <c r="A441" i="12" s="1"/>
  <c r="AI409" i="1"/>
  <c r="A409" i="5" s="1"/>
  <c r="A409" i="12" s="1"/>
  <c r="AI341" i="1"/>
  <c r="A341" i="5" s="1"/>
  <c r="A341" i="12" s="1"/>
  <c r="AI299" i="1"/>
  <c r="A299" i="5" s="1"/>
  <c r="A299" i="12" s="1"/>
  <c r="AI121" i="1"/>
  <c r="A121" i="5" s="1"/>
  <c r="A121" i="12" s="1"/>
  <c r="AI93" i="1"/>
  <c r="A93" i="5" s="1"/>
  <c r="A93" i="12" s="1"/>
  <c r="AI81" i="1"/>
  <c r="A81" i="5" s="1"/>
  <c r="A81" i="12" s="1"/>
  <c r="AI24" i="1"/>
  <c r="A24" i="5" s="1"/>
  <c r="A24" i="12" s="1"/>
  <c r="AI8" i="1"/>
  <c r="A8" i="5" s="1"/>
  <c r="A8" i="12" s="1"/>
  <c r="AI328" i="1"/>
  <c r="A328" i="5" s="1"/>
  <c r="A328" i="12" s="1"/>
  <c r="AI316" i="1"/>
  <c r="A316" i="5" s="1"/>
  <c r="A316" i="12" s="1"/>
  <c r="AI65" i="1"/>
  <c r="A65" i="5" s="1"/>
  <c r="A65" i="12" s="1"/>
  <c r="AI43" i="1"/>
  <c r="A43" i="5" s="1"/>
  <c r="A43" i="12" s="1"/>
  <c r="AI374" i="1"/>
  <c r="A374" i="5" s="1"/>
  <c r="A374" i="12" s="1"/>
  <c r="AI358" i="1"/>
  <c r="A358" i="5" s="1"/>
  <c r="A358" i="12" s="1"/>
  <c r="AI354" i="1"/>
  <c r="A354" i="5" s="1"/>
  <c r="A354" i="12" s="1"/>
  <c r="AI237" i="1"/>
  <c r="A237" i="5" s="1"/>
  <c r="A237" i="12" s="1"/>
  <c r="AI221" i="1"/>
  <c r="A221" i="5" s="1"/>
  <c r="A221" i="12" s="1"/>
  <c r="AI205" i="1"/>
  <c r="A205" i="5" s="1"/>
  <c r="A205" i="12" s="1"/>
  <c r="AI189" i="1"/>
  <c r="A189" i="5" s="1"/>
  <c r="A189" i="12" s="1"/>
  <c r="AI173" i="1"/>
  <c r="A173" i="5" s="1"/>
  <c r="A173" i="12" s="1"/>
  <c r="AI157" i="1"/>
  <c r="A157" i="5" s="1"/>
  <c r="A157" i="12" s="1"/>
  <c r="AI141" i="1"/>
  <c r="A141" i="5" s="1"/>
  <c r="A141" i="12" s="1"/>
  <c r="AI114" i="1"/>
  <c r="A114" i="5" s="1"/>
  <c r="A114" i="12" s="1"/>
  <c r="AI431" i="1"/>
  <c r="A431" i="5" s="1"/>
  <c r="A431" i="12" s="1"/>
  <c r="AI422" i="1"/>
  <c r="A422" i="5" s="1"/>
  <c r="A422" i="12" s="1"/>
  <c r="AI404" i="1"/>
  <c r="A404" i="5" s="1"/>
  <c r="A404" i="12" s="1"/>
  <c r="AI262" i="1"/>
  <c r="A262" i="5" s="1"/>
  <c r="A262" i="12" s="1"/>
  <c r="AI258" i="1"/>
  <c r="A258" i="5" s="1"/>
  <c r="A258" i="12" s="1"/>
  <c r="AI254" i="1"/>
  <c r="A254" i="5" s="1"/>
  <c r="A254" i="12" s="1"/>
  <c r="AI136" i="1"/>
  <c r="A136" i="5" s="1"/>
  <c r="A136" i="12" s="1"/>
  <c r="AI132" i="1"/>
  <c r="A132" i="5" s="1"/>
  <c r="A132" i="12" s="1"/>
  <c r="AI92" i="1"/>
  <c r="A92" i="5" s="1"/>
  <c r="A92" i="12" s="1"/>
  <c r="AI84" i="1"/>
  <c r="A84" i="5" s="1"/>
  <c r="A84" i="12" s="1"/>
  <c r="AI53" i="1"/>
  <c r="A53" i="5" s="1"/>
  <c r="A53" i="12" s="1"/>
  <c r="AI27" i="1"/>
  <c r="A27" i="5" s="1"/>
  <c r="A27" i="12" s="1"/>
  <c r="AI19" i="1"/>
  <c r="A19" i="5" s="1"/>
  <c r="A19" i="12" s="1"/>
  <c r="AI11" i="1"/>
  <c r="A11" i="5" s="1"/>
  <c r="A11" i="12" s="1"/>
  <c r="AI3" i="1"/>
  <c r="A3" i="5" s="1"/>
  <c r="A3" i="12" s="1"/>
  <c r="AI335" i="1"/>
  <c r="A335" i="5" s="1"/>
  <c r="A335" i="12" s="1"/>
  <c r="AI331" i="1"/>
  <c r="A331" i="5" s="1"/>
  <c r="A331" i="12" s="1"/>
  <c r="AI323" i="1"/>
  <c r="A323" i="5" s="1"/>
  <c r="A323" i="12" s="1"/>
  <c r="AI319" i="1"/>
  <c r="A319" i="5" s="1"/>
  <c r="A319" i="12" s="1"/>
  <c r="AI315" i="1"/>
  <c r="A315" i="5" s="1"/>
  <c r="A315" i="12" s="1"/>
  <c r="AI307" i="1"/>
  <c r="A307" i="5" s="1"/>
  <c r="A307" i="12" s="1"/>
  <c r="AI303" i="1"/>
  <c r="A303" i="5" s="1"/>
  <c r="A303" i="12" s="1"/>
  <c r="AI247" i="1"/>
  <c r="A247" i="5" s="1"/>
  <c r="A247" i="12" s="1"/>
  <c r="AI96" i="1"/>
  <c r="A96" i="5" s="1"/>
  <c r="A96" i="12" s="1"/>
  <c r="AI72" i="1"/>
  <c r="A72" i="5" s="1"/>
  <c r="A72" i="12" s="1"/>
  <c r="AI60" i="1"/>
  <c r="A60" i="5" s="1"/>
  <c r="A60" i="12" s="1"/>
  <c r="AI41" i="1"/>
  <c r="A41" i="5" s="1"/>
  <c r="A41" i="12" s="1"/>
  <c r="AI33" i="1"/>
  <c r="A33" i="5" s="1"/>
  <c r="A33" i="12" s="1"/>
  <c r="AI389" i="1"/>
  <c r="A389" i="5" s="1"/>
  <c r="A389" i="12" s="1"/>
  <c r="AI381" i="1"/>
  <c r="A381" i="5" s="1"/>
  <c r="A381" i="12" s="1"/>
  <c r="AI373" i="1"/>
  <c r="A373" i="5" s="1"/>
  <c r="A373" i="12" s="1"/>
  <c r="AI365" i="1"/>
  <c r="A365" i="5" s="1"/>
  <c r="A365" i="12" s="1"/>
  <c r="AI353" i="1"/>
  <c r="A353" i="5" s="1"/>
  <c r="A353" i="12" s="1"/>
  <c r="AI345" i="1"/>
  <c r="A345" i="5" s="1"/>
  <c r="A345" i="12" s="1"/>
  <c r="AI296" i="1"/>
  <c r="A296" i="5" s="1"/>
  <c r="A296" i="12" s="1"/>
  <c r="AI292" i="1"/>
  <c r="A292" i="5" s="1"/>
  <c r="A292" i="12" s="1"/>
  <c r="AI288" i="1"/>
  <c r="A288" i="5" s="1"/>
  <c r="A288" i="12" s="1"/>
  <c r="AI284" i="1"/>
  <c r="A284" i="5" s="1"/>
  <c r="A284" i="12" s="1"/>
  <c r="AI272" i="1"/>
  <c r="A272" i="5" s="1"/>
  <c r="A272" i="12" s="1"/>
  <c r="AI268" i="1"/>
  <c r="A268" i="5" s="1"/>
  <c r="A268" i="12" s="1"/>
  <c r="AI104" i="1"/>
  <c r="A104" i="5" s="1"/>
  <c r="A104" i="12" s="1"/>
  <c r="AI240" i="1"/>
  <c r="A240" i="5" s="1"/>
  <c r="A240" i="12" s="1"/>
  <c r="AI232" i="1"/>
  <c r="A232" i="5" s="1"/>
  <c r="A232" i="12" s="1"/>
  <c r="AI224" i="1"/>
  <c r="A224" i="5" s="1"/>
  <c r="A224" i="12" s="1"/>
  <c r="AI216" i="1"/>
  <c r="A216" i="5" s="1"/>
  <c r="A216" i="12" s="1"/>
  <c r="AI208" i="1"/>
  <c r="A208" i="5" s="1"/>
  <c r="A208" i="12" s="1"/>
  <c r="AI200" i="1"/>
  <c r="A200" i="5" s="1"/>
  <c r="A200" i="12" s="1"/>
  <c r="AI188" i="1"/>
  <c r="A188" i="5" s="1"/>
  <c r="A188" i="12" s="1"/>
  <c r="AI180" i="1"/>
  <c r="A180" i="5" s="1"/>
  <c r="A180" i="12" s="1"/>
  <c r="AI176" i="1"/>
  <c r="A176" i="5" s="1"/>
  <c r="A176" i="12" s="1"/>
  <c r="AI172" i="1"/>
  <c r="A172" i="5" s="1"/>
  <c r="A172" i="12" s="1"/>
  <c r="AI168" i="1"/>
  <c r="A168" i="5" s="1"/>
  <c r="A168" i="12" s="1"/>
  <c r="AI164" i="1"/>
  <c r="A164" i="5" s="1"/>
  <c r="A164" i="12" s="1"/>
  <c r="AI156" i="1"/>
  <c r="A156" i="5" s="1"/>
  <c r="A156" i="12" s="1"/>
  <c r="AI152" i="1"/>
  <c r="A152" i="5" s="1"/>
  <c r="A152" i="12" s="1"/>
  <c r="AI144" i="1"/>
  <c r="A144" i="5" s="1"/>
  <c r="A144" i="12" s="1"/>
  <c r="AI76" i="1"/>
  <c r="A76" i="5" s="1"/>
  <c r="A76" i="12" s="1"/>
  <c r="AI117" i="1"/>
  <c r="A117" i="5" s="1"/>
  <c r="A117" i="12" s="1"/>
  <c r="AI434" i="1"/>
  <c r="A434" i="5" s="1"/>
  <c r="A434" i="12" s="1"/>
  <c r="AP429" i="1"/>
  <c r="AI423" i="1"/>
  <c r="A423" i="5" s="1"/>
  <c r="A423" i="12" s="1"/>
  <c r="AI332" i="1"/>
  <c r="A332" i="5" s="1"/>
  <c r="A332" i="12" s="1"/>
  <c r="AI69" i="1"/>
  <c r="A69" i="5" s="1"/>
  <c r="A69" i="12" s="1"/>
  <c r="AI265" i="1"/>
  <c r="A265" i="5" s="1"/>
  <c r="A265" i="12" s="1"/>
  <c r="AI185" i="1"/>
  <c r="A185" i="5" s="1"/>
  <c r="A185" i="12" s="1"/>
  <c r="AI110" i="1"/>
  <c r="A110" i="5" s="1"/>
  <c r="A110" i="12" s="1"/>
  <c r="AI427" i="1"/>
  <c r="A427" i="5" s="1"/>
  <c r="A427" i="12" s="1"/>
  <c r="AP185" i="1"/>
  <c r="AP265" i="1"/>
  <c r="AP109" i="1"/>
  <c r="AI196" i="1"/>
  <c r="A196" i="5" s="1"/>
  <c r="A196" i="12" s="1"/>
  <c r="AP315" i="1"/>
  <c r="AP284" i="1"/>
  <c r="AP172" i="1"/>
  <c r="AI339" i="1"/>
  <c r="A339" i="5" s="1"/>
  <c r="A339" i="12" s="1"/>
  <c r="AI398" i="1"/>
  <c r="A398" i="5" s="1"/>
  <c r="A398" i="12" s="1"/>
  <c r="AI391" i="1"/>
  <c r="A391" i="5" s="1"/>
  <c r="A391" i="12" s="1"/>
  <c r="AP140" i="1"/>
  <c r="AI361" i="1"/>
  <c r="A361" i="5" s="1"/>
  <c r="A361" i="12" s="1"/>
  <c r="AP404" i="1"/>
  <c r="AP69" i="1"/>
  <c r="AI31" i="1"/>
  <c r="A31" i="5" s="1"/>
  <c r="A31" i="12" s="1"/>
  <c r="AI228" i="1"/>
  <c r="A228" i="5" s="1"/>
  <c r="A228" i="12" s="1"/>
  <c r="AP132" i="1"/>
  <c r="AP345" i="1"/>
  <c r="AI7" i="1"/>
  <c r="A7" i="5" s="1"/>
  <c r="A7" i="12" s="1"/>
  <c r="AI37" i="1"/>
  <c r="A37" i="5" s="1"/>
  <c r="A37" i="12" s="1"/>
  <c r="AP323" i="1"/>
  <c r="AP353" i="1"/>
  <c r="AP292" i="1"/>
  <c r="AP180" i="1"/>
  <c r="AP427" i="1"/>
  <c r="AI80" i="1"/>
  <c r="A80" i="5" s="1"/>
  <c r="A80" i="12" s="1"/>
  <c r="AI236" i="1"/>
  <c r="A236" i="5" s="1"/>
  <c r="A236" i="12" s="1"/>
  <c r="AP254" i="1"/>
  <c r="AI414" i="1"/>
  <c r="A414" i="5" s="1"/>
  <c r="A414" i="12" s="1"/>
  <c r="AI88" i="1"/>
  <c r="A88" i="5" s="1"/>
  <c r="A88" i="12" s="1"/>
  <c r="AI15" i="1"/>
  <c r="A15" i="5" s="1"/>
  <c r="A15" i="12" s="1"/>
  <c r="AI56" i="1"/>
  <c r="A56" i="5" s="1"/>
  <c r="A56" i="12" s="1"/>
  <c r="AI377" i="1"/>
  <c r="A377" i="5" s="1"/>
  <c r="A377" i="12" s="1"/>
  <c r="AI244" i="1"/>
  <c r="A244" i="5" s="1"/>
  <c r="A244" i="12" s="1"/>
  <c r="AI212" i="1"/>
  <c r="A212" i="5" s="1"/>
  <c r="A212" i="12" s="1"/>
  <c r="AI106" i="1"/>
  <c r="A106" i="5" s="1"/>
  <c r="A106" i="12" s="1"/>
  <c r="AP422" i="1"/>
  <c r="AP262" i="1"/>
  <c r="AP331" i="1"/>
  <c r="AP268" i="1"/>
  <c r="AP188" i="1"/>
  <c r="AP156" i="1"/>
  <c r="AP434" i="1"/>
  <c r="AI369" i="1"/>
  <c r="A369" i="5" s="1"/>
  <c r="A369" i="12" s="1"/>
  <c r="AI204" i="1"/>
  <c r="A204" i="5" s="1"/>
  <c r="A204" i="12" s="1"/>
  <c r="AP148" i="1"/>
  <c r="AI23" i="1"/>
  <c r="A23" i="5" s="1"/>
  <c r="A23" i="12" s="1"/>
  <c r="AI64" i="1"/>
  <c r="A64" i="5" s="1"/>
  <c r="A64" i="12" s="1"/>
  <c r="AI385" i="1"/>
  <c r="A385" i="5" s="1"/>
  <c r="A385" i="12" s="1"/>
  <c r="AI220" i="1"/>
  <c r="A220" i="5" s="1"/>
  <c r="A220" i="12" s="1"/>
  <c r="AI49" i="1"/>
  <c r="A49" i="5" s="1"/>
  <c r="A49" i="12" s="1"/>
  <c r="AP124" i="1"/>
  <c r="AP303" i="1"/>
  <c r="AP96" i="1"/>
  <c r="AP276" i="1"/>
  <c r="AP164" i="1"/>
  <c r="AP76" i="1"/>
  <c r="AI439" i="1"/>
  <c r="A439" i="5" s="1"/>
  <c r="A439" i="12" s="1"/>
  <c r="AI68" i="1"/>
  <c r="A68" i="5" s="1"/>
  <c r="A68" i="12" s="1"/>
  <c r="AI113" i="1"/>
  <c r="A113" i="5" s="1"/>
  <c r="A113" i="12" s="1"/>
  <c r="AP441" i="1"/>
  <c r="AP92" i="1"/>
  <c r="AP84" i="1"/>
  <c r="AP53" i="1"/>
  <c r="AP27" i="1"/>
  <c r="AP19" i="1"/>
  <c r="AP11" i="1"/>
  <c r="AP3" i="1"/>
  <c r="AP335" i="1"/>
  <c r="AP60" i="1"/>
  <c r="AP41" i="1"/>
  <c r="AP33" i="1"/>
  <c r="AP389" i="1"/>
  <c r="AP381" i="1"/>
  <c r="AP373" i="1"/>
  <c r="AP365" i="1"/>
  <c r="AP104" i="1"/>
  <c r="AP240" i="1"/>
  <c r="AP232" i="1"/>
  <c r="AP224" i="1"/>
  <c r="AP216" i="1"/>
  <c r="AP208" i="1"/>
  <c r="AP200" i="1"/>
  <c r="AP192" i="1"/>
  <c r="AI418" i="1"/>
  <c r="A418" i="5" s="1"/>
  <c r="A418" i="12" s="1"/>
  <c r="AI408" i="1"/>
  <c r="A408" i="5" s="1"/>
  <c r="A408" i="12" s="1"/>
  <c r="AI395" i="1"/>
  <c r="A395" i="5" s="1"/>
  <c r="A395" i="12" s="1"/>
  <c r="AI340" i="1"/>
  <c r="A340" i="5" s="1"/>
  <c r="A340" i="12" s="1"/>
  <c r="AI357" i="1"/>
  <c r="A357" i="5" s="1"/>
  <c r="A357" i="12" s="1"/>
  <c r="AP258" i="1"/>
  <c r="AP136" i="1"/>
  <c r="AP128" i="1"/>
  <c r="AP121" i="1"/>
  <c r="AP327" i="1"/>
  <c r="AP319" i="1"/>
  <c r="AP307" i="1"/>
  <c r="AP247" i="1"/>
  <c r="AP100" i="1"/>
  <c r="AP72" i="1"/>
  <c r="AP349" i="1"/>
  <c r="AP296" i="1"/>
  <c r="AP288" i="1"/>
  <c r="AP280" i="1"/>
  <c r="AP272" i="1"/>
  <c r="AP184" i="1"/>
  <c r="AP176" i="1"/>
  <c r="AP168" i="1"/>
  <c r="AP160" i="1"/>
  <c r="AP152" i="1"/>
  <c r="AP144" i="1"/>
  <c r="AP117" i="1"/>
  <c r="AP431" i="1"/>
  <c r="AI438" i="1"/>
  <c r="A438" i="5" s="1"/>
  <c r="A438" i="12" s="1"/>
  <c r="AI120" i="1"/>
  <c r="A120" i="5" s="1"/>
  <c r="A120" i="12" s="1"/>
  <c r="AI264" i="1"/>
  <c r="A264" i="5" s="1"/>
  <c r="A264" i="12" s="1"/>
  <c r="AI419" i="1"/>
  <c r="A419" i="5" s="1"/>
  <c r="A419" i="12" s="1"/>
  <c r="AP419" i="1"/>
  <c r="AI401" i="1"/>
  <c r="A401" i="5" s="1"/>
  <c r="A401" i="12" s="1"/>
  <c r="AP401" i="1"/>
  <c r="AI259" i="1"/>
  <c r="A259" i="5" s="1"/>
  <c r="A259" i="12" s="1"/>
  <c r="AP259" i="1"/>
  <c r="AI129" i="1"/>
  <c r="A129" i="5" s="1"/>
  <c r="A129" i="12" s="1"/>
  <c r="AP129" i="1"/>
  <c r="AI28" i="1"/>
  <c r="A28" i="5" s="1"/>
  <c r="A28" i="12" s="1"/>
  <c r="AP28" i="1"/>
  <c r="AP442" i="1"/>
  <c r="AI320" i="1"/>
  <c r="A320" i="5" s="1"/>
  <c r="A320" i="12" s="1"/>
  <c r="AP320" i="1"/>
  <c r="AI248" i="1"/>
  <c r="A248" i="5" s="1"/>
  <c r="A248" i="12" s="1"/>
  <c r="AP248" i="1"/>
  <c r="AI73" i="1"/>
  <c r="A73" i="5" s="1"/>
  <c r="A73" i="12" s="1"/>
  <c r="AP73" i="1"/>
  <c r="AI34" i="1"/>
  <c r="A34" i="5" s="1"/>
  <c r="A34" i="12" s="1"/>
  <c r="AP34" i="1"/>
  <c r="AI399" i="1"/>
  <c r="A399" i="5" s="1"/>
  <c r="A399" i="12" s="1"/>
  <c r="AP399" i="1"/>
  <c r="AI382" i="1"/>
  <c r="A382" i="5" s="1"/>
  <c r="A382" i="12" s="1"/>
  <c r="AP382" i="1"/>
  <c r="AI285" i="1"/>
  <c r="A285" i="5" s="1"/>
  <c r="A285" i="12" s="1"/>
  <c r="AP285" i="1"/>
  <c r="AI241" i="1"/>
  <c r="A241" i="5" s="1"/>
  <c r="A241" i="12" s="1"/>
  <c r="AP241" i="1"/>
  <c r="AI213" i="1"/>
  <c r="A213" i="5" s="1"/>
  <c r="A213" i="12" s="1"/>
  <c r="AP213" i="1"/>
  <c r="AI193" i="1"/>
  <c r="A193" i="5" s="1"/>
  <c r="A193" i="12" s="1"/>
  <c r="AP193" i="1"/>
  <c r="AI161" i="1"/>
  <c r="A161" i="5" s="1"/>
  <c r="A161" i="12" s="1"/>
  <c r="AP161" i="1"/>
  <c r="AI77" i="1"/>
  <c r="A77" i="5" s="1"/>
  <c r="A77" i="12" s="1"/>
  <c r="AP77" i="1"/>
  <c r="AI435" i="1"/>
  <c r="A435" i="5" s="1"/>
  <c r="A435" i="12" s="1"/>
  <c r="AP435" i="1"/>
  <c r="AI415" i="1"/>
  <c r="A415" i="5" s="1"/>
  <c r="A415" i="12" s="1"/>
  <c r="AI255" i="1"/>
  <c r="A255" i="5" s="1"/>
  <c r="A255" i="12" s="1"/>
  <c r="AI54" i="1"/>
  <c r="A54" i="5" s="1"/>
  <c r="A54" i="12" s="1"/>
  <c r="AI312" i="1"/>
  <c r="A312" i="5" s="1"/>
  <c r="A312" i="12" s="1"/>
  <c r="AI38" i="1"/>
  <c r="A38" i="5" s="1"/>
  <c r="A38" i="12" s="1"/>
  <c r="AI233" i="1"/>
  <c r="A233" i="5" s="1"/>
  <c r="A233" i="12" s="1"/>
  <c r="AI169" i="1"/>
  <c r="A169" i="5" s="1"/>
  <c r="A169" i="12" s="1"/>
  <c r="AP409" i="1"/>
  <c r="AP81" i="1"/>
  <c r="AP316" i="1"/>
  <c r="AP43" i="1"/>
  <c r="AP237" i="1"/>
  <c r="AP173" i="1"/>
  <c r="AI50" i="1"/>
  <c r="A50" i="5" s="1"/>
  <c r="A50" i="12" s="1"/>
  <c r="AP50" i="1"/>
  <c r="AI12" i="1"/>
  <c r="A12" i="5" s="1"/>
  <c r="A12" i="12" s="1"/>
  <c r="AP12" i="1"/>
  <c r="AI324" i="1"/>
  <c r="A324" i="5" s="1"/>
  <c r="A324" i="12" s="1"/>
  <c r="AP324" i="1"/>
  <c r="AI97" i="1"/>
  <c r="A97" i="5" s="1"/>
  <c r="A97" i="12" s="1"/>
  <c r="AP97" i="1"/>
  <c r="AI57" i="1"/>
  <c r="A57" i="5" s="1"/>
  <c r="A57" i="12" s="1"/>
  <c r="AP57" i="1"/>
  <c r="AI378" i="1"/>
  <c r="A378" i="5" s="1"/>
  <c r="A378" i="12" s="1"/>
  <c r="AP378" i="1"/>
  <c r="AI362" i="1"/>
  <c r="A362" i="5" s="1"/>
  <c r="A362" i="12" s="1"/>
  <c r="AP362" i="1"/>
  <c r="AI350" i="1"/>
  <c r="A350" i="5" s="1"/>
  <c r="A350" i="12" s="1"/>
  <c r="AP350" i="1"/>
  <c r="AI289" i="1"/>
  <c r="A289" i="5" s="1"/>
  <c r="A289" i="12" s="1"/>
  <c r="AP289" i="1"/>
  <c r="AI101" i="1"/>
  <c r="A101" i="5" s="1"/>
  <c r="A101" i="12" s="1"/>
  <c r="AP101" i="1"/>
  <c r="AI225" i="1"/>
  <c r="A225" i="5" s="1"/>
  <c r="A225" i="12" s="1"/>
  <c r="AP225" i="1"/>
  <c r="AI209" i="1"/>
  <c r="A209" i="5" s="1"/>
  <c r="A209" i="12" s="1"/>
  <c r="AP209" i="1"/>
  <c r="AI197" i="1"/>
  <c r="A197" i="5" s="1"/>
  <c r="A197" i="12" s="1"/>
  <c r="AP197" i="1"/>
  <c r="AI181" i="1"/>
  <c r="A181" i="5" s="1"/>
  <c r="A181" i="12" s="1"/>
  <c r="AP181" i="1"/>
  <c r="AI165" i="1"/>
  <c r="A165" i="5" s="1"/>
  <c r="A165" i="12" s="1"/>
  <c r="AP165" i="1"/>
  <c r="AI145" i="1"/>
  <c r="A145" i="5" s="1"/>
  <c r="A145" i="12" s="1"/>
  <c r="AP145" i="1"/>
  <c r="AI46" i="1"/>
  <c r="A46" i="5" s="1"/>
  <c r="A46" i="12" s="1"/>
  <c r="AP46" i="1"/>
  <c r="AI405" i="1"/>
  <c r="A405" i="5" s="1"/>
  <c r="A405" i="12" s="1"/>
  <c r="AI133" i="1"/>
  <c r="A133" i="5" s="1"/>
  <c r="A133" i="12" s="1"/>
  <c r="AI20" i="1"/>
  <c r="A20" i="5" s="1"/>
  <c r="A20" i="12" s="1"/>
  <c r="AI386" i="1"/>
  <c r="A386" i="5" s="1"/>
  <c r="A386" i="12" s="1"/>
  <c r="AI293" i="1"/>
  <c r="A293" i="5" s="1"/>
  <c r="A293" i="12" s="1"/>
  <c r="AI217" i="1"/>
  <c r="A217" i="5" s="1"/>
  <c r="A217" i="12" s="1"/>
  <c r="AI153" i="1"/>
  <c r="A153" i="5" s="1"/>
  <c r="A153" i="12" s="1"/>
  <c r="AI428" i="1"/>
  <c r="A428" i="5" s="1"/>
  <c r="A428" i="12" s="1"/>
  <c r="AI107" i="1"/>
  <c r="A107" i="5" s="1"/>
  <c r="A107" i="12" s="1"/>
  <c r="AP341" i="1"/>
  <c r="AP24" i="1"/>
  <c r="AP115" i="1"/>
  <c r="AP426" i="1"/>
  <c r="AP297" i="1"/>
  <c r="AP221" i="1"/>
  <c r="AP157" i="1"/>
  <c r="AJ142" i="1"/>
  <c r="AI105" i="1"/>
  <c r="A105" i="5" s="1"/>
  <c r="A105" i="12" s="1"/>
  <c r="AP105" i="1"/>
  <c r="AI89" i="1"/>
  <c r="A89" i="5" s="1"/>
  <c r="A89" i="12" s="1"/>
  <c r="AP89" i="1"/>
  <c r="AI85" i="1"/>
  <c r="A85" i="5" s="1"/>
  <c r="A85" i="12" s="1"/>
  <c r="AP85" i="1"/>
  <c r="AI16" i="1"/>
  <c r="A16" i="5" s="1"/>
  <c r="A16" i="12" s="1"/>
  <c r="AP16" i="1"/>
  <c r="AI336" i="1"/>
  <c r="A336" i="5" s="1"/>
  <c r="A336" i="12" s="1"/>
  <c r="AP336" i="1"/>
  <c r="AI304" i="1"/>
  <c r="A304" i="5" s="1"/>
  <c r="A304" i="12" s="1"/>
  <c r="AP304" i="1"/>
  <c r="AI61" i="1"/>
  <c r="A61" i="5" s="1"/>
  <c r="A61" i="12" s="1"/>
  <c r="AP61" i="1"/>
  <c r="AI366" i="1"/>
  <c r="A366" i="5" s="1"/>
  <c r="A366" i="12" s="1"/>
  <c r="AP366" i="1"/>
  <c r="AI346" i="1"/>
  <c r="A346" i="5" s="1"/>
  <c r="A346" i="12" s="1"/>
  <c r="AP346" i="1"/>
  <c r="AI273" i="1"/>
  <c r="A273" i="5" s="1"/>
  <c r="A273" i="12" s="1"/>
  <c r="AP273" i="1"/>
  <c r="AI269" i="1"/>
  <c r="A269" i="5" s="1"/>
  <c r="A269" i="12" s="1"/>
  <c r="AP269" i="1"/>
  <c r="AI229" i="1"/>
  <c r="A229" i="5" s="1"/>
  <c r="A229" i="12" s="1"/>
  <c r="AP229" i="1"/>
  <c r="AI177" i="1"/>
  <c r="A177" i="5" s="1"/>
  <c r="A177" i="12" s="1"/>
  <c r="AP177" i="1"/>
  <c r="AI149" i="1"/>
  <c r="A149" i="5" s="1"/>
  <c r="A149" i="12" s="1"/>
  <c r="AP149" i="1"/>
  <c r="AI250" i="1"/>
  <c r="A250" i="5" s="1"/>
  <c r="A250" i="12" s="1"/>
  <c r="AI392" i="1"/>
  <c r="A392" i="5" s="1"/>
  <c r="A392" i="12" s="1"/>
  <c r="AI125" i="1"/>
  <c r="A125" i="5" s="1"/>
  <c r="A125" i="12" s="1"/>
  <c r="AI4" i="1"/>
  <c r="A4" i="5" s="1"/>
  <c r="A4" i="12" s="1"/>
  <c r="AI370" i="1"/>
  <c r="A370" i="5" s="1"/>
  <c r="A370" i="12" s="1"/>
  <c r="AI277" i="1"/>
  <c r="A277" i="5" s="1"/>
  <c r="A277" i="12" s="1"/>
  <c r="AI201" i="1"/>
  <c r="A201" i="5" s="1"/>
  <c r="A201" i="12" s="1"/>
  <c r="AP137" i="1"/>
  <c r="AP8" i="1"/>
  <c r="AP374" i="1"/>
  <c r="AP281" i="1"/>
  <c r="AP205" i="1"/>
  <c r="AP141" i="1"/>
  <c r="AP135" i="1"/>
  <c r="AI135" i="1"/>
  <c r="A135" i="5" s="1"/>
  <c r="A135" i="12" s="1"/>
  <c r="AP127" i="1"/>
  <c r="AI127" i="1"/>
  <c r="A127" i="5" s="1"/>
  <c r="A127" i="12" s="1"/>
  <c r="AP123" i="1"/>
  <c r="AI123" i="1"/>
  <c r="A123" i="5" s="1"/>
  <c r="A123" i="12" s="1"/>
  <c r="AP91" i="1"/>
  <c r="AI91" i="1"/>
  <c r="A91" i="5" s="1"/>
  <c r="A91" i="12" s="1"/>
  <c r="AP87" i="1"/>
  <c r="AI87" i="1"/>
  <c r="A87" i="5" s="1"/>
  <c r="A87" i="12" s="1"/>
  <c r="AP79" i="1"/>
  <c r="AI79" i="1"/>
  <c r="A79" i="5" s="1"/>
  <c r="A79" i="12" s="1"/>
  <c r="AP52" i="1"/>
  <c r="AI52" i="1"/>
  <c r="A52" i="5" s="1"/>
  <c r="A52" i="12" s="1"/>
  <c r="AP30" i="1"/>
  <c r="AI30" i="1"/>
  <c r="A30" i="5" s="1"/>
  <c r="A30" i="12" s="1"/>
  <c r="AP26" i="1"/>
  <c r="AI26" i="1"/>
  <c r="A26" i="5" s="1"/>
  <c r="A26" i="12" s="1"/>
  <c r="AP22" i="1"/>
  <c r="AI22" i="1"/>
  <c r="A22" i="5" s="1"/>
  <c r="A22" i="12" s="1"/>
  <c r="AP18" i="1"/>
  <c r="AI18" i="1"/>
  <c r="A18" i="5" s="1"/>
  <c r="A18" i="12" s="1"/>
  <c r="AP14" i="1"/>
  <c r="AI14" i="1"/>
  <c r="A14" i="5" s="1"/>
  <c r="A14" i="12" s="1"/>
  <c r="AP10" i="1"/>
  <c r="AI10" i="1"/>
  <c r="A10" i="5" s="1"/>
  <c r="A10" i="12" s="1"/>
  <c r="AP6" i="1"/>
  <c r="AI6" i="1"/>
  <c r="A6" i="5" s="1"/>
  <c r="A6" i="12" s="1"/>
  <c r="AP2" i="1"/>
  <c r="AI2" i="1"/>
  <c r="AP338" i="1"/>
  <c r="AI338" i="1"/>
  <c r="A338" i="5" s="1"/>
  <c r="A338" i="12" s="1"/>
  <c r="AP334" i="1"/>
  <c r="AI334" i="1"/>
  <c r="A334" i="5" s="1"/>
  <c r="A334" i="12" s="1"/>
  <c r="AP330" i="1"/>
  <c r="AI330" i="1"/>
  <c r="A330" i="5" s="1"/>
  <c r="A330" i="12" s="1"/>
  <c r="AP326" i="1"/>
  <c r="AI326" i="1"/>
  <c r="A326" i="5" s="1"/>
  <c r="A326" i="12" s="1"/>
  <c r="AP322" i="1"/>
  <c r="AI322" i="1"/>
  <c r="A322" i="5" s="1"/>
  <c r="A322" i="12" s="1"/>
  <c r="AP318" i="1"/>
  <c r="AI318" i="1"/>
  <c r="A318" i="5" s="1"/>
  <c r="A318" i="12" s="1"/>
  <c r="AP314" i="1"/>
  <c r="AI314" i="1"/>
  <c r="A314" i="5" s="1"/>
  <c r="A314" i="12" s="1"/>
  <c r="AP306" i="1"/>
  <c r="AI306" i="1"/>
  <c r="A306" i="5" s="1"/>
  <c r="A306" i="12" s="1"/>
  <c r="AP302" i="1"/>
  <c r="AI302" i="1"/>
  <c r="A302" i="5" s="1"/>
  <c r="A302" i="12" s="1"/>
  <c r="AP246" i="1"/>
  <c r="AI246" i="1"/>
  <c r="A246" i="5" s="1"/>
  <c r="A246" i="12" s="1"/>
  <c r="AP99" i="1"/>
  <c r="AI99" i="1"/>
  <c r="A99" i="5" s="1"/>
  <c r="A99" i="12" s="1"/>
  <c r="AP95" i="1"/>
  <c r="AI95" i="1"/>
  <c r="A95" i="5" s="1"/>
  <c r="A95" i="12" s="1"/>
  <c r="AP71" i="1"/>
  <c r="AI71" i="1"/>
  <c r="A71" i="5" s="1"/>
  <c r="A71" i="12" s="1"/>
  <c r="AP67" i="1"/>
  <c r="AI67" i="1"/>
  <c r="A67" i="5" s="1"/>
  <c r="A67" i="12" s="1"/>
  <c r="AP63" i="1"/>
  <c r="AI63" i="1"/>
  <c r="A63" i="5" s="1"/>
  <c r="A63" i="12" s="1"/>
  <c r="AP59" i="1"/>
  <c r="AI59" i="1"/>
  <c r="A59" i="5" s="1"/>
  <c r="A59" i="12" s="1"/>
  <c r="AP45" i="1"/>
  <c r="AI45" i="1"/>
  <c r="A45" i="5" s="1"/>
  <c r="A45" i="12" s="1"/>
  <c r="AP40" i="1"/>
  <c r="AI40" i="1"/>
  <c r="A40" i="5" s="1"/>
  <c r="A40" i="12" s="1"/>
  <c r="AP36" i="1"/>
  <c r="AI36" i="1"/>
  <c r="A36" i="5" s="1"/>
  <c r="A36" i="12" s="1"/>
  <c r="AP32" i="1"/>
  <c r="AI32" i="1"/>
  <c r="A32" i="5" s="1"/>
  <c r="A32" i="12" s="1"/>
  <c r="AP397" i="1"/>
  <c r="AI397" i="1"/>
  <c r="A397" i="5" s="1"/>
  <c r="A397" i="12" s="1"/>
  <c r="AP388" i="1"/>
  <c r="AI388" i="1"/>
  <c r="A388" i="5" s="1"/>
  <c r="A388" i="12" s="1"/>
  <c r="AP384" i="1"/>
  <c r="AI384" i="1"/>
  <c r="A384" i="5" s="1"/>
  <c r="A384" i="12" s="1"/>
  <c r="AP376" i="1"/>
  <c r="AI376" i="1"/>
  <c r="A376" i="5" s="1"/>
  <c r="A376" i="12" s="1"/>
  <c r="AP372" i="1"/>
  <c r="AI372" i="1"/>
  <c r="A372" i="5" s="1"/>
  <c r="A372" i="12" s="1"/>
  <c r="AP368" i="1"/>
  <c r="AI368" i="1"/>
  <c r="A368" i="5" s="1"/>
  <c r="A368" i="12" s="1"/>
  <c r="AP364" i="1"/>
  <c r="AI364" i="1"/>
  <c r="A364" i="5" s="1"/>
  <c r="A364" i="12" s="1"/>
  <c r="AP360" i="1"/>
  <c r="AI360" i="1"/>
  <c r="A360" i="5" s="1"/>
  <c r="A360" i="12" s="1"/>
  <c r="AP356" i="1"/>
  <c r="AI356" i="1"/>
  <c r="A356" i="5" s="1"/>
  <c r="A356" i="12" s="1"/>
  <c r="AP352" i="1"/>
  <c r="AI352" i="1"/>
  <c r="A352" i="5" s="1"/>
  <c r="A352" i="12" s="1"/>
  <c r="AP348" i="1"/>
  <c r="AI348" i="1"/>
  <c r="A348" i="5" s="1"/>
  <c r="A348" i="12" s="1"/>
  <c r="AP344" i="1"/>
  <c r="AI344" i="1"/>
  <c r="A344" i="5" s="1"/>
  <c r="A344" i="12" s="1"/>
  <c r="AP295" i="1"/>
  <c r="AI295" i="1"/>
  <c r="A295" i="5" s="1"/>
  <c r="A295" i="12" s="1"/>
  <c r="AP291" i="1"/>
  <c r="AI291" i="1"/>
  <c r="A291" i="5" s="1"/>
  <c r="A291" i="12" s="1"/>
  <c r="AP287" i="1"/>
  <c r="AI287" i="1"/>
  <c r="A287" i="5" s="1"/>
  <c r="A287" i="12" s="1"/>
  <c r="AP283" i="1"/>
  <c r="AI283" i="1"/>
  <c r="A283" i="5" s="1"/>
  <c r="A283" i="12" s="1"/>
  <c r="AP279" i="1"/>
  <c r="AI279" i="1"/>
  <c r="A279" i="5" s="1"/>
  <c r="A279" i="12" s="1"/>
  <c r="AP275" i="1"/>
  <c r="AI275" i="1"/>
  <c r="A275" i="5" s="1"/>
  <c r="A275" i="12" s="1"/>
  <c r="AP271" i="1"/>
  <c r="AI271" i="1"/>
  <c r="A271" i="5" s="1"/>
  <c r="A271" i="12" s="1"/>
  <c r="AP267" i="1"/>
  <c r="AI267" i="1"/>
  <c r="A267" i="5" s="1"/>
  <c r="A267" i="12" s="1"/>
  <c r="AP263" i="1"/>
  <c r="AI263" i="1"/>
  <c r="A263" i="5" s="1"/>
  <c r="A263" i="12" s="1"/>
  <c r="AP103" i="1"/>
  <c r="AI103" i="1"/>
  <c r="A103" i="5" s="1"/>
  <c r="A103" i="12" s="1"/>
  <c r="AP243" i="1"/>
  <c r="AI243" i="1"/>
  <c r="A243" i="5" s="1"/>
  <c r="A243" i="12" s="1"/>
  <c r="AP239" i="1"/>
  <c r="AI239" i="1"/>
  <c r="A239" i="5" s="1"/>
  <c r="A239" i="12" s="1"/>
  <c r="AP235" i="1"/>
  <c r="AI235" i="1"/>
  <c r="A235" i="5" s="1"/>
  <c r="A235" i="12" s="1"/>
  <c r="AP231" i="1"/>
  <c r="AI231" i="1"/>
  <c r="A231" i="5" s="1"/>
  <c r="A231" i="12" s="1"/>
  <c r="AP227" i="1"/>
  <c r="AI227" i="1"/>
  <c r="A227" i="5" s="1"/>
  <c r="A227" i="12" s="1"/>
  <c r="AP223" i="1"/>
  <c r="AI223" i="1"/>
  <c r="A223" i="5" s="1"/>
  <c r="A223" i="12" s="1"/>
  <c r="AP219" i="1"/>
  <c r="AI219" i="1"/>
  <c r="A219" i="5" s="1"/>
  <c r="A219" i="12" s="1"/>
  <c r="AP215" i="1"/>
  <c r="AI215" i="1"/>
  <c r="A215" i="5" s="1"/>
  <c r="A215" i="12" s="1"/>
  <c r="AP211" i="1"/>
  <c r="AI211" i="1"/>
  <c r="A211" i="5" s="1"/>
  <c r="A211" i="12" s="1"/>
  <c r="AP207" i="1"/>
  <c r="AI207" i="1"/>
  <c r="A207" i="5" s="1"/>
  <c r="A207" i="12" s="1"/>
  <c r="AP203" i="1"/>
  <c r="AI203" i="1"/>
  <c r="A203" i="5" s="1"/>
  <c r="A203" i="12" s="1"/>
  <c r="AP199" i="1"/>
  <c r="AI199" i="1"/>
  <c r="A199" i="5" s="1"/>
  <c r="A199" i="12" s="1"/>
  <c r="AP195" i="1"/>
  <c r="AI195" i="1"/>
  <c r="A195" i="5" s="1"/>
  <c r="A195" i="12" s="1"/>
  <c r="AP191" i="1"/>
  <c r="AI191" i="1"/>
  <c r="A191" i="5" s="1"/>
  <c r="A191" i="12" s="1"/>
  <c r="AP187" i="1"/>
  <c r="AI187" i="1"/>
  <c r="A187" i="5" s="1"/>
  <c r="A187" i="12" s="1"/>
  <c r="AP183" i="1"/>
  <c r="AI183" i="1"/>
  <c r="A183" i="5" s="1"/>
  <c r="A183" i="12" s="1"/>
  <c r="AP179" i="1"/>
  <c r="AI179" i="1"/>
  <c r="A179" i="5" s="1"/>
  <c r="A179" i="12" s="1"/>
  <c r="AP175" i="1"/>
  <c r="AI175" i="1"/>
  <c r="A175" i="5" s="1"/>
  <c r="A175" i="12" s="1"/>
  <c r="AP171" i="1"/>
  <c r="AI171" i="1"/>
  <c r="A171" i="5" s="1"/>
  <c r="A171" i="12" s="1"/>
  <c r="AP167" i="1"/>
  <c r="AI167" i="1"/>
  <c r="A167" i="5" s="1"/>
  <c r="A167" i="12" s="1"/>
  <c r="AP163" i="1"/>
  <c r="AI163" i="1"/>
  <c r="A163" i="5" s="1"/>
  <c r="A163" i="12" s="1"/>
  <c r="AP159" i="1"/>
  <c r="AI159" i="1"/>
  <c r="A159" i="5" s="1"/>
  <c r="A159" i="12" s="1"/>
  <c r="AP155" i="1"/>
  <c r="AI155" i="1"/>
  <c r="A155" i="5" s="1"/>
  <c r="A155" i="12" s="1"/>
  <c r="AP151" i="1"/>
  <c r="AI151" i="1"/>
  <c r="A151" i="5" s="1"/>
  <c r="A151" i="12" s="1"/>
  <c r="AP147" i="1"/>
  <c r="AI147" i="1"/>
  <c r="A147" i="5" s="1"/>
  <c r="A147" i="12" s="1"/>
  <c r="AP143" i="1"/>
  <c r="AI143" i="1"/>
  <c r="A143" i="5" s="1"/>
  <c r="A143" i="12" s="1"/>
  <c r="AP75" i="1"/>
  <c r="AI75" i="1"/>
  <c r="A75" i="5" s="1"/>
  <c r="A75" i="12" s="1"/>
  <c r="AP116" i="1"/>
  <c r="AI116" i="1"/>
  <c r="A116" i="5" s="1"/>
  <c r="A116" i="12" s="1"/>
  <c r="AP112" i="1"/>
  <c r="AI112" i="1"/>
  <c r="A112" i="5" s="1"/>
  <c r="A112" i="12" s="1"/>
  <c r="AP48" i="1"/>
  <c r="AI48" i="1"/>
  <c r="A48" i="5" s="1"/>
  <c r="A48" i="12" s="1"/>
  <c r="AP437" i="1"/>
  <c r="AI437" i="1"/>
  <c r="A437" i="5" s="1"/>
  <c r="A437" i="12" s="1"/>
  <c r="AP433" i="1"/>
  <c r="AI433" i="1"/>
  <c r="A433" i="5" s="1"/>
  <c r="A433" i="12" s="1"/>
  <c r="AP430" i="1"/>
  <c r="AI430" i="1"/>
  <c r="A430" i="5" s="1"/>
  <c r="A430" i="12" s="1"/>
  <c r="AI413" i="1"/>
  <c r="A413" i="5" s="1"/>
  <c r="A413" i="12" s="1"/>
  <c r="AI425" i="1"/>
  <c r="A425" i="5" s="1"/>
  <c r="A425" i="12" s="1"/>
  <c r="AI421" i="1"/>
  <c r="A421" i="5" s="1"/>
  <c r="A421" i="12" s="1"/>
  <c r="AI417" i="1"/>
  <c r="A417" i="5" s="1"/>
  <c r="A417" i="12" s="1"/>
  <c r="AI411" i="1"/>
  <c r="A411" i="5" s="1"/>
  <c r="A411" i="12" s="1"/>
  <c r="AI407" i="1"/>
  <c r="A407" i="5" s="1"/>
  <c r="A407" i="12" s="1"/>
  <c r="AI403" i="1"/>
  <c r="A403" i="5" s="1"/>
  <c r="A403" i="12" s="1"/>
  <c r="AI394" i="1"/>
  <c r="A394" i="5" s="1"/>
  <c r="A394" i="12" s="1"/>
  <c r="AI390" i="1"/>
  <c r="A390" i="5" s="1"/>
  <c r="A390" i="12" s="1"/>
  <c r="AI301" i="1"/>
  <c r="A301" i="5" s="1"/>
  <c r="A301" i="12" s="1"/>
  <c r="AI261" i="1"/>
  <c r="A261" i="5" s="1"/>
  <c r="A261" i="12" s="1"/>
  <c r="AI257" i="1"/>
  <c r="A257" i="5" s="1"/>
  <c r="A257" i="12" s="1"/>
  <c r="AP139" i="1"/>
  <c r="AI139" i="1"/>
  <c r="A139" i="5" s="1"/>
  <c r="A139" i="12" s="1"/>
  <c r="AP131" i="1"/>
  <c r="AI131" i="1"/>
  <c r="A131" i="5" s="1"/>
  <c r="A131" i="12" s="1"/>
  <c r="AP119" i="1"/>
  <c r="AI119" i="1"/>
  <c r="A119" i="5" s="1"/>
  <c r="A119" i="12" s="1"/>
  <c r="AP83" i="1"/>
  <c r="AI83" i="1"/>
  <c r="A83" i="5" s="1"/>
  <c r="A83" i="12" s="1"/>
  <c r="AP380" i="1"/>
  <c r="AI380" i="1"/>
  <c r="A380" i="5" s="1"/>
  <c r="A380" i="12" s="1"/>
  <c r="AK436" i="1"/>
  <c r="AL436" i="1"/>
  <c r="B436" i="13" s="1"/>
  <c r="B436" i="14" s="1"/>
  <c r="O142" i="13" l="1"/>
  <c r="O142" i="14" s="1"/>
  <c r="H142" i="13"/>
  <c r="H142" i="14" s="1"/>
  <c r="D142" i="13"/>
  <c r="D142" i="14" s="1"/>
  <c r="N142" i="13"/>
  <c r="N142" i="14" s="1"/>
  <c r="J142" i="13"/>
  <c r="J142" i="14" s="1"/>
  <c r="S142" i="13"/>
  <c r="S142" i="14" s="1"/>
  <c r="G142" i="13"/>
  <c r="G142" i="14" s="1"/>
  <c r="R142" i="13"/>
  <c r="R142" i="14" s="1"/>
  <c r="M142" i="13"/>
  <c r="M142" i="14" s="1"/>
  <c r="K142" i="13"/>
  <c r="K142" i="14" s="1"/>
  <c r="F142" i="13"/>
  <c r="F142" i="14" s="1"/>
  <c r="Q142" i="13"/>
  <c r="Q142" i="14" s="1"/>
  <c r="I142" i="13"/>
  <c r="I142" i="14" s="1"/>
  <c r="L142" i="13"/>
  <c r="L142" i="14" s="1"/>
  <c r="C142" i="13"/>
  <c r="C142" i="14" s="1"/>
  <c r="E142" i="13"/>
  <c r="E142" i="14" s="1"/>
  <c r="N70" i="13"/>
  <c r="N70" i="14" s="1"/>
  <c r="J70" i="13"/>
  <c r="J70" i="14" s="1"/>
  <c r="S70" i="13"/>
  <c r="S70" i="14" s="1"/>
  <c r="G70" i="13"/>
  <c r="G70" i="14" s="1"/>
  <c r="M70" i="13"/>
  <c r="M70" i="14" s="1"/>
  <c r="K70" i="13"/>
  <c r="K70" i="14" s="1"/>
  <c r="R70" i="13"/>
  <c r="R70" i="14" s="1"/>
  <c r="F70" i="13"/>
  <c r="F70" i="14" s="1"/>
  <c r="L70" i="13"/>
  <c r="L70" i="14" s="1"/>
  <c r="O70" i="13"/>
  <c r="O70" i="14" s="1"/>
  <c r="H70" i="13"/>
  <c r="H70" i="14" s="1"/>
  <c r="I70" i="13"/>
  <c r="I70" i="14" s="1"/>
  <c r="Q70" i="13"/>
  <c r="Q70" i="14" s="1"/>
  <c r="D70" i="13"/>
  <c r="D70" i="14" s="1"/>
  <c r="C70" i="13"/>
  <c r="C70" i="14" s="1"/>
  <c r="E70" i="13"/>
  <c r="E70" i="14" s="1"/>
  <c r="D436" i="13"/>
  <c r="D436" i="14" s="1"/>
  <c r="O436" i="13"/>
  <c r="O436" i="14" s="1"/>
  <c r="S436" i="13"/>
  <c r="S436" i="14" s="1"/>
  <c r="G436" i="13"/>
  <c r="G436" i="14" s="1"/>
  <c r="N436" i="13"/>
  <c r="N436" i="14" s="1"/>
  <c r="J436" i="13"/>
  <c r="J436" i="14" s="1"/>
  <c r="R436" i="13"/>
  <c r="R436" i="14" s="1"/>
  <c r="F436" i="13"/>
  <c r="F436" i="14" s="1"/>
  <c r="K436" i="13"/>
  <c r="K436" i="14" s="1"/>
  <c r="H436" i="13"/>
  <c r="H436" i="14" s="1"/>
  <c r="M436" i="13"/>
  <c r="M436" i="14" s="1"/>
  <c r="L436" i="13"/>
  <c r="L436" i="14" s="1"/>
  <c r="I436" i="13"/>
  <c r="I436" i="14" s="1"/>
  <c r="Q436" i="13"/>
  <c r="Q436" i="14" s="1"/>
  <c r="C436" i="13"/>
  <c r="C436" i="14" s="1"/>
  <c r="E436" i="13"/>
  <c r="E436" i="14" s="1"/>
  <c r="A363" i="5"/>
  <c r="A363" i="12" s="1"/>
  <c r="A256" i="5"/>
  <c r="A256" i="12" s="1"/>
  <c r="A298" i="5"/>
  <c r="A298" i="12" s="1"/>
  <c r="B142" i="5"/>
  <c r="B142" i="12" s="1"/>
  <c r="B70" i="5"/>
  <c r="B70" i="12" s="1"/>
  <c r="B436" i="5"/>
  <c r="B436" i="12" s="1"/>
  <c r="AJ426" i="1"/>
  <c r="AK426" i="1" s="1"/>
  <c r="AJ245" i="1"/>
  <c r="AK245" i="1" s="1"/>
  <c r="AJ140" i="1"/>
  <c r="AJ430" i="1"/>
  <c r="AJ392" i="1"/>
  <c r="AJ101" i="1"/>
  <c r="AL101" i="1" s="1"/>
  <c r="B101" i="13" s="1"/>
  <c r="B101" i="14" s="1"/>
  <c r="AJ312" i="1"/>
  <c r="AJ172" i="1"/>
  <c r="AL172" i="1" s="1"/>
  <c r="B172" i="13" s="1"/>
  <c r="B172" i="14" s="1"/>
  <c r="AJ232" i="1"/>
  <c r="AJ296" i="1"/>
  <c r="AJ192" i="1"/>
  <c r="AJ281" i="1"/>
  <c r="AJ102" i="1"/>
  <c r="AJ278" i="1"/>
  <c r="AL278" i="1" s="1"/>
  <c r="B278" i="13" s="1"/>
  <c r="B278" i="14" s="1"/>
  <c r="AJ305" i="1"/>
  <c r="AJ402" i="1"/>
  <c r="AL402" i="1" s="1"/>
  <c r="B402" i="13" s="1"/>
  <c r="B402" i="14" s="1"/>
  <c r="AJ166" i="1"/>
  <c r="AL166" i="1" s="1"/>
  <c r="B166" i="13" s="1"/>
  <c r="B166" i="14" s="1"/>
  <c r="AJ122" i="1"/>
  <c r="AJ126" i="1"/>
  <c r="AJ256" i="1"/>
  <c r="AJ238" i="1"/>
  <c r="AJ75" i="1"/>
  <c r="AJ147" i="1"/>
  <c r="AJ155" i="1"/>
  <c r="AJ163" i="1"/>
  <c r="AJ171" i="1"/>
  <c r="AJ179" i="1"/>
  <c r="AJ187" i="1"/>
  <c r="AJ195" i="1"/>
  <c r="AJ203" i="1"/>
  <c r="AJ211" i="1"/>
  <c r="AJ219" i="1"/>
  <c r="AK219" i="1" s="1"/>
  <c r="AJ227" i="1"/>
  <c r="AJ235" i="1"/>
  <c r="AJ243" i="1"/>
  <c r="AJ263" i="1"/>
  <c r="AJ271" i="1"/>
  <c r="AJ279" i="1"/>
  <c r="AJ287" i="1"/>
  <c r="AJ295" i="1"/>
  <c r="AJ99" i="1"/>
  <c r="AJ85" i="1"/>
  <c r="AJ105" i="1"/>
  <c r="AJ217" i="1"/>
  <c r="AJ54" i="1"/>
  <c r="AJ161" i="1"/>
  <c r="AJ264" i="1"/>
  <c r="AJ106" i="1"/>
  <c r="AJ185" i="1"/>
  <c r="AJ423" i="1"/>
  <c r="AJ117" i="1"/>
  <c r="AJ156" i="1"/>
  <c r="AL156" i="1" s="1"/>
  <c r="B156" i="13" s="1"/>
  <c r="B156" i="14" s="1"/>
  <c r="AJ208" i="1"/>
  <c r="AJ240" i="1"/>
  <c r="AJ284" i="1"/>
  <c r="AJ381" i="1"/>
  <c r="AL381" i="1" s="1"/>
  <c r="B381" i="13" s="1"/>
  <c r="B381" i="14" s="1"/>
  <c r="AJ60" i="1"/>
  <c r="AJ303" i="1"/>
  <c r="AJ323" i="1"/>
  <c r="AJ11" i="1"/>
  <c r="AK11" i="1" s="1"/>
  <c r="AJ157" i="1"/>
  <c r="AJ221" i="1"/>
  <c r="AJ374" i="1"/>
  <c r="AJ316" i="1"/>
  <c r="AL316" i="1" s="1"/>
  <c r="B316" i="13" s="1"/>
  <c r="B316" i="14" s="1"/>
  <c r="AJ81" i="1"/>
  <c r="AJ148" i="1"/>
  <c r="AJ276" i="1"/>
  <c r="AJ327" i="1"/>
  <c r="AJ297" i="1"/>
  <c r="AJ150" i="1"/>
  <c r="AJ371" i="1"/>
  <c r="AJ162" i="1"/>
  <c r="AJ290" i="1"/>
  <c r="AJ66" i="1"/>
  <c r="AJ29" i="1"/>
  <c r="AJ424" i="1"/>
  <c r="AJ111" i="1"/>
  <c r="AK111" i="1" s="1"/>
  <c r="AJ202" i="1"/>
  <c r="AJ294" i="1"/>
  <c r="AL294" i="1" s="1"/>
  <c r="B294" i="13" s="1"/>
  <c r="B294" i="14" s="1"/>
  <c r="AJ35" i="1"/>
  <c r="AJ325" i="1"/>
  <c r="AJ90" i="1"/>
  <c r="AJ420" i="1"/>
  <c r="AJ342" i="1"/>
  <c r="AJ230" i="1"/>
  <c r="AJ82" i="1"/>
  <c r="AJ39" i="1"/>
  <c r="AJ406" i="1"/>
  <c r="AJ44" i="1"/>
  <c r="AJ410" i="1"/>
  <c r="AJ210" i="1"/>
  <c r="AJ282" i="1"/>
  <c r="AJ347" i="1"/>
  <c r="AJ321" i="1"/>
  <c r="AJ416" i="1"/>
  <c r="AJ190" i="1"/>
  <c r="AJ394" i="1"/>
  <c r="AJ437" i="1"/>
  <c r="AJ145" i="1"/>
  <c r="AJ113" i="1"/>
  <c r="AJ204" i="1"/>
  <c r="AJ110" i="1"/>
  <c r="AJ200" i="1"/>
  <c r="AJ272" i="1"/>
  <c r="AL272" i="1" s="1"/>
  <c r="B272" i="13" s="1"/>
  <c r="B272" i="14" s="1"/>
  <c r="AJ141" i="1"/>
  <c r="AK141" i="1" s="1"/>
  <c r="AJ205" i="1"/>
  <c r="AJ109" i="1"/>
  <c r="AJ100" i="1"/>
  <c r="AJ47" i="1"/>
  <c r="AL47" i="1" s="1"/>
  <c r="B47" i="13" s="1"/>
  <c r="B47" i="14" s="1"/>
  <c r="AJ118" i="1"/>
  <c r="AJ400" i="1"/>
  <c r="AJ393" i="1"/>
  <c r="AJ186" i="1"/>
  <c r="AJ383" i="1"/>
  <c r="AJ51" i="1"/>
  <c r="AJ337" i="1"/>
  <c r="AJ359" i="1"/>
  <c r="AJ363" i="1"/>
  <c r="AJ146" i="1"/>
  <c r="AJ298" i="1"/>
  <c r="AJ174" i="1"/>
  <c r="AJ112" i="1"/>
  <c r="AJ433" i="1"/>
  <c r="AJ4" i="1"/>
  <c r="AK4" i="1" s="1"/>
  <c r="AJ289" i="1"/>
  <c r="AJ324" i="1"/>
  <c r="AJ50" i="1"/>
  <c r="AJ233" i="1"/>
  <c r="AK233" i="1" s="1"/>
  <c r="AJ228" i="1"/>
  <c r="AJ265" i="1"/>
  <c r="AJ164" i="1"/>
  <c r="AJ180" i="1"/>
  <c r="AJ216" i="1"/>
  <c r="AJ104" i="1"/>
  <c r="AJ288" i="1"/>
  <c r="AJ389" i="1"/>
  <c r="AJ72" i="1"/>
  <c r="AJ331" i="1"/>
  <c r="AJ19" i="1"/>
  <c r="AJ173" i="1"/>
  <c r="AJ237" i="1"/>
  <c r="AL237" i="1" s="1"/>
  <c r="B237" i="13" s="1"/>
  <c r="B237" i="14" s="1"/>
  <c r="AJ328" i="1"/>
  <c r="AJ93" i="1"/>
  <c r="AJ160" i="1"/>
  <c r="AL160" i="1" s="1"/>
  <c r="B160" i="13" s="1"/>
  <c r="B160" i="14" s="1"/>
  <c r="AJ280" i="1"/>
  <c r="AJ115" i="1"/>
  <c r="AJ182" i="1"/>
  <c r="AL182" i="1" s="1"/>
  <c r="B182" i="13" s="1"/>
  <c r="B182" i="14" s="1"/>
  <c r="AJ5" i="1"/>
  <c r="AJ194" i="1"/>
  <c r="AL194" i="1" s="1"/>
  <c r="B194" i="13" s="1"/>
  <c r="B194" i="14" s="1"/>
  <c r="AJ355" i="1"/>
  <c r="AJ249" i="1"/>
  <c r="AL249" i="1" s="1"/>
  <c r="B249" i="13" s="1"/>
  <c r="B249" i="14" s="1"/>
  <c r="AJ94" i="1"/>
  <c r="AJ432" i="1"/>
  <c r="AK432" i="1" s="1"/>
  <c r="AJ154" i="1"/>
  <c r="AJ218" i="1"/>
  <c r="AL218" i="1" s="1"/>
  <c r="B218" i="13" s="1"/>
  <c r="B218" i="14" s="1"/>
  <c r="AJ351" i="1"/>
  <c r="AJ62" i="1"/>
  <c r="AJ443" i="1"/>
  <c r="AJ130" i="1"/>
  <c r="AL130" i="1" s="1"/>
  <c r="B130" i="13" s="1"/>
  <c r="B130" i="14" s="1"/>
  <c r="AJ108" i="1"/>
  <c r="AJ429" i="1"/>
  <c r="AK429" i="1" s="1"/>
  <c r="AJ387" i="1"/>
  <c r="AJ300" i="1"/>
  <c r="AK300" i="1" s="1"/>
  <c r="AJ178" i="1"/>
  <c r="AJ313" i="1"/>
  <c r="AJ198" i="1"/>
  <c r="AJ317" i="1"/>
  <c r="AL317" i="1" s="1"/>
  <c r="B317" i="13" s="1"/>
  <c r="B317" i="14" s="1"/>
  <c r="AJ333" i="1"/>
  <c r="AK333" i="1" s="1"/>
  <c r="AJ55" i="1"/>
  <c r="AJ266" i="1"/>
  <c r="AJ396" i="1"/>
  <c r="AJ25" i="1"/>
  <c r="AL25" i="1" s="1"/>
  <c r="B25" i="13" s="1"/>
  <c r="B25" i="14" s="1"/>
  <c r="AJ206" i="1"/>
  <c r="AJ131" i="1"/>
  <c r="AJ209" i="1"/>
  <c r="AJ48" i="1"/>
  <c r="AJ116" i="1"/>
  <c r="AJ143" i="1"/>
  <c r="AJ151" i="1"/>
  <c r="AJ159" i="1"/>
  <c r="AJ175" i="1"/>
  <c r="AJ183" i="1"/>
  <c r="AJ191" i="1"/>
  <c r="AJ207" i="1"/>
  <c r="AJ215" i="1"/>
  <c r="AJ223" i="1"/>
  <c r="AJ231" i="1"/>
  <c r="AJ239" i="1"/>
  <c r="AL239" i="1" s="1"/>
  <c r="B239" i="13" s="1"/>
  <c r="B239" i="14" s="1"/>
  <c r="AJ103" i="1"/>
  <c r="AJ267" i="1"/>
  <c r="AJ283" i="1"/>
  <c r="AJ291" i="1"/>
  <c r="AJ368" i="1"/>
  <c r="AJ2" i="1"/>
  <c r="A2" i="5"/>
  <c r="A2" i="12" s="1"/>
  <c r="AJ273" i="1"/>
  <c r="AL273" i="1" s="1"/>
  <c r="B273" i="13" s="1"/>
  <c r="B273" i="14" s="1"/>
  <c r="AJ304" i="1"/>
  <c r="AJ16" i="1"/>
  <c r="AJ89" i="1"/>
  <c r="AJ386" i="1"/>
  <c r="AJ38" i="1"/>
  <c r="AJ193" i="1"/>
  <c r="AJ382" i="1"/>
  <c r="AJ220" i="1"/>
  <c r="AL220" i="1" s="1"/>
  <c r="B220" i="13" s="1"/>
  <c r="B220" i="14" s="1"/>
  <c r="AJ244" i="1"/>
  <c r="AJ236" i="1"/>
  <c r="AJ196" i="1"/>
  <c r="AJ427" i="1"/>
  <c r="AJ69" i="1"/>
  <c r="AJ434" i="1"/>
  <c r="AK434" i="1" s="1"/>
  <c r="AJ292" i="1"/>
  <c r="AJ365" i="1"/>
  <c r="AK365" i="1" s="1"/>
  <c r="AJ33" i="1"/>
  <c r="AL33" i="1" s="1"/>
  <c r="B33" i="13" s="1"/>
  <c r="B33" i="14" s="1"/>
  <c r="AJ96" i="1"/>
  <c r="AJ315" i="1"/>
  <c r="AJ335" i="1"/>
  <c r="AJ27" i="1"/>
  <c r="AJ114" i="1"/>
  <c r="AK114" i="1" s="1"/>
  <c r="AJ189" i="1"/>
  <c r="AJ43" i="1"/>
  <c r="AJ8" i="1"/>
  <c r="AJ184" i="1"/>
  <c r="AJ349" i="1"/>
  <c r="AL349" i="1" s="1"/>
  <c r="B349" i="13" s="1"/>
  <c r="B349" i="14" s="1"/>
  <c r="AJ137" i="1"/>
  <c r="AL137" i="1" s="1"/>
  <c r="B137" i="13" s="1"/>
  <c r="B137" i="14" s="1"/>
  <c r="AJ214" i="1"/>
  <c r="AJ134" i="1"/>
  <c r="AJ226" i="1"/>
  <c r="AK226" i="1" s="1"/>
  <c r="AJ329" i="1"/>
  <c r="AK329" i="1" s="1"/>
  <c r="AJ170" i="1"/>
  <c r="AJ234" i="1"/>
  <c r="AJ367" i="1"/>
  <c r="AJ98" i="1"/>
  <c r="AJ17" i="1"/>
  <c r="AJ260" i="1"/>
  <c r="AJ78" i="1"/>
  <c r="AJ74" i="1"/>
  <c r="AJ343" i="1"/>
  <c r="AJ242" i="1"/>
  <c r="AJ13" i="1"/>
  <c r="AJ274" i="1"/>
  <c r="AJ21" i="1"/>
  <c r="AJ379" i="1"/>
  <c r="AJ286" i="1"/>
  <c r="AJ58" i="1"/>
  <c r="AJ86" i="1"/>
  <c r="AJ158" i="1"/>
  <c r="AJ222" i="1"/>
  <c r="AL173" i="1"/>
  <c r="B173" i="13" s="1"/>
  <c r="B173" i="14" s="1"/>
  <c r="AJ412" i="1"/>
  <c r="AL284" i="1"/>
  <c r="B284" i="13" s="1"/>
  <c r="B284" i="14" s="1"/>
  <c r="AK317" i="1"/>
  <c r="AL333" i="1"/>
  <c r="B333" i="13" s="1"/>
  <c r="B333" i="14" s="1"/>
  <c r="AJ152" i="1"/>
  <c r="AL420" i="1"/>
  <c r="B420" i="13" s="1"/>
  <c r="B420" i="14" s="1"/>
  <c r="AL109" i="1"/>
  <c r="B109" i="13" s="1"/>
  <c r="B109" i="14" s="1"/>
  <c r="AJ176" i="1"/>
  <c r="AL276" i="1"/>
  <c r="B276" i="13" s="1"/>
  <c r="B276" i="14" s="1"/>
  <c r="AL51" i="1"/>
  <c r="B51" i="13" s="1"/>
  <c r="B51" i="14" s="1"/>
  <c r="AL208" i="1"/>
  <c r="B208" i="13" s="1"/>
  <c r="B208" i="14" s="1"/>
  <c r="AK276" i="1"/>
  <c r="AK39" i="1"/>
  <c r="AJ76" i="1"/>
  <c r="AK284" i="1"/>
  <c r="AL371" i="1"/>
  <c r="B371" i="13" s="1"/>
  <c r="B371" i="14" s="1"/>
  <c r="AL180" i="1"/>
  <c r="B180" i="13" s="1"/>
  <c r="B180" i="14" s="1"/>
  <c r="AL232" i="1"/>
  <c r="B232" i="13" s="1"/>
  <c r="B232" i="14" s="1"/>
  <c r="AK374" i="1"/>
  <c r="AK200" i="1"/>
  <c r="AL335" i="1"/>
  <c r="B335" i="13" s="1"/>
  <c r="B335" i="14" s="1"/>
  <c r="AJ144" i="1"/>
  <c r="AJ188" i="1"/>
  <c r="AJ224" i="1"/>
  <c r="AJ268" i="1"/>
  <c r="AJ353" i="1"/>
  <c r="AJ307" i="1"/>
  <c r="AJ431" i="1"/>
  <c r="AK349" i="1"/>
  <c r="AJ167" i="1"/>
  <c r="AJ212" i="1"/>
  <c r="AJ270" i="1"/>
  <c r="AK400" i="1"/>
  <c r="AL400" i="1"/>
  <c r="B400" i="13" s="1"/>
  <c r="B400" i="14" s="1"/>
  <c r="AL78" i="1"/>
  <c r="B78" i="13" s="1"/>
  <c r="B78" i="14" s="1"/>
  <c r="AK78" i="1"/>
  <c r="AL70" i="1"/>
  <c r="B70" i="13" s="1"/>
  <c r="B70" i="14" s="1"/>
  <c r="AK70" i="1"/>
  <c r="AJ257" i="1"/>
  <c r="AJ417" i="1"/>
  <c r="AJ125" i="1"/>
  <c r="AJ20" i="1"/>
  <c r="AJ255" i="1"/>
  <c r="AJ34" i="1"/>
  <c r="AJ320" i="1"/>
  <c r="AJ28" i="1"/>
  <c r="AJ259" i="1"/>
  <c r="AJ419" i="1"/>
  <c r="AJ395" i="1"/>
  <c r="AJ385" i="1"/>
  <c r="AJ369" i="1"/>
  <c r="AJ56" i="1"/>
  <c r="AJ373" i="1"/>
  <c r="AJ41" i="1"/>
  <c r="AJ247" i="1"/>
  <c r="AJ319" i="1"/>
  <c r="AJ3" i="1"/>
  <c r="AJ53" i="1"/>
  <c r="AJ136" i="1"/>
  <c r="AJ404" i="1"/>
  <c r="AJ341" i="1"/>
  <c r="AJ124" i="1"/>
  <c r="AJ375" i="1"/>
  <c r="AJ380" i="1"/>
  <c r="AJ119" i="1"/>
  <c r="AJ139" i="1"/>
  <c r="AJ261" i="1"/>
  <c r="AJ403" i="1"/>
  <c r="AJ421" i="1"/>
  <c r="AJ348" i="1"/>
  <c r="AJ356" i="1"/>
  <c r="AJ364" i="1"/>
  <c r="AJ372" i="1"/>
  <c r="AJ384" i="1"/>
  <c r="AJ397" i="1"/>
  <c r="AJ36" i="1"/>
  <c r="AJ45" i="1"/>
  <c r="AJ63" i="1"/>
  <c r="AJ71" i="1"/>
  <c r="AJ246" i="1"/>
  <c r="AJ306" i="1"/>
  <c r="AJ318" i="1"/>
  <c r="AJ326" i="1"/>
  <c r="AJ334" i="1"/>
  <c r="AJ10" i="1"/>
  <c r="AJ18" i="1"/>
  <c r="AJ26" i="1"/>
  <c r="AJ52" i="1"/>
  <c r="AJ87" i="1"/>
  <c r="AJ123" i="1"/>
  <c r="AJ135" i="1"/>
  <c r="AJ370" i="1"/>
  <c r="AJ366" i="1"/>
  <c r="AJ336" i="1"/>
  <c r="AJ133" i="1"/>
  <c r="AJ362" i="1"/>
  <c r="AJ57" i="1"/>
  <c r="AJ415" i="1"/>
  <c r="AJ408" i="1"/>
  <c r="AJ68" i="1"/>
  <c r="AJ64" i="1"/>
  <c r="AJ15" i="1"/>
  <c r="AJ80" i="1"/>
  <c r="AJ31" i="1"/>
  <c r="AJ361" i="1"/>
  <c r="AJ391" i="1"/>
  <c r="AJ345" i="1"/>
  <c r="AJ84" i="1"/>
  <c r="AJ254" i="1"/>
  <c r="AJ422" i="1"/>
  <c r="AJ409" i="1"/>
  <c r="AJ128" i="1"/>
  <c r="AJ138" i="1"/>
  <c r="AJ301" i="1"/>
  <c r="AJ407" i="1"/>
  <c r="AJ425" i="1"/>
  <c r="AJ250" i="1"/>
  <c r="AJ405" i="1"/>
  <c r="AJ399" i="1"/>
  <c r="AJ73" i="1"/>
  <c r="AJ248" i="1"/>
  <c r="AJ129" i="1"/>
  <c r="AJ401" i="1"/>
  <c r="AJ120" i="1"/>
  <c r="AJ357" i="1"/>
  <c r="AJ418" i="1"/>
  <c r="AJ439" i="1"/>
  <c r="AJ23" i="1"/>
  <c r="AJ88" i="1"/>
  <c r="AJ37" i="1"/>
  <c r="AJ398" i="1"/>
  <c r="AJ332" i="1"/>
  <c r="AJ92" i="1"/>
  <c r="AJ258" i="1"/>
  <c r="AJ354" i="1"/>
  <c r="AJ121" i="1"/>
  <c r="AJ441" i="1"/>
  <c r="AJ9" i="1"/>
  <c r="AJ83" i="1"/>
  <c r="AJ390" i="1"/>
  <c r="AJ411" i="1"/>
  <c r="AJ413" i="1"/>
  <c r="AJ344" i="1"/>
  <c r="AJ352" i="1"/>
  <c r="AJ360" i="1"/>
  <c r="AJ376" i="1"/>
  <c r="AJ388" i="1"/>
  <c r="AJ32" i="1"/>
  <c r="AJ40" i="1"/>
  <c r="AJ59" i="1"/>
  <c r="AJ67" i="1"/>
  <c r="AJ95" i="1"/>
  <c r="AJ302" i="1"/>
  <c r="AJ314" i="1"/>
  <c r="AJ322" i="1"/>
  <c r="AJ330" i="1"/>
  <c r="AJ338" i="1"/>
  <c r="AJ6" i="1"/>
  <c r="AJ14" i="1"/>
  <c r="AJ22" i="1"/>
  <c r="AJ30" i="1"/>
  <c r="AJ79" i="1"/>
  <c r="AJ91" i="1"/>
  <c r="AJ127" i="1"/>
  <c r="AJ346" i="1"/>
  <c r="AJ61" i="1"/>
  <c r="AJ350" i="1"/>
  <c r="AJ378" i="1"/>
  <c r="AJ97" i="1"/>
  <c r="AJ12" i="1"/>
  <c r="AJ438" i="1"/>
  <c r="AJ340" i="1"/>
  <c r="AJ377" i="1"/>
  <c r="AJ414" i="1"/>
  <c r="AJ7" i="1"/>
  <c r="AJ339" i="1"/>
  <c r="AJ132" i="1"/>
  <c r="AJ262" i="1"/>
  <c r="AJ358" i="1"/>
  <c r="AJ65" i="1"/>
  <c r="AJ24" i="1"/>
  <c r="AJ299" i="1"/>
  <c r="AJ168" i="1"/>
  <c r="AK394" i="1"/>
  <c r="AJ177" i="1"/>
  <c r="AJ49" i="1"/>
  <c r="AL142" i="1"/>
  <c r="B142" i="13" s="1"/>
  <c r="B142" i="14" s="1"/>
  <c r="AK142" i="1"/>
  <c r="AL271" i="1"/>
  <c r="B271" i="13" s="1"/>
  <c r="B271" i="14" s="1"/>
  <c r="AJ165" i="1"/>
  <c r="AK392" i="1"/>
  <c r="AJ435" i="1"/>
  <c r="AL233" i="1"/>
  <c r="B233" i="13" s="1"/>
  <c r="B233" i="14" s="1"/>
  <c r="AK209" i="1"/>
  <c r="AL190" i="1"/>
  <c r="B190" i="13" s="1"/>
  <c r="B190" i="14" s="1"/>
  <c r="AK231" i="1"/>
  <c r="AK264" i="1"/>
  <c r="AK159" i="1"/>
  <c r="AJ285" i="1"/>
  <c r="AK382" i="1"/>
  <c r="AL392" i="1"/>
  <c r="B392" i="13" s="1"/>
  <c r="B392" i="14" s="1"/>
  <c r="AL29" i="1"/>
  <c r="B29" i="13" s="1"/>
  <c r="B29" i="14" s="1"/>
  <c r="AL209" i="1"/>
  <c r="B209" i="13" s="1"/>
  <c r="B209" i="14" s="1"/>
  <c r="AL426" i="1"/>
  <c r="B426" i="13" s="1"/>
  <c r="B426" i="14" s="1"/>
  <c r="AL163" i="1"/>
  <c r="B163" i="13" s="1"/>
  <c r="B163" i="14" s="1"/>
  <c r="AK137" i="1"/>
  <c r="AJ153" i="1"/>
  <c r="AL382" i="1"/>
  <c r="B382" i="13" s="1"/>
  <c r="B382" i="14" s="1"/>
  <c r="AL151" i="1"/>
  <c r="B151" i="13" s="1"/>
  <c r="B151" i="14" s="1"/>
  <c r="AJ277" i="1"/>
  <c r="AJ149" i="1"/>
  <c r="AJ229" i="1"/>
  <c r="AJ107" i="1"/>
  <c r="AJ46" i="1"/>
  <c r="AJ181" i="1"/>
  <c r="AJ213" i="1"/>
  <c r="AK191" i="1"/>
  <c r="AK151" i="1"/>
  <c r="AL291" i="1"/>
  <c r="B291" i="13" s="1"/>
  <c r="B291" i="14" s="1"/>
  <c r="AJ428" i="1"/>
  <c r="AJ293" i="1"/>
  <c r="AJ201" i="1"/>
  <c r="AL433" i="1"/>
  <c r="B433" i="13" s="1"/>
  <c r="B433" i="14" s="1"/>
  <c r="AJ269" i="1"/>
  <c r="AJ197" i="1"/>
  <c r="AJ225" i="1"/>
  <c r="AJ169" i="1"/>
  <c r="AJ77" i="1"/>
  <c r="AJ241" i="1"/>
  <c r="AL211" i="1"/>
  <c r="B211" i="13" s="1"/>
  <c r="B211" i="14" s="1"/>
  <c r="AL179" i="1"/>
  <c r="B179" i="13" s="1"/>
  <c r="B179" i="14" s="1"/>
  <c r="AL287" i="1"/>
  <c r="B287" i="13" s="1"/>
  <c r="B287" i="14" s="1"/>
  <c r="AL147" i="1"/>
  <c r="B147" i="13" s="1"/>
  <c r="B147" i="14" s="1"/>
  <c r="AK179" i="1"/>
  <c r="AK273" i="1"/>
  <c r="AL394" i="1"/>
  <c r="B394" i="13" s="1"/>
  <c r="B394" i="14" s="1"/>
  <c r="AL243" i="1"/>
  <c r="B243" i="13" s="1"/>
  <c r="B243" i="14" s="1"/>
  <c r="AJ199" i="1"/>
  <c r="AJ275" i="1"/>
  <c r="AK180" i="1"/>
  <c r="AK172" i="1"/>
  <c r="AK105" i="1"/>
  <c r="AL105" i="1"/>
  <c r="B105" i="13" s="1"/>
  <c r="B105" i="14" s="1"/>
  <c r="AL365" i="1" l="1"/>
  <c r="B365" i="13" s="1"/>
  <c r="B365" i="14" s="1"/>
  <c r="AL4" i="1"/>
  <c r="B4" i="13" s="1"/>
  <c r="B4" i="14" s="1"/>
  <c r="AK25" i="1"/>
  <c r="AK381" i="1"/>
  <c r="AL429" i="1"/>
  <c r="B429" i="13" s="1"/>
  <c r="B429" i="14" s="1"/>
  <c r="AL114" i="1"/>
  <c r="B114" i="13" s="1"/>
  <c r="B114" i="14" s="1"/>
  <c r="AK101" i="1"/>
  <c r="O428" i="13"/>
  <c r="O428" i="14" s="1"/>
  <c r="S428" i="13"/>
  <c r="S428" i="14" s="1"/>
  <c r="G428" i="13"/>
  <c r="G428" i="14" s="1"/>
  <c r="N428" i="13"/>
  <c r="N428" i="14" s="1"/>
  <c r="J428" i="13"/>
  <c r="J428" i="14" s="1"/>
  <c r="D428" i="13"/>
  <c r="D428" i="14" s="1"/>
  <c r="R428" i="13"/>
  <c r="R428" i="14" s="1"/>
  <c r="F428" i="13"/>
  <c r="F428" i="14" s="1"/>
  <c r="H428" i="13"/>
  <c r="H428" i="14" s="1"/>
  <c r="L428" i="13"/>
  <c r="L428" i="14" s="1"/>
  <c r="Q428" i="13"/>
  <c r="Q428" i="14" s="1"/>
  <c r="K428" i="13"/>
  <c r="K428" i="14" s="1"/>
  <c r="M428" i="13"/>
  <c r="M428" i="14" s="1"/>
  <c r="I428" i="13"/>
  <c r="I428" i="14" s="1"/>
  <c r="C428" i="13"/>
  <c r="C428" i="14" s="1"/>
  <c r="E428" i="13"/>
  <c r="E428" i="14" s="1"/>
  <c r="F229" i="13"/>
  <c r="F229" i="14" s="1"/>
  <c r="R229" i="13"/>
  <c r="R229" i="14" s="1"/>
  <c r="Q229" i="13"/>
  <c r="Q229" i="14" s="1"/>
  <c r="I229" i="13"/>
  <c r="I229" i="14" s="1"/>
  <c r="L229" i="13"/>
  <c r="L229" i="14" s="1"/>
  <c r="M229" i="13"/>
  <c r="M229" i="14" s="1"/>
  <c r="O229" i="13"/>
  <c r="O229" i="14" s="1"/>
  <c r="H229" i="13"/>
  <c r="H229" i="14" s="1"/>
  <c r="N229" i="13"/>
  <c r="N229" i="14" s="1"/>
  <c r="J229" i="13"/>
  <c r="J229" i="14" s="1"/>
  <c r="S229" i="13"/>
  <c r="S229" i="14" s="1"/>
  <c r="K229" i="13"/>
  <c r="K229" i="14" s="1"/>
  <c r="D229" i="13"/>
  <c r="D229" i="14" s="1"/>
  <c r="G229" i="13"/>
  <c r="G229" i="14" s="1"/>
  <c r="C229" i="13"/>
  <c r="C229" i="14" s="1"/>
  <c r="E229" i="13"/>
  <c r="E229" i="14" s="1"/>
  <c r="M225" i="13"/>
  <c r="M225" i="14" s="1"/>
  <c r="F225" i="13"/>
  <c r="F225" i="14" s="1"/>
  <c r="Q225" i="13"/>
  <c r="Q225" i="14" s="1"/>
  <c r="I225" i="13"/>
  <c r="I225" i="14" s="1"/>
  <c r="L225" i="13"/>
  <c r="L225" i="14" s="1"/>
  <c r="K225" i="13"/>
  <c r="K225" i="14" s="1"/>
  <c r="S225" i="13"/>
  <c r="S225" i="14" s="1"/>
  <c r="O225" i="13"/>
  <c r="O225" i="14" s="1"/>
  <c r="H225" i="13"/>
  <c r="H225" i="14" s="1"/>
  <c r="N225" i="13"/>
  <c r="N225" i="14" s="1"/>
  <c r="J225" i="13"/>
  <c r="J225" i="14" s="1"/>
  <c r="D225" i="13"/>
  <c r="D225" i="14" s="1"/>
  <c r="G225" i="13"/>
  <c r="G225" i="14" s="1"/>
  <c r="R225" i="13"/>
  <c r="R225" i="14" s="1"/>
  <c r="C225" i="13"/>
  <c r="C225" i="14" s="1"/>
  <c r="E225" i="13"/>
  <c r="E225" i="14" s="1"/>
  <c r="R201" i="13"/>
  <c r="R201" i="14" s="1"/>
  <c r="F201" i="13"/>
  <c r="F201" i="14" s="1"/>
  <c r="M201" i="13"/>
  <c r="M201" i="14" s="1"/>
  <c r="K201" i="13"/>
  <c r="K201" i="14" s="1"/>
  <c r="L201" i="13"/>
  <c r="L201" i="14" s="1"/>
  <c r="I201" i="13"/>
  <c r="I201" i="14" s="1"/>
  <c r="Q201" i="13"/>
  <c r="Q201" i="14" s="1"/>
  <c r="D201" i="13"/>
  <c r="D201" i="14" s="1"/>
  <c r="H201" i="13"/>
  <c r="H201" i="14" s="1"/>
  <c r="O201" i="13"/>
  <c r="O201" i="14" s="1"/>
  <c r="N201" i="13"/>
  <c r="N201" i="14" s="1"/>
  <c r="J201" i="13"/>
  <c r="J201" i="14" s="1"/>
  <c r="S201" i="13"/>
  <c r="S201" i="14" s="1"/>
  <c r="G201" i="13"/>
  <c r="G201" i="14" s="1"/>
  <c r="C201" i="13"/>
  <c r="C201" i="14" s="1"/>
  <c r="E201" i="13"/>
  <c r="E201" i="14" s="1"/>
  <c r="N46" i="13"/>
  <c r="N46" i="14" s="1"/>
  <c r="J46" i="13"/>
  <c r="J46" i="14" s="1"/>
  <c r="S46" i="13"/>
  <c r="S46" i="14" s="1"/>
  <c r="G46" i="13"/>
  <c r="G46" i="14" s="1"/>
  <c r="M46" i="13"/>
  <c r="M46" i="14" s="1"/>
  <c r="K46" i="13"/>
  <c r="K46" i="14" s="1"/>
  <c r="F46" i="13"/>
  <c r="F46" i="14" s="1"/>
  <c r="L46" i="13"/>
  <c r="L46" i="14" s="1"/>
  <c r="R46" i="13"/>
  <c r="R46" i="14" s="1"/>
  <c r="Q46" i="13"/>
  <c r="Q46" i="14" s="1"/>
  <c r="O46" i="13"/>
  <c r="O46" i="14" s="1"/>
  <c r="I46" i="13"/>
  <c r="I46" i="14" s="1"/>
  <c r="D46" i="13"/>
  <c r="D46" i="14" s="1"/>
  <c r="H46" i="13"/>
  <c r="H46" i="14" s="1"/>
  <c r="E46" i="13"/>
  <c r="E46" i="14" s="1"/>
  <c r="C46" i="13"/>
  <c r="C46" i="14" s="1"/>
  <c r="K277" i="13"/>
  <c r="K277" i="14" s="1"/>
  <c r="M277" i="13"/>
  <c r="M277" i="14" s="1"/>
  <c r="L277" i="13"/>
  <c r="L277" i="14" s="1"/>
  <c r="I277" i="13"/>
  <c r="I277" i="14" s="1"/>
  <c r="Q277" i="13"/>
  <c r="Q277" i="14" s="1"/>
  <c r="F277" i="13"/>
  <c r="F277" i="14" s="1"/>
  <c r="O277" i="13"/>
  <c r="O277" i="14" s="1"/>
  <c r="J277" i="13"/>
  <c r="J277" i="14" s="1"/>
  <c r="D277" i="13"/>
  <c r="D277" i="14" s="1"/>
  <c r="G277" i="13"/>
  <c r="G277" i="14" s="1"/>
  <c r="H277" i="13"/>
  <c r="H277" i="14" s="1"/>
  <c r="N277" i="13"/>
  <c r="N277" i="14" s="1"/>
  <c r="R277" i="13"/>
  <c r="R277" i="14" s="1"/>
  <c r="S277" i="13"/>
  <c r="S277" i="14" s="1"/>
  <c r="C277" i="13"/>
  <c r="C277" i="14" s="1"/>
  <c r="E277" i="13"/>
  <c r="E277" i="14" s="1"/>
  <c r="F285" i="13"/>
  <c r="F285" i="14" s="1"/>
  <c r="R285" i="13"/>
  <c r="R285" i="14" s="1"/>
  <c r="L285" i="13"/>
  <c r="L285" i="14" s="1"/>
  <c r="I285" i="13"/>
  <c r="I285" i="14" s="1"/>
  <c r="Q285" i="13"/>
  <c r="Q285" i="14" s="1"/>
  <c r="K285" i="13"/>
  <c r="K285" i="14" s="1"/>
  <c r="D285" i="13"/>
  <c r="D285" i="14" s="1"/>
  <c r="S285" i="13"/>
  <c r="S285" i="14" s="1"/>
  <c r="O285" i="13"/>
  <c r="O285" i="14" s="1"/>
  <c r="N285" i="13"/>
  <c r="N285" i="14" s="1"/>
  <c r="J285" i="13"/>
  <c r="J285" i="14" s="1"/>
  <c r="H285" i="13"/>
  <c r="H285" i="14" s="1"/>
  <c r="M285" i="13"/>
  <c r="M285" i="14" s="1"/>
  <c r="G285" i="13"/>
  <c r="G285" i="14" s="1"/>
  <c r="C285" i="13"/>
  <c r="C285" i="14" s="1"/>
  <c r="E285" i="13"/>
  <c r="E285" i="14" s="1"/>
  <c r="M165" i="13"/>
  <c r="M165" i="14" s="1"/>
  <c r="K165" i="13"/>
  <c r="K165" i="14" s="1"/>
  <c r="R165" i="13"/>
  <c r="R165" i="14" s="1"/>
  <c r="F165" i="13"/>
  <c r="F165" i="14" s="1"/>
  <c r="L165" i="13"/>
  <c r="L165" i="14" s="1"/>
  <c r="Q165" i="13"/>
  <c r="Q165" i="14" s="1"/>
  <c r="I165" i="13"/>
  <c r="I165" i="14" s="1"/>
  <c r="D165" i="13"/>
  <c r="D165" i="14" s="1"/>
  <c r="H165" i="13"/>
  <c r="H165" i="14" s="1"/>
  <c r="S165" i="13"/>
  <c r="S165" i="14" s="1"/>
  <c r="N165" i="13"/>
  <c r="N165" i="14" s="1"/>
  <c r="J165" i="13"/>
  <c r="J165" i="14" s="1"/>
  <c r="O165" i="13"/>
  <c r="O165" i="14" s="1"/>
  <c r="G165" i="13"/>
  <c r="G165" i="14" s="1"/>
  <c r="C165" i="13"/>
  <c r="C165" i="14" s="1"/>
  <c r="E165" i="13"/>
  <c r="E165" i="14" s="1"/>
  <c r="L49" i="13"/>
  <c r="L49" i="14" s="1"/>
  <c r="Q49" i="13"/>
  <c r="Q49" i="14" s="1"/>
  <c r="I49" i="13"/>
  <c r="I49" i="14" s="1"/>
  <c r="D49" i="13"/>
  <c r="D49" i="14" s="1"/>
  <c r="H49" i="13"/>
  <c r="H49" i="14" s="1"/>
  <c r="O49" i="13"/>
  <c r="O49" i="14" s="1"/>
  <c r="S49" i="13"/>
  <c r="S49" i="14" s="1"/>
  <c r="G49" i="13"/>
  <c r="G49" i="14" s="1"/>
  <c r="J49" i="13"/>
  <c r="J49" i="14" s="1"/>
  <c r="M49" i="13"/>
  <c r="M49" i="14" s="1"/>
  <c r="R49" i="13"/>
  <c r="R49" i="14" s="1"/>
  <c r="N49" i="13"/>
  <c r="N49" i="14" s="1"/>
  <c r="K49" i="13"/>
  <c r="K49" i="14" s="1"/>
  <c r="F49" i="13"/>
  <c r="F49" i="14" s="1"/>
  <c r="E49" i="13"/>
  <c r="E49" i="14" s="1"/>
  <c r="C49" i="13"/>
  <c r="C49" i="14" s="1"/>
  <c r="D168" i="13"/>
  <c r="D168" i="14" s="1"/>
  <c r="O168" i="13"/>
  <c r="O168" i="14" s="1"/>
  <c r="H168" i="13"/>
  <c r="H168" i="14" s="1"/>
  <c r="S168" i="13"/>
  <c r="S168" i="14" s="1"/>
  <c r="G168" i="13"/>
  <c r="G168" i="14" s="1"/>
  <c r="J168" i="13"/>
  <c r="J168" i="14" s="1"/>
  <c r="N168" i="13"/>
  <c r="N168" i="14" s="1"/>
  <c r="R168" i="13"/>
  <c r="R168" i="14" s="1"/>
  <c r="F168" i="13"/>
  <c r="F168" i="14" s="1"/>
  <c r="K168" i="13"/>
  <c r="K168" i="14" s="1"/>
  <c r="M168" i="13"/>
  <c r="M168" i="14" s="1"/>
  <c r="I168" i="13"/>
  <c r="I168" i="14" s="1"/>
  <c r="L168" i="13"/>
  <c r="L168" i="14" s="1"/>
  <c r="Q168" i="13"/>
  <c r="Q168" i="14" s="1"/>
  <c r="C168" i="13"/>
  <c r="C168" i="14" s="1"/>
  <c r="E168" i="13"/>
  <c r="E168" i="14" s="1"/>
  <c r="H358" i="13"/>
  <c r="H358" i="14" s="1"/>
  <c r="O358" i="13"/>
  <c r="O358" i="14" s="1"/>
  <c r="N358" i="13"/>
  <c r="N358" i="14" s="1"/>
  <c r="J358" i="13"/>
  <c r="J358" i="14" s="1"/>
  <c r="G358" i="13"/>
  <c r="G358" i="14" s="1"/>
  <c r="S358" i="13"/>
  <c r="S358" i="14" s="1"/>
  <c r="D358" i="13"/>
  <c r="D358" i="14" s="1"/>
  <c r="M358" i="13"/>
  <c r="M358" i="14" s="1"/>
  <c r="K358" i="13"/>
  <c r="K358" i="14" s="1"/>
  <c r="Q358" i="13"/>
  <c r="Q358" i="14" s="1"/>
  <c r="I358" i="13"/>
  <c r="I358" i="14" s="1"/>
  <c r="R358" i="13"/>
  <c r="R358" i="14" s="1"/>
  <c r="F358" i="13"/>
  <c r="F358" i="14" s="1"/>
  <c r="L358" i="13"/>
  <c r="L358" i="14" s="1"/>
  <c r="C358" i="13"/>
  <c r="C358" i="14" s="1"/>
  <c r="E358" i="13"/>
  <c r="E358" i="14" s="1"/>
  <c r="Q7" i="13"/>
  <c r="Q7" i="14" s="1"/>
  <c r="I7" i="13"/>
  <c r="I7" i="14" s="1"/>
  <c r="L7" i="13"/>
  <c r="L7" i="14" s="1"/>
  <c r="O7" i="13"/>
  <c r="O7" i="14" s="1"/>
  <c r="H7" i="13"/>
  <c r="H7" i="14" s="1"/>
  <c r="N7" i="13"/>
  <c r="N7" i="14" s="1"/>
  <c r="J7" i="13"/>
  <c r="J7" i="14" s="1"/>
  <c r="D7" i="13"/>
  <c r="D7" i="14" s="1"/>
  <c r="S7" i="13"/>
  <c r="S7" i="14" s="1"/>
  <c r="R7" i="13"/>
  <c r="R7" i="14" s="1"/>
  <c r="G7" i="13"/>
  <c r="G7" i="14" s="1"/>
  <c r="K7" i="13"/>
  <c r="K7" i="14" s="1"/>
  <c r="F7" i="13"/>
  <c r="F7" i="14" s="1"/>
  <c r="M7" i="13"/>
  <c r="M7" i="14" s="1"/>
  <c r="E7" i="13"/>
  <c r="E7" i="14" s="1"/>
  <c r="C7" i="13"/>
  <c r="C7" i="14" s="1"/>
  <c r="D438" i="13"/>
  <c r="D438" i="14" s="1"/>
  <c r="N438" i="13"/>
  <c r="N438" i="14" s="1"/>
  <c r="J438" i="13"/>
  <c r="J438" i="14" s="1"/>
  <c r="S438" i="13"/>
  <c r="S438" i="14" s="1"/>
  <c r="G438" i="13"/>
  <c r="G438" i="14" s="1"/>
  <c r="H438" i="13"/>
  <c r="H438" i="14" s="1"/>
  <c r="M438" i="13"/>
  <c r="M438" i="14" s="1"/>
  <c r="K438" i="13"/>
  <c r="K438" i="14" s="1"/>
  <c r="F438" i="13"/>
  <c r="F438" i="14" s="1"/>
  <c r="O438" i="13"/>
  <c r="O438" i="14" s="1"/>
  <c r="L438" i="13"/>
  <c r="L438" i="14" s="1"/>
  <c r="R438" i="13"/>
  <c r="R438" i="14" s="1"/>
  <c r="Q438" i="13"/>
  <c r="Q438" i="14" s="1"/>
  <c r="I438" i="13"/>
  <c r="I438" i="14" s="1"/>
  <c r="C438" i="13"/>
  <c r="C438" i="14" s="1"/>
  <c r="E438" i="13"/>
  <c r="E438" i="14" s="1"/>
  <c r="H350" i="13"/>
  <c r="H350" i="14" s="1"/>
  <c r="N350" i="13"/>
  <c r="N350" i="14" s="1"/>
  <c r="J350" i="13"/>
  <c r="J350" i="14" s="1"/>
  <c r="S350" i="13"/>
  <c r="S350" i="14" s="1"/>
  <c r="O350" i="13"/>
  <c r="O350" i="14" s="1"/>
  <c r="M350" i="13"/>
  <c r="M350" i="14" s="1"/>
  <c r="K350" i="13"/>
  <c r="K350" i="14" s="1"/>
  <c r="F350" i="13"/>
  <c r="F350" i="14" s="1"/>
  <c r="R350" i="13"/>
  <c r="R350" i="14" s="1"/>
  <c r="Q350" i="13"/>
  <c r="Q350" i="14" s="1"/>
  <c r="I350" i="13"/>
  <c r="I350" i="14" s="1"/>
  <c r="G350" i="13"/>
  <c r="G350" i="14" s="1"/>
  <c r="D350" i="13"/>
  <c r="D350" i="14" s="1"/>
  <c r="L350" i="13"/>
  <c r="L350" i="14" s="1"/>
  <c r="C350" i="13"/>
  <c r="C350" i="14" s="1"/>
  <c r="E350" i="13"/>
  <c r="E350" i="14" s="1"/>
  <c r="M91" i="13"/>
  <c r="M91" i="14" s="1"/>
  <c r="K91" i="13"/>
  <c r="K91" i="14" s="1"/>
  <c r="R91" i="13"/>
  <c r="R91" i="14" s="1"/>
  <c r="F91" i="13"/>
  <c r="F91" i="14" s="1"/>
  <c r="L91" i="13"/>
  <c r="L91" i="14" s="1"/>
  <c r="Q91" i="13"/>
  <c r="Q91" i="14" s="1"/>
  <c r="I91" i="13"/>
  <c r="I91" i="14" s="1"/>
  <c r="D91" i="13"/>
  <c r="D91" i="14" s="1"/>
  <c r="H91" i="13"/>
  <c r="H91" i="14" s="1"/>
  <c r="O91" i="13"/>
  <c r="O91" i="14" s="1"/>
  <c r="J91" i="13"/>
  <c r="J91" i="14" s="1"/>
  <c r="G91" i="13"/>
  <c r="G91" i="14" s="1"/>
  <c r="N91" i="13"/>
  <c r="N91" i="14" s="1"/>
  <c r="S91" i="13"/>
  <c r="S91" i="14" s="1"/>
  <c r="E91" i="13"/>
  <c r="E91" i="14" s="1"/>
  <c r="C91" i="13"/>
  <c r="C91" i="14" s="1"/>
  <c r="N14" i="13"/>
  <c r="N14" i="14" s="1"/>
  <c r="J14" i="13"/>
  <c r="J14" i="14" s="1"/>
  <c r="S14" i="13"/>
  <c r="S14" i="14" s="1"/>
  <c r="G14" i="13"/>
  <c r="G14" i="14" s="1"/>
  <c r="M14" i="13"/>
  <c r="M14" i="14" s="1"/>
  <c r="K14" i="13"/>
  <c r="K14" i="14" s="1"/>
  <c r="L14" i="13"/>
  <c r="L14" i="14" s="1"/>
  <c r="F14" i="13"/>
  <c r="F14" i="14" s="1"/>
  <c r="R14" i="13"/>
  <c r="R14" i="14" s="1"/>
  <c r="Q14" i="13"/>
  <c r="Q14" i="14" s="1"/>
  <c r="O14" i="13"/>
  <c r="O14" i="14" s="1"/>
  <c r="I14" i="13"/>
  <c r="I14" i="14" s="1"/>
  <c r="H14" i="13"/>
  <c r="H14" i="14" s="1"/>
  <c r="D14" i="13"/>
  <c r="D14" i="14" s="1"/>
  <c r="E14" i="13"/>
  <c r="E14" i="14" s="1"/>
  <c r="C14" i="13"/>
  <c r="C14" i="14" s="1"/>
  <c r="D322" i="13"/>
  <c r="D322" i="14" s="1"/>
  <c r="N322" i="13"/>
  <c r="N322" i="14" s="1"/>
  <c r="J322" i="13"/>
  <c r="J322" i="14" s="1"/>
  <c r="G322" i="13"/>
  <c r="G322" i="14" s="1"/>
  <c r="S322" i="13"/>
  <c r="S322" i="14" s="1"/>
  <c r="O322" i="13"/>
  <c r="O322" i="14" s="1"/>
  <c r="M322" i="13"/>
  <c r="M322" i="14" s="1"/>
  <c r="K322" i="13"/>
  <c r="K322" i="14" s="1"/>
  <c r="H322" i="13"/>
  <c r="H322" i="14" s="1"/>
  <c r="F322" i="13"/>
  <c r="F322" i="14" s="1"/>
  <c r="Q322" i="13"/>
  <c r="Q322" i="14" s="1"/>
  <c r="I322" i="13"/>
  <c r="I322" i="14" s="1"/>
  <c r="R322" i="13"/>
  <c r="R322" i="14" s="1"/>
  <c r="L322" i="13"/>
  <c r="L322" i="14" s="1"/>
  <c r="C322" i="13"/>
  <c r="C322" i="14" s="1"/>
  <c r="E322" i="13"/>
  <c r="E322" i="14" s="1"/>
  <c r="Q67" i="13"/>
  <c r="Q67" i="14" s="1"/>
  <c r="I67" i="13"/>
  <c r="I67" i="14" s="1"/>
  <c r="L67" i="13"/>
  <c r="L67" i="14" s="1"/>
  <c r="O67" i="13"/>
  <c r="O67" i="14" s="1"/>
  <c r="H67" i="13"/>
  <c r="H67" i="14" s="1"/>
  <c r="D67" i="13"/>
  <c r="D67" i="14" s="1"/>
  <c r="N67" i="13"/>
  <c r="N67" i="14" s="1"/>
  <c r="J67" i="13"/>
  <c r="J67" i="14" s="1"/>
  <c r="R67" i="13"/>
  <c r="R67" i="14" s="1"/>
  <c r="K67" i="13"/>
  <c r="K67" i="14" s="1"/>
  <c r="G67" i="13"/>
  <c r="G67" i="14" s="1"/>
  <c r="F67" i="13"/>
  <c r="F67" i="14" s="1"/>
  <c r="S67" i="13"/>
  <c r="S67" i="14" s="1"/>
  <c r="M67" i="13"/>
  <c r="M67" i="14" s="1"/>
  <c r="E67" i="13"/>
  <c r="E67" i="14" s="1"/>
  <c r="C67" i="13"/>
  <c r="C67" i="14" s="1"/>
  <c r="D388" i="13"/>
  <c r="D388" i="14" s="1"/>
  <c r="S388" i="13"/>
  <c r="S388" i="14" s="1"/>
  <c r="G388" i="13"/>
  <c r="G388" i="14" s="1"/>
  <c r="N388" i="13"/>
  <c r="N388" i="14" s="1"/>
  <c r="J388" i="13"/>
  <c r="J388" i="14" s="1"/>
  <c r="O388" i="13"/>
  <c r="O388" i="14" s="1"/>
  <c r="H388" i="13"/>
  <c r="H388" i="14" s="1"/>
  <c r="R388" i="13"/>
  <c r="R388" i="14" s="1"/>
  <c r="F388" i="13"/>
  <c r="F388" i="14" s="1"/>
  <c r="K388" i="13"/>
  <c r="K388" i="14" s="1"/>
  <c r="Q388" i="13"/>
  <c r="Q388" i="14" s="1"/>
  <c r="M388" i="13"/>
  <c r="M388" i="14" s="1"/>
  <c r="L388" i="13"/>
  <c r="L388" i="14" s="1"/>
  <c r="I388" i="13"/>
  <c r="I388" i="14" s="1"/>
  <c r="C388" i="13"/>
  <c r="C388" i="14" s="1"/>
  <c r="E388" i="13"/>
  <c r="E388" i="14" s="1"/>
  <c r="H344" i="13"/>
  <c r="H344" i="14" s="1"/>
  <c r="O344" i="13"/>
  <c r="O344" i="14" s="1"/>
  <c r="S344" i="13"/>
  <c r="S344" i="14" s="1"/>
  <c r="G344" i="13"/>
  <c r="G344" i="14" s="1"/>
  <c r="J344" i="13"/>
  <c r="J344" i="14" s="1"/>
  <c r="N344" i="13"/>
  <c r="N344" i="14" s="1"/>
  <c r="R344" i="13"/>
  <c r="R344" i="14" s="1"/>
  <c r="F344" i="13"/>
  <c r="F344" i="14" s="1"/>
  <c r="D344" i="13"/>
  <c r="D344" i="14" s="1"/>
  <c r="K344" i="13"/>
  <c r="K344" i="14" s="1"/>
  <c r="Q344" i="13"/>
  <c r="Q344" i="14" s="1"/>
  <c r="M344" i="13"/>
  <c r="M344" i="14" s="1"/>
  <c r="L344" i="13"/>
  <c r="L344" i="14" s="1"/>
  <c r="I344" i="13"/>
  <c r="I344" i="14" s="1"/>
  <c r="C344" i="13"/>
  <c r="C344" i="14" s="1"/>
  <c r="E344" i="13"/>
  <c r="E344" i="14" s="1"/>
  <c r="M83" i="13"/>
  <c r="M83" i="14" s="1"/>
  <c r="K83" i="13"/>
  <c r="K83" i="14" s="1"/>
  <c r="R83" i="13"/>
  <c r="R83" i="14" s="1"/>
  <c r="F83" i="13"/>
  <c r="F83" i="14" s="1"/>
  <c r="L83" i="13"/>
  <c r="L83" i="14" s="1"/>
  <c r="Q83" i="13"/>
  <c r="Q83" i="14" s="1"/>
  <c r="I83" i="13"/>
  <c r="I83" i="14" s="1"/>
  <c r="D83" i="13"/>
  <c r="D83" i="14" s="1"/>
  <c r="J83" i="13"/>
  <c r="J83" i="14" s="1"/>
  <c r="S83" i="13"/>
  <c r="S83" i="14" s="1"/>
  <c r="H83" i="13"/>
  <c r="H83" i="14" s="1"/>
  <c r="N83" i="13"/>
  <c r="N83" i="14" s="1"/>
  <c r="G83" i="13"/>
  <c r="G83" i="14" s="1"/>
  <c r="O83" i="13"/>
  <c r="O83" i="14" s="1"/>
  <c r="E83" i="13"/>
  <c r="E83" i="14" s="1"/>
  <c r="C83" i="13"/>
  <c r="C83" i="14" s="1"/>
  <c r="O354" i="13"/>
  <c r="O354" i="14" s="1"/>
  <c r="H354" i="13"/>
  <c r="H354" i="14" s="1"/>
  <c r="N354" i="13"/>
  <c r="N354" i="14" s="1"/>
  <c r="J354" i="13"/>
  <c r="J354" i="14" s="1"/>
  <c r="G354" i="13"/>
  <c r="G354" i="14" s="1"/>
  <c r="S354" i="13"/>
  <c r="S354" i="14" s="1"/>
  <c r="M354" i="13"/>
  <c r="M354" i="14" s="1"/>
  <c r="K354" i="13"/>
  <c r="K354" i="14" s="1"/>
  <c r="R354" i="13"/>
  <c r="R354" i="14" s="1"/>
  <c r="F354" i="13"/>
  <c r="F354" i="14" s="1"/>
  <c r="L354" i="13"/>
  <c r="L354" i="14" s="1"/>
  <c r="Q354" i="13"/>
  <c r="Q354" i="14" s="1"/>
  <c r="I354" i="13"/>
  <c r="I354" i="14" s="1"/>
  <c r="D354" i="13"/>
  <c r="D354" i="14" s="1"/>
  <c r="C354" i="13"/>
  <c r="C354" i="14" s="1"/>
  <c r="E354" i="13"/>
  <c r="E354" i="14" s="1"/>
  <c r="O398" i="13"/>
  <c r="O398" i="14" s="1"/>
  <c r="H398" i="13"/>
  <c r="H398" i="14" s="1"/>
  <c r="N398" i="13"/>
  <c r="N398" i="14" s="1"/>
  <c r="J398" i="13"/>
  <c r="J398" i="14" s="1"/>
  <c r="S398" i="13"/>
  <c r="S398" i="14" s="1"/>
  <c r="G398" i="13"/>
  <c r="G398" i="14" s="1"/>
  <c r="M398" i="13"/>
  <c r="M398" i="14" s="1"/>
  <c r="K398" i="13"/>
  <c r="K398" i="14" s="1"/>
  <c r="R398" i="13"/>
  <c r="R398" i="14" s="1"/>
  <c r="Q398" i="13"/>
  <c r="Q398" i="14" s="1"/>
  <c r="I398" i="13"/>
  <c r="I398" i="14" s="1"/>
  <c r="F398" i="13"/>
  <c r="F398" i="14" s="1"/>
  <c r="D398" i="13"/>
  <c r="D398" i="14" s="1"/>
  <c r="L398" i="13"/>
  <c r="L398" i="14" s="1"/>
  <c r="C398" i="13"/>
  <c r="C398" i="14" s="1"/>
  <c r="E398" i="13"/>
  <c r="E398" i="14" s="1"/>
  <c r="M439" i="13"/>
  <c r="M439" i="14" s="1"/>
  <c r="R439" i="13"/>
  <c r="R439" i="14" s="1"/>
  <c r="K439" i="13"/>
  <c r="K439" i="14" s="1"/>
  <c r="Q439" i="13"/>
  <c r="Q439" i="14" s="1"/>
  <c r="I439" i="13"/>
  <c r="I439" i="14" s="1"/>
  <c r="L439" i="13"/>
  <c r="L439" i="14" s="1"/>
  <c r="F439" i="13"/>
  <c r="F439" i="14" s="1"/>
  <c r="O439" i="13"/>
  <c r="O439" i="14" s="1"/>
  <c r="H439" i="13"/>
  <c r="H439" i="14" s="1"/>
  <c r="S439" i="13"/>
  <c r="S439" i="14" s="1"/>
  <c r="G439" i="13"/>
  <c r="G439" i="14" s="1"/>
  <c r="N439" i="13"/>
  <c r="N439" i="14" s="1"/>
  <c r="D439" i="13"/>
  <c r="D439" i="14" s="1"/>
  <c r="J439" i="13"/>
  <c r="J439" i="14" s="1"/>
  <c r="C439" i="13"/>
  <c r="C439" i="14" s="1"/>
  <c r="E439" i="13"/>
  <c r="E439" i="14" s="1"/>
  <c r="K401" i="13"/>
  <c r="K401" i="14" s="1"/>
  <c r="R401" i="13"/>
  <c r="R401" i="14" s="1"/>
  <c r="L401" i="13"/>
  <c r="L401" i="14" s="1"/>
  <c r="Q401" i="13"/>
  <c r="Q401" i="14" s="1"/>
  <c r="I401" i="13"/>
  <c r="I401" i="14" s="1"/>
  <c r="F401" i="13"/>
  <c r="F401" i="14" s="1"/>
  <c r="D401" i="13"/>
  <c r="D401" i="14" s="1"/>
  <c r="O401" i="13"/>
  <c r="O401" i="14" s="1"/>
  <c r="G401" i="13"/>
  <c r="G401" i="14" s="1"/>
  <c r="N401" i="13"/>
  <c r="N401" i="14" s="1"/>
  <c r="J401" i="13"/>
  <c r="J401" i="14" s="1"/>
  <c r="S401" i="13"/>
  <c r="S401" i="14" s="1"/>
  <c r="M401" i="13"/>
  <c r="M401" i="14" s="1"/>
  <c r="H401" i="13"/>
  <c r="H401" i="14" s="1"/>
  <c r="C401" i="13"/>
  <c r="C401" i="14" s="1"/>
  <c r="E401" i="13"/>
  <c r="E401" i="14" s="1"/>
  <c r="R399" i="13"/>
  <c r="R399" i="14" s="1"/>
  <c r="F399" i="13"/>
  <c r="F399" i="14" s="1"/>
  <c r="Q399" i="13"/>
  <c r="Q399" i="14" s="1"/>
  <c r="I399" i="13"/>
  <c r="I399" i="14" s="1"/>
  <c r="L399" i="13"/>
  <c r="L399" i="14" s="1"/>
  <c r="K399" i="13"/>
  <c r="K399" i="14" s="1"/>
  <c r="O399" i="13"/>
  <c r="O399" i="14" s="1"/>
  <c r="H399" i="13"/>
  <c r="H399" i="14" s="1"/>
  <c r="M399" i="13"/>
  <c r="M399" i="14" s="1"/>
  <c r="D399" i="13"/>
  <c r="D399" i="14" s="1"/>
  <c r="N399" i="13"/>
  <c r="N399" i="14" s="1"/>
  <c r="S399" i="13"/>
  <c r="S399" i="14" s="1"/>
  <c r="G399" i="13"/>
  <c r="G399" i="14" s="1"/>
  <c r="J399" i="13"/>
  <c r="J399" i="14" s="1"/>
  <c r="C399" i="13"/>
  <c r="C399" i="14" s="1"/>
  <c r="E399" i="13"/>
  <c r="E399" i="14" s="1"/>
  <c r="K407" i="13"/>
  <c r="K407" i="14" s="1"/>
  <c r="M407" i="13"/>
  <c r="M407" i="14" s="1"/>
  <c r="Q407" i="13"/>
  <c r="Q407" i="14" s="1"/>
  <c r="I407" i="13"/>
  <c r="I407" i="14" s="1"/>
  <c r="L407" i="13"/>
  <c r="L407" i="14" s="1"/>
  <c r="R407" i="13"/>
  <c r="R407" i="14" s="1"/>
  <c r="O407" i="13"/>
  <c r="O407" i="14" s="1"/>
  <c r="H407" i="13"/>
  <c r="H407" i="14" s="1"/>
  <c r="S407" i="13"/>
  <c r="S407" i="14" s="1"/>
  <c r="G407" i="13"/>
  <c r="G407" i="14" s="1"/>
  <c r="J407" i="13"/>
  <c r="J407" i="14" s="1"/>
  <c r="D407" i="13"/>
  <c r="D407" i="14" s="1"/>
  <c r="F407" i="13"/>
  <c r="F407" i="14" s="1"/>
  <c r="N407" i="13"/>
  <c r="N407" i="14" s="1"/>
  <c r="C407" i="13"/>
  <c r="C407" i="14" s="1"/>
  <c r="E407" i="13"/>
  <c r="E407" i="14" s="1"/>
  <c r="K409" i="13"/>
  <c r="K409" i="14" s="1"/>
  <c r="R409" i="13"/>
  <c r="R409" i="14" s="1"/>
  <c r="L409" i="13"/>
  <c r="L409" i="14" s="1"/>
  <c r="Q409" i="13"/>
  <c r="Q409" i="14" s="1"/>
  <c r="I409" i="13"/>
  <c r="I409" i="14" s="1"/>
  <c r="F409" i="13"/>
  <c r="F409" i="14" s="1"/>
  <c r="D409" i="13"/>
  <c r="D409" i="14" s="1"/>
  <c r="G409" i="13"/>
  <c r="G409" i="14" s="1"/>
  <c r="M409" i="13"/>
  <c r="M409" i="14" s="1"/>
  <c r="H409" i="13"/>
  <c r="H409" i="14" s="1"/>
  <c r="N409" i="13"/>
  <c r="N409" i="14" s="1"/>
  <c r="J409" i="13"/>
  <c r="J409" i="14" s="1"/>
  <c r="O409" i="13"/>
  <c r="O409" i="14" s="1"/>
  <c r="S409" i="13"/>
  <c r="S409" i="14" s="1"/>
  <c r="C409" i="13"/>
  <c r="C409" i="14" s="1"/>
  <c r="E409" i="13"/>
  <c r="E409" i="14" s="1"/>
  <c r="F345" i="13"/>
  <c r="F345" i="14" s="1"/>
  <c r="R345" i="13"/>
  <c r="R345" i="14" s="1"/>
  <c r="L345" i="13"/>
  <c r="L345" i="14" s="1"/>
  <c r="I345" i="13"/>
  <c r="I345" i="14" s="1"/>
  <c r="Q345" i="13"/>
  <c r="Q345" i="14" s="1"/>
  <c r="K345" i="13"/>
  <c r="K345" i="14" s="1"/>
  <c r="D345" i="13"/>
  <c r="D345" i="14" s="1"/>
  <c r="O345" i="13"/>
  <c r="O345" i="14" s="1"/>
  <c r="M345" i="13"/>
  <c r="M345" i="14" s="1"/>
  <c r="N345" i="13"/>
  <c r="N345" i="14" s="1"/>
  <c r="J345" i="13"/>
  <c r="J345" i="14" s="1"/>
  <c r="G345" i="13"/>
  <c r="G345" i="14" s="1"/>
  <c r="H345" i="13"/>
  <c r="H345" i="14" s="1"/>
  <c r="S345" i="13"/>
  <c r="S345" i="14" s="1"/>
  <c r="C345" i="13"/>
  <c r="C345" i="14" s="1"/>
  <c r="E345" i="13"/>
  <c r="E345" i="14" s="1"/>
  <c r="O80" i="13"/>
  <c r="O80" i="14" s="1"/>
  <c r="H80" i="13"/>
  <c r="H80" i="14" s="1"/>
  <c r="D80" i="13"/>
  <c r="D80" i="14" s="1"/>
  <c r="N80" i="13"/>
  <c r="N80" i="14" s="1"/>
  <c r="J80" i="13"/>
  <c r="J80" i="14" s="1"/>
  <c r="S80" i="13"/>
  <c r="S80" i="14" s="1"/>
  <c r="G80" i="13"/>
  <c r="G80" i="14" s="1"/>
  <c r="M80" i="13"/>
  <c r="M80" i="14" s="1"/>
  <c r="K80" i="13"/>
  <c r="K80" i="14" s="1"/>
  <c r="F80" i="13"/>
  <c r="F80" i="14" s="1"/>
  <c r="I80" i="13"/>
  <c r="I80" i="14" s="1"/>
  <c r="R80" i="13"/>
  <c r="R80" i="14" s="1"/>
  <c r="Q80" i="13"/>
  <c r="Q80" i="14" s="1"/>
  <c r="L80" i="13"/>
  <c r="L80" i="14" s="1"/>
  <c r="C80" i="13"/>
  <c r="C80" i="14" s="1"/>
  <c r="E80" i="13"/>
  <c r="E80" i="14" s="1"/>
  <c r="H408" i="13"/>
  <c r="H408" i="14" s="1"/>
  <c r="D408" i="13"/>
  <c r="D408" i="14" s="1"/>
  <c r="S408" i="13"/>
  <c r="S408" i="14" s="1"/>
  <c r="G408" i="13"/>
  <c r="G408" i="14" s="1"/>
  <c r="N408" i="13"/>
  <c r="N408" i="14" s="1"/>
  <c r="J408" i="13"/>
  <c r="J408" i="14" s="1"/>
  <c r="R408" i="13"/>
  <c r="R408" i="14" s="1"/>
  <c r="F408" i="13"/>
  <c r="F408" i="14" s="1"/>
  <c r="O408" i="13"/>
  <c r="O408" i="14" s="1"/>
  <c r="M408" i="13"/>
  <c r="M408" i="14" s="1"/>
  <c r="I408" i="13"/>
  <c r="I408" i="14" s="1"/>
  <c r="L408" i="13"/>
  <c r="L408" i="14" s="1"/>
  <c r="Q408" i="13"/>
  <c r="Q408" i="14" s="1"/>
  <c r="K408" i="13"/>
  <c r="K408" i="14" s="1"/>
  <c r="C408" i="13"/>
  <c r="C408" i="14" s="1"/>
  <c r="E408" i="13"/>
  <c r="E408" i="14" s="1"/>
  <c r="M133" i="13"/>
  <c r="M133" i="14" s="1"/>
  <c r="K133" i="13"/>
  <c r="K133" i="14" s="1"/>
  <c r="R133" i="13"/>
  <c r="R133" i="14" s="1"/>
  <c r="F133" i="13"/>
  <c r="F133" i="14" s="1"/>
  <c r="L133" i="13"/>
  <c r="L133" i="14" s="1"/>
  <c r="Q133" i="13"/>
  <c r="Q133" i="14" s="1"/>
  <c r="I133" i="13"/>
  <c r="I133" i="14" s="1"/>
  <c r="D133" i="13"/>
  <c r="D133" i="14" s="1"/>
  <c r="H133" i="13"/>
  <c r="H133" i="14" s="1"/>
  <c r="O133" i="13"/>
  <c r="O133" i="14" s="1"/>
  <c r="S133" i="13"/>
  <c r="S133" i="14" s="1"/>
  <c r="G133" i="13"/>
  <c r="G133" i="14" s="1"/>
  <c r="N133" i="13"/>
  <c r="N133" i="14" s="1"/>
  <c r="J133" i="13"/>
  <c r="J133" i="14" s="1"/>
  <c r="C133" i="13"/>
  <c r="C133" i="14" s="1"/>
  <c r="E133" i="13"/>
  <c r="E133" i="14" s="1"/>
  <c r="R135" i="13"/>
  <c r="R135" i="14" s="1"/>
  <c r="F135" i="13"/>
  <c r="F135" i="14" s="1"/>
  <c r="M135" i="13"/>
  <c r="M135" i="14" s="1"/>
  <c r="K135" i="13"/>
  <c r="K135" i="14" s="1"/>
  <c r="I135" i="13"/>
  <c r="I135" i="14" s="1"/>
  <c r="Q135" i="13"/>
  <c r="Q135" i="14" s="1"/>
  <c r="L135" i="13"/>
  <c r="L135" i="14" s="1"/>
  <c r="O135" i="13"/>
  <c r="O135" i="14" s="1"/>
  <c r="H135" i="13"/>
  <c r="H135" i="14" s="1"/>
  <c r="D135" i="13"/>
  <c r="D135" i="14" s="1"/>
  <c r="S135" i="13"/>
  <c r="S135" i="14" s="1"/>
  <c r="G135" i="13"/>
  <c r="G135" i="14" s="1"/>
  <c r="J135" i="13"/>
  <c r="J135" i="14" s="1"/>
  <c r="N135" i="13"/>
  <c r="N135" i="14" s="1"/>
  <c r="C135" i="13"/>
  <c r="C135" i="14" s="1"/>
  <c r="E135" i="13"/>
  <c r="E135" i="14" s="1"/>
  <c r="N26" i="13"/>
  <c r="N26" i="14" s="1"/>
  <c r="J26" i="13"/>
  <c r="J26" i="14" s="1"/>
  <c r="S26" i="13"/>
  <c r="S26" i="14" s="1"/>
  <c r="G26" i="13"/>
  <c r="G26" i="14" s="1"/>
  <c r="M26" i="13"/>
  <c r="M26" i="14" s="1"/>
  <c r="K26" i="13"/>
  <c r="K26" i="14" s="1"/>
  <c r="R26" i="13"/>
  <c r="R26" i="14" s="1"/>
  <c r="L26" i="13"/>
  <c r="L26" i="14" s="1"/>
  <c r="I26" i="13"/>
  <c r="I26" i="14" s="1"/>
  <c r="O26" i="13"/>
  <c r="O26" i="14" s="1"/>
  <c r="F26" i="13"/>
  <c r="F26" i="14" s="1"/>
  <c r="Q26" i="13"/>
  <c r="Q26" i="14" s="1"/>
  <c r="H26" i="13"/>
  <c r="H26" i="14" s="1"/>
  <c r="D26" i="13"/>
  <c r="D26" i="14" s="1"/>
  <c r="E26" i="13"/>
  <c r="E26" i="14" s="1"/>
  <c r="C26" i="13"/>
  <c r="C26" i="14" s="1"/>
  <c r="D326" i="13"/>
  <c r="D326" i="14" s="1"/>
  <c r="O326" i="13"/>
  <c r="O326" i="14" s="1"/>
  <c r="N326" i="13"/>
  <c r="N326" i="14" s="1"/>
  <c r="J326" i="13"/>
  <c r="J326" i="14" s="1"/>
  <c r="S326" i="13"/>
  <c r="S326" i="14" s="1"/>
  <c r="G326" i="13"/>
  <c r="G326" i="14" s="1"/>
  <c r="H326" i="13"/>
  <c r="H326" i="14" s="1"/>
  <c r="K326" i="13"/>
  <c r="K326" i="14" s="1"/>
  <c r="M326" i="13"/>
  <c r="M326" i="14" s="1"/>
  <c r="F326" i="13"/>
  <c r="F326" i="14" s="1"/>
  <c r="R326" i="13"/>
  <c r="R326" i="14" s="1"/>
  <c r="Q326" i="13"/>
  <c r="Q326" i="14" s="1"/>
  <c r="I326" i="13"/>
  <c r="I326" i="14" s="1"/>
  <c r="L326" i="13"/>
  <c r="L326" i="14" s="1"/>
  <c r="C326" i="13"/>
  <c r="C326" i="14" s="1"/>
  <c r="E326" i="13"/>
  <c r="E326" i="14" s="1"/>
  <c r="Q71" i="13"/>
  <c r="Q71" i="14" s="1"/>
  <c r="I71" i="13"/>
  <c r="I71" i="14" s="1"/>
  <c r="L71" i="13"/>
  <c r="L71" i="14" s="1"/>
  <c r="O71" i="13"/>
  <c r="O71" i="14" s="1"/>
  <c r="H71" i="13"/>
  <c r="H71" i="14" s="1"/>
  <c r="D71" i="13"/>
  <c r="D71" i="14" s="1"/>
  <c r="N71" i="13"/>
  <c r="N71" i="14" s="1"/>
  <c r="J71" i="13"/>
  <c r="J71" i="14" s="1"/>
  <c r="G71" i="13"/>
  <c r="G71" i="14" s="1"/>
  <c r="R71" i="13"/>
  <c r="R71" i="14" s="1"/>
  <c r="K71" i="13"/>
  <c r="K71" i="14" s="1"/>
  <c r="S71" i="13"/>
  <c r="S71" i="14" s="1"/>
  <c r="F71" i="13"/>
  <c r="F71" i="14" s="1"/>
  <c r="M71" i="13"/>
  <c r="M71" i="14" s="1"/>
  <c r="C71" i="13"/>
  <c r="C71" i="14" s="1"/>
  <c r="E71" i="13"/>
  <c r="E71" i="14" s="1"/>
  <c r="M397" i="13"/>
  <c r="M397" i="14" s="1"/>
  <c r="K397" i="13"/>
  <c r="K397" i="14" s="1"/>
  <c r="L397" i="13"/>
  <c r="L397" i="14" s="1"/>
  <c r="Q397" i="13"/>
  <c r="Q397" i="14" s="1"/>
  <c r="I397" i="13"/>
  <c r="I397" i="14" s="1"/>
  <c r="R397" i="13"/>
  <c r="R397" i="14" s="1"/>
  <c r="D397" i="13"/>
  <c r="D397" i="14" s="1"/>
  <c r="H397" i="13"/>
  <c r="H397" i="14" s="1"/>
  <c r="S397" i="13"/>
  <c r="S397" i="14" s="1"/>
  <c r="O397" i="13"/>
  <c r="O397" i="14" s="1"/>
  <c r="N397" i="13"/>
  <c r="N397" i="14" s="1"/>
  <c r="J397" i="13"/>
  <c r="J397" i="14" s="1"/>
  <c r="G397" i="13"/>
  <c r="G397" i="14" s="1"/>
  <c r="F397" i="13"/>
  <c r="F397" i="14" s="1"/>
  <c r="C397" i="13"/>
  <c r="C397" i="14" s="1"/>
  <c r="E397" i="13"/>
  <c r="E397" i="14" s="1"/>
  <c r="D356" i="13"/>
  <c r="D356" i="14" s="1"/>
  <c r="S356" i="13"/>
  <c r="S356" i="14" s="1"/>
  <c r="G356" i="13"/>
  <c r="G356" i="14" s="1"/>
  <c r="J356" i="13"/>
  <c r="J356" i="14" s="1"/>
  <c r="N356" i="13"/>
  <c r="N356" i="14" s="1"/>
  <c r="H356" i="13"/>
  <c r="H356" i="14" s="1"/>
  <c r="R356" i="13"/>
  <c r="R356" i="14" s="1"/>
  <c r="F356" i="13"/>
  <c r="F356" i="14" s="1"/>
  <c r="O356" i="13"/>
  <c r="O356" i="14" s="1"/>
  <c r="I356" i="13"/>
  <c r="I356" i="14" s="1"/>
  <c r="L356" i="13"/>
  <c r="L356" i="14" s="1"/>
  <c r="K356" i="13"/>
  <c r="K356" i="14" s="1"/>
  <c r="M356" i="13"/>
  <c r="M356" i="14" s="1"/>
  <c r="Q356" i="13"/>
  <c r="Q356" i="14" s="1"/>
  <c r="C356" i="13"/>
  <c r="C356" i="14" s="1"/>
  <c r="E356" i="13"/>
  <c r="E356" i="14" s="1"/>
  <c r="R261" i="13"/>
  <c r="R261" i="14" s="1"/>
  <c r="K261" i="13"/>
  <c r="K261" i="14" s="1"/>
  <c r="F261" i="13"/>
  <c r="F261" i="14" s="1"/>
  <c r="Q261" i="13"/>
  <c r="Q261" i="14" s="1"/>
  <c r="I261" i="13"/>
  <c r="I261" i="14" s="1"/>
  <c r="L261" i="13"/>
  <c r="L261" i="14" s="1"/>
  <c r="M261" i="13"/>
  <c r="M261" i="14" s="1"/>
  <c r="G261" i="13"/>
  <c r="G261" i="14" s="1"/>
  <c r="O261" i="13"/>
  <c r="O261" i="14" s="1"/>
  <c r="H261" i="13"/>
  <c r="H261" i="14" s="1"/>
  <c r="N261" i="13"/>
  <c r="N261" i="14" s="1"/>
  <c r="J261" i="13"/>
  <c r="J261" i="14" s="1"/>
  <c r="S261" i="13"/>
  <c r="S261" i="14" s="1"/>
  <c r="D261" i="13"/>
  <c r="D261" i="14" s="1"/>
  <c r="C261" i="13"/>
  <c r="C261" i="14" s="1"/>
  <c r="E261" i="13"/>
  <c r="E261" i="14" s="1"/>
  <c r="R375" i="13"/>
  <c r="R375" i="14" s="1"/>
  <c r="F375" i="13"/>
  <c r="F375" i="14" s="1"/>
  <c r="Q375" i="13"/>
  <c r="Q375" i="14" s="1"/>
  <c r="I375" i="13"/>
  <c r="I375" i="14" s="1"/>
  <c r="L375" i="13"/>
  <c r="L375" i="14" s="1"/>
  <c r="O375" i="13"/>
  <c r="O375" i="14" s="1"/>
  <c r="H375" i="13"/>
  <c r="H375" i="14" s="1"/>
  <c r="K375" i="13"/>
  <c r="K375" i="14" s="1"/>
  <c r="M375" i="13"/>
  <c r="M375" i="14" s="1"/>
  <c r="D375" i="13"/>
  <c r="D375" i="14" s="1"/>
  <c r="S375" i="13"/>
  <c r="S375" i="14" s="1"/>
  <c r="G375" i="13"/>
  <c r="G375" i="14" s="1"/>
  <c r="N375" i="13"/>
  <c r="N375" i="14" s="1"/>
  <c r="J375" i="13"/>
  <c r="J375" i="14" s="1"/>
  <c r="C375" i="13"/>
  <c r="C375" i="14" s="1"/>
  <c r="E375" i="13"/>
  <c r="E375" i="14" s="1"/>
  <c r="D136" i="13"/>
  <c r="D136" i="14" s="1"/>
  <c r="O136" i="13"/>
  <c r="O136" i="14" s="1"/>
  <c r="H136" i="13"/>
  <c r="H136" i="14" s="1"/>
  <c r="S136" i="13"/>
  <c r="S136" i="14" s="1"/>
  <c r="G136" i="13"/>
  <c r="G136" i="14" s="1"/>
  <c r="N136" i="13"/>
  <c r="N136" i="14" s="1"/>
  <c r="J136" i="13"/>
  <c r="J136" i="14" s="1"/>
  <c r="R136" i="13"/>
  <c r="R136" i="14" s="1"/>
  <c r="F136" i="13"/>
  <c r="F136" i="14" s="1"/>
  <c r="K136" i="13"/>
  <c r="K136" i="14" s="1"/>
  <c r="M136" i="13"/>
  <c r="M136" i="14" s="1"/>
  <c r="Q136" i="13"/>
  <c r="Q136" i="14" s="1"/>
  <c r="L136" i="13"/>
  <c r="L136" i="14" s="1"/>
  <c r="I136" i="13"/>
  <c r="I136" i="14" s="1"/>
  <c r="C136" i="13"/>
  <c r="C136" i="14" s="1"/>
  <c r="E136" i="13"/>
  <c r="E136" i="14" s="1"/>
  <c r="K247" i="13"/>
  <c r="K247" i="14" s="1"/>
  <c r="M247" i="13"/>
  <c r="M247" i="14" s="1"/>
  <c r="L247" i="13"/>
  <c r="L247" i="14" s="1"/>
  <c r="I247" i="13"/>
  <c r="I247" i="14" s="1"/>
  <c r="Q247" i="13"/>
  <c r="Q247" i="14" s="1"/>
  <c r="F247" i="13"/>
  <c r="F247" i="14" s="1"/>
  <c r="R247" i="13"/>
  <c r="R247" i="14" s="1"/>
  <c r="H247" i="13"/>
  <c r="H247" i="14" s="1"/>
  <c r="J247" i="13"/>
  <c r="J247" i="14" s="1"/>
  <c r="D247" i="13"/>
  <c r="D247" i="14" s="1"/>
  <c r="S247" i="13"/>
  <c r="S247" i="14" s="1"/>
  <c r="G247" i="13"/>
  <c r="G247" i="14" s="1"/>
  <c r="O247" i="13"/>
  <c r="O247" i="14" s="1"/>
  <c r="N247" i="13"/>
  <c r="N247" i="14" s="1"/>
  <c r="C247" i="13"/>
  <c r="C247" i="14" s="1"/>
  <c r="E247" i="13"/>
  <c r="E247" i="14" s="1"/>
  <c r="K369" i="13"/>
  <c r="K369" i="14" s="1"/>
  <c r="L369" i="13"/>
  <c r="L369" i="14" s="1"/>
  <c r="I369" i="13"/>
  <c r="I369" i="14" s="1"/>
  <c r="Q369" i="13"/>
  <c r="Q369" i="14" s="1"/>
  <c r="F369" i="13"/>
  <c r="F369" i="14" s="1"/>
  <c r="R369" i="13"/>
  <c r="R369" i="14" s="1"/>
  <c r="D369" i="13"/>
  <c r="D369" i="14" s="1"/>
  <c r="G369" i="13"/>
  <c r="G369" i="14" s="1"/>
  <c r="H369" i="13"/>
  <c r="H369" i="14" s="1"/>
  <c r="N369" i="13"/>
  <c r="N369" i="14" s="1"/>
  <c r="J369" i="13"/>
  <c r="J369" i="14" s="1"/>
  <c r="S369" i="13"/>
  <c r="S369" i="14" s="1"/>
  <c r="O369" i="13"/>
  <c r="O369" i="14" s="1"/>
  <c r="M369" i="13"/>
  <c r="M369" i="14" s="1"/>
  <c r="C369" i="13"/>
  <c r="C369" i="14" s="1"/>
  <c r="E369" i="13"/>
  <c r="E369" i="14" s="1"/>
  <c r="R259" i="13"/>
  <c r="R259" i="14" s="1"/>
  <c r="F259" i="13"/>
  <c r="F259" i="14" s="1"/>
  <c r="L259" i="13"/>
  <c r="L259" i="14" s="1"/>
  <c r="Q259" i="13"/>
  <c r="Q259" i="14" s="1"/>
  <c r="I259" i="13"/>
  <c r="I259" i="14" s="1"/>
  <c r="K259" i="13"/>
  <c r="K259" i="14" s="1"/>
  <c r="D259" i="13"/>
  <c r="D259" i="14" s="1"/>
  <c r="S259" i="13"/>
  <c r="S259" i="14" s="1"/>
  <c r="G259" i="13"/>
  <c r="G259" i="14" s="1"/>
  <c r="H259" i="13"/>
  <c r="H259" i="14" s="1"/>
  <c r="N259" i="13"/>
  <c r="N259" i="14" s="1"/>
  <c r="M259" i="13"/>
  <c r="M259" i="14" s="1"/>
  <c r="O259" i="13"/>
  <c r="O259" i="14" s="1"/>
  <c r="J259" i="13"/>
  <c r="J259" i="14" s="1"/>
  <c r="C259" i="13"/>
  <c r="C259" i="14" s="1"/>
  <c r="E259" i="13"/>
  <c r="E259" i="14" s="1"/>
  <c r="M255" i="13"/>
  <c r="M255" i="14" s="1"/>
  <c r="K255" i="13"/>
  <c r="K255" i="14" s="1"/>
  <c r="Q255" i="13"/>
  <c r="Q255" i="14" s="1"/>
  <c r="I255" i="13"/>
  <c r="I255" i="14" s="1"/>
  <c r="L255" i="13"/>
  <c r="L255" i="14" s="1"/>
  <c r="F255" i="13"/>
  <c r="F255" i="14" s="1"/>
  <c r="O255" i="13"/>
  <c r="O255" i="14" s="1"/>
  <c r="J255" i="13"/>
  <c r="J255" i="14" s="1"/>
  <c r="D255" i="13"/>
  <c r="D255" i="14" s="1"/>
  <c r="S255" i="13"/>
  <c r="S255" i="14" s="1"/>
  <c r="G255" i="13"/>
  <c r="G255" i="14" s="1"/>
  <c r="N255" i="13"/>
  <c r="N255" i="14" s="1"/>
  <c r="R255" i="13"/>
  <c r="R255" i="14" s="1"/>
  <c r="H255" i="13"/>
  <c r="H255" i="14" s="1"/>
  <c r="C255" i="13"/>
  <c r="C255" i="14" s="1"/>
  <c r="E255" i="13"/>
  <c r="E255" i="14" s="1"/>
  <c r="M257" i="13"/>
  <c r="M257" i="14" s="1"/>
  <c r="F257" i="13"/>
  <c r="F257" i="14" s="1"/>
  <c r="Q257" i="13"/>
  <c r="Q257" i="14" s="1"/>
  <c r="I257" i="13"/>
  <c r="I257" i="14" s="1"/>
  <c r="L257" i="13"/>
  <c r="L257" i="14" s="1"/>
  <c r="R257" i="13"/>
  <c r="R257" i="14" s="1"/>
  <c r="K257" i="13"/>
  <c r="K257" i="14" s="1"/>
  <c r="D257" i="13"/>
  <c r="D257" i="14" s="1"/>
  <c r="O257" i="13"/>
  <c r="O257" i="14" s="1"/>
  <c r="H257" i="13"/>
  <c r="H257" i="14" s="1"/>
  <c r="N257" i="13"/>
  <c r="N257" i="14" s="1"/>
  <c r="J257" i="13"/>
  <c r="J257" i="14" s="1"/>
  <c r="G257" i="13"/>
  <c r="G257" i="14" s="1"/>
  <c r="S257" i="13"/>
  <c r="S257" i="14" s="1"/>
  <c r="C257" i="13"/>
  <c r="C257" i="14" s="1"/>
  <c r="E257" i="13"/>
  <c r="E257" i="14" s="1"/>
  <c r="R431" i="13"/>
  <c r="R431" i="14" s="1"/>
  <c r="M431" i="13"/>
  <c r="M431" i="14" s="1"/>
  <c r="Q431" i="13"/>
  <c r="Q431" i="14" s="1"/>
  <c r="I431" i="13"/>
  <c r="I431" i="14" s="1"/>
  <c r="L431" i="13"/>
  <c r="L431" i="14" s="1"/>
  <c r="K431" i="13"/>
  <c r="K431" i="14" s="1"/>
  <c r="O431" i="13"/>
  <c r="O431" i="14" s="1"/>
  <c r="H431" i="13"/>
  <c r="H431" i="14" s="1"/>
  <c r="F431" i="13"/>
  <c r="F431" i="14" s="1"/>
  <c r="D431" i="13"/>
  <c r="D431" i="14" s="1"/>
  <c r="N431" i="13"/>
  <c r="N431" i="14" s="1"/>
  <c r="S431" i="13"/>
  <c r="S431" i="14" s="1"/>
  <c r="G431" i="13"/>
  <c r="G431" i="14" s="1"/>
  <c r="J431" i="13"/>
  <c r="J431" i="14" s="1"/>
  <c r="C431" i="13"/>
  <c r="C431" i="14" s="1"/>
  <c r="E431" i="13"/>
  <c r="E431" i="14" s="1"/>
  <c r="D224" i="13"/>
  <c r="D224" i="14" s="1"/>
  <c r="N224" i="13"/>
  <c r="N224" i="14" s="1"/>
  <c r="J224" i="13"/>
  <c r="J224" i="14" s="1"/>
  <c r="S224" i="13"/>
  <c r="S224" i="14" s="1"/>
  <c r="G224" i="13"/>
  <c r="G224" i="14" s="1"/>
  <c r="H224" i="13"/>
  <c r="H224" i="14" s="1"/>
  <c r="R224" i="13"/>
  <c r="R224" i="14" s="1"/>
  <c r="I224" i="13"/>
  <c r="I224" i="14" s="1"/>
  <c r="M224" i="13"/>
  <c r="M224" i="14" s="1"/>
  <c r="K224" i="13"/>
  <c r="K224" i="14" s="1"/>
  <c r="L224" i="13"/>
  <c r="L224" i="14" s="1"/>
  <c r="O224" i="13"/>
  <c r="O224" i="14" s="1"/>
  <c r="F224" i="13"/>
  <c r="F224" i="14" s="1"/>
  <c r="Q224" i="13"/>
  <c r="Q224" i="14" s="1"/>
  <c r="C224" i="13"/>
  <c r="C224" i="14" s="1"/>
  <c r="E224" i="13"/>
  <c r="E224" i="14" s="1"/>
  <c r="O158" i="13"/>
  <c r="O158" i="14" s="1"/>
  <c r="H158" i="13"/>
  <c r="H158" i="14" s="1"/>
  <c r="D158" i="13"/>
  <c r="D158" i="14" s="1"/>
  <c r="N158" i="13"/>
  <c r="N158" i="14" s="1"/>
  <c r="J158" i="13"/>
  <c r="J158" i="14" s="1"/>
  <c r="S158" i="13"/>
  <c r="S158" i="14" s="1"/>
  <c r="G158" i="13"/>
  <c r="G158" i="14" s="1"/>
  <c r="M158" i="13"/>
  <c r="M158" i="14" s="1"/>
  <c r="K158" i="13"/>
  <c r="K158" i="14" s="1"/>
  <c r="F158" i="13"/>
  <c r="F158" i="14" s="1"/>
  <c r="R158" i="13"/>
  <c r="R158" i="14" s="1"/>
  <c r="Q158" i="13"/>
  <c r="Q158" i="14" s="1"/>
  <c r="I158" i="13"/>
  <c r="I158" i="14" s="1"/>
  <c r="L158" i="13"/>
  <c r="L158" i="14" s="1"/>
  <c r="C158" i="13"/>
  <c r="C158" i="14" s="1"/>
  <c r="E158" i="13"/>
  <c r="E158" i="14" s="1"/>
  <c r="K379" i="13"/>
  <c r="K379" i="14" s="1"/>
  <c r="M379" i="13"/>
  <c r="M379" i="14" s="1"/>
  <c r="Q379" i="13"/>
  <c r="Q379" i="14" s="1"/>
  <c r="I379" i="13"/>
  <c r="I379" i="14" s="1"/>
  <c r="L379" i="13"/>
  <c r="L379" i="14" s="1"/>
  <c r="F379" i="13"/>
  <c r="F379" i="14" s="1"/>
  <c r="R379" i="13"/>
  <c r="R379" i="14" s="1"/>
  <c r="O379" i="13"/>
  <c r="O379" i="14" s="1"/>
  <c r="H379" i="13"/>
  <c r="H379" i="14" s="1"/>
  <c r="D379" i="13"/>
  <c r="D379" i="14" s="1"/>
  <c r="J379" i="13"/>
  <c r="J379" i="14" s="1"/>
  <c r="S379" i="13"/>
  <c r="S379" i="14" s="1"/>
  <c r="G379" i="13"/>
  <c r="G379" i="14" s="1"/>
  <c r="N379" i="13"/>
  <c r="N379" i="14" s="1"/>
  <c r="C379" i="13"/>
  <c r="C379" i="14" s="1"/>
  <c r="E379" i="13"/>
  <c r="E379" i="14" s="1"/>
  <c r="O242" i="13"/>
  <c r="O242" i="14" s="1"/>
  <c r="H242" i="13"/>
  <c r="H242" i="14" s="1"/>
  <c r="N242" i="13"/>
  <c r="N242" i="14" s="1"/>
  <c r="J242" i="13"/>
  <c r="J242" i="14" s="1"/>
  <c r="S242" i="13"/>
  <c r="S242" i="14" s="1"/>
  <c r="G242" i="13"/>
  <c r="G242" i="14" s="1"/>
  <c r="D242" i="13"/>
  <c r="D242" i="14" s="1"/>
  <c r="R242" i="13"/>
  <c r="R242" i="14" s="1"/>
  <c r="F242" i="13"/>
  <c r="F242" i="14" s="1"/>
  <c r="Q242" i="13"/>
  <c r="Q242" i="14" s="1"/>
  <c r="I242" i="13"/>
  <c r="I242" i="14" s="1"/>
  <c r="K242" i="13"/>
  <c r="K242" i="14" s="1"/>
  <c r="L242" i="13"/>
  <c r="L242" i="14" s="1"/>
  <c r="M242" i="13"/>
  <c r="M242" i="14" s="1"/>
  <c r="C242" i="13"/>
  <c r="C242" i="14" s="1"/>
  <c r="E242" i="13"/>
  <c r="E242" i="14" s="1"/>
  <c r="D260" i="13"/>
  <c r="D260" i="14" s="1"/>
  <c r="N260" i="13"/>
  <c r="N260" i="14" s="1"/>
  <c r="J260" i="13"/>
  <c r="J260" i="14" s="1"/>
  <c r="S260" i="13"/>
  <c r="S260" i="14" s="1"/>
  <c r="G260" i="13"/>
  <c r="G260" i="14" s="1"/>
  <c r="O260" i="13"/>
  <c r="O260" i="14" s="1"/>
  <c r="H260" i="13"/>
  <c r="H260" i="14" s="1"/>
  <c r="F260" i="13"/>
  <c r="F260" i="14" s="1"/>
  <c r="I260" i="13"/>
  <c r="I260" i="14" s="1"/>
  <c r="M260" i="13"/>
  <c r="M260" i="14" s="1"/>
  <c r="K260" i="13"/>
  <c r="K260" i="14" s="1"/>
  <c r="L260" i="13"/>
  <c r="L260" i="14" s="1"/>
  <c r="R260" i="13"/>
  <c r="R260" i="14" s="1"/>
  <c r="Q260" i="13"/>
  <c r="Q260" i="14" s="1"/>
  <c r="C260" i="13"/>
  <c r="C260" i="14" s="1"/>
  <c r="E260" i="13"/>
  <c r="E260" i="14" s="1"/>
  <c r="AK234" i="1"/>
  <c r="D234" i="13"/>
  <c r="D234" i="14" s="1"/>
  <c r="H234" i="13"/>
  <c r="H234" i="14" s="1"/>
  <c r="S234" i="13"/>
  <c r="S234" i="14" s="1"/>
  <c r="G234" i="13"/>
  <c r="G234" i="14" s="1"/>
  <c r="N234" i="13"/>
  <c r="N234" i="14" s="1"/>
  <c r="J234" i="13"/>
  <c r="J234" i="14" s="1"/>
  <c r="O234" i="13"/>
  <c r="O234" i="14" s="1"/>
  <c r="K234" i="13"/>
  <c r="K234" i="14" s="1"/>
  <c r="R234" i="13"/>
  <c r="R234" i="14" s="1"/>
  <c r="F234" i="13"/>
  <c r="F234" i="14" s="1"/>
  <c r="Q234" i="13"/>
  <c r="Q234" i="14" s="1"/>
  <c r="I234" i="13"/>
  <c r="I234" i="14" s="1"/>
  <c r="L234" i="13"/>
  <c r="L234" i="14" s="1"/>
  <c r="M234" i="13"/>
  <c r="M234" i="14" s="1"/>
  <c r="C234" i="13"/>
  <c r="C234" i="14" s="1"/>
  <c r="E234" i="13"/>
  <c r="E234" i="14" s="1"/>
  <c r="AK134" i="1"/>
  <c r="O134" i="13"/>
  <c r="O134" i="14" s="1"/>
  <c r="H134" i="13"/>
  <c r="H134" i="14" s="1"/>
  <c r="D134" i="13"/>
  <c r="D134" i="14" s="1"/>
  <c r="N134" i="13"/>
  <c r="N134" i="14" s="1"/>
  <c r="J134" i="13"/>
  <c r="J134" i="14" s="1"/>
  <c r="S134" i="13"/>
  <c r="S134" i="14" s="1"/>
  <c r="G134" i="13"/>
  <c r="G134" i="14" s="1"/>
  <c r="R134" i="13"/>
  <c r="R134" i="14" s="1"/>
  <c r="M134" i="13"/>
  <c r="M134" i="14" s="1"/>
  <c r="K134" i="13"/>
  <c r="K134" i="14" s="1"/>
  <c r="F134" i="13"/>
  <c r="F134" i="14" s="1"/>
  <c r="L134" i="13"/>
  <c r="L134" i="14" s="1"/>
  <c r="Q134" i="13"/>
  <c r="Q134" i="14" s="1"/>
  <c r="I134" i="13"/>
  <c r="I134" i="14" s="1"/>
  <c r="C134" i="13"/>
  <c r="C134" i="14" s="1"/>
  <c r="E134" i="13"/>
  <c r="E134" i="14" s="1"/>
  <c r="D184" i="13"/>
  <c r="D184" i="14" s="1"/>
  <c r="O184" i="13"/>
  <c r="O184" i="14" s="1"/>
  <c r="H184" i="13"/>
  <c r="H184" i="14" s="1"/>
  <c r="S184" i="13"/>
  <c r="S184" i="14" s="1"/>
  <c r="G184" i="13"/>
  <c r="G184" i="14" s="1"/>
  <c r="N184" i="13"/>
  <c r="N184" i="14" s="1"/>
  <c r="J184" i="13"/>
  <c r="J184" i="14" s="1"/>
  <c r="R184" i="13"/>
  <c r="R184" i="14" s="1"/>
  <c r="F184" i="13"/>
  <c r="F184" i="14" s="1"/>
  <c r="M184" i="13"/>
  <c r="M184" i="14" s="1"/>
  <c r="Q184" i="13"/>
  <c r="Q184" i="14" s="1"/>
  <c r="L184" i="13"/>
  <c r="L184" i="14" s="1"/>
  <c r="K184" i="13"/>
  <c r="K184" i="14" s="1"/>
  <c r="I184" i="13"/>
  <c r="I184" i="14" s="1"/>
  <c r="C184" i="13"/>
  <c r="C184" i="14" s="1"/>
  <c r="E184" i="13"/>
  <c r="E184" i="14" s="1"/>
  <c r="O114" i="13"/>
  <c r="O114" i="14" s="1"/>
  <c r="H114" i="13"/>
  <c r="H114" i="14" s="1"/>
  <c r="D114" i="13"/>
  <c r="D114" i="14" s="1"/>
  <c r="N114" i="13"/>
  <c r="N114" i="14" s="1"/>
  <c r="J114" i="13"/>
  <c r="J114" i="14" s="1"/>
  <c r="S114" i="13"/>
  <c r="S114" i="14" s="1"/>
  <c r="G114" i="13"/>
  <c r="G114" i="14" s="1"/>
  <c r="M114" i="13"/>
  <c r="M114" i="14" s="1"/>
  <c r="K114" i="13"/>
  <c r="K114" i="14" s="1"/>
  <c r="F114" i="13"/>
  <c r="F114" i="14" s="1"/>
  <c r="R114" i="13"/>
  <c r="R114" i="14" s="1"/>
  <c r="L114" i="13"/>
  <c r="L114" i="14" s="1"/>
  <c r="Q114" i="13"/>
  <c r="Q114" i="14" s="1"/>
  <c r="I114" i="13"/>
  <c r="I114" i="14" s="1"/>
  <c r="C114" i="13"/>
  <c r="C114" i="14" s="1"/>
  <c r="E114" i="13"/>
  <c r="E114" i="14" s="1"/>
  <c r="AL96" i="1"/>
  <c r="B96" i="13" s="1"/>
  <c r="B96" i="14" s="1"/>
  <c r="O96" i="13"/>
  <c r="O96" i="14" s="1"/>
  <c r="H96" i="13"/>
  <c r="H96" i="14" s="1"/>
  <c r="D96" i="13"/>
  <c r="D96" i="14" s="1"/>
  <c r="N96" i="13"/>
  <c r="N96" i="14" s="1"/>
  <c r="J96" i="13"/>
  <c r="J96" i="14" s="1"/>
  <c r="S96" i="13"/>
  <c r="S96" i="14" s="1"/>
  <c r="G96" i="13"/>
  <c r="G96" i="14" s="1"/>
  <c r="M96" i="13"/>
  <c r="M96" i="14" s="1"/>
  <c r="K96" i="13"/>
  <c r="K96" i="14" s="1"/>
  <c r="F96" i="13"/>
  <c r="F96" i="14" s="1"/>
  <c r="R96" i="13"/>
  <c r="R96" i="14" s="1"/>
  <c r="Q96" i="13"/>
  <c r="Q96" i="14" s="1"/>
  <c r="I96" i="13"/>
  <c r="I96" i="14" s="1"/>
  <c r="L96" i="13"/>
  <c r="L96" i="14" s="1"/>
  <c r="C96" i="13"/>
  <c r="C96" i="14" s="1"/>
  <c r="E96" i="13"/>
  <c r="E96" i="14" s="1"/>
  <c r="H434" i="13"/>
  <c r="H434" i="14" s="1"/>
  <c r="O434" i="13"/>
  <c r="O434" i="14" s="1"/>
  <c r="N434" i="13"/>
  <c r="N434" i="14" s="1"/>
  <c r="J434" i="13"/>
  <c r="J434" i="14" s="1"/>
  <c r="S434" i="13"/>
  <c r="S434" i="14" s="1"/>
  <c r="G434" i="13"/>
  <c r="G434" i="14" s="1"/>
  <c r="D434" i="13"/>
  <c r="D434" i="14" s="1"/>
  <c r="M434" i="13"/>
  <c r="M434" i="14" s="1"/>
  <c r="K434" i="13"/>
  <c r="K434" i="14" s="1"/>
  <c r="F434" i="13"/>
  <c r="F434" i="14" s="1"/>
  <c r="Q434" i="13"/>
  <c r="Q434" i="14" s="1"/>
  <c r="I434" i="13"/>
  <c r="I434" i="14" s="1"/>
  <c r="L434" i="13"/>
  <c r="L434" i="14" s="1"/>
  <c r="R434" i="13"/>
  <c r="R434" i="14" s="1"/>
  <c r="C434" i="13"/>
  <c r="C434" i="14" s="1"/>
  <c r="E434" i="13"/>
  <c r="E434" i="14" s="1"/>
  <c r="AL236" i="1"/>
  <c r="B236" i="13" s="1"/>
  <c r="B236" i="14" s="1"/>
  <c r="O236" i="13"/>
  <c r="O236" i="14" s="1"/>
  <c r="H236" i="13"/>
  <c r="H236" i="14" s="1"/>
  <c r="N236" i="13"/>
  <c r="N236" i="14" s="1"/>
  <c r="J236" i="13"/>
  <c r="J236" i="14" s="1"/>
  <c r="S236" i="13"/>
  <c r="S236" i="14" s="1"/>
  <c r="G236" i="13"/>
  <c r="G236" i="14" s="1"/>
  <c r="D236" i="13"/>
  <c r="D236" i="14" s="1"/>
  <c r="M236" i="13"/>
  <c r="M236" i="14" s="1"/>
  <c r="K236" i="13"/>
  <c r="K236" i="14" s="1"/>
  <c r="L236" i="13"/>
  <c r="L236" i="14" s="1"/>
  <c r="R236" i="13"/>
  <c r="R236" i="14" s="1"/>
  <c r="I236" i="13"/>
  <c r="I236" i="14" s="1"/>
  <c r="F236" i="13"/>
  <c r="F236" i="14" s="1"/>
  <c r="Q236" i="13"/>
  <c r="Q236" i="14" s="1"/>
  <c r="C236" i="13"/>
  <c r="C236" i="14" s="1"/>
  <c r="E236" i="13"/>
  <c r="E236" i="14" s="1"/>
  <c r="AL193" i="1"/>
  <c r="B193" i="13" s="1"/>
  <c r="B193" i="14" s="1"/>
  <c r="R193" i="13"/>
  <c r="R193" i="14" s="1"/>
  <c r="F193" i="13"/>
  <c r="F193" i="14" s="1"/>
  <c r="M193" i="13"/>
  <c r="M193" i="14" s="1"/>
  <c r="K193" i="13"/>
  <c r="K193" i="14" s="1"/>
  <c r="L193" i="13"/>
  <c r="L193" i="14" s="1"/>
  <c r="D193" i="13"/>
  <c r="D193" i="14" s="1"/>
  <c r="I193" i="13"/>
  <c r="I193" i="14" s="1"/>
  <c r="O193" i="13"/>
  <c r="O193" i="14" s="1"/>
  <c r="N193" i="13"/>
  <c r="N193" i="14" s="1"/>
  <c r="J193" i="13"/>
  <c r="J193" i="14" s="1"/>
  <c r="G193" i="13"/>
  <c r="G193" i="14" s="1"/>
  <c r="H193" i="13"/>
  <c r="H193" i="14" s="1"/>
  <c r="Q193" i="13"/>
  <c r="Q193" i="14" s="1"/>
  <c r="S193" i="13"/>
  <c r="S193" i="14" s="1"/>
  <c r="C193" i="13"/>
  <c r="C193" i="14" s="1"/>
  <c r="E193" i="13"/>
  <c r="E193" i="14" s="1"/>
  <c r="S16" i="13"/>
  <c r="S16" i="14" s="1"/>
  <c r="G16" i="13"/>
  <c r="G16" i="14" s="1"/>
  <c r="N16" i="13"/>
  <c r="N16" i="14" s="1"/>
  <c r="J16" i="13"/>
  <c r="J16" i="14" s="1"/>
  <c r="R16" i="13"/>
  <c r="R16" i="14" s="1"/>
  <c r="F16" i="13"/>
  <c r="F16" i="14" s="1"/>
  <c r="K16" i="13"/>
  <c r="K16" i="14" s="1"/>
  <c r="Q16" i="13"/>
  <c r="Q16" i="14" s="1"/>
  <c r="I16" i="13"/>
  <c r="I16" i="14" s="1"/>
  <c r="M16" i="13"/>
  <c r="M16" i="14" s="1"/>
  <c r="O16" i="13"/>
  <c r="O16" i="14" s="1"/>
  <c r="D16" i="13"/>
  <c r="D16" i="14" s="1"/>
  <c r="H16" i="13"/>
  <c r="H16" i="14" s="1"/>
  <c r="L16" i="13"/>
  <c r="L16" i="14" s="1"/>
  <c r="C16" i="13"/>
  <c r="C16" i="14" s="1"/>
  <c r="E16" i="13"/>
  <c r="E16" i="14" s="1"/>
  <c r="O2" i="13"/>
  <c r="O2" i="14" s="1"/>
  <c r="F2" i="13"/>
  <c r="F2" i="14" s="1"/>
  <c r="H2" i="13"/>
  <c r="H2" i="14" s="1"/>
  <c r="J2" i="13"/>
  <c r="J2" i="14" s="1"/>
  <c r="L2" i="13"/>
  <c r="L2" i="14" s="1"/>
  <c r="S2" i="13"/>
  <c r="S2" i="14" s="1"/>
  <c r="Q2" i="13"/>
  <c r="Q2" i="14" s="1"/>
  <c r="N2" i="13"/>
  <c r="N2" i="14" s="1"/>
  <c r="I2" i="13"/>
  <c r="I2" i="14" s="1"/>
  <c r="M2" i="13"/>
  <c r="M2" i="14" s="1"/>
  <c r="R2" i="13"/>
  <c r="R2" i="14" s="1"/>
  <c r="G2" i="13"/>
  <c r="G2" i="14" s="1"/>
  <c r="K2" i="13"/>
  <c r="K2" i="14" s="1"/>
  <c r="D2" i="13"/>
  <c r="D2" i="14" s="1"/>
  <c r="C2" i="13"/>
  <c r="C2" i="14" s="1"/>
  <c r="E2" i="13"/>
  <c r="E2" i="14" s="1"/>
  <c r="R267" i="13"/>
  <c r="R267" i="14" s="1"/>
  <c r="F267" i="13"/>
  <c r="F267" i="14" s="1"/>
  <c r="L267" i="13"/>
  <c r="L267" i="14" s="1"/>
  <c r="I267" i="13"/>
  <c r="I267" i="14" s="1"/>
  <c r="Q267" i="13"/>
  <c r="Q267" i="14" s="1"/>
  <c r="K267" i="13"/>
  <c r="K267" i="14" s="1"/>
  <c r="D267" i="13"/>
  <c r="D267" i="14" s="1"/>
  <c r="S267" i="13"/>
  <c r="S267" i="14" s="1"/>
  <c r="G267" i="13"/>
  <c r="G267" i="14" s="1"/>
  <c r="H267" i="13"/>
  <c r="H267" i="14" s="1"/>
  <c r="N267" i="13"/>
  <c r="N267" i="14" s="1"/>
  <c r="M267" i="13"/>
  <c r="M267" i="14" s="1"/>
  <c r="O267" i="13"/>
  <c r="O267" i="14" s="1"/>
  <c r="J267" i="13"/>
  <c r="J267" i="14" s="1"/>
  <c r="C267" i="13"/>
  <c r="C267" i="14" s="1"/>
  <c r="E267" i="13"/>
  <c r="E267" i="14" s="1"/>
  <c r="F223" i="13"/>
  <c r="F223" i="14" s="1"/>
  <c r="R223" i="13"/>
  <c r="R223" i="14" s="1"/>
  <c r="L223" i="13"/>
  <c r="L223" i="14" s="1"/>
  <c r="Q223" i="13"/>
  <c r="Q223" i="14" s="1"/>
  <c r="I223" i="13"/>
  <c r="I223" i="14" s="1"/>
  <c r="K223" i="13"/>
  <c r="K223" i="14" s="1"/>
  <c r="M223" i="13"/>
  <c r="M223" i="14" s="1"/>
  <c r="D223" i="13"/>
  <c r="D223" i="14" s="1"/>
  <c r="S223" i="13"/>
  <c r="S223" i="14" s="1"/>
  <c r="G223" i="13"/>
  <c r="G223" i="14" s="1"/>
  <c r="O223" i="13"/>
  <c r="O223" i="14" s="1"/>
  <c r="J223" i="13"/>
  <c r="J223" i="14" s="1"/>
  <c r="H223" i="13"/>
  <c r="H223" i="14" s="1"/>
  <c r="N223" i="13"/>
  <c r="N223" i="14" s="1"/>
  <c r="C223" i="13"/>
  <c r="C223" i="14" s="1"/>
  <c r="E223" i="13"/>
  <c r="E223" i="14" s="1"/>
  <c r="AL183" i="1"/>
  <c r="B183" i="13" s="1"/>
  <c r="B183" i="14" s="1"/>
  <c r="R183" i="13"/>
  <c r="R183" i="14" s="1"/>
  <c r="F183" i="13"/>
  <c r="F183" i="14" s="1"/>
  <c r="M183" i="13"/>
  <c r="M183" i="14" s="1"/>
  <c r="K183" i="13"/>
  <c r="K183" i="14" s="1"/>
  <c r="Q183" i="13"/>
  <c r="Q183" i="14" s="1"/>
  <c r="I183" i="13"/>
  <c r="I183" i="14" s="1"/>
  <c r="L183" i="13"/>
  <c r="L183" i="14" s="1"/>
  <c r="O183" i="13"/>
  <c r="O183" i="14" s="1"/>
  <c r="H183" i="13"/>
  <c r="H183" i="14" s="1"/>
  <c r="D183" i="13"/>
  <c r="D183" i="14" s="1"/>
  <c r="J183" i="13"/>
  <c r="J183" i="14" s="1"/>
  <c r="S183" i="13"/>
  <c r="S183" i="14" s="1"/>
  <c r="G183" i="13"/>
  <c r="G183" i="14" s="1"/>
  <c r="N183" i="13"/>
  <c r="N183" i="14" s="1"/>
  <c r="C183" i="13"/>
  <c r="C183" i="14" s="1"/>
  <c r="E183" i="13"/>
  <c r="E183" i="14" s="1"/>
  <c r="AK143" i="1"/>
  <c r="R143" i="13"/>
  <c r="R143" i="14" s="1"/>
  <c r="F143" i="13"/>
  <c r="F143" i="14" s="1"/>
  <c r="M143" i="13"/>
  <c r="M143" i="14" s="1"/>
  <c r="K143" i="13"/>
  <c r="K143" i="14" s="1"/>
  <c r="Q143" i="13"/>
  <c r="Q143" i="14" s="1"/>
  <c r="I143" i="13"/>
  <c r="I143" i="14" s="1"/>
  <c r="L143" i="13"/>
  <c r="L143" i="14" s="1"/>
  <c r="O143" i="13"/>
  <c r="O143" i="14" s="1"/>
  <c r="H143" i="13"/>
  <c r="H143" i="14" s="1"/>
  <c r="J143" i="13"/>
  <c r="J143" i="14" s="1"/>
  <c r="S143" i="13"/>
  <c r="S143" i="14" s="1"/>
  <c r="D143" i="13"/>
  <c r="D143" i="14" s="1"/>
  <c r="G143" i="13"/>
  <c r="G143" i="14" s="1"/>
  <c r="N143" i="13"/>
  <c r="N143" i="14" s="1"/>
  <c r="C143" i="13"/>
  <c r="C143" i="14" s="1"/>
  <c r="E143" i="13"/>
  <c r="E143" i="14" s="1"/>
  <c r="R131" i="13"/>
  <c r="R131" i="14" s="1"/>
  <c r="F131" i="13"/>
  <c r="F131" i="14" s="1"/>
  <c r="M131" i="13"/>
  <c r="M131" i="14" s="1"/>
  <c r="K131" i="13"/>
  <c r="K131" i="14" s="1"/>
  <c r="Q131" i="13"/>
  <c r="Q131" i="14" s="1"/>
  <c r="I131" i="13"/>
  <c r="I131" i="14" s="1"/>
  <c r="L131" i="13"/>
  <c r="L131" i="14" s="1"/>
  <c r="O131" i="13"/>
  <c r="O131" i="14" s="1"/>
  <c r="H131" i="13"/>
  <c r="H131" i="14" s="1"/>
  <c r="D131" i="13"/>
  <c r="D131" i="14" s="1"/>
  <c r="S131" i="13"/>
  <c r="S131" i="14" s="1"/>
  <c r="G131" i="13"/>
  <c r="G131" i="14" s="1"/>
  <c r="J131" i="13"/>
  <c r="J131" i="14" s="1"/>
  <c r="N131" i="13"/>
  <c r="N131" i="14" s="1"/>
  <c r="C131" i="13"/>
  <c r="C131" i="14" s="1"/>
  <c r="E131" i="13"/>
  <c r="E131" i="14" s="1"/>
  <c r="AK266" i="1"/>
  <c r="O266" i="13"/>
  <c r="O266" i="14" s="1"/>
  <c r="H266" i="13"/>
  <c r="H266" i="14" s="1"/>
  <c r="G266" i="13"/>
  <c r="G266" i="14" s="1"/>
  <c r="S266" i="13"/>
  <c r="S266" i="14" s="1"/>
  <c r="J266" i="13"/>
  <c r="J266" i="14" s="1"/>
  <c r="N266" i="13"/>
  <c r="N266" i="14" s="1"/>
  <c r="M266" i="13"/>
  <c r="M266" i="14" s="1"/>
  <c r="L266" i="13"/>
  <c r="L266" i="14" s="1"/>
  <c r="D266" i="13"/>
  <c r="D266" i="14" s="1"/>
  <c r="R266" i="13"/>
  <c r="R266" i="14" s="1"/>
  <c r="F266" i="13"/>
  <c r="F266" i="14" s="1"/>
  <c r="Q266" i="13"/>
  <c r="Q266" i="14" s="1"/>
  <c r="I266" i="13"/>
  <c r="I266" i="14" s="1"/>
  <c r="K266" i="13"/>
  <c r="K266" i="14" s="1"/>
  <c r="C266" i="13"/>
  <c r="C266" i="14" s="1"/>
  <c r="E266" i="13"/>
  <c r="E266" i="14" s="1"/>
  <c r="D198" i="13"/>
  <c r="D198" i="14" s="1"/>
  <c r="O198" i="13"/>
  <c r="O198" i="14" s="1"/>
  <c r="H198" i="13"/>
  <c r="H198" i="14" s="1"/>
  <c r="N198" i="13"/>
  <c r="N198" i="14" s="1"/>
  <c r="J198" i="13"/>
  <c r="J198" i="14" s="1"/>
  <c r="S198" i="13"/>
  <c r="S198" i="14" s="1"/>
  <c r="M198" i="13"/>
  <c r="M198" i="14" s="1"/>
  <c r="K198" i="13"/>
  <c r="K198" i="14" s="1"/>
  <c r="G198" i="13"/>
  <c r="G198" i="14" s="1"/>
  <c r="F198" i="13"/>
  <c r="F198" i="14" s="1"/>
  <c r="R198" i="13"/>
  <c r="R198" i="14" s="1"/>
  <c r="L198" i="13"/>
  <c r="L198" i="14" s="1"/>
  <c r="Q198" i="13"/>
  <c r="Q198" i="14" s="1"/>
  <c r="I198" i="13"/>
  <c r="I198" i="14" s="1"/>
  <c r="C198" i="13"/>
  <c r="C198" i="14" s="1"/>
  <c r="E198" i="13"/>
  <c r="E198" i="14" s="1"/>
  <c r="R387" i="13"/>
  <c r="R387" i="14" s="1"/>
  <c r="F387" i="13"/>
  <c r="F387" i="14" s="1"/>
  <c r="Q387" i="13"/>
  <c r="Q387" i="14" s="1"/>
  <c r="I387" i="13"/>
  <c r="I387" i="14" s="1"/>
  <c r="L387" i="13"/>
  <c r="L387" i="14" s="1"/>
  <c r="K387" i="13"/>
  <c r="K387" i="14" s="1"/>
  <c r="O387" i="13"/>
  <c r="O387" i="14" s="1"/>
  <c r="H387" i="13"/>
  <c r="H387" i="14" s="1"/>
  <c r="M387" i="13"/>
  <c r="M387" i="14" s="1"/>
  <c r="J387" i="13"/>
  <c r="J387" i="14" s="1"/>
  <c r="S387" i="13"/>
  <c r="S387" i="14" s="1"/>
  <c r="G387" i="13"/>
  <c r="G387" i="14" s="1"/>
  <c r="N387" i="13"/>
  <c r="N387" i="14" s="1"/>
  <c r="D387" i="13"/>
  <c r="D387" i="14" s="1"/>
  <c r="C387" i="13"/>
  <c r="C387" i="14" s="1"/>
  <c r="E387" i="13"/>
  <c r="E387" i="14" s="1"/>
  <c r="M443" i="13"/>
  <c r="M443" i="14" s="1"/>
  <c r="K443" i="13"/>
  <c r="K443" i="14" s="1"/>
  <c r="Q443" i="13"/>
  <c r="Q443" i="14" s="1"/>
  <c r="I443" i="13"/>
  <c r="I443" i="14" s="1"/>
  <c r="L443" i="13"/>
  <c r="L443" i="14" s="1"/>
  <c r="F443" i="13"/>
  <c r="F443" i="14" s="1"/>
  <c r="O443" i="13"/>
  <c r="O443" i="14" s="1"/>
  <c r="H443" i="13"/>
  <c r="H443" i="14" s="1"/>
  <c r="N443" i="13"/>
  <c r="N443" i="14" s="1"/>
  <c r="D443" i="13"/>
  <c r="D443" i="14" s="1"/>
  <c r="S443" i="13"/>
  <c r="S443" i="14" s="1"/>
  <c r="G443" i="13"/>
  <c r="G443" i="14" s="1"/>
  <c r="R443" i="13"/>
  <c r="R443" i="14" s="1"/>
  <c r="J443" i="13"/>
  <c r="J443" i="14" s="1"/>
  <c r="C443" i="13"/>
  <c r="C443" i="14" s="1"/>
  <c r="E443" i="13"/>
  <c r="E443" i="14" s="1"/>
  <c r="O154" i="13"/>
  <c r="O154" i="14" s="1"/>
  <c r="H154" i="13"/>
  <c r="H154" i="14" s="1"/>
  <c r="D154" i="13"/>
  <c r="D154" i="14" s="1"/>
  <c r="J154" i="13"/>
  <c r="J154" i="14" s="1"/>
  <c r="N154" i="13"/>
  <c r="N154" i="14" s="1"/>
  <c r="S154" i="13"/>
  <c r="S154" i="14" s="1"/>
  <c r="G154" i="13"/>
  <c r="G154" i="14" s="1"/>
  <c r="M154" i="13"/>
  <c r="M154" i="14" s="1"/>
  <c r="K154" i="13"/>
  <c r="K154" i="14" s="1"/>
  <c r="F154" i="13"/>
  <c r="F154" i="14" s="1"/>
  <c r="R154" i="13"/>
  <c r="R154" i="14" s="1"/>
  <c r="L154" i="13"/>
  <c r="L154" i="14" s="1"/>
  <c r="Q154" i="13"/>
  <c r="Q154" i="14" s="1"/>
  <c r="I154" i="13"/>
  <c r="I154" i="14" s="1"/>
  <c r="C154" i="13"/>
  <c r="C154" i="14" s="1"/>
  <c r="E154" i="13"/>
  <c r="E154" i="14" s="1"/>
  <c r="R355" i="13"/>
  <c r="R355" i="14" s="1"/>
  <c r="F355" i="13"/>
  <c r="F355" i="14" s="1"/>
  <c r="Q355" i="13"/>
  <c r="Q355" i="14" s="1"/>
  <c r="I355" i="13"/>
  <c r="I355" i="14" s="1"/>
  <c r="L355" i="13"/>
  <c r="L355" i="14" s="1"/>
  <c r="K355" i="13"/>
  <c r="K355" i="14" s="1"/>
  <c r="O355" i="13"/>
  <c r="O355" i="14" s="1"/>
  <c r="H355" i="13"/>
  <c r="H355" i="14" s="1"/>
  <c r="D355" i="13"/>
  <c r="D355" i="14" s="1"/>
  <c r="S355" i="13"/>
  <c r="S355" i="14" s="1"/>
  <c r="G355" i="13"/>
  <c r="G355" i="14" s="1"/>
  <c r="N355" i="13"/>
  <c r="N355" i="14" s="1"/>
  <c r="M355" i="13"/>
  <c r="M355" i="14" s="1"/>
  <c r="J355" i="13"/>
  <c r="J355" i="14" s="1"/>
  <c r="C355" i="13"/>
  <c r="C355" i="14" s="1"/>
  <c r="E355" i="13"/>
  <c r="E355" i="14" s="1"/>
  <c r="R115" i="13"/>
  <c r="R115" i="14" s="1"/>
  <c r="F115" i="13"/>
  <c r="F115" i="14" s="1"/>
  <c r="M115" i="13"/>
  <c r="M115" i="14" s="1"/>
  <c r="K115" i="13"/>
  <c r="K115" i="14" s="1"/>
  <c r="Q115" i="13"/>
  <c r="Q115" i="14" s="1"/>
  <c r="I115" i="13"/>
  <c r="I115" i="14" s="1"/>
  <c r="L115" i="13"/>
  <c r="L115" i="14" s="1"/>
  <c r="H115" i="13"/>
  <c r="H115" i="14" s="1"/>
  <c r="O115" i="13"/>
  <c r="O115" i="14" s="1"/>
  <c r="D115" i="13"/>
  <c r="D115" i="14" s="1"/>
  <c r="S115" i="13"/>
  <c r="S115" i="14" s="1"/>
  <c r="G115" i="13"/>
  <c r="G115" i="14" s="1"/>
  <c r="N115" i="13"/>
  <c r="N115" i="14" s="1"/>
  <c r="J115" i="13"/>
  <c r="J115" i="14" s="1"/>
  <c r="C115" i="13"/>
  <c r="C115" i="14" s="1"/>
  <c r="E115" i="13"/>
  <c r="E115" i="14" s="1"/>
  <c r="D328" i="13"/>
  <c r="D328" i="14" s="1"/>
  <c r="S328" i="13"/>
  <c r="S328" i="14" s="1"/>
  <c r="G328" i="13"/>
  <c r="G328" i="14" s="1"/>
  <c r="J328" i="13"/>
  <c r="J328" i="14" s="1"/>
  <c r="N328" i="13"/>
  <c r="N328" i="14" s="1"/>
  <c r="O328" i="13"/>
  <c r="O328" i="14" s="1"/>
  <c r="R328" i="13"/>
  <c r="R328" i="14" s="1"/>
  <c r="F328" i="13"/>
  <c r="F328" i="14" s="1"/>
  <c r="M328" i="13"/>
  <c r="M328" i="14" s="1"/>
  <c r="L328" i="13"/>
  <c r="L328" i="14" s="1"/>
  <c r="I328" i="13"/>
  <c r="I328" i="14" s="1"/>
  <c r="H328" i="13"/>
  <c r="H328" i="14" s="1"/>
  <c r="K328" i="13"/>
  <c r="K328" i="14" s="1"/>
  <c r="Q328" i="13"/>
  <c r="Q328" i="14" s="1"/>
  <c r="C328" i="13"/>
  <c r="C328" i="14" s="1"/>
  <c r="E328" i="13"/>
  <c r="E328" i="14" s="1"/>
  <c r="AL331" i="1"/>
  <c r="B331" i="13" s="1"/>
  <c r="B331" i="14" s="1"/>
  <c r="M331" i="13"/>
  <c r="M331" i="14" s="1"/>
  <c r="K331" i="13"/>
  <c r="K331" i="14" s="1"/>
  <c r="Q331" i="13"/>
  <c r="Q331" i="14" s="1"/>
  <c r="I331" i="13"/>
  <c r="I331" i="14" s="1"/>
  <c r="L331" i="13"/>
  <c r="L331" i="14" s="1"/>
  <c r="F331" i="13"/>
  <c r="F331" i="14" s="1"/>
  <c r="O331" i="13"/>
  <c r="O331" i="14" s="1"/>
  <c r="H331" i="13"/>
  <c r="H331" i="14" s="1"/>
  <c r="J331" i="13"/>
  <c r="J331" i="14" s="1"/>
  <c r="R331" i="13"/>
  <c r="R331" i="14" s="1"/>
  <c r="D331" i="13"/>
  <c r="D331" i="14" s="1"/>
  <c r="S331" i="13"/>
  <c r="S331" i="14" s="1"/>
  <c r="G331" i="13"/>
  <c r="G331" i="14" s="1"/>
  <c r="N331" i="13"/>
  <c r="N331" i="14" s="1"/>
  <c r="C331" i="13"/>
  <c r="C331" i="14" s="1"/>
  <c r="E331" i="13"/>
  <c r="E331" i="14" s="1"/>
  <c r="AL104" i="1"/>
  <c r="B104" i="13" s="1"/>
  <c r="B104" i="14" s="1"/>
  <c r="E104" i="13"/>
  <c r="E104" i="14" s="1"/>
  <c r="O104" i="13"/>
  <c r="O104" i="14" s="1"/>
  <c r="I104" i="13"/>
  <c r="I104" i="14" s="1"/>
  <c r="S104" i="13"/>
  <c r="S104" i="14" s="1"/>
  <c r="D104" i="13"/>
  <c r="D104" i="14" s="1"/>
  <c r="N104" i="13"/>
  <c r="N104" i="14" s="1"/>
  <c r="H104" i="13"/>
  <c r="H104" i="14" s="1"/>
  <c r="R104" i="13"/>
  <c r="R104" i="14" s="1"/>
  <c r="G104" i="13"/>
  <c r="G104" i="14" s="1"/>
  <c r="J104" i="13"/>
  <c r="J104" i="14" s="1"/>
  <c r="M104" i="13"/>
  <c r="M104" i="14" s="1"/>
  <c r="L104" i="13"/>
  <c r="L104" i="14" s="1"/>
  <c r="K104" i="13"/>
  <c r="K104" i="14" s="1"/>
  <c r="F104" i="13"/>
  <c r="F104" i="14" s="1"/>
  <c r="Q104" i="13"/>
  <c r="Q104" i="14" s="1"/>
  <c r="C104" i="13"/>
  <c r="C104" i="14" s="1"/>
  <c r="M265" i="13"/>
  <c r="M265" i="14" s="1"/>
  <c r="K265" i="13"/>
  <c r="K265" i="14" s="1"/>
  <c r="Q265" i="13"/>
  <c r="Q265" i="14" s="1"/>
  <c r="I265" i="13"/>
  <c r="I265" i="14" s="1"/>
  <c r="L265" i="13"/>
  <c r="L265" i="14" s="1"/>
  <c r="R265" i="13"/>
  <c r="R265" i="14" s="1"/>
  <c r="F265" i="13"/>
  <c r="F265" i="14" s="1"/>
  <c r="O265" i="13"/>
  <c r="O265" i="14" s="1"/>
  <c r="H265" i="13"/>
  <c r="H265" i="14" s="1"/>
  <c r="N265" i="13"/>
  <c r="N265" i="14" s="1"/>
  <c r="J265" i="13"/>
  <c r="J265" i="14" s="1"/>
  <c r="D265" i="13"/>
  <c r="D265" i="14" s="1"/>
  <c r="G265" i="13"/>
  <c r="G265" i="14" s="1"/>
  <c r="S265" i="13"/>
  <c r="S265" i="14" s="1"/>
  <c r="C265" i="13"/>
  <c r="C265" i="14" s="1"/>
  <c r="E265" i="13"/>
  <c r="E265" i="14" s="1"/>
  <c r="H324" i="13"/>
  <c r="H324" i="14" s="1"/>
  <c r="O324" i="13"/>
  <c r="O324" i="14" s="1"/>
  <c r="S324" i="13"/>
  <c r="S324" i="14" s="1"/>
  <c r="G324" i="13"/>
  <c r="G324" i="14" s="1"/>
  <c r="N324" i="13"/>
  <c r="N324" i="14" s="1"/>
  <c r="J324" i="13"/>
  <c r="J324" i="14" s="1"/>
  <c r="R324" i="13"/>
  <c r="R324" i="14" s="1"/>
  <c r="F324" i="13"/>
  <c r="F324" i="14" s="1"/>
  <c r="K324" i="13"/>
  <c r="K324" i="14" s="1"/>
  <c r="D324" i="13"/>
  <c r="D324" i="14" s="1"/>
  <c r="M324" i="13"/>
  <c r="M324" i="14" s="1"/>
  <c r="L324" i="13"/>
  <c r="L324" i="14" s="1"/>
  <c r="Q324" i="13"/>
  <c r="Q324" i="14" s="1"/>
  <c r="I324" i="13"/>
  <c r="I324" i="14" s="1"/>
  <c r="C324" i="13"/>
  <c r="C324" i="14" s="1"/>
  <c r="E324" i="13"/>
  <c r="E324" i="14" s="1"/>
  <c r="AL112" i="1"/>
  <c r="B112" i="13" s="1"/>
  <c r="B112" i="14" s="1"/>
  <c r="D112" i="13"/>
  <c r="D112" i="14" s="1"/>
  <c r="O112" i="13"/>
  <c r="O112" i="14" s="1"/>
  <c r="H112" i="13"/>
  <c r="H112" i="14" s="1"/>
  <c r="S112" i="13"/>
  <c r="S112" i="14" s="1"/>
  <c r="G112" i="13"/>
  <c r="G112" i="14" s="1"/>
  <c r="N112" i="13"/>
  <c r="N112" i="14" s="1"/>
  <c r="J112" i="13"/>
  <c r="J112" i="14" s="1"/>
  <c r="R112" i="13"/>
  <c r="R112" i="14" s="1"/>
  <c r="F112" i="13"/>
  <c r="F112" i="14" s="1"/>
  <c r="K112" i="13"/>
  <c r="K112" i="14" s="1"/>
  <c r="M112" i="13"/>
  <c r="M112" i="14" s="1"/>
  <c r="L112" i="13"/>
  <c r="L112" i="14" s="1"/>
  <c r="Q112" i="13"/>
  <c r="Q112" i="14" s="1"/>
  <c r="I112" i="13"/>
  <c r="I112" i="14" s="1"/>
  <c r="C112" i="13"/>
  <c r="C112" i="14" s="1"/>
  <c r="E112" i="13"/>
  <c r="E112" i="14" s="1"/>
  <c r="M363" i="13"/>
  <c r="M363" i="14" s="1"/>
  <c r="K363" i="13"/>
  <c r="K363" i="14" s="1"/>
  <c r="Q363" i="13"/>
  <c r="Q363" i="14" s="1"/>
  <c r="I363" i="13"/>
  <c r="I363" i="14" s="1"/>
  <c r="L363" i="13"/>
  <c r="L363" i="14" s="1"/>
  <c r="F363" i="13"/>
  <c r="F363" i="14" s="1"/>
  <c r="O363" i="13"/>
  <c r="O363" i="14" s="1"/>
  <c r="H363" i="13"/>
  <c r="H363" i="14" s="1"/>
  <c r="D363" i="13"/>
  <c r="D363" i="14" s="1"/>
  <c r="S363" i="13"/>
  <c r="S363" i="14" s="1"/>
  <c r="G363" i="13"/>
  <c r="G363" i="14" s="1"/>
  <c r="N363" i="13"/>
  <c r="N363" i="14" s="1"/>
  <c r="R363" i="13"/>
  <c r="R363" i="14" s="1"/>
  <c r="J363" i="13"/>
  <c r="J363" i="14" s="1"/>
  <c r="C363" i="13"/>
  <c r="C363" i="14" s="1"/>
  <c r="E363" i="13"/>
  <c r="E363" i="14" s="1"/>
  <c r="F383" i="13"/>
  <c r="F383" i="14" s="1"/>
  <c r="Q383" i="13"/>
  <c r="Q383" i="14" s="1"/>
  <c r="I383" i="13"/>
  <c r="I383" i="14" s="1"/>
  <c r="L383" i="13"/>
  <c r="L383" i="14" s="1"/>
  <c r="K383" i="13"/>
  <c r="K383" i="14" s="1"/>
  <c r="M383" i="13"/>
  <c r="M383" i="14" s="1"/>
  <c r="O383" i="13"/>
  <c r="O383" i="14" s="1"/>
  <c r="H383" i="13"/>
  <c r="H383" i="14" s="1"/>
  <c r="D383" i="13"/>
  <c r="D383" i="14" s="1"/>
  <c r="J383" i="13"/>
  <c r="J383" i="14" s="1"/>
  <c r="R383" i="13"/>
  <c r="R383" i="14" s="1"/>
  <c r="S383" i="13"/>
  <c r="S383" i="14" s="1"/>
  <c r="G383" i="13"/>
  <c r="G383" i="14" s="1"/>
  <c r="N383" i="13"/>
  <c r="N383" i="14" s="1"/>
  <c r="C383" i="13"/>
  <c r="C383" i="14" s="1"/>
  <c r="E383" i="13"/>
  <c r="E383" i="14" s="1"/>
  <c r="O118" i="13"/>
  <c r="O118" i="14" s="1"/>
  <c r="H118" i="13"/>
  <c r="H118" i="14" s="1"/>
  <c r="D118" i="13"/>
  <c r="D118" i="14" s="1"/>
  <c r="N118" i="13"/>
  <c r="N118" i="14" s="1"/>
  <c r="J118" i="13"/>
  <c r="J118" i="14" s="1"/>
  <c r="S118" i="13"/>
  <c r="S118" i="14" s="1"/>
  <c r="G118" i="13"/>
  <c r="G118" i="14" s="1"/>
  <c r="R118" i="13"/>
  <c r="R118" i="14" s="1"/>
  <c r="M118" i="13"/>
  <c r="M118" i="14" s="1"/>
  <c r="K118" i="13"/>
  <c r="K118" i="14" s="1"/>
  <c r="F118" i="13"/>
  <c r="F118" i="14" s="1"/>
  <c r="Q118" i="13"/>
  <c r="Q118" i="14" s="1"/>
  <c r="I118" i="13"/>
  <c r="I118" i="14" s="1"/>
  <c r="L118" i="13"/>
  <c r="L118" i="14" s="1"/>
  <c r="C118" i="13"/>
  <c r="C118" i="14" s="1"/>
  <c r="E118" i="13"/>
  <c r="E118" i="14" s="1"/>
  <c r="R205" i="13"/>
  <c r="R205" i="14" s="1"/>
  <c r="F205" i="13"/>
  <c r="F205" i="14" s="1"/>
  <c r="M205" i="13"/>
  <c r="M205" i="14" s="1"/>
  <c r="K205" i="13"/>
  <c r="K205" i="14" s="1"/>
  <c r="L205" i="13"/>
  <c r="L205" i="14" s="1"/>
  <c r="Q205" i="13"/>
  <c r="Q205" i="14" s="1"/>
  <c r="D205" i="13"/>
  <c r="D205" i="14" s="1"/>
  <c r="H205" i="13"/>
  <c r="H205" i="14" s="1"/>
  <c r="I205" i="13"/>
  <c r="I205" i="14" s="1"/>
  <c r="O205" i="13"/>
  <c r="O205" i="14" s="1"/>
  <c r="N205" i="13"/>
  <c r="N205" i="14" s="1"/>
  <c r="J205" i="13"/>
  <c r="J205" i="14" s="1"/>
  <c r="S205" i="13"/>
  <c r="S205" i="14" s="1"/>
  <c r="G205" i="13"/>
  <c r="G205" i="14" s="1"/>
  <c r="C205" i="13"/>
  <c r="C205" i="14" s="1"/>
  <c r="E205" i="13"/>
  <c r="E205" i="14" s="1"/>
  <c r="O110" i="13"/>
  <c r="O110" i="14" s="1"/>
  <c r="H110" i="13"/>
  <c r="H110" i="14" s="1"/>
  <c r="D110" i="13"/>
  <c r="D110" i="14" s="1"/>
  <c r="N110" i="13"/>
  <c r="N110" i="14" s="1"/>
  <c r="J110" i="13"/>
  <c r="J110" i="14" s="1"/>
  <c r="S110" i="13"/>
  <c r="S110" i="14" s="1"/>
  <c r="G110" i="13"/>
  <c r="G110" i="14" s="1"/>
  <c r="M110" i="13"/>
  <c r="M110" i="14" s="1"/>
  <c r="K110" i="13"/>
  <c r="K110" i="14" s="1"/>
  <c r="F110" i="13"/>
  <c r="F110" i="14" s="1"/>
  <c r="R110" i="13"/>
  <c r="R110" i="14" s="1"/>
  <c r="Q110" i="13"/>
  <c r="Q110" i="14" s="1"/>
  <c r="I110" i="13"/>
  <c r="I110" i="14" s="1"/>
  <c r="L110" i="13"/>
  <c r="L110" i="14" s="1"/>
  <c r="C110" i="13"/>
  <c r="C110" i="14" s="1"/>
  <c r="E110" i="13"/>
  <c r="E110" i="14" s="1"/>
  <c r="F437" i="13"/>
  <c r="F437" i="14" s="1"/>
  <c r="R437" i="13"/>
  <c r="R437" i="14" s="1"/>
  <c r="L437" i="13"/>
  <c r="L437" i="14" s="1"/>
  <c r="Q437" i="13"/>
  <c r="Q437" i="14" s="1"/>
  <c r="I437" i="13"/>
  <c r="I437" i="14" s="1"/>
  <c r="K437" i="13"/>
  <c r="K437" i="14" s="1"/>
  <c r="D437" i="13"/>
  <c r="D437" i="14" s="1"/>
  <c r="G437" i="13"/>
  <c r="G437" i="14" s="1"/>
  <c r="N437" i="13"/>
  <c r="N437" i="14" s="1"/>
  <c r="J437" i="13"/>
  <c r="J437" i="14" s="1"/>
  <c r="S437" i="13"/>
  <c r="S437" i="14" s="1"/>
  <c r="M437" i="13"/>
  <c r="M437" i="14" s="1"/>
  <c r="H437" i="13"/>
  <c r="H437" i="14" s="1"/>
  <c r="O437" i="13"/>
  <c r="O437" i="14" s="1"/>
  <c r="C437" i="13"/>
  <c r="C437" i="14" s="1"/>
  <c r="E437" i="13"/>
  <c r="E437" i="14" s="1"/>
  <c r="R321" i="13"/>
  <c r="R321" i="14" s="1"/>
  <c r="F321" i="13"/>
  <c r="F321" i="14" s="1"/>
  <c r="L321" i="13"/>
  <c r="L321" i="14" s="1"/>
  <c r="I321" i="13"/>
  <c r="I321" i="14" s="1"/>
  <c r="Q321" i="13"/>
  <c r="Q321" i="14" s="1"/>
  <c r="M321" i="13"/>
  <c r="M321" i="14" s="1"/>
  <c r="D321" i="13"/>
  <c r="D321" i="14" s="1"/>
  <c r="K321" i="13"/>
  <c r="K321" i="14" s="1"/>
  <c r="O321" i="13"/>
  <c r="O321" i="14" s="1"/>
  <c r="S321" i="13"/>
  <c r="S321" i="14" s="1"/>
  <c r="N321" i="13"/>
  <c r="N321" i="14" s="1"/>
  <c r="J321" i="13"/>
  <c r="J321" i="14" s="1"/>
  <c r="H321" i="13"/>
  <c r="H321" i="14" s="1"/>
  <c r="G321" i="13"/>
  <c r="G321" i="14" s="1"/>
  <c r="C321" i="13"/>
  <c r="C321" i="14" s="1"/>
  <c r="E321" i="13"/>
  <c r="E321" i="14" s="1"/>
  <c r="D410" i="13"/>
  <c r="D410" i="14" s="1"/>
  <c r="N410" i="13"/>
  <c r="N410" i="14" s="1"/>
  <c r="J410" i="13"/>
  <c r="J410" i="14" s="1"/>
  <c r="S410" i="13"/>
  <c r="S410" i="14" s="1"/>
  <c r="G410" i="13"/>
  <c r="G410" i="14" s="1"/>
  <c r="H410" i="13"/>
  <c r="H410" i="14" s="1"/>
  <c r="M410" i="13"/>
  <c r="M410" i="14" s="1"/>
  <c r="K410" i="13"/>
  <c r="K410" i="14" s="1"/>
  <c r="R410" i="13"/>
  <c r="R410" i="14" s="1"/>
  <c r="F410" i="13"/>
  <c r="F410" i="14" s="1"/>
  <c r="L410" i="13"/>
  <c r="L410" i="14" s="1"/>
  <c r="Q410" i="13"/>
  <c r="Q410" i="14" s="1"/>
  <c r="I410" i="13"/>
  <c r="I410" i="14" s="1"/>
  <c r="O410" i="13"/>
  <c r="O410" i="14" s="1"/>
  <c r="C410" i="13"/>
  <c r="C410" i="14" s="1"/>
  <c r="E410" i="13"/>
  <c r="E410" i="14" s="1"/>
  <c r="D82" i="13"/>
  <c r="D82" i="14" s="1"/>
  <c r="O82" i="13"/>
  <c r="O82" i="14" s="1"/>
  <c r="H82" i="13"/>
  <c r="H82" i="14" s="1"/>
  <c r="S82" i="13"/>
  <c r="S82" i="14" s="1"/>
  <c r="G82" i="13"/>
  <c r="G82" i="14" s="1"/>
  <c r="N82" i="13"/>
  <c r="N82" i="14" s="1"/>
  <c r="J82" i="13"/>
  <c r="J82" i="14" s="1"/>
  <c r="R82" i="13"/>
  <c r="R82" i="14" s="1"/>
  <c r="F82" i="13"/>
  <c r="F82" i="14" s="1"/>
  <c r="M82" i="13"/>
  <c r="M82" i="14" s="1"/>
  <c r="L82" i="13"/>
  <c r="L82" i="14" s="1"/>
  <c r="K82" i="13"/>
  <c r="K82" i="14" s="1"/>
  <c r="I82" i="13"/>
  <c r="I82" i="14" s="1"/>
  <c r="Q82" i="13"/>
  <c r="Q82" i="14" s="1"/>
  <c r="C82" i="13"/>
  <c r="C82" i="14" s="1"/>
  <c r="E82" i="13"/>
  <c r="E82" i="14" s="1"/>
  <c r="AL90" i="1"/>
  <c r="B90" i="13" s="1"/>
  <c r="B90" i="14" s="1"/>
  <c r="D90" i="13"/>
  <c r="D90" i="14" s="1"/>
  <c r="O90" i="13"/>
  <c r="O90" i="14" s="1"/>
  <c r="H90" i="13"/>
  <c r="H90" i="14" s="1"/>
  <c r="S90" i="13"/>
  <c r="S90" i="14" s="1"/>
  <c r="G90" i="13"/>
  <c r="G90" i="14" s="1"/>
  <c r="N90" i="13"/>
  <c r="N90" i="14" s="1"/>
  <c r="J90" i="13"/>
  <c r="J90" i="14" s="1"/>
  <c r="R90" i="13"/>
  <c r="R90" i="14" s="1"/>
  <c r="F90" i="13"/>
  <c r="F90" i="14" s="1"/>
  <c r="K90" i="13"/>
  <c r="K90" i="14" s="1"/>
  <c r="M90" i="13"/>
  <c r="M90" i="14" s="1"/>
  <c r="L90" i="13"/>
  <c r="L90" i="14" s="1"/>
  <c r="Q90" i="13"/>
  <c r="Q90" i="14" s="1"/>
  <c r="I90" i="13"/>
  <c r="I90" i="14" s="1"/>
  <c r="C90" i="13"/>
  <c r="C90" i="14" s="1"/>
  <c r="E90" i="13"/>
  <c r="E90" i="14" s="1"/>
  <c r="AL202" i="1"/>
  <c r="B202" i="13" s="1"/>
  <c r="B202" i="14" s="1"/>
  <c r="D202" i="13"/>
  <c r="D202" i="14" s="1"/>
  <c r="O202" i="13"/>
  <c r="O202" i="14" s="1"/>
  <c r="H202" i="13"/>
  <c r="H202" i="14" s="1"/>
  <c r="N202" i="13"/>
  <c r="N202" i="14" s="1"/>
  <c r="J202" i="13"/>
  <c r="J202" i="14" s="1"/>
  <c r="M202" i="13"/>
  <c r="M202" i="14" s="1"/>
  <c r="K202" i="13"/>
  <c r="K202" i="14" s="1"/>
  <c r="G202" i="13"/>
  <c r="G202" i="14" s="1"/>
  <c r="F202" i="13"/>
  <c r="F202" i="14" s="1"/>
  <c r="R202" i="13"/>
  <c r="R202" i="14" s="1"/>
  <c r="L202" i="13"/>
  <c r="L202" i="14" s="1"/>
  <c r="Q202" i="13"/>
  <c r="Q202" i="14" s="1"/>
  <c r="I202" i="13"/>
  <c r="I202" i="14" s="1"/>
  <c r="S202" i="13"/>
  <c r="S202" i="14" s="1"/>
  <c r="C202" i="13"/>
  <c r="C202" i="14" s="1"/>
  <c r="E202" i="13"/>
  <c r="E202" i="14" s="1"/>
  <c r="AL66" i="1"/>
  <c r="B66" i="13" s="1"/>
  <c r="B66" i="14" s="1"/>
  <c r="N66" i="13"/>
  <c r="N66" i="14" s="1"/>
  <c r="J66" i="13"/>
  <c r="J66" i="14" s="1"/>
  <c r="S66" i="13"/>
  <c r="S66" i="14" s="1"/>
  <c r="G66" i="13"/>
  <c r="G66" i="14" s="1"/>
  <c r="M66" i="13"/>
  <c r="M66" i="14" s="1"/>
  <c r="K66" i="13"/>
  <c r="K66" i="14" s="1"/>
  <c r="R66" i="13"/>
  <c r="R66" i="14" s="1"/>
  <c r="F66" i="13"/>
  <c r="F66" i="14" s="1"/>
  <c r="L66" i="13"/>
  <c r="L66" i="14" s="1"/>
  <c r="Q66" i="13"/>
  <c r="Q66" i="14" s="1"/>
  <c r="O66" i="13"/>
  <c r="O66" i="14" s="1"/>
  <c r="H66" i="13"/>
  <c r="H66" i="14" s="1"/>
  <c r="D66" i="13"/>
  <c r="D66" i="14" s="1"/>
  <c r="I66" i="13"/>
  <c r="I66" i="14" s="1"/>
  <c r="C66" i="13"/>
  <c r="C66" i="14" s="1"/>
  <c r="E66" i="13"/>
  <c r="E66" i="14" s="1"/>
  <c r="AK150" i="1"/>
  <c r="O150" i="13"/>
  <c r="O150" i="14" s="1"/>
  <c r="H150" i="13"/>
  <c r="H150" i="14" s="1"/>
  <c r="D150" i="13"/>
  <c r="D150" i="14" s="1"/>
  <c r="N150" i="13"/>
  <c r="N150" i="14" s="1"/>
  <c r="J150" i="13"/>
  <c r="J150" i="14" s="1"/>
  <c r="S150" i="13"/>
  <c r="S150" i="14" s="1"/>
  <c r="G150" i="13"/>
  <c r="G150" i="14" s="1"/>
  <c r="R150" i="13"/>
  <c r="R150" i="14" s="1"/>
  <c r="M150" i="13"/>
  <c r="M150" i="14" s="1"/>
  <c r="K150" i="13"/>
  <c r="K150" i="14" s="1"/>
  <c r="Q150" i="13"/>
  <c r="Q150" i="14" s="1"/>
  <c r="I150" i="13"/>
  <c r="I150" i="14" s="1"/>
  <c r="L150" i="13"/>
  <c r="L150" i="14" s="1"/>
  <c r="F150" i="13"/>
  <c r="F150" i="14" s="1"/>
  <c r="C150" i="13"/>
  <c r="C150" i="14" s="1"/>
  <c r="E150" i="13"/>
  <c r="E150" i="14" s="1"/>
  <c r="AL148" i="1"/>
  <c r="B148" i="13" s="1"/>
  <c r="B148" i="14" s="1"/>
  <c r="D148" i="13"/>
  <c r="D148" i="14" s="1"/>
  <c r="O148" i="13"/>
  <c r="O148" i="14" s="1"/>
  <c r="H148" i="13"/>
  <c r="H148" i="14" s="1"/>
  <c r="S148" i="13"/>
  <c r="S148" i="14" s="1"/>
  <c r="G148" i="13"/>
  <c r="G148" i="14" s="1"/>
  <c r="N148" i="13"/>
  <c r="N148" i="14" s="1"/>
  <c r="J148" i="13"/>
  <c r="J148" i="14" s="1"/>
  <c r="K148" i="13"/>
  <c r="K148" i="14" s="1"/>
  <c r="R148" i="13"/>
  <c r="R148" i="14" s="1"/>
  <c r="F148" i="13"/>
  <c r="F148" i="14" s="1"/>
  <c r="M148" i="13"/>
  <c r="M148" i="14" s="1"/>
  <c r="Q148" i="13"/>
  <c r="Q148" i="14" s="1"/>
  <c r="L148" i="13"/>
  <c r="L148" i="14" s="1"/>
  <c r="I148" i="13"/>
  <c r="I148" i="14" s="1"/>
  <c r="C148" i="13"/>
  <c r="C148" i="14" s="1"/>
  <c r="E148" i="13"/>
  <c r="E148" i="14" s="1"/>
  <c r="AK221" i="1"/>
  <c r="F221" i="13"/>
  <c r="F221" i="14" s="1"/>
  <c r="R221" i="13"/>
  <c r="R221" i="14" s="1"/>
  <c r="Q221" i="13"/>
  <c r="Q221" i="14" s="1"/>
  <c r="I221" i="13"/>
  <c r="I221" i="14" s="1"/>
  <c r="L221" i="13"/>
  <c r="L221" i="14" s="1"/>
  <c r="H221" i="13"/>
  <c r="H221" i="14" s="1"/>
  <c r="M221" i="13"/>
  <c r="M221" i="14" s="1"/>
  <c r="K221" i="13"/>
  <c r="K221" i="14" s="1"/>
  <c r="G221" i="13"/>
  <c r="G221" i="14" s="1"/>
  <c r="O221" i="13"/>
  <c r="O221" i="14" s="1"/>
  <c r="N221" i="13"/>
  <c r="N221" i="14" s="1"/>
  <c r="J221" i="13"/>
  <c r="J221" i="14" s="1"/>
  <c r="D221" i="13"/>
  <c r="D221" i="14" s="1"/>
  <c r="S221" i="13"/>
  <c r="S221" i="14" s="1"/>
  <c r="C221" i="13"/>
  <c r="C221" i="14" s="1"/>
  <c r="E221" i="13"/>
  <c r="E221" i="14" s="1"/>
  <c r="AL303" i="1"/>
  <c r="B303" i="13" s="1"/>
  <c r="B303" i="14" s="1"/>
  <c r="R303" i="13"/>
  <c r="R303" i="14" s="1"/>
  <c r="F303" i="13"/>
  <c r="F303" i="14" s="1"/>
  <c r="L303" i="13"/>
  <c r="L303" i="14" s="1"/>
  <c r="Q303" i="13"/>
  <c r="Q303" i="14" s="1"/>
  <c r="I303" i="13"/>
  <c r="I303" i="14" s="1"/>
  <c r="K303" i="13"/>
  <c r="K303" i="14" s="1"/>
  <c r="O303" i="13"/>
  <c r="O303" i="14" s="1"/>
  <c r="H303" i="13"/>
  <c r="H303" i="14" s="1"/>
  <c r="D303" i="13"/>
  <c r="D303" i="14" s="1"/>
  <c r="M303" i="13"/>
  <c r="M303" i="14" s="1"/>
  <c r="S303" i="13"/>
  <c r="S303" i="14" s="1"/>
  <c r="G303" i="13"/>
  <c r="G303" i="14" s="1"/>
  <c r="N303" i="13"/>
  <c r="N303" i="14" s="1"/>
  <c r="J303" i="13"/>
  <c r="J303" i="14" s="1"/>
  <c r="C303" i="13"/>
  <c r="C303" i="14" s="1"/>
  <c r="E303" i="13"/>
  <c r="E303" i="14" s="1"/>
  <c r="AL240" i="1"/>
  <c r="B240" i="13" s="1"/>
  <c r="B240" i="14" s="1"/>
  <c r="O240" i="13"/>
  <c r="O240" i="14" s="1"/>
  <c r="H240" i="13"/>
  <c r="H240" i="14" s="1"/>
  <c r="S240" i="13"/>
  <c r="S240" i="14" s="1"/>
  <c r="G240" i="13"/>
  <c r="G240" i="14" s="1"/>
  <c r="N240" i="13"/>
  <c r="N240" i="14" s="1"/>
  <c r="J240" i="13"/>
  <c r="J240" i="14" s="1"/>
  <c r="D240" i="13"/>
  <c r="D240" i="14" s="1"/>
  <c r="Q240" i="13"/>
  <c r="Q240" i="14" s="1"/>
  <c r="M240" i="13"/>
  <c r="M240" i="14" s="1"/>
  <c r="K240" i="13"/>
  <c r="K240" i="14" s="1"/>
  <c r="L240" i="13"/>
  <c r="L240" i="14" s="1"/>
  <c r="F240" i="13"/>
  <c r="F240" i="14" s="1"/>
  <c r="I240" i="13"/>
  <c r="I240" i="14" s="1"/>
  <c r="R240" i="13"/>
  <c r="R240" i="14" s="1"/>
  <c r="C240" i="13"/>
  <c r="C240" i="14" s="1"/>
  <c r="E240" i="13"/>
  <c r="E240" i="14" s="1"/>
  <c r="AL423" i="1"/>
  <c r="B423" i="13" s="1"/>
  <c r="B423" i="14" s="1"/>
  <c r="R423" i="13"/>
  <c r="R423" i="14" s="1"/>
  <c r="F423" i="13"/>
  <c r="F423" i="14" s="1"/>
  <c r="Q423" i="13"/>
  <c r="Q423" i="14" s="1"/>
  <c r="I423" i="13"/>
  <c r="I423" i="14" s="1"/>
  <c r="L423" i="13"/>
  <c r="L423" i="14" s="1"/>
  <c r="K423" i="13"/>
  <c r="K423" i="14" s="1"/>
  <c r="O423" i="13"/>
  <c r="O423" i="14" s="1"/>
  <c r="H423" i="13"/>
  <c r="H423" i="14" s="1"/>
  <c r="N423" i="13"/>
  <c r="N423" i="14" s="1"/>
  <c r="M423" i="13"/>
  <c r="M423" i="14" s="1"/>
  <c r="S423" i="13"/>
  <c r="S423" i="14" s="1"/>
  <c r="G423" i="13"/>
  <c r="G423" i="14" s="1"/>
  <c r="J423" i="13"/>
  <c r="J423" i="14" s="1"/>
  <c r="D423" i="13"/>
  <c r="D423" i="14" s="1"/>
  <c r="C423" i="13"/>
  <c r="C423" i="14" s="1"/>
  <c r="E423" i="13"/>
  <c r="E423" i="14" s="1"/>
  <c r="M161" i="13"/>
  <c r="M161" i="14" s="1"/>
  <c r="K161" i="13"/>
  <c r="K161" i="14" s="1"/>
  <c r="R161" i="13"/>
  <c r="R161" i="14" s="1"/>
  <c r="F161" i="13"/>
  <c r="F161" i="14" s="1"/>
  <c r="L161" i="13"/>
  <c r="L161" i="14" s="1"/>
  <c r="Q161" i="13"/>
  <c r="Q161" i="14" s="1"/>
  <c r="I161" i="13"/>
  <c r="I161" i="14" s="1"/>
  <c r="D161" i="13"/>
  <c r="D161" i="14" s="1"/>
  <c r="H161" i="13"/>
  <c r="H161" i="14" s="1"/>
  <c r="G161" i="13"/>
  <c r="G161" i="14" s="1"/>
  <c r="O161" i="13"/>
  <c r="O161" i="14" s="1"/>
  <c r="N161" i="13"/>
  <c r="N161" i="14" s="1"/>
  <c r="J161" i="13"/>
  <c r="J161" i="14" s="1"/>
  <c r="S161" i="13"/>
  <c r="S161" i="14" s="1"/>
  <c r="C161" i="13"/>
  <c r="C161" i="14" s="1"/>
  <c r="E161" i="13"/>
  <c r="E161" i="14" s="1"/>
  <c r="AK85" i="1"/>
  <c r="R85" i="13"/>
  <c r="R85" i="14" s="1"/>
  <c r="F85" i="13"/>
  <c r="F85" i="14" s="1"/>
  <c r="M85" i="13"/>
  <c r="M85" i="14" s="1"/>
  <c r="K85" i="13"/>
  <c r="K85" i="14" s="1"/>
  <c r="Q85" i="13"/>
  <c r="Q85" i="14" s="1"/>
  <c r="I85" i="13"/>
  <c r="I85" i="14" s="1"/>
  <c r="L85" i="13"/>
  <c r="L85" i="14" s="1"/>
  <c r="O85" i="13"/>
  <c r="O85" i="14" s="1"/>
  <c r="H85" i="13"/>
  <c r="H85" i="14" s="1"/>
  <c r="G85" i="13"/>
  <c r="G85" i="14" s="1"/>
  <c r="J85" i="13"/>
  <c r="J85" i="14" s="1"/>
  <c r="D85" i="13"/>
  <c r="D85" i="14" s="1"/>
  <c r="S85" i="13"/>
  <c r="S85" i="14" s="1"/>
  <c r="N85" i="13"/>
  <c r="N85" i="14" s="1"/>
  <c r="C85" i="13"/>
  <c r="C85" i="14" s="1"/>
  <c r="E85" i="13"/>
  <c r="E85" i="14" s="1"/>
  <c r="AL279" i="1"/>
  <c r="B279" i="13" s="1"/>
  <c r="B279" i="14" s="1"/>
  <c r="F279" i="13"/>
  <c r="F279" i="14" s="1"/>
  <c r="R279" i="13"/>
  <c r="R279" i="14" s="1"/>
  <c r="L279" i="13"/>
  <c r="L279" i="14" s="1"/>
  <c r="Q279" i="13"/>
  <c r="Q279" i="14" s="1"/>
  <c r="I279" i="13"/>
  <c r="I279" i="14" s="1"/>
  <c r="K279" i="13"/>
  <c r="K279" i="14" s="1"/>
  <c r="M279" i="13"/>
  <c r="M279" i="14" s="1"/>
  <c r="H279" i="13"/>
  <c r="H279" i="14" s="1"/>
  <c r="D279" i="13"/>
  <c r="D279" i="14" s="1"/>
  <c r="S279" i="13"/>
  <c r="S279" i="14" s="1"/>
  <c r="G279" i="13"/>
  <c r="G279" i="14" s="1"/>
  <c r="O279" i="13"/>
  <c r="O279" i="14" s="1"/>
  <c r="N279" i="13"/>
  <c r="N279" i="14" s="1"/>
  <c r="J279" i="13"/>
  <c r="J279" i="14" s="1"/>
  <c r="C279" i="13"/>
  <c r="C279" i="14" s="1"/>
  <c r="E279" i="13"/>
  <c r="E279" i="14" s="1"/>
  <c r="AL235" i="1"/>
  <c r="B235" i="13" s="1"/>
  <c r="B235" i="14" s="1"/>
  <c r="M235" i="13"/>
  <c r="M235" i="14" s="1"/>
  <c r="K235" i="13"/>
  <c r="K235" i="14" s="1"/>
  <c r="L235" i="13"/>
  <c r="L235" i="14" s="1"/>
  <c r="Q235" i="13"/>
  <c r="Q235" i="14" s="1"/>
  <c r="I235" i="13"/>
  <c r="I235" i="14" s="1"/>
  <c r="R235" i="13"/>
  <c r="R235" i="14" s="1"/>
  <c r="F235" i="13"/>
  <c r="F235" i="14" s="1"/>
  <c r="O235" i="13"/>
  <c r="O235" i="14" s="1"/>
  <c r="N235" i="13"/>
  <c r="N235" i="14" s="1"/>
  <c r="D235" i="13"/>
  <c r="D235" i="14" s="1"/>
  <c r="S235" i="13"/>
  <c r="S235" i="14" s="1"/>
  <c r="G235" i="13"/>
  <c r="G235" i="14" s="1"/>
  <c r="H235" i="13"/>
  <c r="H235" i="14" s="1"/>
  <c r="J235" i="13"/>
  <c r="J235" i="14" s="1"/>
  <c r="C235" i="13"/>
  <c r="C235" i="14" s="1"/>
  <c r="E235" i="13"/>
  <c r="E235" i="14" s="1"/>
  <c r="AL203" i="1"/>
  <c r="B203" i="13" s="1"/>
  <c r="B203" i="14" s="1"/>
  <c r="M203" i="13"/>
  <c r="M203" i="14" s="1"/>
  <c r="K203" i="13"/>
  <c r="K203" i="14" s="1"/>
  <c r="R203" i="13"/>
  <c r="R203" i="14" s="1"/>
  <c r="F203" i="13"/>
  <c r="F203" i="14" s="1"/>
  <c r="Q203" i="13"/>
  <c r="Q203" i="14" s="1"/>
  <c r="I203" i="13"/>
  <c r="I203" i="14" s="1"/>
  <c r="L203" i="13"/>
  <c r="L203" i="14" s="1"/>
  <c r="O203" i="13"/>
  <c r="O203" i="14" s="1"/>
  <c r="H203" i="13"/>
  <c r="H203" i="14" s="1"/>
  <c r="D203" i="13"/>
  <c r="D203" i="14" s="1"/>
  <c r="N203" i="13"/>
  <c r="N203" i="14" s="1"/>
  <c r="S203" i="13"/>
  <c r="S203" i="14" s="1"/>
  <c r="G203" i="13"/>
  <c r="G203" i="14" s="1"/>
  <c r="J203" i="13"/>
  <c r="J203" i="14" s="1"/>
  <c r="C203" i="13"/>
  <c r="C203" i="14" s="1"/>
  <c r="E203" i="13"/>
  <c r="E203" i="14" s="1"/>
  <c r="R171" i="13"/>
  <c r="R171" i="14" s="1"/>
  <c r="F171" i="13"/>
  <c r="F171" i="14" s="1"/>
  <c r="K171" i="13"/>
  <c r="K171" i="14" s="1"/>
  <c r="M171" i="13"/>
  <c r="M171" i="14" s="1"/>
  <c r="L171" i="13"/>
  <c r="L171" i="14" s="1"/>
  <c r="Q171" i="13"/>
  <c r="Q171" i="14" s="1"/>
  <c r="I171" i="13"/>
  <c r="I171" i="14" s="1"/>
  <c r="O171" i="13"/>
  <c r="O171" i="14" s="1"/>
  <c r="H171" i="13"/>
  <c r="H171" i="14" s="1"/>
  <c r="D171" i="13"/>
  <c r="D171" i="14" s="1"/>
  <c r="J171" i="13"/>
  <c r="J171" i="14" s="1"/>
  <c r="S171" i="13"/>
  <c r="S171" i="14" s="1"/>
  <c r="G171" i="13"/>
  <c r="G171" i="14" s="1"/>
  <c r="N171" i="13"/>
  <c r="N171" i="14" s="1"/>
  <c r="C171" i="13"/>
  <c r="C171" i="14" s="1"/>
  <c r="E171" i="13"/>
  <c r="E171" i="14" s="1"/>
  <c r="M75" i="13"/>
  <c r="M75" i="14" s="1"/>
  <c r="K75" i="13"/>
  <c r="K75" i="14" s="1"/>
  <c r="R75" i="13"/>
  <c r="R75" i="14" s="1"/>
  <c r="F75" i="13"/>
  <c r="F75" i="14" s="1"/>
  <c r="L75" i="13"/>
  <c r="L75" i="14" s="1"/>
  <c r="Q75" i="13"/>
  <c r="Q75" i="14" s="1"/>
  <c r="I75" i="13"/>
  <c r="I75" i="14" s="1"/>
  <c r="D75" i="13"/>
  <c r="D75" i="14" s="1"/>
  <c r="O75" i="13"/>
  <c r="O75" i="14" s="1"/>
  <c r="J75" i="13"/>
  <c r="J75" i="14" s="1"/>
  <c r="N75" i="13"/>
  <c r="N75" i="14" s="1"/>
  <c r="S75" i="13"/>
  <c r="S75" i="14" s="1"/>
  <c r="H75" i="13"/>
  <c r="H75" i="14" s="1"/>
  <c r="G75" i="13"/>
  <c r="G75" i="14" s="1"/>
  <c r="C75" i="13"/>
  <c r="C75" i="14" s="1"/>
  <c r="E75" i="13"/>
  <c r="E75" i="14" s="1"/>
  <c r="AL122" i="1"/>
  <c r="B122" i="13" s="1"/>
  <c r="B122" i="14" s="1"/>
  <c r="O122" i="13"/>
  <c r="O122" i="14" s="1"/>
  <c r="H122" i="13"/>
  <c r="H122" i="14" s="1"/>
  <c r="D122" i="13"/>
  <c r="D122" i="14" s="1"/>
  <c r="J122" i="13"/>
  <c r="J122" i="14" s="1"/>
  <c r="N122" i="13"/>
  <c r="N122" i="14" s="1"/>
  <c r="S122" i="13"/>
  <c r="S122" i="14" s="1"/>
  <c r="G122" i="13"/>
  <c r="G122" i="14" s="1"/>
  <c r="M122" i="13"/>
  <c r="M122" i="14" s="1"/>
  <c r="K122" i="13"/>
  <c r="K122" i="14" s="1"/>
  <c r="F122" i="13"/>
  <c r="F122" i="14" s="1"/>
  <c r="Q122" i="13"/>
  <c r="Q122" i="14" s="1"/>
  <c r="I122" i="13"/>
  <c r="I122" i="14" s="1"/>
  <c r="L122" i="13"/>
  <c r="L122" i="14" s="1"/>
  <c r="R122" i="13"/>
  <c r="R122" i="14" s="1"/>
  <c r="C122" i="13"/>
  <c r="C122" i="14" s="1"/>
  <c r="E122" i="13"/>
  <c r="E122" i="14" s="1"/>
  <c r="H278" i="13"/>
  <c r="H278" i="14" s="1"/>
  <c r="O278" i="13"/>
  <c r="O278" i="14" s="1"/>
  <c r="N278" i="13"/>
  <c r="N278" i="14" s="1"/>
  <c r="J278" i="13"/>
  <c r="J278" i="14" s="1"/>
  <c r="S278" i="13"/>
  <c r="S278" i="14" s="1"/>
  <c r="G278" i="13"/>
  <c r="G278" i="14" s="1"/>
  <c r="D278" i="13"/>
  <c r="D278" i="14" s="1"/>
  <c r="K278" i="13"/>
  <c r="K278" i="14" s="1"/>
  <c r="L278" i="13"/>
  <c r="L278" i="14" s="1"/>
  <c r="R278" i="13"/>
  <c r="R278" i="14" s="1"/>
  <c r="F278" i="13"/>
  <c r="F278" i="14" s="1"/>
  <c r="Q278" i="13"/>
  <c r="Q278" i="14" s="1"/>
  <c r="I278" i="13"/>
  <c r="I278" i="14" s="1"/>
  <c r="M278" i="13"/>
  <c r="M278" i="14" s="1"/>
  <c r="C278" i="13"/>
  <c r="C278" i="14" s="1"/>
  <c r="E278" i="13"/>
  <c r="E278" i="14" s="1"/>
  <c r="AL296" i="1"/>
  <c r="B296" i="13" s="1"/>
  <c r="B296" i="14" s="1"/>
  <c r="D296" i="13"/>
  <c r="D296" i="14" s="1"/>
  <c r="S296" i="13"/>
  <c r="S296" i="14" s="1"/>
  <c r="G296" i="13"/>
  <c r="G296" i="14" s="1"/>
  <c r="N296" i="13"/>
  <c r="N296" i="14" s="1"/>
  <c r="O296" i="13"/>
  <c r="O296" i="14" s="1"/>
  <c r="R296" i="13"/>
  <c r="R296" i="14" s="1"/>
  <c r="F296" i="13"/>
  <c r="F296" i="14" s="1"/>
  <c r="J296" i="13"/>
  <c r="J296" i="14" s="1"/>
  <c r="M296" i="13"/>
  <c r="M296" i="14" s="1"/>
  <c r="Q296" i="13"/>
  <c r="Q296" i="14" s="1"/>
  <c r="H296" i="13"/>
  <c r="H296" i="14" s="1"/>
  <c r="L296" i="13"/>
  <c r="L296" i="14" s="1"/>
  <c r="K296" i="13"/>
  <c r="K296" i="14" s="1"/>
  <c r="I296" i="13"/>
  <c r="I296" i="14" s="1"/>
  <c r="C296" i="13"/>
  <c r="C296" i="14" s="1"/>
  <c r="E296" i="13"/>
  <c r="E296" i="14" s="1"/>
  <c r="Q101" i="13"/>
  <c r="Q101" i="14" s="1"/>
  <c r="F101" i="13"/>
  <c r="F101" i="14" s="1"/>
  <c r="L101" i="13"/>
  <c r="L101" i="14" s="1"/>
  <c r="K101" i="13"/>
  <c r="K101" i="14" s="1"/>
  <c r="O101" i="13"/>
  <c r="O101" i="14" s="1"/>
  <c r="I101" i="13"/>
  <c r="I101" i="14" s="1"/>
  <c r="E101" i="13"/>
  <c r="E101" i="14" s="1"/>
  <c r="N101" i="13"/>
  <c r="N101" i="14" s="1"/>
  <c r="H101" i="13"/>
  <c r="H101" i="14" s="1"/>
  <c r="D101" i="13"/>
  <c r="D101" i="14" s="1"/>
  <c r="R101" i="13"/>
  <c r="R101" i="14" s="1"/>
  <c r="G101" i="13"/>
  <c r="G101" i="14" s="1"/>
  <c r="M101" i="13"/>
  <c r="M101" i="14" s="1"/>
  <c r="S101" i="13"/>
  <c r="S101" i="14" s="1"/>
  <c r="J101" i="13"/>
  <c r="J101" i="14" s="1"/>
  <c r="C101" i="13"/>
  <c r="C101" i="14" s="1"/>
  <c r="AL245" i="1"/>
  <c r="B245" i="13" s="1"/>
  <c r="B245" i="14" s="1"/>
  <c r="R245" i="13"/>
  <c r="R245" i="14" s="1"/>
  <c r="F245" i="13"/>
  <c r="F245" i="14" s="1"/>
  <c r="L245" i="13"/>
  <c r="L245" i="14" s="1"/>
  <c r="Q245" i="13"/>
  <c r="Q245" i="14" s="1"/>
  <c r="I245" i="13"/>
  <c r="I245" i="14" s="1"/>
  <c r="K245" i="13"/>
  <c r="K245" i="14" s="1"/>
  <c r="D245" i="13"/>
  <c r="D245" i="14" s="1"/>
  <c r="G245" i="13"/>
  <c r="G245" i="14" s="1"/>
  <c r="O245" i="13"/>
  <c r="O245" i="14" s="1"/>
  <c r="J245" i="13"/>
  <c r="J245" i="14" s="1"/>
  <c r="M245" i="13"/>
  <c r="M245" i="14" s="1"/>
  <c r="H245" i="13"/>
  <c r="H245" i="14" s="1"/>
  <c r="N245" i="13"/>
  <c r="N245" i="14" s="1"/>
  <c r="S245" i="13"/>
  <c r="S245" i="14" s="1"/>
  <c r="C245" i="13"/>
  <c r="C245" i="14" s="1"/>
  <c r="E245" i="13"/>
  <c r="E245" i="14" s="1"/>
  <c r="K293" i="13"/>
  <c r="K293" i="14" s="1"/>
  <c r="M293" i="13"/>
  <c r="M293" i="14" s="1"/>
  <c r="L293" i="13"/>
  <c r="L293" i="14" s="1"/>
  <c r="I293" i="13"/>
  <c r="I293" i="14" s="1"/>
  <c r="Q293" i="13"/>
  <c r="Q293" i="14" s="1"/>
  <c r="F293" i="13"/>
  <c r="F293" i="14" s="1"/>
  <c r="D293" i="13"/>
  <c r="D293" i="14" s="1"/>
  <c r="R293" i="13"/>
  <c r="R293" i="14" s="1"/>
  <c r="S293" i="13"/>
  <c r="S293" i="14" s="1"/>
  <c r="N293" i="13"/>
  <c r="N293" i="14" s="1"/>
  <c r="J293" i="13"/>
  <c r="J293" i="14" s="1"/>
  <c r="H293" i="13"/>
  <c r="H293" i="14" s="1"/>
  <c r="O293" i="13"/>
  <c r="O293" i="14" s="1"/>
  <c r="G293" i="13"/>
  <c r="G293" i="14" s="1"/>
  <c r="C293" i="13"/>
  <c r="C293" i="14" s="1"/>
  <c r="E293" i="13"/>
  <c r="E293" i="14" s="1"/>
  <c r="F299" i="13"/>
  <c r="F299" i="14" s="1"/>
  <c r="Q299" i="13"/>
  <c r="Q299" i="14" s="1"/>
  <c r="I299" i="13"/>
  <c r="I299" i="14" s="1"/>
  <c r="L299" i="13"/>
  <c r="L299" i="14" s="1"/>
  <c r="M299" i="13"/>
  <c r="M299" i="14" s="1"/>
  <c r="O299" i="13"/>
  <c r="O299" i="14" s="1"/>
  <c r="H299" i="13"/>
  <c r="H299" i="14" s="1"/>
  <c r="R299" i="13"/>
  <c r="R299" i="14" s="1"/>
  <c r="D299" i="13"/>
  <c r="D299" i="14" s="1"/>
  <c r="S299" i="13"/>
  <c r="S299" i="14" s="1"/>
  <c r="G299" i="13"/>
  <c r="G299" i="14" s="1"/>
  <c r="N299" i="13"/>
  <c r="N299" i="14" s="1"/>
  <c r="K299" i="13"/>
  <c r="K299" i="14" s="1"/>
  <c r="J299" i="13"/>
  <c r="J299" i="14" s="1"/>
  <c r="C299" i="13"/>
  <c r="C299" i="14" s="1"/>
  <c r="E299" i="13"/>
  <c r="E299" i="14" s="1"/>
  <c r="D262" i="13"/>
  <c r="D262" i="14" s="1"/>
  <c r="S262" i="13"/>
  <c r="S262" i="14" s="1"/>
  <c r="G262" i="13"/>
  <c r="G262" i="14" s="1"/>
  <c r="N262" i="13"/>
  <c r="N262" i="14" s="1"/>
  <c r="J262" i="13"/>
  <c r="J262" i="14" s="1"/>
  <c r="O262" i="13"/>
  <c r="O262" i="14" s="1"/>
  <c r="K262" i="13"/>
  <c r="K262" i="14" s="1"/>
  <c r="H262" i="13"/>
  <c r="H262" i="14" s="1"/>
  <c r="R262" i="13"/>
  <c r="R262" i="14" s="1"/>
  <c r="F262" i="13"/>
  <c r="F262" i="14" s="1"/>
  <c r="Q262" i="13"/>
  <c r="Q262" i="14" s="1"/>
  <c r="I262" i="13"/>
  <c r="I262" i="14" s="1"/>
  <c r="M262" i="13"/>
  <c r="M262" i="14" s="1"/>
  <c r="L262" i="13"/>
  <c r="L262" i="14" s="1"/>
  <c r="C262" i="13"/>
  <c r="C262" i="14" s="1"/>
  <c r="E262" i="13"/>
  <c r="E262" i="14" s="1"/>
  <c r="O414" i="13"/>
  <c r="O414" i="14" s="1"/>
  <c r="H414" i="13"/>
  <c r="H414" i="14" s="1"/>
  <c r="N414" i="13"/>
  <c r="N414" i="14" s="1"/>
  <c r="J414" i="13"/>
  <c r="J414" i="14" s="1"/>
  <c r="S414" i="13"/>
  <c r="S414" i="14" s="1"/>
  <c r="G414" i="13"/>
  <c r="G414" i="14" s="1"/>
  <c r="M414" i="13"/>
  <c r="M414" i="14" s="1"/>
  <c r="K414" i="13"/>
  <c r="K414" i="14" s="1"/>
  <c r="R414" i="13"/>
  <c r="R414" i="14" s="1"/>
  <c r="D414" i="13"/>
  <c r="D414" i="14" s="1"/>
  <c r="Q414" i="13"/>
  <c r="Q414" i="14" s="1"/>
  <c r="I414" i="13"/>
  <c r="I414" i="14" s="1"/>
  <c r="F414" i="13"/>
  <c r="F414" i="14" s="1"/>
  <c r="L414" i="13"/>
  <c r="L414" i="14" s="1"/>
  <c r="C414" i="13"/>
  <c r="C414" i="14" s="1"/>
  <c r="E414" i="13"/>
  <c r="E414" i="14" s="1"/>
  <c r="S12" i="13"/>
  <c r="S12" i="14" s="1"/>
  <c r="G12" i="13"/>
  <c r="G12" i="14" s="1"/>
  <c r="N12" i="13"/>
  <c r="N12" i="14" s="1"/>
  <c r="J12" i="13"/>
  <c r="J12" i="14" s="1"/>
  <c r="R12" i="13"/>
  <c r="R12" i="14" s="1"/>
  <c r="F12" i="13"/>
  <c r="F12" i="14" s="1"/>
  <c r="Q12" i="13"/>
  <c r="Q12" i="14" s="1"/>
  <c r="I12" i="13"/>
  <c r="I12" i="14" s="1"/>
  <c r="K12" i="13"/>
  <c r="K12" i="14" s="1"/>
  <c r="L12" i="13"/>
  <c r="L12" i="14" s="1"/>
  <c r="D12" i="13"/>
  <c r="D12" i="14" s="1"/>
  <c r="H12" i="13"/>
  <c r="H12" i="14" s="1"/>
  <c r="M12" i="13"/>
  <c r="M12" i="14" s="1"/>
  <c r="O12" i="13"/>
  <c r="O12" i="14" s="1"/>
  <c r="E12" i="13"/>
  <c r="E12" i="14" s="1"/>
  <c r="C12" i="13"/>
  <c r="C12" i="14" s="1"/>
  <c r="L61" i="13"/>
  <c r="L61" i="14" s="1"/>
  <c r="Q61" i="13"/>
  <c r="Q61" i="14" s="1"/>
  <c r="I61" i="13"/>
  <c r="I61" i="14" s="1"/>
  <c r="D61" i="13"/>
  <c r="D61" i="14" s="1"/>
  <c r="O61" i="13"/>
  <c r="O61" i="14" s="1"/>
  <c r="H61" i="13"/>
  <c r="H61" i="14" s="1"/>
  <c r="S61" i="13"/>
  <c r="S61" i="14" s="1"/>
  <c r="G61" i="13"/>
  <c r="G61" i="14" s="1"/>
  <c r="M61" i="13"/>
  <c r="M61" i="14" s="1"/>
  <c r="F61" i="13"/>
  <c r="F61" i="14" s="1"/>
  <c r="J61" i="13"/>
  <c r="J61" i="14" s="1"/>
  <c r="K61" i="13"/>
  <c r="K61" i="14" s="1"/>
  <c r="N61" i="13"/>
  <c r="N61" i="14" s="1"/>
  <c r="R61" i="13"/>
  <c r="R61" i="14" s="1"/>
  <c r="C61" i="13"/>
  <c r="C61" i="14" s="1"/>
  <c r="E61" i="13"/>
  <c r="E61" i="14" s="1"/>
  <c r="M79" i="13"/>
  <c r="M79" i="14" s="1"/>
  <c r="K79" i="13"/>
  <c r="K79" i="14" s="1"/>
  <c r="R79" i="13"/>
  <c r="R79" i="14" s="1"/>
  <c r="F79" i="13"/>
  <c r="F79" i="14" s="1"/>
  <c r="L79" i="13"/>
  <c r="L79" i="14" s="1"/>
  <c r="Q79" i="13"/>
  <c r="Q79" i="14" s="1"/>
  <c r="I79" i="13"/>
  <c r="I79" i="14" s="1"/>
  <c r="D79" i="13"/>
  <c r="D79" i="14" s="1"/>
  <c r="J79" i="13"/>
  <c r="J79" i="14" s="1"/>
  <c r="G79" i="13"/>
  <c r="G79" i="14" s="1"/>
  <c r="N79" i="13"/>
  <c r="N79" i="14" s="1"/>
  <c r="S79" i="13"/>
  <c r="S79" i="14" s="1"/>
  <c r="H79" i="13"/>
  <c r="H79" i="14" s="1"/>
  <c r="O79" i="13"/>
  <c r="O79" i="14" s="1"/>
  <c r="E79" i="13"/>
  <c r="E79" i="14" s="1"/>
  <c r="C79" i="13"/>
  <c r="C79" i="14" s="1"/>
  <c r="N6" i="13"/>
  <c r="N6" i="14" s="1"/>
  <c r="J6" i="13"/>
  <c r="J6" i="14" s="1"/>
  <c r="S6" i="13"/>
  <c r="S6" i="14" s="1"/>
  <c r="G6" i="13"/>
  <c r="G6" i="14" s="1"/>
  <c r="M6" i="13"/>
  <c r="M6" i="14" s="1"/>
  <c r="K6" i="13"/>
  <c r="K6" i="14" s="1"/>
  <c r="F6" i="13"/>
  <c r="F6" i="14" s="1"/>
  <c r="R6" i="13"/>
  <c r="R6" i="14" s="1"/>
  <c r="L6" i="13"/>
  <c r="L6" i="14" s="1"/>
  <c r="O6" i="13"/>
  <c r="O6" i="14" s="1"/>
  <c r="D6" i="13"/>
  <c r="D6" i="14" s="1"/>
  <c r="I6" i="13"/>
  <c r="I6" i="14" s="1"/>
  <c r="H6" i="13"/>
  <c r="H6" i="14" s="1"/>
  <c r="Q6" i="13"/>
  <c r="Q6" i="14" s="1"/>
  <c r="C6" i="13"/>
  <c r="C6" i="14" s="1"/>
  <c r="E6" i="13"/>
  <c r="E6" i="14" s="1"/>
  <c r="H314" i="13"/>
  <c r="H314" i="14" s="1"/>
  <c r="O314" i="13"/>
  <c r="O314" i="14" s="1"/>
  <c r="N314" i="13"/>
  <c r="N314" i="14" s="1"/>
  <c r="J314" i="13"/>
  <c r="J314" i="14" s="1"/>
  <c r="G314" i="13"/>
  <c r="G314" i="14" s="1"/>
  <c r="S314" i="13"/>
  <c r="S314" i="14" s="1"/>
  <c r="D314" i="13"/>
  <c r="D314" i="14" s="1"/>
  <c r="M314" i="13"/>
  <c r="M314" i="14" s="1"/>
  <c r="K314" i="13"/>
  <c r="K314" i="14" s="1"/>
  <c r="Q314" i="13"/>
  <c r="Q314" i="14" s="1"/>
  <c r="I314" i="13"/>
  <c r="I314" i="14" s="1"/>
  <c r="F314" i="13"/>
  <c r="F314" i="14" s="1"/>
  <c r="R314" i="13"/>
  <c r="R314" i="14" s="1"/>
  <c r="L314" i="13"/>
  <c r="L314" i="14" s="1"/>
  <c r="C314" i="13"/>
  <c r="C314" i="14" s="1"/>
  <c r="E314" i="13"/>
  <c r="E314" i="14" s="1"/>
  <c r="Q59" i="13"/>
  <c r="Q59" i="14" s="1"/>
  <c r="I59" i="13"/>
  <c r="I59" i="14" s="1"/>
  <c r="L59" i="13"/>
  <c r="L59" i="14" s="1"/>
  <c r="O59" i="13"/>
  <c r="O59" i="14" s="1"/>
  <c r="H59" i="13"/>
  <c r="H59" i="14" s="1"/>
  <c r="D59" i="13"/>
  <c r="D59" i="14" s="1"/>
  <c r="N59" i="13"/>
  <c r="N59" i="14" s="1"/>
  <c r="J59" i="13"/>
  <c r="J59" i="14" s="1"/>
  <c r="F59" i="13"/>
  <c r="F59" i="14" s="1"/>
  <c r="S59" i="13"/>
  <c r="S59" i="14" s="1"/>
  <c r="M59" i="13"/>
  <c r="M59" i="14" s="1"/>
  <c r="R59" i="13"/>
  <c r="R59" i="14" s="1"/>
  <c r="G59" i="13"/>
  <c r="G59" i="14" s="1"/>
  <c r="K59" i="13"/>
  <c r="K59" i="14" s="1"/>
  <c r="C59" i="13"/>
  <c r="C59" i="14" s="1"/>
  <c r="E59" i="13"/>
  <c r="E59" i="14" s="1"/>
  <c r="D376" i="13"/>
  <c r="D376" i="14" s="1"/>
  <c r="S376" i="13"/>
  <c r="S376" i="14" s="1"/>
  <c r="G376" i="13"/>
  <c r="G376" i="14" s="1"/>
  <c r="N376" i="13"/>
  <c r="N376" i="14" s="1"/>
  <c r="J376" i="13"/>
  <c r="J376" i="14" s="1"/>
  <c r="H376" i="13"/>
  <c r="H376" i="14" s="1"/>
  <c r="R376" i="13"/>
  <c r="R376" i="14" s="1"/>
  <c r="F376" i="13"/>
  <c r="F376" i="14" s="1"/>
  <c r="I376" i="13"/>
  <c r="I376" i="14" s="1"/>
  <c r="O376" i="13"/>
  <c r="O376" i="14" s="1"/>
  <c r="L376" i="13"/>
  <c r="L376" i="14" s="1"/>
  <c r="K376" i="13"/>
  <c r="K376" i="14" s="1"/>
  <c r="M376" i="13"/>
  <c r="M376" i="14" s="1"/>
  <c r="Q376" i="13"/>
  <c r="Q376" i="14" s="1"/>
  <c r="C376" i="13"/>
  <c r="C376" i="14" s="1"/>
  <c r="E376" i="13"/>
  <c r="E376" i="14" s="1"/>
  <c r="M413" i="13"/>
  <c r="M413" i="14" s="1"/>
  <c r="F413" i="13"/>
  <c r="F413" i="14" s="1"/>
  <c r="L413" i="13"/>
  <c r="L413" i="14" s="1"/>
  <c r="Q413" i="13"/>
  <c r="Q413" i="14" s="1"/>
  <c r="I413" i="13"/>
  <c r="I413" i="14" s="1"/>
  <c r="R413" i="13"/>
  <c r="R413" i="14" s="1"/>
  <c r="D413" i="13"/>
  <c r="D413" i="14" s="1"/>
  <c r="K413" i="13"/>
  <c r="K413" i="14" s="1"/>
  <c r="H413" i="13"/>
  <c r="H413" i="14" s="1"/>
  <c r="S413" i="13"/>
  <c r="S413" i="14" s="1"/>
  <c r="O413" i="13"/>
  <c r="O413" i="14" s="1"/>
  <c r="N413" i="13"/>
  <c r="N413" i="14" s="1"/>
  <c r="J413" i="13"/>
  <c r="J413" i="14" s="1"/>
  <c r="G413" i="13"/>
  <c r="G413" i="14" s="1"/>
  <c r="C413" i="13"/>
  <c r="C413" i="14" s="1"/>
  <c r="E413" i="13"/>
  <c r="E413" i="14" s="1"/>
  <c r="L9" i="13"/>
  <c r="L9" i="14" s="1"/>
  <c r="Q9" i="13"/>
  <c r="Q9" i="14" s="1"/>
  <c r="I9" i="13"/>
  <c r="I9" i="14" s="1"/>
  <c r="D9" i="13"/>
  <c r="D9" i="14" s="1"/>
  <c r="H9" i="13"/>
  <c r="H9" i="14" s="1"/>
  <c r="S9" i="13"/>
  <c r="S9" i="14" s="1"/>
  <c r="G9" i="13"/>
  <c r="G9" i="14" s="1"/>
  <c r="O9" i="13"/>
  <c r="O9" i="14" s="1"/>
  <c r="K9" i="13"/>
  <c r="K9" i="14" s="1"/>
  <c r="N9" i="13"/>
  <c r="N9" i="14" s="1"/>
  <c r="M9" i="13"/>
  <c r="M9" i="14" s="1"/>
  <c r="R9" i="13"/>
  <c r="R9" i="14" s="1"/>
  <c r="J9" i="13"/>
  <c r="J9" i="14" s="1"/>
  <c r="F9" i="13"/>
  <c r="F9" i="14" s="1"/>
  <c r="C9" i="13"/>
  <c r="C9" i="14" s="1"/>
  <c r="E9" i="13"/>
  <c r="E9" i="14" s="1"/>
  <c r="O258" i="13"/>
  <c r="O258" i="14" s="1"/>
  <c r="H258" i="13"/>
  <c r="H258" i="14" s="1"/>
  <c r="S258" i="13"/>
  <c r="S258" i="14" s="1"/>
  <c r="G258" i="13"/>
  <c r="G258" i="14" s="1"/>
  <c r="N258" i="13"/>
  <c r="N258" i="14" s="1"/>
  <c r="J258" i="13"/>
  <c r="J258" i="14" s="1"/>
  <c r="M258" i="13"/>
  <c r="M258" i="14" s="1"/>
  <c r="L258" i="13"/>
  <c r="L258" i="14" s="1"/>
  <c r="D258" i="13"/>
  <c r="D258" i="14" s="1"/>
  <c r="R258" i="13"/>
  <c r="R258" i="14" s="1"/>
  <c r="F258" i="13"/>
  <c r="F258" i="14" s="1"/>
  <c r="I258" i="13"/>
  <c r="I258" i="14" s="1"/>
  <c r="Q258" i="13"/>
  <c r="Q258" i="14" s="1"/>
  <c r="K258" i="13"/>
  <c r="K258" i="14" s="1"/>
  <c r="C258" i="13"/>
  <c r="C258" i="14" s="1"/>
  <c r="E258" i="13"/>
  <c r="E258" i="14" s="1"/>
  <c r="L37" i="13"/>
  <c r="L37" i="14" s="1"/>
  <c r="Q37" i="13"/>
  <c r="Q37" i="14" s="1"/>
  <c r="I37" i="13"/>
  <c r="I37" i="14" s="1"/>
  <c r="D37" i="13"/>
  <c r="D37" i="14" s="1"/>
  <c r="S37" i="13"/>
  <c r="S37" i="14" s="1"/>
  <c r="G37" i="13"/>
  <c r="G37" i="14" s="1"/>
  <c r="O37" i="13"/>
  <c r="O37" i="14" s="1"/>
  <c r="H37" i="13"/>
  <c r="H37" i="14" s="1"/>
  <c r="N37" i="13"/>
  <c r="N37" i="14" s="1"/>
  <c r="M37" i="13"/>
  <c r="M37" i="14" s="1"/>
  <c r="J37" i="13"/>
  <c r="J37" i="14" s="1"/>
  <c r="F37" i="13"/>
  <c r="F37" i="14" s="1"/>
  <c r="K37" i="13"/>
  <c r="K37" i="14" s="1"/>
  <c r="R37" i="13"/>
  <c r="R37" i="14" s="1"/>
  <c r="E37" i="13"/>
  <c r="E37" i="14" s="1"/>
  <c r="C37" i="13"/>
  <c r="C37" i="14" s="1"/>
  <c r="H418" i="13"/>
  <c r="H418" i="14" s="1"/>
  <c r="O418" i="13"/>
  <c r="O418" i="14" s="1"/>
  <c r="N418" i="13"/>
  <c r="N418" i="14" s="1"/>
  <c r="J418" i="13"/>
  <c r="J418" i="14" s="1"/>
  <c r="S418" i="13"/>
  <c r="S418" i="14" s="1"/>
  <c r="G418" i="13"/>
  <c r="G418" i="14" s="1"/>
  <c r="D418" i="13"/>
  <c r="D418" i="14" s="1"/>
  <c r="M418" i="13"/>
  <c r="M418" i="14" s="1"/>
  <c r="K418" i="13"/>
  <c r="K418" i="14" s="1"/>
  <c r="F418" i="13"/>
  <c r="F418" i="14" s="1"/>
  <c r="I418" i="13"/>
  <c r="I418" i="14" s="1"/>
  <c r="L418" i="13"/>
  <c r="L418" i="14" s="1"/>
  <c r="R418" i="13"/>
  <c r="R418" i="14" s="1"/>
  <c r="Q418" i="13"/>
  <c r="Q418" i="14" s="1"/>
  <c r="C418" i="13"/>
  <c r="C418" i="14" s="1"/>
  <c r="E418" i="13"/>
  <c r="E418" i="14" s="1"/>
  <c r="M129" i="13"/>
  <c r="M129" i="14" s="1"/>
  <c r="K129" i="13"/>
  <c r="K129" i="14" s="1"/>
  <c r="R129" i="13"/>
  <c r="R129" i="14" s="1"/>
  <c r="F129" i="13"/>
  <c r="F129" i="14" s="1"/>
  <c r="L129" i="13"/>
  <c r="L129" i="14" s="1"/>
  <c r="Q129" i="13"/>
  <c r="Q129" i="14" s="1"/>
  <c r="I129" i="13"/>
  <c r="I129" i="14" s="1"/>
  <c r="D129" i="13"/>
  <c r="D129" i="14" s="1"/>
  <c r="H129" i="13"/>
  <c r="H129" i="14" s="1"/>
  <c r="N129" i="13"/>
  <c r="N129" i="14" s="1"/>
  <c r="J129" i="13"/>
  <c r="J129" i="14" s="1"/>
  <c r="G129" i="13"/>
  <c r="G129" i="14" s="1"/>
  <c r="O129" i="13"/>
  <c r="O129" i="14" s="1"/>
  <c r="S129" i="13"/>
  <c r="S129" i="14" s="1"/>
  <c r="C129" i="13"/>
  <c r="C129" i="14" s="1"/>
  <c r="E129" i="13"/>
  <c r="E129" i="14" s="1"/>
  <c r="M405" i="13"/>
  <c r="M405" i="14" s="1"/>
  <c r="K405" i="13"/>
  <c r="K405" i="14" s="1"/>
  <c r="L405" i="13"/>
  <c r="L405" i="14" s="1"/>
  <c r="Q405" i="13"/>
  <c r="Q405" i="14" s="1"/>
  <c r="I405" i="13"/>
  <c r="I405" i="14" s="1"/>
  <c r="R405" i="13"/>
  <c r="R405" i="14" s="1"/>
  <c r="D405" i="13"/>
  <c r="D405" i="14" s="1"/>
  <c r="O405" i="13"/>
  <c r="O405" i="14" s="1"/>
  <c r="F405" i="13"/>
  <c r="F405" i="14" s="1"/>
  <c r="N405" i="13"/>
  <c r="N405" i="14" s="1"/>
  <c r="J405" i="13"/>
  <c r="J405" i="14" s="1"/>
  <c r="G405" i="13"/>
  <c r="G405" i="14" s="1"/>
  <c r="H405" i="13"/>
  <c r="H405" i="14" s="1"/>
  <c r="S405" i="13"/>
  <c r="S405" i="14" s="1"/>
  <c r="C405" i="13"/>
  <c r="C405" i="14" s="1"/>
  <c r="E405" i="13"/>
  <c r="E405" i="14" s="1"/>
  <c r="M301" i="13"/>
  <c r="M301" i="14" s="1"/>
  <c r="F301" i="13"/>
  <c r="F301" i="14" s="1"/>
  <c r="L301" i="13"/>
  <c r="L301" i="14" s="1"/>
  <c r="I301" i="13"/>
  <c r="I301" i="14" s="1"/>
  <c r="Q301" i="13"/>
  <c r="Q301" i="14" s="1"/>
  <c r="R301" i="13"/>
  <c r="R301" i="14" s="1"/>
  <c r="D301" i="13"/>
  <c r="D301" i="14" s="1"/>
  <c r="H301" i="13"/>
  <c r="H301" i="14" s="1"/>
  <c r="K301" i="13"/>
  <c r="K301" i="14" s="1"/>
  <c r="O301" i="13"/>
  <c r="O301" i="14" s="1"/>
  <c r="J301" i="13"/>
  <c r="J301" i="14" s="1"/>
  <c r="G301" i="13"/>
  <c r="G301" i="14" s="1"/>
  <c r="N301" i="13"/>
  <c r="N301" i="14" s="1"/>
  <c r="S301" i="13"/>
  <c r="S301" i="14" s="1"/>
  <c r="C301" i="13"/>
  <c r="C301" i="14" s="1"/>
  <c r="E301" i="13"/>
  <c r="E301" i="14" s="1"/>
  <c r="O422" i="13"/>
  <c r="O422" i="14" s="1"/>
  <c r="H422" i="13"/>
  <c r="H422" i="14" s="1"/>
  <c r="N422" i="13"/>
  <c r="N422" i="14" s="1"/>
  <c r="J422" i="13"/>
  <c r="J422" i="14" s="1"/>
  <c r="S422" i="13"/>
  <c r="S422" i="14" s="1"/>
  <c r="G422" i="13"/>
  <c r="G422" i="14" s="1"/>
  <c r="K422" i="13"/>
  <c r="K422" i="14" s="1"/>
  <c r="M422" i="13"/>
  <c r="M422" i="14" s="1"/>
  <c r="D422" i="13"/>
  <c r="D422" i="14" s="1"/>
  <c r="F422" i="13"/>
  <c r="F422" i="14" s="1"/>
  <c r="L422" i="13"/>
  <c r="L422" i="14" s="1"/>
  <c r="R422" i="13"/>
  <c r="R422" i="14" s="1"/>
  <c r="Q422" i="13"/>
  <c r="Q422" i="14" s="1"/>
  <c r="I422" i="13"/>
  <c r="I422" i="14" s="1"/>
  <c r="C422" i="13"/>
  <c r="C422" i="14" s="1"/>
  <c r="E422" i="13"/>
  <c r="E422" i="14" s="1"/>
  <c r="F391" i="13"/>
  <c r="F391" i="14" s="1"/>
  <c r="Q391" i="13"/>
  <c r="Q391" i="14" s="1"/>
  <c r="I391" i="13"/>
  <c r="I391" i="14" s="1"/>
  <c r="L391" i="13"/>
  <c r="L391" i="14" s="1"/>
  <c r="M391" i="13"/>
  <c r="M391" i="14" s="1"/>
  <c r="O391" i="13"/>
  <c r="O391" i="14" s="1"/>
  <c r="H391" i="13"/>
  <c r="H391" i="14" s="1"/>
  <c r="K391" i="13"/>
  <c r="K391" i="14" s="1"/>
  <c r="R391" i="13"/>
  <c r="R391" i="14" s="1"/>
  <c r="S391" i="13"/>
  <c r="S391" i="14" s="1"/>
  <c r="G391" i="13"/>
  <c r="G391" i="14" s="1"/>
  <c r="N391" i="13"/>
  <c r="N391" i="14" s="1"/>
  <c r="D391" i="13"/>
  <c r="D391" i="14" s="1"/>
  <c r="J391" i="13"/>
  <c r="J391" i="14" s="1"/>
  <c r="C391" i="13"/>
  <c r="C391" i="14" s="1"/>
  <c r="E391" i="13"/>
  <c r="E391" i="14" s="1"/>
  <c r="Q15" i="13"/>
  <c r="Q15" i="14" s="1"/>
  <c r="I15" i="13"/>
  <c r="I15" i="14" s="1"/>
  <c r="L15" i="13"/>
  <c r="L15" i="14" s="1"/>
  <c r="O15" i="13"/>
  <c r="O15" i="14" s="1"/>
  <c r="H15" i="13"/>
  <c r="H15" i="14" s="1"/>
  <c r="D15" i="13"/>
  <c r="D15" i="14" s="1"/>
  <c r="N15" i="13"/>
  <c r="N15" i="14" s="1"/>
  <c r="J15" i="13"/>
  <c r="J15" i="14" s="1"/>
  <c r="R15" i="13"/>
  <c r="R15" i="14" s="1"/>
  <c r="K15" i="13"/>
  <c r="K15" i="14" s="1"/>
  <c r="G15" i="13"/>
  <c r="G15" i="14" s="1"/>
  <c r="F15" i="13"/>
  <c r="F15" i="14" s="1"/>
  <c r="S15" i="13"/>
  <c r="S15" i="14" s="1"/>
  <c r="M15" i="13"/>
  <c r="M15" i="14" s="1"/>
  <c r="C15" i="13"/>
  <c r="C15" i="14" s="1"/>
  <c r="E15" i="13"/>
  <c r="E15" i="14" s="1"/>
  <c r="F415" i="13"/>
  <c r="F415" i="14" s="1"/>
  <c r="Q415" i="13"/>
  <c r="Q415" i="14" s="1"/>
  <c r="I415" i="13"/>
  <c r="I415" i="14" s="1"/>
  <c r="L415" i="13"/>
  <c r="L415" i="14" s="1"/>
  <c r="R415" i="13"/>
  <c r="R415" i="14" s="1"/>
  <c r="K415" i="13"/>
  <c r="K415" i="14" s="1"/>
  <c r="O415" i="13"/>
  <c r="O415" i="14" s="1"/>
  <c r="H415" i="13"/>
  <c r="H415" i="14" s="1"/>
  <c r="D415" i="13"/>
  <c r="D415" i="14" s="1"/>
  <c r="N415" i="13"/>
  <c r="N415" i="14" s="1"/>
  <c r="S415" i="13"/>
  <c r="S415" i="14" s="1"/>
  <c r="G415" i="13"/>
  <c r="G415" i="14" s="1"/>
  <c r="J415" i="13"/>
  <c r="J415" i="14" s="1"/>
  <c r="M415" i="13"/>
  <c r="M415" i="14" s="1"/>
  <c r="C415" i="13"/>
  <c r="C415" i="14" s="1"/>
  <c r="E415" i="13"/>
  <c r="E415" i="14" s="1"/>
  <c r="H336" i="13"/>
  <c r="H336" i="14" s="1"/>
  <c r="O336" i="13"/>
  <c r="O336" i="14" s="1"/>
  <c r="S336" i="13"/>
  <c r="S336" i="14" s="1"/>
  <c r="G336" i="13"/>
  <c r="G336" i="14" s="1"/>
  <c r="J336" i="13"/>
  <c r="J336" i="14" s="1"/>
  <c r="N336" i="13"/>
  <c r="N336" i="14" s="1"/>
  <c r="R336" i="13"/>
  <c r="R336" i="14" s="1"/>
  <c r="F336" i="13"/>
  <c r="F336" i="14" s="1"/>
  <c r="Q336" i="13"/>
  <c r="Q336" i="14" s="1"/>
  <c r="D336" i="13"/>
  <c r="D336" i="14" s="1"/>
  <c r="K336" i="13"/>
  <c r="K336" i="14" s="1"/>
  <c r="L336" i="13"/>
  <c r="L336" i="14" s="1"/>
  <c r="M336" i="13"/>
  <c r="M336" i="14" s="1"/>
  <c r="I336" i="13"/>
  <c r="I336" i="14" s="1"/>
  <c r="C336" i="13"/>
  <c r="C336" i="14" s="1"/>
  <c r="E336" i="13"/>
  <c r="E336" i="14" s="1"/>
  <c r="R123" i="13"/>
  <c r="R123" i="14" s="1"/>
  <c r="F123" i="13"/>
  <c r="F123" i="14" s="1"/>
  <c r="M123" i="13"/>
  <c r="M123" i="14" s="1"/>
  <c r="K123" i="13"/>
  <c r="K123" i="14" s="1"/>
  <c r="Q123" i="13"/>
  <c r="Q123" i="14" s="1"/>
  <c r="I123" i="13"/>
  <c r="I123" i="14" s="1"/>
  <c r="L123" i="13"/>
  <c r="L123" i="14" s="1"/>
  <c r="O123" i="13"/>
  <c r="O123" i="14" s="1"/>
  <c r="H123" i="13"/>
  <c r="H123" i="14" s="1"/>
  <c r="D123" i="13"/>
  <c r="D123" i="14" s="1"/>
  <c r="N123" i="13"/>
  <c r="N123" i="14" s="1"/>
  <c r="S123" i="13"/>
  <c r="S123" i="14" s="1"/>
  <c r="G123" i="13"/>
  <c r="G123" i="14" s="1"/>
  <c r="J123" i="13"/>
  <c r="J123" i="14" s="1"/>
  <c r="C123" i="13"/>
  <c r="C123" i="14" s="1"/>
  <c r="E123" i="13"/>
  <c r="E123" i="14" s="1"/>
  <c r="N18" i="13"/>
  <c r="N18" i="14" s="1"/>
  <c r="J18" i="13"/>
  <c r="J18" i="14" s="1"/>
  <c r="S18" i="13"/>
  <c r="S18" i="14" s="1"/>
  <c r="G18" i="13"/>
  <c r="G18" i="14" s="1"/>
  <c r="M18" i="13"/>
  <c r="M18" i="14" s="1"/>
  <c r="K18" i="13"/>
  <c r="K18" i="14" s="1"/>
  <c r="F18" i="13"/>
  <c r="F18" i="14" s="1"/>
  <c r="L18" i="13"/>
  <c r="L18" i="14" s="1"/>
  <c r="R18" i="13"/>
  <c r="R18" i="14" s="1"/>
  <c r="H18" i="13"/>
  <c r="H18" i="14" s="1"/>
  <c r="D18" i="13"/>
  <c r="D18" i="14" s="1"/>
  <c r="O18" i="13"/>
  <c r="O18" i="14" s="1"/>
  <c r="I18" i="13"/>
  <c r="I18" i="14" s="1"/>
  <c r="Q18" i="13"/>
  <c r="Q18" i="14" s="1"/>
  <c r="E18" i="13"/>
  <c r="E18" i="14" s="1"/>
  <c r="C18" i="13"/>
  <c r="C18" i="14" s="1"/>
  <c r="D318" i="13"/>
  <c r="D318" i="14" s="1"/>
  <c r="N318" i="13"/>
  <c r="N318" i="14" s="1"/>
  <c r="J318" i="13"/>
  <c r="J318" i="14" s="1"/>
  <c r="G318" i="13"/>
  <c r="G318" i="14" s="1"/>
  <c r="S318" i="13"/>
  <c r="S318" i="14" s="1"/>
  <c r="H318" i="13"/>
  <c r="H318" i="14" s="1"/>
  <c r="M318" i="13"/>
  <c r="M318" i="14" s="1"/>
  <c r="K318" i="13"/>
  <c r="K318" i="14" s="1"/>
  <c r="Q318" i="13"/>
  <c r="Q318" i="14" s="1"/>
  <c r="I318" i="13"/>
  <c r="I318" i="14" s="1"/>
  <c r="L318" i="13"/>
  <c r="L318" i="14" s="1"/>
  <c r="O318" i="13"/>
  <c r="O318" i="14" s="1"/>
  <c r="F318" i="13"/>
  <c r="F318" i="14" s="1"/>
  <c r="R318" i="13"/>
  <c r="R318" i="14" s="1"/>
  <c r="C318" i="13"/>
  <c r="C318" i="14" s="1"/>
  <c r="E318" i="13"/>
  <c r="E318" i="14" s="1"/>
  <c r="Q63" i="13"/>
  <c r="Q63" i="14" s="1"/>
  <c r="I63" i="13"/>
  <c r="I63" i="14" s="1"/>
  <c r="L63" i="13"/>
  <c r="L63" i="14" s="1"/>
  <c r="O63" i="13"/>
  <c r="O63" i="14" s="1"/>
  <c r="H63" i="13"/>
  <c r="H63" i="14" s="1"/>
  <c r="D63" i="13"/>
  <c r="D63" i="14" s="1"/>
  <c r="N63" i="13"/>
  <c r="N63" i="14" s="1"/>
  <c r="J63" i="13"/>
  <c r="J63" i="14" s="1"/>
  <c r="F63" i="13"/>
  <c r="F63" i="14" s="1"/>
  <c r="K63" i="13"/>
  <c r="K63" i="14" s="1"/>
  <c r="G63" i="13"/>
  <c r="G63" i="14" s="1"/>
  <c r="R63" i="13"/>
  <c r="R63" i="14" s="1"/>
  <c r="S63" i="13"/>
  <c r="S63" i="14" s="1"/>
  <c r="M63" i="13"/>
  <c r="M63" i="14" s="1"/>
  <c r="C63" i="13"/>
  <c r="C63" i="14" s="1"/>
  <c r="E63" i="13"/>
  <c r="E63" i="14" s="1"/>
  <c r="O384" i="13"/>
  <c r="O384" i="14" s="1"/>
  <c r="H384" i="13"/>
  <c r="H384" i="14" s="1"/>
  <c r="G384" i="13"/>
  <c r="G384" i="14" s="1"/>
  <c r="S384" i="13"/>
  <c r="S384" i="14" s="1"/>
  <c r="N384" i="13"/>
  <c r="N384" i="14" s="1"/>
  <c r="J384" i="13"/>
  <c r="J384" i="14" s="1"/>
  <c r="D384" i="13"/>
  <c r="D384" i="14" s="1"/>
  <c r="R384" i="13"/>
  <c r="R384" i="14" s="1"/>
  <c r="F384" i="13"/>
  <c r="F384" i="14" s="1"/>
  <c r="I384" i="13"/>
  <c r="I384" i="14" s="1"/>
  <c r="K384" i="13"/>
  <c r="K384" i="14" s="1"/>
  <c r="L384" i="13"/>
  <c r="L384" i="14" s="1"/>
  <c r="Q384" i="13"/>
  <c r="Q384" i="14" s="1"/>
  <c r="M384" i="13"/>
  <c r="M384" i="14" s="1"/>
  <c r="C384" i="13"/>
  <c r="C384" i="14" s="1"/>
  <c r="E384" i="13"/>
  <c r="E384" i="14" s="1"/>
  <c r="H348" i="13"/>
  <c r="H348" i="14" s="1"/>
  <c r="S348" i="13"/>
  <c r="S348" i="14" s="1"/>
  <c r="G348" i="13"/>
  <c r="G348" i="14" s="1"/>
  <c r="N348" i="13"/>
  <c r="N348" i="14" s="1"/>
  <c r="J348" i="13"/>
  <c r="J348" i="14" s="1"/>
  <c r="O348" i="13"/>
  <c r="O348" i="14" s="1"/>
  <c r="R348" i="13"/>
  <c r="R348" i="14" s="1"/>
  <c r="F348" i="13"/>
  <c r="F348" i="14" s="1"/>
  <c r="D348" i="13"/>
  <c r="D348" i="14" s="1"/>
  <c r="M348" i="13"/>
  <c r="M348" i="14" s="1"/>
  <c r="I348" i="13"/>
  <c r="I348" i="14" s="1"/>
  <c r="L348" i="13"/>
  <c r="L348" i="14" s="1"/>
  <c r="Q348" i="13"/>
  <c r="Q348" i="14" s="1"/>
  <c r="K348" i="13"/>
  <c r="K348" i="14" s="1"/>
  <c r="C348" i="13"/>
  <c r="C348" i="14" s="1"/>
  <c r="E348" i="13"/>
  <c r="E348" i="14" s="1"/>
  <c r="R139" i="13"/>
  <c r="R139" i="14" s="1"/>
  <c r="F139" i="13"/>
  <c r="F139" i="14" s="1"/>
  <c r="K139" i="13"/>
  <c r="K139" i="14" s="1"/>
  <c r="M139" i="13"/>
  <c r="M139" i="14" s="1"/>
  <c r="Q139" i="13"/>
  <c r="Q139" i="14" s="1"/>
  <c r="I139" i="13"/>
  <c r="I139" i="14" s="1"/>
  <c r="L139" i="13"/>
  <c r="L139" i="14" s="1"/>
  <c r="O139" i="13"/>
  <c r="O139" i="14" s="1"/>
  <c r="H139" i="13"/>
  <c r="H139" i="14" s="1"/>
  <c r="S139" i="13"/>
  <c r="S139" i="14" s="1"/>
  <c r="G139" i="13"/>
  <c r="G139" i="14" s="1"/>
  <c r="J139" i="13"/>
  <c r="J139" i="14" s="1"/>
  <c r="D139" i="13"/>
  <c r="D139" i="14" s="1"/>
  <c r="N139" i="13"/>
  <c r="N139" i="14" s="1"/>
  <c r="C139" i="13"/>
  <c r="C139" i="14" s="1"/>
  <c r="E139" i="13"/>
  <c r="E139" i="14" s="1"/>
  <c r="D124" i="13"/>
  <c r="D124" i="14" s="1"/>
  <c r="O124" i="13"/>
  <c r="O124" i="14" s="1"/>
  <c r="H124" i="13"/>
  <c r="H124" i="14" s="1"/>
  <c r="S124" i="13"/>
  <c r="S124" i="14" s="1"/>
  <c r="G124" i="13"/>
  <c r="G124" i="14" s="1"/>
  <c r="N124" i="13"/>
  <c r="N124" i="14" s="1"/>
  <c r="J124" i="13"/>
  <c r="J124" i="14" s="1"/>
  <c r="K124" i="13"/>
  <c r="K124" i="14" s="1"/>
  <c r="R124" i="13"/>
  <c r="R124" i="14" s="1"/>
  <c r="F124" i="13"/>
  <c r="F124" i="14" s="1"/>
  <c r="I124" i="13"/>
  <c r="I124" i="14" s="1"/>
  <c r="L124" i="13"/>
  <c r="L124" i="14" s="1"/>
  <c r="M124" i="13"/>
  <c r="M124" i="14" s="1"/>
  <c r="Q124" i="13"/>
  <c r="Q124" i="14" s="1"/>
  <c r="C124" i="13"/>
  <c r="C124" i="14" s="1"/>
  <c r="E124" i="13"/>
  <c r="E124" i="14" s="1"/>
  <c r="L53" i="13"/>
  <c r="L53" i="14" s="1"/>
  <c r="Q53" i="13"/>
  <c r="Q53" i="14" s="1"/>
  <c r="I53" i="13"/>
  <c r="I53" i="14" s="1"/>
  <c r="D53" i="13"/>
  <c r="D53" i="14" s="1"/>
  <c r="H53" i="13"/>
  <c r="H53" i="14" s="1"/>
  <c r="O53" i="13"/>
  <c r="O53" i="14" s="1"/>
  <c r="S53" i="13"/>
  <c r="S53" i="14" s="1"/>
  <c r="G53" i="13"/>
  <c r="G53" i="14" s="1"/>
  <c r="N53" i="13"/>
  <c r="N53" i="14" s="1"/>
  <c r="K53" i="13"/>
  <c r="K53" i="14" s="1"/>
  <c r="J53" i="13"/>
  <c r="J53" i="14" s="1"/>
  <c r="F53" i="13"/>
  <c r="F53" i="14" s="1"/>
  <c r="M53" i="13"/>
  <c r="M53" i="14" s="1"/>
  <c r="R53" i="13"/>
  <c r="R53" i="14" s="1"/>
  <c r="E53" i="13"/>
  <c r="E53" i="14" s="1"/>
  <c r="C53" i="13"/>
  <c r="C53" i="14" s="1"/>
  <c r="L41" i="13"/>
  <c r="L41" i="14" s="1"/>
  <c r="Q41" i="13"/>
  <c r="Q41" i="14" s="1"/>
  <c r="I41" i="13"/>
  <c r="I41" i="14" s="1"/>
  <c r="D41" i="13"/>
  <c r="D41" i="14" s="1"/>
  <c r="H41" i="13"/>
  <c r="H41" i="14" s="1"/>
  <c r="O41" i="13"/>
  <c r="O41" i="14" s="1"/>
  <c r="S41" i="13"/>
  <c r="S41" i="14" s="1"/>
  <c r="G41" i="13"/>
  <c r="G41" i="14" s="1"/>
  <c r="M41" i="13"/>
  <c r="M41" i="14" s="1"/>
  <c r="N41" i="13"/>
  <c r="N41" i="14" s="1"/>
  <c r="R41" i="13"/>
  <c r="R41" i="14" s="1"/>
  <c r="K41" i="13"/>
  <c r="K41" i="14" s="1"/>
  <c r="J41" i="13"/>
  <c r="J41" i="14" s="1"/>
  <c r="F41" i="13"/>
  <c r="F41" i="14" s="1"/>
  <c r="C41" i="13"/>
  <c r="C41" i="14" s="1"/>
  <c r="E41" i="13"/>
  <c r="E41" i="14" s="1"/>
  <c r="M385" i="13"/>
  <c r="M385" i="14" s="1"/>
  <c r="F385" i="13"/>
  <c r="F385" i="14" s="1"/>
  <c r="L385" i="13"/>
  <c r="L385" i="14" s="1"/>
  <c r="Q385" i="13"/>
  <c r="Q385" i="14" s="1"/>
  <c r="I385" i="13"/>
  <c r="I385" i="14" s="1"/>
  <c r="R385" i="13"/>
  <c r="R385" i="14" s="1"/>
  <c r="D385" i="13"/>
  <c r="D385" i="14" s="1"/>
  <c r="O385" i="13"/>
  <c r="O385" i="14" s="1"/>
  <c r="S385" i="13"/>
  <c r="S385" i="14" s="1"/>
  <c r="N385" i="13"/>
  <c r="N385" i="14" s="1"/>
  <c r="J385" i="13"/>
  <c r="J385" i="14" s="1"/>
  <c r="H385" i="13"/>
  <c r="H385" i="14" s="1"/>
  <c r="K385" i="13"/>
  <c r="K385" i="14" s="1"/>
  <c r="G385" i="13"/>
  <c r="G385" i="14" s="1"/>
  <c r="C385" i="13"/>
  <c r="C385" i="14" s="1"/>
  <c r="E385" i="13"/>
  <c r="E385" i="14" s="1"/>
  <c r="S28" i="13"/>
  <c r="S28" i="14" s="1"/>
  <c r="G28" i="13"/>
  <c r="G28" i="14" s="1"/>
  <c r="N28" i="13"/>
  <c r="N28" i="14" s="1"/>
  <c r="J28" i="13"/>
  <c r="J28" i="14" s="1"/>
  <c r="R28" i="13"/>
  <c r="R28" i="14" s="1"/>
  <c r="F28" i="13"/>
  <c r="F28" i="14" s="1"/>
  <c r="Q28" i="13"/>
  <c r="Q28" i="14" s="1"/>
  <c r="I28" i="13"/>
  <c r="I28" i="14" s="1"/>
  <c r="K28" i="13"/>
  <c r="K28" i="14" s="1"/>
  <c r="L28" i="13"/>
  <c r="L28" i="14" s="1"/>
  <c r="H28" i="13"/>
  <c r="H28" i="14" s="1"/>
  <c r="D28" i="13"/>
  <c r="D28" i="14" s="1"/>
  <c r="O28" i="13"/>
  <c r="O28" i="14" s="1"/>
  <c r="M28" i="13"/>
  <c r="M28" i="14" s="1"/>
  <c r="E28" i="13"/>
  <c r="E28" i="14" s="1"/>
  <c r="C28" i="13"/>
  <c r="C28" i="14" s="1"/>
  <c r="S20" i="13"/>
  <c r="S20" i="14" s="1"/>
  <c r="G20" i="13"/>
  <c r="G20" i="14" s="1"/>
  <c r="N20" i="13"/>
  <c r="N20" i="14" s="1"/>
  <c r="J20" i="13"/>
  <c r="J20" i="14" s="1"/>
  <c r="R20" i="13"/>
  <c r="R20" i="14" s="1"/>
  <c r="F20" i="13"/>
  <c r="F20" i="14" s="1"/>
  <c r="K20" i="13"/>
  <c r="K20" i="14" s="1"/>
  <c r="M20" i="13"/>
  <c r="M20" i="14" s="1"/>
  <c r="Q20" i="13"/>
  <c r="Q20" i="14" s="1"/>
  <c r="I20" i="13"/>
  <c r="I20" i="14" s="1"/>
  <c r="D20" i="13"/>
  <c r="D20" i="14" s="1"/>
  <c r="O20" i="13"/>
  <c r="O20" i="14" s="1"/>
  <c r="L20" i="13"/>
  <c r="L20" i="14" s="1"/>
  <c r="H20" i="13"/>
  <c r="H20" i="14" s="1"/>
  <c r="E20" i="13"/>
  <c r="E20" i="14" s="1"/>
  <c r="C20" i="13"/>
  <c r="C20" i="14" s="1"/>
  <c r="H270" i="13"/>
  <c r="H270" i="14" s="1"/>
  <c r="O270" i="13"/>
  <c r="O270" i="14" s="1"/>
  <c r="S270" i="13"/>
  <c r="S270" i="14" s="1"/>
  <c r="G270" i="13"/>
  <c r="G270" i="14" s="1"/>
  <c r="J270" i="13"/>
  <c r="J270" i="14" s="1"/>
  <c r="N270" i="13"/>
  <c r="N270" i="14" s="1"/>
  <c r="D270" i="13"/>
  <c r="D270" i="14" s="1"/>
  <c r="K270" i="13"/>
  <c r="K270" i="14" s="1"/>
  <c r="R270" i="13"/>
  <c r="R270" i="14" s="1"/>
  <c r="F270" i="13"/>
  <c r="F270" i="14" s="1"/>
  <c r="Q270" i="13"/>
  <c r="Q270" i="14" s="1"/>
  <c r="I270" i="13"/>
  <c r="I270" i="14" s="1"/>
  <c r="M270" i="13"/>
  <c r="M270" i="14" s="1"/>
  <c r="L270" i="13"/>
  <c r="L270" i="14" s="1"/>
  <c r="C270" i="13"/>
  <c r="C270" i="14" s="1"/>
  <c r="E270" i="13"/>
  <c r="E270" i="14" s="1"/>
  <c r="F307" i="13"/>
  <c r="F307" i="14" s="1"/>
  <c r="R307" i="13"/>
  <c r="R307" i="14" s="1"/>
  <c r="Q307" i="13"/>
  <c r="Q307" i="14" s="1"/>
  <c r="I307" i="13"/>
  <c r="I307" i="14" s="1"/>
  <c r="L307" i="13"/>
  <c r="L307" i="14" s="1"/>
  <c r="M307" i="13"/>
  <c r="M307" i="14" s="1"/>
  <c r="O307" i="13"/>
  <c r="O307" i="14" s="1"/>
  <c r="H307" i="13"/>
  <c r="H307" i="14" s="1"/>
  <c r="J307" i="13"/>
  <c r="J307" i="14" s="1"/>
  <c r="S307" i="13"/>
  <c r="S307" i="14" s="1"/>
  <c r="G307" i="13"/>
  <c r="G307" i="14" s="1"/>
  <c r="N307" i="13"/>
  <c r="N307" i="14" s="1"/>
  <c r="D307" i="13"/>
  <c r="D307" i="14" s="1"/>
  <c r="K307" i="13"/>
  <c r="K307" i="14" s="1"/>
  <c r="C307" i="13"/>
  <c r="C307" i="14" s="1"/>
  <c r="E307" i="13"/>
  <c r="E307" i="14" s="1"/>
  <c r="D188" i="13"/>
  <c r="D188" i="14" s="1"/>
  <c r="O188" i="13"/>
  <c r="O188" i="14" s="1"/>
  <c r="H188" i="13"/>
  <c r="H188" i="14" s="1"/>
  <c r="S188" i="13"/>
  <c r="S188" i="14" s="1"/>
  <c r="G188" i="13"/>
  <c r="G188" i="14" s="1"/>
  <c r="J188" i="13"/>
  <c r="J188" i="14" s="1"/>
  <c r="R188" i="13"/>
  <c r="R188" i="14" s="1"/>
  <c r="F188" i="13"/>
  <c r="F188" i="14" s="1"/>
  <c r="N188" i="13"/>
  <c r="N188" i="14" s="1"/>
  <c r="K188" i="13"/>
  <c r="K188" i="14" s="1"/>
  <c r="M188" i="13"/>
  <c r="M188" i="14" s="1"/>
  <c r="I188" i="13"/>
  <c r="I188" i="14" s="1"/>
  <c r="L188" i="13"/>
  <c r="L188" i="14" s="1"/>
  <c r="Q188" i="13"/>
  <c r="Q188" i="14" s="1"/>
  <c r="C188" i="13"/>
  <c r="C188" i="14" s="1"/>
  <c r="E188" i="13"/>
  <c r="E188" i="14" s="1"/>
  <c r="D86" i="13"/>
  <c r="D86" i="14" s="1"/>
  <c r="O86" i="13"/>
  <c r="O86" i="14" s="1"/>
  <c r="H86" i="13"/>
  <c r="H86" i="14" s="1"/>
  <c r="S86" i="13"/>
  <c r="S86" i="14" s="1"/>
  <c r="G86" i="13"/>
  <c r="G86" i="14" s="1"/>
  <c r="N86" i="13"/>
  <c r="N86" i="14" s="1"/>
  <c r="J86" i="13"/>
  <c r="J86" i="14" s="1"/>
  <c r="R86" i="13"/>
  <c r="R86" i="14" s="1"/>
  <c r="F86" i="13"/>
  <c r="F86" i="14" s="1"/>
  <c r="M86" i="13"/>
  <c r="M86" i="14" s="1"/>
  <c r="L86" i="13"/>
  <c r="L86" i="14" s="1"/>
  <c r="Q86" i="13"/>
  <c r="Q86" i="14" s="1"/>
  <c r="I86" i="13"/>
  <c r="I86" i="14" s="1"/>
  <c r="K86" i="13"/>
  <c r="K86" i="14" s="1"/>
  <c r="E86" i="13"/>
  <c r="E86" i="14" s="1"/>
  <c r="C86" i="13"/>
  <c r="C86" i="14" s="1"/>
  <c r="L21" i="13"/>
  <c r="L21" i="14" s="1"/>
  <c r="Q21" i="13"/>
  <c r="Q21" i="14" s="1"/>
  <c r="I21" i="13"/>
  <c r="I21" i="14" s="1"/>
  <c r="D21" i="13"/>
  <c r="D21" i="14" s="1"/>
  <c r="S21" i="13"/>
  <c r="S21" i="14" s="1"/>
  <c r="G21" i="13"/>
  <c r="G21" i="14" s="1"/>
  <c r="H21" i="13"/>
  <c r="H21" i="14" s="1"/>
  <c r="N21" i="13"/>
  <c r="N21" i="14" s="1"/>
  <c r="M21" i="13"/>
  <c r="M21" i="14" s="1"/>
  <c r="J21" i="13"/>
  <c r="J21" i="14" s="1"/>
  <c r="O21" i="13"/>
  <c r="O21" i="14" s="1"/>
  <c r="K21" i="13"/>
  <c r="K21" i="14" s="1"/>
  <c r="F21" i="13"/>
  <c r="F21" i="14" s="1"/>
  <c r="R21" i="13"/>
  <c r="R21" i="14" s="1"/>
  <c r="C21" i="13"/>
  <c r="C21" i="14" s="1"/>
  <c r="E21" i="13"/>
  <c r="E21" i="14" s="1"/>
  <c r="AL343" i="1"/>
  <c r="B343" i="13" s="1"/>
  <c r="B343" i="14" s="1"/>
  <c r="F343" i="13"/>
  <c r="F343" i="14" s="1"/>
  <c r="M343" i="13"/>
  <c r="M343" i="14" s="1"/>
  <c r="L343" i="13"/>
  <c r="L343" i="14" s="1"/>
  <c r="Q343" i="13"/>
  <c r="Q343" i="14" s="1"/>
  <c r="I343" i="13"/>
  <c r="I343" i="14" s="1"/>
  <c r="K343" i="13"/>
  <c r="K343" i="14" s="1"/>
  <c r="R343" i="13"/>
  <c r="R343" i="14" s="1"/>
  <c r="O343" i="13"/>
  <c r="O343" i="14" s="1"/>
  <c r="H343" i="13"/>
  <c r="H343" i="14" s="1"/>
  <c r="J343" i="13"/>
  <c r="J343" i="14" s="1"/>
  <c r="S343" i="13"/>
  <c r="S343" i="14" s="1"/>
  <c r="G343" i="13"/>
  <c r="G343" i="14" s="1"/>
  <c r="D343" i="13"/>
  <c r="D343" i="14" s="1"/>
  <c r="N343" i="13"/>
  <c r="N343" i="14" s="1"/>
  <c r="C343" i="13"/>
  <c r="C343" i="14" s="1"/>
  <c r="E343" i="13"/>
  <c r="E343" i="14" s="1"/>
  <c r="AL17" i="1"/>
  <c r="B17" i="13" s="1"/>
  <c r="B17" i="14" s="1"/>
  <c r="L17" i="13"/>
  <c r="L17" i="14" s="1"/>
  <c r="Q17" i="13"/>
  <c r="Q17" i="14" s="1"/>
  <c r="I17" i="13"/>
  <c r="I17" i="14" s="1"/>
  <c r="D17" i="13"/>
  <c r="D17" i="14" s="1"/>
  <c r="O17" i="13"/>
  <c r="O17" i="14" s="1"/>
  <c r="S17" i="13"/>
  <c r="S17" i="14" s="1"/>
  <c r="G17" i="13"/>
  <c r="G17" i="14" s="1"/>
  <c r="J17" i="13"/>
  <c r="J17" i="14" s="1"/>
  <c r="K17" i="13"/>
  <c r="K17" i="14" s="1"/>
  <c r="N17" i="13"/>
  <c r="N17" i="14" s="1"/>
  <c r="M17" i="13"/>
  <c r="M17" i="14" s="1"/>
  <c r="R17" i="13"/>
  <c r="R17" i="14" s="1"/>
  <c r="H17" i="13"/>
  <c r="H17" i="14" s="1"/>
  <c r="F17" i="13"/>
  <c r="F17" i="14" s="1"/>
  <c r="C17" i="13"/>
  <c r="C17" i="14" s="1"/>
  <c r="E17" i="13"/>
  <c r="E17" i="14" s="1"/>
  <c r="O170" i="13"/>
  <c r="O170" i="14" s="1"/>
  <c r="H170" i="13"/>
  <c r="H170" i="14" s="1"/>
  <c r="D170" i="13"/>
  <c r="D170" i="14" s="1"/>
  <c r="N170" i="13"/>
  <c r="N170" i="14" s="1"/>
  <c r="S170" i="13"/>
  <c r="S170" i="14" s="1"/>
  <c r="J170" i="13"/>
  <c r="J170" i="14" s="1"/>
  <c r="G170" i="13"/>
  <c r="G170" i="14" s="1"/>
  <c r="M170" i="13"/>
  <c r="M170" i="14" s="1"/>
  <c r="K170" i="13"/>
  <c r="K170" i="14" s="1"/>
  <c r="F170" i="13"/>
  <c r="F170" i="14" s="1"/>
  <c r="R170" i="13"/>
  <c r="R170" i="14" s="1"/>
  <c r="Q170" i="13"/>
  <c r="Q170" i="14" s="1"/>
  <c r="I170" i="13"/>
  <c r="I170" i="14" s="1"/>
  <c r="L170" i="13"/>
  <c r="L170" i="14" s="1"/>
  <c r="C170" i="13"/>
  <c r="C170" i="14" s="1"/>
  <c r="E170" i="13"/>
  <c r="E170" i="14" s="1"/>
  <c r="AL214" i="1"/>
  <c r="B214" i="13" s="1"/>
  <c r="B214" i="14" s="1"/>
  <c r="D214" i="13"/>
  <c r="D214" i="14" s="1"/>
  <c r="S214" i="13"/>
  <c r="S214" i="14" s="1"/>
  <c r="G214" i="13"/>
  <c r="G214" i="14" s="1"/>
  <c r="N214" i="13"/>
  <c r="N214" i="14" s="1"/>
  <c r="J214" i="13"/>
  <c r="J214" i="14" s="1"/>
  <c r="M214" i="13"/>
  <c r="M214" i="14" s="1"/>
  <c r="K214" i="13"/>
  <c r="K214" i="14" s="1"/>
  <c r="F214" i="13"/>
  <c r="F214" i="14" s="1"/>
  <c r="O214" i="13"/>
  <c r="O214" i="14" s="1"/>
  <c r="R214" i="13"/>
  <c r="R214" i="14" s="1"/>
  <c r="H214" i="13"/>
  <c r="H214" i="14" s="1"/>
  <c r="Q214" i="13"/>
  <c r="Q214" i="14" s="1"/>
  <c r="I214" i="13"/>
  <c r="I214" i="14" s="1"/>
  <c r="L214" i="13"/>
  <c r="L214" i="14" s="1"/>
  <c r="C214" i="13"/>
  <c r="C214" i="14" s="1"/>
  <c r="E214" i="13"/>
  <c r="E214" i="14" s="1"/>
  <c r="AK8" i="1"/>
  <c r="S8" i="13"/>
  <c r="S8" i="14" s="1"/>
  <c r="G8" i="13"/>
  <c r="G8" i="14" s="1"/>
  <c r="N8" i="13"/>
  <c r="N8" i="14" s="1"/>
  <c r="J8" i="13"/>
  <c r="J8" i="14" s="1"/>
  <c r="R8" i="13"/>
  <c r="R8" i="14" s="1"/>
  <c r="F8" i="13"/>
  <c r="F8" i="14" s="1"/>
  <c r="M8" i="13"/>
  <c r="M8" i="14" s="1"/>
  <c r="Q8" i="13"/>
  <c r="Q8" i="14" s="1"/>
  <c r="I8" i="13"/>
  <c r="I8" i="14" s="1"/>
  <c r="K8" i="13"/>
  <c r="K8" i="14" s="1"/>
  <c r="O8" i="13"/>
  <c r="O8" i="14" s="1"/>
  <c r="L8" i="13"/>
  <c r="L8" i="14" s="1"/>
  <c r="D8" i="13"/>
  <c r="D8" i="14" s="1"/>
  <c r="H8" i="13"/>
  <c r="H8" i="14" s="1"/>
  <c r="E8" i="13"/>
  <c r="E8" i="14" s="1"/>
  <c r="C8" i="13"/>
  <c r="C8" i="14" s="1"/>
  <c r="AK27" i="1"/>
  <c r="Q27" i="13"/>
  <c r="Q27" i="14" s="1"/>
  <c r="I27" i="13"/>
  <c r="I27" i="14" s="1"/>
  <c r="L27" i="13"/>
  <c r="L27" i="14" s="1"/>
  <c r="O27" i="13"/>
  <c r="O27" i="14" s="1"/>
  <c r="H27" i="13"/>
  <c r="H27" i="14" s="1"/>
  <c r="D27" i="13"/>
  <c r="D27" i="14" s="1"/>
  <c r="N27" i="13"/>
  <c r="N27" i="14" s="1"/>
  <c r="J27" i="13"/>
  <c r="J27" i="14" s="1"/>
  <c r="R27" i="13"/>
  <c r="R27" i="14" s="1"/>
  <c r="S27" i="13"/>
  <c r="S27" i="14" s="1"/>
  <c r="K27" i="13"/>
  <c r="K27" i="14" s="1"/>
  <c r="F27" i="13"/>
  <c r="F27" i="14" s="1"/>
  <c r="G27" i="13"/>
  <c r="G27" i="14" s="1"/>
  <c r="M27" i="13"/>
  <c r="M27" i="14" s="1"/>
  <c r="E27" i="13"/>
  <c r="E27" i="14" s="1"/>
  <c r="C27" i="13"/>
  <c r="C27" i="14" s="1"/>
  <c r="L33" i="13"/>
  <c r="L33" i="14" s="1"/>
  <c r="Q33" i="13"/>
  <c r="Q33" i="14" s="1"/>
  <c r="I33" i="13"/>
  <c r="I33" i="14" s="1"/>
  <c r="D33" i="13"/>
  <c r="D33" i="14" s="1"/>
  <c r="O33" i="13"/>
  <c r="O33" i="14" s="1"/>
  <c r="S33" i="13"/>
  <c r="S33" i="14" s="1"/>
  <c r="G33" i="13"/>
  <c r="G33" i="14" s="1"/>
  <c r="H33" i="13"/>
  <c r="H33" i="14" s="1"/>
  <c r="J33" i="13"/>
  <c r="J33" i="14" s="1"/>
  <c r="R33" i="13"/>
  <c r="R33" i="14" s="1"/>
  <c r="N33" i="13"/>
  <c r="N33" i="14" s="1"/>
  <c r="M33" i="13"/>
  <c r="M33" i="14" s="1"/>
  <c r="K33" i="13"/>
  <c r="K33" i="14" s="1"/>
  <c r="F33" i="13"/>
  <c r="F33" i="14" s="1"/>
  <c r="C33" i="13"/>
  <c r="C33" i="14" s="1"/>
  <c r="E33" i="13"/>
  <c r="E33" i="14" s="1"/>
  <c r="AK69" i="1"/>
  <c r="L69" i="13"/>
  <c r="L69" i="14" s="1"/>
  <c r="Q69" i="13"/>
  <c r="Q69" i="14" s="1"/>
  <c r="I69" i="13"/>
  <c r="I69" i="14" s="1"/>
  <c r="D69" i="13"/>
  <c r="D69" i="14" s="1"/>
  <c r="O69" i="13"/>
  <c r="O69" i="14" s="1"/>
  <c r="H69" i="13"/>
  <c r="H69" i="14" s="1"/>
  <c r="S69" i="13"/>
  <c r="S69" i="14" s="1"/>
  <c r="G69" i="13"/>
  <c r="G69" i="14" s="1"/>
  <c r="J69" i="13"/>
  <c r="J69" i="14" s="1"/>
  <c r="M69" i="13"/>
  <c r="M69" i="14" s="1"/>
  <c r="K69" i="13"/>
  <c r="K69" i="14" s="1"/>
  <c r="N69" i="13"/>
  <c r="N69" i="14" s="1"/>
  <c r="R69" i="13"/>
  <c r="R69" i="14" s="1"/>
  <c r="F69" i="13"/>
  <c r="F69" i="14" s="1"/>
  <c r="C69" i="13"/>
  <c r="C69" i="14" s="1"/>
  <c r="E69" i="13"/>
  <c r="E69" i="14" s="1"/>
  <c r="AK244" i="1"/>
  <c r="O244" i="13"/>
  <c r="O244" i="14" s="1"/>
  <c r="H244" i="13"/>
  <c r="H244" i="14" s="1"/>
  <c r="S244" i="13"/>
  <c r="S244" i="14" s="1"/>
  <c r="G244" i="13"/>
  <c r="G244" i="14" s="1"/>
  <c r="N244" i="13"/>
  <c r="N244" i="14" s="1"/>
  <c r="J244" i="13"/>
  <c r="J244" i="14" s="1"/>
  <c r="R244" i="13"/>
  <c r="R244" i="14" s="1"/>
  <c r="D244" i="13"/>
  <c r="D244" i="14" s="1"/>
  <c r="M244" i="13"/>
  <c r="M244" i="14" s="1"/>
  <c r="K244" i="13"/>
  <c r="K244" i="14" s="1"/>
  <c r="L244" i="13"/>
  <c r="L244" i="14" s="1"/>
  <c r="F244" i="13"/>
  <c r="F244" i="14" s="1"/>
  <c r="I244" i="13"/>
  <c r="I244" i="14" s="1"/>
  <c r="Q244" i="13"/>
  <c r="Q244" i="14" s="1"/>
  <c r="C244" i="13"/>
  <c r="C244" i="14" s="1"/>
  <c r="E244" i="13"/>
  <c r="E244" i="14" s="1"/>
  <c r="AK38" i="1"/>
  <c r="N38" i="13"/>
  <c r="N38" i="14" s="1"/>
  <c r="J38" i="13"/>
  <c r="J38" i="14" s="1"/>
  <c r="S38" i="13"/>
  <c r="S38" i="14" s="1"/>
  <c r="G38" i="13"/>
  <c r="G38" i="14" s="1"/>
  <c r="M38" i="13"/>
  <c r="M38" i="14" s="1"/>
  <c r="K38" i="13"/>
  <c r="K38" i="14" s="1"/>
  <c r="R38" i="13"/>
  <c r="R38" i="14" s="1"/>
  <c r="L38" i="13"/>
  <c r="L38" i="14" s="1"/>
  <c r="F38" i="13"/>
  <c r="F38" i="14" s="1"/>
  <c r="O38" i="13"/>
  <c r="O38" i="14" s="1"/>
  <c r="D38" i="13"/>
  <c r="D38" i="14" s="1"/>
  <c r="I38" i="13"/>
  <c r="I38" i="14" s="1"/>
  <c r="H38" i="13"/>
  <c r="H38" i="14" s="1"/>
  <c r="Q38" i="13"/>
  <c r="Q38" i="14" s="1"/>
  <c r="C38" i="13"/>
  <c r="C38" i="14" s="1"/>
  <c r="E38" i="13"/>
  <c r="E38" i="14" s="1"/>
  <c r="AL304" i="1"/>
  <c r="B304" i="13" s="1"/>
  <c r="B304" i="14" s="1"/>
  <c r="D304" i="13"/>
  <c r="D304" i="14" s="1"/>
  <c r="S304" i="13"/>
  <c r="S304" i="14" s="1"/>
  <c r="G304" i="13"/>
  <c r="G304" i="14" s="1"/>
  <c r="N304" i="13"/>
  <c r="N304" i="14" s="1"/>
  <c r="J304" i="13"/>
  <c r="J304" i="14" s="1"/>
  <c r="H304" i="13"/>
  <c r="H304" i="14" s="1"/>
  <c r="R304" i="13"/>
  <c r="R304" i="14" s="1"/>
  <c r="F304" i="13"/>
  <c r="F304" i="14" s="1"/>
  <c r="O304" i="13"/>
  <c r="O304" i="14" s="1"/>
  <c r="I304" i="13"/>
  <c r="I304" i="14" s="1"/>
  <c r="K304" i="13"/>
  <c r="K304" i="14" s="1"/>
  <c r="L304" i="13"/>
  <c r="L304" i="14" s="1"/>
  <c r="M304" i="13"/>
  <c r="M304" i="14" s="1"/>
  <c r="Q304" i="13"/>
  <c r="Q304" i="14" s="1"/>
  <c r="C304" i="13"/>
  <c r="C304" i="14" s="1"/>
  <c r="E304" i="13"/>
  <c r="E304" i="14" s="1"/>
  <c r="D368" i="13"/>
  <c r="D368" i="14" s="1"/>
  <c r="S368" i="13"/>
  <c r="S368" i="14" s="1"/>
  <c r="G368" i="13"/>
  <c r="G368" i="14" s="1"/>
  <c r="N368" i="13"/>
  <c r="N368" i="14" s="1"/>
  <c r="J368" i="13"/>
  <c r="J368" i="14" s="1"/>
  <c r="H368" i="13"/>
  <c r="H368" i="14" s="1"/>
  <c r="R368" i="13"/>
  <c r="R368" i="14" s="1"/>
  <c r="F368" i="13"/>
  <c r="F368" i="14" s="1"/>
  <c r="M368" i="13"/>
  <c r="M368" i="14" s="1"/>
  <c r="I368" i="13"/>
  <c r="I368" i="14" s="1"/>
  <c r="L368" i="13"/>
  <c r="L368" i="14" s="1"/>
  <c r="Q368" i="13"/>
  <c r="Q368" i="14" s="1"/>
  <c r="O368" i="13"/>
  <c r="O368" i="14" s="1"/>
  <c r="K368" i="13"/>
  <c r="K368" i="14" s="1"/>
  <c r="C368" i="13"/>
  <c r="C368" i="14" s="1"/>
  <c r="E368" i="13"/>
  <c r="E368" i="14" s="1"/>
  <c r="AL103" i="1"/>
  <c r="B103" i="13" s="1"/>
  <c r="B103" i="14" s="1"/>
  <c r="S103" i="13"/>
  <c r="S103" i="14" s="1"/>
  <c r="D103" i="13"/>
  <c r="D103" i="14" s="1"/>
  <c r="N103" i="13"/>
  <c r="N103" i="14" s="1"/>
  <c r="H103" i="13"/>
  <c r="H103" i="14" s="1"/>
  <c r="R103" i="13"/>
  <c r="R103" i="14" s="1"/>
  <c r="G103" i="13"/>
  <c r="G103" i="14" s="1"/>
  <c r="M103" i="13"/>
  <c r="M103" i="14" s="1"/>
  <c r="J103" i="13"/>
  <c r="J103" i="14" s="1"/>
  <c r="Q103" i="13"/>
  <c r="Q103" i="14" s="1"/>
  <c r="F103" i="13"/>
  <c r="F103" i="14" s="1"/>
  <c r="L103" i="13"/>
  <c r="L103" i="14" s="1"/>
  <c r="K103" i="13"/>
  <c r="K103" i="14" s="1"/>
  <c r="I103" i="13"/>
  <c r="I103" i="14" s="1"/>
  <c r="E103" i="13"/>
  <c r="E103" i="14" s="1"/>
  <c r="O103" i="13"/>
  <c r="O103" i="14" s="1"/>
  <c r="C103" i="13"/>
  <c r="C103" i="14" s="1"/>
  <c r="AL215" i="1"/>
  <c r="B215" i="13" s="1"/>
  <c r="B215" i="14" s="1"/>
  <c r="M215" i="13"/>
  <c r="M215" i="14" s="1"/>
  <c r="K215" i="13"/>
  <c r="K215" i="14" s="1"/>
  <c r="L215" i="13"/>
  <c r="L215" i="14" s="1"/>
  <c r="Q215" i="13"/>
  <c r="Q215" i="14" s="1"/>
  <c r="I215" i="13"/>
  <c r="I215" i="14" s="1"/>
  <c r="O215" i="13"/>
  <c r="O215" i="14" s="1"/>
  <c r="H215" i="13"/>
  <c r="H215" i="14" s="1"/>
  <c r="R215" i="13"/>
  <c r="R215" i="14" s="1"/>
  <c r="J215" i="13"/>
  <c r="J215" i="14" s="1"/>
  <c r="S215" i="13"/>
  <c r="S215" i="14" s="1"/>
  <c r="D215" i="13"/>
  <c r="D215" i="14" s="1"/>
  <c r="F215" i="13"/>
  <c r="F215" i="14" s="1"/>
  <c r="G215" i="13"/>
  <c r="G215" i="14" s="1"/>
  <c r="N215" i="13"/>
  <c r="N215" i="14" s="1"/>
  <c r="C215" i="13"/>
  <c r="C215" i="14" s="1"/>
  <c r="E215" i="13"/>
  <c r="E215" i="14" s="1"/>
  <c r="R175" i="13"/>
  <c r="R175" i="14" s="1"/>
  <c r="F175" i="13"/>
  <c r="F175" i="14" s="1"/>
  <c r="M175" i="13"/>
  <c r="M175" i="14" s="1"/>
  <c r="K175" i="13"/>
  <c r="K175" i="14" s="1"/>
  <c r="L175" i="13"/>
  <c r="L175" i="14" s="1"/>
  <c r="Q175" i="13"/>
  <c r="Q175" i="14" s="1"/>
  <c r="I175" i="13"/>
  <c r="I175" i="14" s="1"/>
  <c r="O175" i="13"/>
  <c r="O175" i="14" s="1"/>
  <c r="H175" i="13"/>
  <c r="H175" i="14" s="1"/>
  <c r="D175" i="13"/>
  <c r="D175" i="14" s="1"/>
  <c r="N175" i="13"/>
  <c r="N175" i="14" s="1"/>
  <c r="S175" i="13"/>
  <c r="S175" i="14" s="1"/>
  <c r="G175" i="13"/>
  <c r="G175" i="14" s="1"/>
  <c r="J175" i="13"/>
  <c r="J175" i="14" s="1"/>
  <c r="C175" i="13"/>
  <c r="C175" i="14" s="1"/>
  <c r="E175" i="13"/>
  <c r="E175" i="14" s="1"/>
  <c r="AK116" i="1"/>
  <c r="D116" i="13"/>
  <c r="D116" i="14" s="1"/>
  <c r="O116" i="13"/>
  <c r="O116" i="14" s="1"/>
  <c r="H116" i="13"/>
  <c r="H116" i="14" s="1"/>
  <c r="S116" i="13"/>
  <c r="S116" i="14" s="1"/>
  <c r="G116" i="13"/>
  <c r="G116" i="14" s="1"/>
  <c r="N116" i="13"/>
  <c r="N116" i="14" s="1"/>
  <c r="J116" i="13"/>
  <c r="J116" i="14" s="1"/>
  <c r="R116" i="13"/>
  <c r="R116" i="14" s="1"/>
  <c r="F116" i="13"/>
  <c r="F116" i="14" s="1"/>
  <c r="M116" i="13"/>
  <c r="M116" i="14" s="1"/>
  <c r="I116" i="13"/>
  <c r="I116" i="14" s="1"/>
  <c r="L116" i="13"/>
  <c r="L116" i="14" s="1"/>
  <c r="K116" i="13"/>
  <c r="K116" i="14" s="1"/>
  <c r="Q116" i="13"/>
  <c r="Q116" i="14" s="1"/>
  <c r="C116" i="13"/>
  <c r="C116" i="14" s="1"/>
  <c r="E116" i="13"/>
  <c r="E116" i="14" s="1"/>
  <c r="D206" i="13"/>
  <c r="D206" i="14" s="1"/>
  <c r="O206" i="13"/>
  <c r="O206" i="14" s="1"/>
  <c r="H206" i="13"/>
  <c r="H206" i="14" s="1"/>
  <c r="N206" i="13"/>
  <c r="N206" i="14" s="1"/>
  <c r="J206" i="13"/>
  <c r="J206" i="14" s="1"/>
  <c r="G206" i="13"/>
  <c r="G206" i="14" s="1"/>
  <c r="M206" i="13"/>
  <c r="M206" i="14" s="1"/>
  <c r="K206" i="13"/>
  <c r="K206" i="14" s="1"/>
  <c r="S206" i="13"/>
  <c r="S206" i="14" s="1"/>
  <c r="R206" i="13"/>
  <c r="R206" i="14" s="1"/>
  <c r="L206" i="13"/>
  <c r="L206" i="14" s="1"/>
  <c r="Q206" i="13"/>
  <c r="Q206" i="14" s="1"/>
  <c r="I206" i="13"/>
  <c r="I206" i="14" s="1"/>
  <c r="F206" i="13"/>
  <c r="F206" i="14" s="1"/>
  <c r="C206" i="13"/>
  <c r="C206" i="14" s="1"/>
  <c r="E206" i="13"/>
  <c r="E206" i="14" s="1"/>
  <c r="Q55" i="13"/>
  <c r="Q55" i="14" s="1"/>
  <c r="I55" i="13"/>
  <c r="I55" i="14" s="1"/>
  <c r="L55" i="13"/>
  <c r="L55" i="14" s="1"/>
  <c r="O55" i="13"/>
  <c r="O55" i="14" s="1"/>
  <c r="H55" i="13"/>
  <c r="H55" i="14" s="1"/>
  <c r="D55" i="13"/>
  <c r="D55" i="14" s="1"/>
  <c r="N55" i="13"/>
  <c r="N55" i="14" s="1"/>
  <c r="J55" i="13"/>
  <c r="J55" i="14" s="1"/>
  <c r="S55" i="13"/>
  <c r="S55" i="14" s="1"/>
  <c r="F55" i="13"/>
  <c r="F55" i="14" s="1"/>
  <c r="K55" i="13"/>
  <c r="K55" i="14" s="1"/>
  <c r="R55" i="13"/>
  <c r="R55" i="14" s="1"/>
  <c r="M55" i="13"/>
  <c r="M55" i="14" s="1"/>
  <c r="G55" i="13"/>
  <c r="G55" i="14" s="1"/>
  <c r="C55" i="13"/>
  <c r="C55" i="14" s="1"/>
  <c r="E55" i="13"/>
  <c r="E55" i="14" s="1"/>
  <c r="AL313" i="1"/>
  <c r="B313" i="13" s="1"/>
  <c r="B313" i="14" s="1"/>
  <c r="K313" i="13"/>
  <c r="K313" i="14" s="1"/>
  <c r="M313" i="13"/>
  <c r="M313" i="14" s="1"/>
  <c r="L313" i="13"/>
  <c r="L313" i="14" s="1"/>
  <c r="I313" i="13"/>
  <c r="I313" i="14" s="1"/>
  <c r="Q313" i="13"/>
  <c r="Q313" i="14" s="1"/>
  <c r="F313" i="13"/>
  <c r="F313" i="14" s="1"/>
  <c r="D313" i="13"/>
  <c r="D313" i="14" s="1"/>
  <c r="G313" i="13"/>
  <c r="G313" i="14" s="1"/>
  <c r="R313" i="13"/>
  <c r="R313" i="14" s="1"/>
  <c r="O313" i="13"/>
  <c r="O313" i="14" s="1"/>
  <c r="H313" i="13"/>
  <c r="H313" i="14" s="1"/>
  <c r="N313" i="13"/>
  <c r="N313" i="14" s="1"/>
  <c r="J313" i="13"/>
  <c r="J313" i="14" s="1"/>
  <c r="S313" i="13"/>
  <c r="S313" i="14" s="1"/>
  <c r="C313" i="13"/>
  <c r="C313" i="14" s="1"/>
  <c r="E313" i="13"/>
  <c r="E313" i="14" s="1"/>
  <c r="M429" i="13"/>
  <c r="M429" i="14" s="1"/>
  <c r="F429" i="13"/>
  <c r="F429" i="14" s="1"/>
  <c r="L429" i="13"/>
  <c r="L429" i="14" s="1"/>
  <c r="Q429" i="13"/>
  <c r="Q429" i="14" s="1"/>
  <c r="I429" i="13"/>
  <c r="I429" i="14" s="1"/>
  <c r="R429" i="13"/>
  <c r="R429" i="14" s="1"/>
  <c r="D429" i="13"/>
  <c r="D429" i="14" s="1"/>
  <c r="H429" i="13"/>
  <c r="H429" i="14" s="1"/>
  <c r="G429" i="13"/>
  <c r="G429" i="14" s="1"/>
  <c r="O429" i="13"/>
  <c r="O429" i="14" s="1"/>
  <c r="N429" i="13"/>
  <c r="N429" i="14" s="1"/>
  <c r="J429" i="13"/>
  <c r="J429" i="14" s="1"/>
  <c r="K429" i="13"/>
  <c r="K429" i="14" s="1"/>
  <c r="S429" i="13"/>
  <c r="S429" i="14" s="1"/>
  <c r="C429" i="13"/>
  <c r="C429" i="14" s="1"/>
  <c r="E429" i="13"/>
  <c r="E429" i="14" s="1"/>
  <c r="AL62" i="1"/>
  <c r="B62" i="13" s="1"/>
  <c r="B62" i="14" s="1"/>
  <c r="N62" i="13"/>
  <c r="N62" i="14" s="1"/>
  <c r="J62" i="13"/>
  <c r="J62" i="14" s="1"/>
  <c r="S62" i="13"/>
  <c r="S62" i="14" s="1"/>
  <c r="G62" i="13"/>
  <c r="G62" i="14" s="1"/>
  <c r="M62" i="13"/>
  <c r="M62" i="14" s="1"/>
  <c r="K62" i="13"/>
  <c r="K62" i="14" s="1"/>
  <c r="R62" i="13"/>
  <c r="R62" i="14" s="1"/>
  <c r="F62" i="13"/>
  <c r="F62" i="14" s="1"/>
  <c r="L62" i="13"/>
  <c r="L62" i="14" s="1"/>
  <c r="Q62" i="13"/>
  <c r="Q62" i="14" s="1"/>
  <c r="O62" i="13"/>
  <c r="O62" i="14" s="1"/>
  <c r="H62" i="13"/>
  <c r="H62" i="14" s="1"/>
  <c r="D62" i="13"/>
  <c r="D62" i="14" s="1"/>
  <c r="I62" i="13"/>
  <c r="I62" i="14" s="1"/>
  <c r="C62" i="13"/>
  <c r="C62" i="14" s="1"/>
  <c r="E62" i="13"/>
  <c r="E62" i="14" s="1"/>
  <c r="D432" i="13"/>
  <c r="D432" i="14" s="1"/>
  <c r="S432" i="13"/>
  <c r="S432" i="14" s="1"/>
  <c r="G432" i="13"/>
  <c r="G432" i="14" s="1"/>
  <c r="N432" i="13"/>
  <c r="N432" i="14" s="1"/>
  <c r="J432" i="13"/>
  <c r="J432" i="14" s="1"/>
  <c r="H432" i="13"/>
  <c r="H432" i="14" s="1"/>
  <c r="R432" i="13"/>
  <c r="R432" i="14" s="1"/>
  <c r="F432" i="13"/>
  <c r="F432" i="14" s="1"/>
  <c r="O432" i="13"/>
  <c r="O432" i="14" s="1"/>
  <c r="K432" i="13"/>
  <c r="K432" i="14" s="1"/>
  <c r="L432" i="13"/>
  <c r="L432" i="14" s="1"/>
  <c r="Q432" i="13"/>
  <c r="Q432" i="14" s="1"/>
  <c r="M432" i="13"/>
  <c r="M432" i="14" s="1"/>
  <c r="I432" i="13"/>
  <c r="I432" i="14" s="1"/>
  <c r="C432" i="13"/>
  <c r="C432" i="14" s="1"/>
  <c r="E432" i="13"/>
  <c r="E432" i="14" s="1"/>
  <c r="AK194" i="1"/>
  <c r="D194" i="13"/>
  <c r="D194" i="14" s="1"/>
  <c r="O194" i="13"/>
  <c r="O194" i="14" s="1"/>
  <c r="H194" i="13"/>
  <c r="H194" i="14" s="1"/>
  <c r="N194" i="13"/>
  <c r="N194" i="14" s="1"/>
  <c r="J194" i="13"/>
  <c r="J194" i="14" s="1"/>
  <c r="G194" i="13"/>
  <c r="G194" i="14" s="1"/>
  <c r="S194" i="13"/>
  <c r="S194" i="14" s="1"/>
  <c r="M194" i="13"/>
  <c r="M194" i="14" s="1"/>
  <c r="K194" i="13"/>
  <c r="K194" i="14" s="1"/>
  <c r="F194" i="13"/>
  <c r="F194" i="14" s="1"/>
  <c r="R194" i="13"/>
  <c r="R194" i="14" s="1"/>
  <c r="L194" i="13"/>
  <c r="L194" i="14" s="1"/>
  <c r="Q194" i="13"/>
  <c r="Q194" i="14" s="1"/>
  <c r="I194" i="13"/>
  <c r="I194" i="14" s="1"/>
  <c r="C194" i="13"/>
  <c r="C194" i="14" s="1"/>
  <c r="E194" i="13"/>
  <c r="E194" i="14" s="1"/>
  <c r="D280" i="13"/>
  <c r="D280" i="14" s="1"/>
  <c r="S280" i="13"/>
  <c r="S280" i="14" s="1"/>
  <c r="G280" i="13"/>
  <c r="G280" i="14" s="1"/>
  <c r="N280" i="13"/>
  <c r="N280" i="14" s="1"/>
  <c r="J280" i="13"/>
  <c r="J280" i="14" s="1"/>
  <c r="O280" i="13"/>
  <c r="O280" i="14" s="1"/>
  <c r="R280" i="13"/>
  <c r="R280" i="14" s="1"/>
  <c r="I280" i="13"/>
  <c r="I280" i="14" s="1"/>
  <c r="M280" i="13"/>
  <c r="M280" i="14" s="1"/>
  <c r="K280" i="13"/>
  <c r="K280" i="14" s="1"/>
  <c r="L280" i="13"/>
  <c r="L280" i="14" s="1"/>
  <c r="H280" i="13"/>
  <c r="H280" i="14" s="1"/>
  <c r="F280" i="13"/>
  <c r="F280" i="14" s="1"/>
  <c r="Q280" i="13"/>
  <c r="Q280" i="14" s="1"/>
  <c r="C280" i="13"/>
  <c r="C280" i="14" s="1"/>
  <c r="E280" i="13"/>
  <c r="E280" i="14" s="1"/>
  <c r="AK237" i="1"/>
  <c r="M237" i="13"/>
  <c r="M237" i="14" s="1"/>
  <c r="F237" i="13"/>
  <c r="F237" i="14" s="1"/>
  <c r="Q237" i="13"/>
  <c r="Q237" i="14" s="1"/>
  <c r="I237" i="13"/>
  <c r="I237" i="14" s="1"/>
  <c r="L237" i="13"/>
  <c r="L237" i="14" s="1"/>
  <c r="K237" i="13"/>
  <c r="K237" i="14" s="1"/>
  <c r="G237" i="13"/>
  <c r="G237" i="14" s="1"/>
  <c r="O237" i="13"/>
  <c r="O237" i="14" s="1"/>
  <c r="H237" i="13"/>
  <c r="H237" i="14" s="1"/>
  <c r="J237" i="13"/>
  <c r="J237" i="14" s="1"/>
  <c r="S237" i="13"/>
  <c r="S237" i="14" s="1"/>
  <c r="R237" i="13"/>
  <c r="R237" i="14" s="1"/>
  <c r="N237" i="13"/>
  <c r="N237" i="14" s="1"/>
  <c r="D237" i="13"/>
  <c r="D237" i="14" s="1"/>
  <c r="C237" i="13"/>
  <c r="C237" i="14" s="1"/>
  <c r="E237" i="13"/>
  <c r="E237" i="14" s="1"/>
  <c r="AL72" i="1"/>
  <c r="B72" i="13" s="1"/>
  <c r="B72" i="14" s="1"/>
  <c r="R72" i="13"/>
  <c r="R72" i="14" s="1"/>
  <c r="G72" i="13"/>
  <c r="G72" i="14" s="1"/>
  <c r="M72" i="13"/>
  <c r="M72" i="14" s="1"/>
  <c r="J72" i="13"/>
  <c r="J72" i="14" s="1"/>
  <c r="Q72" i="13"/>
  <c r="Q72" i="14" s="1"/>
  <c r="F72" i="13"/>
  <c r="F72" i="14" s="1"/>
  <c r="L72" i="13"/>
  <c r="L72" i="14" s="1"/>
  <c r="K72" i="13"/>
  <c r="K72" i="14" s="1"/>
  <c r="O72" i="13"/>
  <c r="O72" i="14" s="1"/>
  <c r="I72" i="13"/>
  <c r="I72" i="14" s="1"/>
  <c r="S72" i="13"/>
  <c r="S72" i="14" s="1"/>
  <c r="N72" i="13"/>
  <c r="N72" i="14" s="1"/>
  <c r="D72" i="13"/>
  <c r="D72" i="14" s="1"/>
  <c r="E72" i="13"/>
  <c r="E72" i="14" s="1"/>
  <c r="H72" i="13"/>
  <c r="H72" i="14" s="1"/>
  <c r="C72" i="13"/>
  <c r="C72" i="14" s="1"/>
  <c r="O216" i="13"/>
  <c r="O216" i="14" s="1"/>
  <c r="H216" i="13"/>
  <c r="H216" i="14" s="1"/>
  <c r="N216" i="13"/>
  <c r="N216" i="14" s="1"/>
  <c r="J216" i="13"/>
  <c r="J216" i="14" s="1"/>
  <c r="S216" i="13"/>
  <c r="S216" i="14" s="1"/>
  <c r="G216" i="13"/>
  <c r="G216" i="14" s="1"/>
  <c r="R216" i="13"/>
  <c r="R216" i="14" s="1"/>
  <c r="F216" i="13"/>
  <c r="F216" i="14" s="1"/>
  <c r="K216" i="13"/>
  <c r="K216" i="14" s="1"/>
  <c r="M216" i="13"/>
  <c r="M216" i="14" s="1"/>
  <c r="Q216" i="13"/>
  <c r="Q216" i="14" s="1"/>
  <c r="L216" i="13"/>
  <c r="L216" i="14" s="1"/>
  <c r="I216" i="13"/>
  <c r="I216" i="14" s="1"/>
  <c r="D216" i="13"/>
  <c r="D216" i="14" s="1"/>
  <c r="C216" i="13"/>
  <c r="C216" i="14" s="1"/>
  <c r="E216" i="13"/>
  <c r="E216" i="14" s="1"/>
  <c r="AK228" i="1"/>
  <c r="O228" i="13"/>
  <c r="O228" i="14" s="1"/>
  <c r="N228" i="13"/>
  <c r="N228" i="14" s="1"/>
  <c r="J228" i="13"/>
  <c r="J228" i="14" s="1"/>
  <c r="S228" i="13"/>
  <c r="S228" i="14" s="1"/>
  <c r="G228" i="13"/>
  <c r="G228" i="14" s="1"/>
  <c r="D228" i="13"/>
  <c r="D228" i="14" s="1"/>
  <c r="F228" i="13"/>
  <c r="F228" i="14" s="1"/>
  <c r="Q228" i="13"/>
  <c r="Q228" i="14" s="1"/>
  <c r="H228" i="13"/>
  <c r="H228" i="14" s="1"/>
  <c r="M228" i="13"/>
  <c r="M228" i="14" s="1"/>
  <c r="K228" i="13"/>
  <c r="K228" i="14" s="1"/>
  <c r="L228" i="13"/>
  <c r="L228" i="14" s="1"/>
  <c r="R228" i="13"/>
  <c r="R228" i="14" s="1"/>
  <c r="I228" i="13"/>
  <c r="I228" i="14" s="1"/>
  <c r="C228" i="13"/>
  <c r="C228" i="14" s="1"/>
  <c r="E228" i="13"/>
  <c r="E228" i="14" s="1"/>
  <c r="AK289" i="1"/>
  <c r="K289" i="13"/>
  <c r="K289" i="14" s="1"/>
  <c r="R289" i="13"/>
  <c r="R289" i="14" s="1"/>
  <c r="L289" i="13"/>
  <c r="L289" i="14" s="1"/>
  <c r="Q289" i="13"/>
  <c r="Q289" i="14" s="1"/>
  <c r="I289" i="13"/>
  <c r="I289" i="14" s="1"/>
  <c r="F289" i="13"/>
  <c r="F289" i="14" s="1"/>
  <c r="D289" i="13"/>
  <c r="D289" i="14" s="1"/>
  <c r="O289" i="13"/>
  <c r="O289" i="14" s="1"/>
  <c r="N289" i="13"/>
  <c r="N289" i="14" s="1"/>
  <c r="J289" i="13"/>
  <c r="J289" i="14" s="1"/>
  <c r="M289" i="13"/>
  <c r="M289" i="14" s="1"/>
  <c r="H289" i="13"/>
  <c r="H289" i="14" s="1"/>
  <c r="S289" i="13"/>
  <c r="S289" i="14" s="1"/>
  <c r="G289" i="13"/>
  <c r="G289" i="14" s="1"/>
  <c r="C289" i="13"/>
  <c r="C289" i="14" s="1"/>
  <c r="E289" i="13"/>
  <c r="E289" i="14" s="1"/>
  <c r="O174" i="13"/>
  <c r="O174" i="14" s="1"/>
  <c r="H174" i="13"/>
  <c r="H174" i="14" s="1"/>
  <c r="D174" i="13"/>
  <c r="D174" i="14" s="1"/>
  <c r="S174" i="13"/>
  <c r="S174" i="14" s="1"/>
  <c r="G174" i="13"/>
  <c r="G174" i="14" s="1"/>
  <c r="N174" i="13"/>
  <c r="N174" i="14" s="1"/>
  <c r="J174" i="13"/>
  <c r="J174" i="14" s="1"/>
  <c r="R174" i="13"/>
  <c r="R174" i="14" s="1"/>
  <c r="M174" i="13"/>
  <c r="M174" i="14" s="1"/>
  <c r="K174" i="13"/>
  <c r="K174" i="14" s="1"/>
  <c r="F174" i="13"/>
  <c r="F174" i="14" s="1"/>
  <c r="Q174" i="13"/>
  <c r="Q174" i="14" s="1"/>
  <c r="I174" i="13"/>
  <c r="I174" i="14" s="1"/>
  <c r="L174" i="13"/>
  <c r="L174" i="14" s="1"/>
  <c r="C174" i="13"/>
  <c r="C174" i="14" s="1"/>
  <c r="E174" i="13"/>
  <c r="E174" i="14" s="1"/>
  <c r="F359" i="13"/>
  <c r="F359" i="14" s="1"/>
  <c r="R359" i="13"/>
  <c r="R359" i="14" s="1"/>
  <c r="Q359" i="13"/>
  <c r="Q359" i="14" s="1"/>
  <c r="I359" i="13"/>
  <c r="I359" i="14" s="1"/>
  <c r="M359" i="13"/>
  <c r="M359" i="14" s="1"/>
  <c r="O359" i="13"/>
  <c r="O359" i="14" s="1"/>
  <c r="H359" i="13"/>
  <c r="H359" i="14" s="1"/>
  <c r="L359" i="13"/>
  <c r="L359" i="14" s="1"/>
  <c r="D359" i="13"/>
  <c r="D359" i="14" s="1"/>
  <c r="J359" i="13"/>
  <c r="J359" i="14" s="1"/>
  <c r="S359" i="13"/>
  <c r="S359" i="14" s="1"/>
  <c r="G359" i="13"/>
  <c r="G359" i="14" s="1"/>
  <c r="N359" i="13"/>
  <c r="N359" i="14" s="1"/>
  <c r="K359" i="13"/>
  <c r="K359" i="14" s="1"/>
  <c r="C359" i="13"/>
  <c r="C359" i="14" s="1"/>
  <c r="E359" i="13"/>
  <c r="E359" i="14" s="1"/>
  <c r="AK186" i="1"/>
  <c r="O186" i="13"/>
  <c r="O186" i="14" s="1"/>
  <c r="H186" i="13"/>
  <c r="H186" i="14" s="1"/>
  <c r="D186" i="13"/>
  <c r="D186" i="14" s="1"/>
  <c r="N186" i="13"/>
  <c r="N186" i="14" s="1"/>
  <c r="J186" i="13"/>
  <c r="J186" i="14" s="1"/>
  <c r="G186" i="13"/>
  <c r="G186" i="14" s="1"/>
  <c r="M186" i="13"/>
  <c r="M186" i="14" s="1"/>
  <c r="K186" i="13"/>
  <c r="K186" i="14" s="1"/>
  <c r="R186" i="13"/>
  <c r="R186" i="14" s="1"/>
  <c r="S186" i="13"/>
  <c r="S186" i="14" s="1"/>
  <c r="L186" i="13"/>
  <c r="L186" i="14" s="1"/>
  <c r="F186" i="13"/>
  <c r="F186" i="14" s="1"/>
  <c r="Q186" i="13"/>
  <c r="Q186" i="14" s="1"/>
  <c r="I186" i="13"/>
  <c r="I186" i="14" s="1"/>
  <c r="C186" i="13"/>
  <c r="C186" i="14" s="1"/>
  <c r="E186" i="13"/>
  <c r="E186" i="14" s="1"/>
  <c r="Q47" i="13"/>
  <c r="Q47" i="14" s="1"/>
  <c r="I47" i="13"/>
  <c r="I47" i="14" s="1"/>
  <c r="L47" i="13"/>
  <c r="L47" i="14" s="1"/>
  <c r="O47" i="13"/>
  <c r="O47" i="14" s="1"/>
  <c r="H47" i="13"/>
  <c r="H47" i="14" s="1"/>
  <c r="N47" i="13"/>
  <c r="N47" i="14" s="1"/>
  <c r="J47" i="13"/>
  <c r="J47" i="14" s="1"/>
  <c r="D47" i="13"/>
  <c r="D47" i="14" s="1"/>
  <c r="F47" i="13"/>
  <c r="F47" i="14" s="1"/>
  <c r="G47" i="13"/>
  <c r="G47" i="14" s="1"/>
  <c r="R47" i="13"/>
  <c r="R47" i="14" s="1"/>
  <c r="K47" i="13"/>
  <c r="K47" i="14" s="1"/>
  <c r="S47" i="13"/>
  <c r="S47" i="14" s="1"/>
  <c r="M47" i="13"/>
  <c r="M47" i="14" s="1"/>
  <c r="C47" i="13"/>
  <c r="C47" i="14" s="1"/>
  <c r="E47" i="13"/>
  <c r="E47" i="14" s="1"/>
  <c r="M141" i="13"/>
  <c r="M141" i="14" s="1"/>
  <c r="K141" i="13"/>
  <c r="K141" i="14" s="1"/>
  <c r="R141" i="13"/>
  <c r="R141" i="14" s="1"/>
  <c r="F141" i="13"/>
  <c r="F141" i="14" s="1"/>
  <c r="L141" i="13"/>
  <c r="L141" i="14" s="1"/>
  <c r="Q141" i="13"/>
  <c r="Q141" i="14" s="1"/>
  <c r="I141" i="13"/>
  <c r="I141" i="14" s="1"/>
  <c r="D141" i="13"/>
  <c r="D141" i="14" s="1"/>
  <c r="H141" i="13"/>
  <c r="H141" i="14" s="1"/>
  <c r="G141" i="13"/>
  <c r="G141" i="14" s="1"/>
  <c r="O141" i="13"/>
  <c r="O141" i="14" s="1"/>
  <c r="N141" i="13"/>
  <c r="N141" i="14" s="1"/>
  <c r="J141" i="13"/>
  <c r="J141" i="14" s="1"/>
  <c r="S141" i="13"/>
  <c r="S141" i="14" s="1"/>
  <c r="C141" i="13"/>
  <c r="C141" i="14" s="1"/>
  <c r="E141" i="13"/>
  <c r="E141" i="14" s="1"/>
  <c r="O204" i="13"/>
  <c r="O204" i="14" s="1"/>
  <c r="H204" i="13"/>
  <c r="H204" i="14" s="1"/>
  <c r="D204" i="13"/>
  <c r="D204" i="14" s="1"/>
  <c r="S204" i="13"/>
  <c r="S204" i="14" s="1"/>
  <c r="G204" i="13"/>
  <c r="G204" i="14" s="1"/>
  <c r="J204" i="13"/>
  <c r="J204" i="14" s="1"/>
  <c r="R204" i="13"/>
  <c r="R204" i="14" s="1"/>
  <c r="F204" i="13"/>
  <c r="F204" i="14" s="1"/>
  <c r="N204" i="13"/>
  <c r="N204" i="14" s="1"/>
  <c r="M204" i="13"/>
  <c r="M204" i="14" s="1"/>
  <c r="K204" i="13"/>
  <c r="K204" i="14" s="1"/>
  <c r="Q204" i="13"/>
  <c r="Q204" i="14" s="1"/>
  <c r="L204" i="13"/>
  <c r="L204" i="14" s="1"/>
  <c r="I204" i="13"/>
  <c r="I204" i="14" s="1"/>
  <c r="C204" i="13"/>
  <c r="C204" i="14" s="1"/>
  <c r="E204" i="13"/>
  <c r="E204" i="14" s="1"/>
  <c r="H394" i="13"/>
  <c r="H394" i="14" s="1"/>
  <c r="O394" i="13"/>
  <c r="O394" i="14" s="1"/>
  <c r="N394" i="13"/>
  <c r="N394" i="14" s="1"/>
  <c r="J394" i="13"/>
  <c r="J394" i="14" s="1"/>
  <c r="S394" i="13"/>
  <c r="S394" i="14" s="1"/>
  <c r="G394" i="13"/>
  <c r="G394" i="14" s="1"/>
  <c r="D394" i="13"/>
  <c r="D394" i="14" s="1"/>
  <c r="M394" i="13"/>
  <c r="M394" i="14" s="1"/>
  <c r="K394" i="13"/>
  <c r="K394" i="14" s="1"/>
  <c r="R394" i="13"/>
  <c r="R394" i="14" s="1"/>
  <c r="F394" i="13"/>
  <c r="F394" i="14" s="1"/>
  <c r="L394" i="13"/>
  <c r="L394" i="14" s="1"/>
  <c r="Q394" i="13"/>
  <c r="Q394" i="14" s="1"/>
  <c r="I394" i="13"/>
  <c r="I394" i="14" s="1"/>
  <c r="C394" i="13"/>
  <c r="C394" i="14" s="1"/>
  <c r="E394" i="13"/>
  <c r="E394" i="14" s="1"/>
  <c r="K347" i="13"/>
  <c r="K347" i="14" s="1"/>
  <c r="M347" i="13"/>
  <c r="M347" i="14" s="1"/>
  <c r="Q347" i="13"/>
  <c r="Q347" i="14" s="1"/>
  <c r="I347" i="13"/>
  <c r="I347" i="14" s="1"/>
  <c r="L347" i="13"/>
  <c r="L347" i="14" s="1"/>
  <c r="F347" i="13"/>
  <c r="F347" i="14" s="1"/>
  <c r="R347" i="13"/>
  <c r="R347" i="14" s="1"/>
  <c r="O347" i="13"/>
  <c r="O347" i="14" s="1"/>
  <c r="H347" i="13"/>
  <c r="H347" i="14" s="1"/>
  <c r="S347" i="13"/>
  <c r="S347" i="14" s="1"/>
  <c r="G347" i="13"/>
  <c r="G347" i="14" s="1"/>
  <c r="J347" i="13"/>
  <c r="J347" i="14" s="1"/>
  <c r="D347" i="13"/>
  <c r="D347" i="14" s="1"/>
  <c r="N347" i="13"/>
  <c r="N347" i="14" s="1"/>
  <c r="C347" i="13"/>
  <c r="C347" i="14" s="1"/>
  <c r="E347" i="13"/>
  <c r="E347" i="14" s="1"/>
  <c r="AL44" i="1"/>
  <c r="B44" i="13" s="1"/>
  <c r="B44" i="14" s="1"/>
  <c r="G44" i="13"/>
  <c r="G44" i="14" s="1"/>
  <c r="S44" i="13"/>
  <c r="S44" i="14" s="1"/>
  <c r="N44" i="13"/>
  <c r="N44" i="14" s="1"/>
  <c r="J44" i="13"/>
  <c r="J44" i="14" s="1"/>
  <c r="R44" i="13"/>
  <c r="R44" i="14" s="1"/>
  <c r="F44" i="13"/>
  <c r="F44" i="14" s="1"/>
  <c r="K44" i="13"/>
  <c r="K44" i="14" s="1"/>
  <c r="Q44" i="13"/>
  <c r="Q44" i="14" s="1"/>
  <c r="I44" i="13"/>
  <c r="I44" i="14" s="1"/>
  <c r="M44" i="13"/>
  <c r="M44" i="14" s="1"/>
  <c r="L44" i="13"/>
  <c r="L44" i="14" s="1"/>
  <c r="D44" i="13"/>
  <c r="D44" i="14" s="1"/>
  <c r="O44" i="13"/>
  <c r="O44" i="14" s="1"/>
  <c r="H44" i="13"/>
  <c r="H44" i="14" s="1"/>
  <c r="E44" i="13"/>
  <c r="E44" i="14" s="1"/>
  <c r="C44" i="13"/>
  <c r="C44" i="14" s="1"/>
  <c r="AL230" i="1"/>
  <c r="B230" i="13" s="1"/>
  <c r="B230" i="14" s="1"/>
  <c r="H230" i="13"/>
  <c r="H230" i="14" s="1"/>
  <c r="O230" i="13"/>
  <c r="O230" i="14" s="1"/>
  <c r="S230" i="13"/>
  <c r="S230" i="14" s="1"/>
  <c r="G230" i="13"/>
  <c r="G230" i="14" s="1"/>
  <c r="N230" i="13"/>
  <c r="N230" i="14" s="1"/>
  <c r="J230" i="13"/>
  <c r="J230" i="14" s="1"/>
  <c r="D230" i="13"/>
  <c r="D230" i="14" s="1"/>
  <c r="K230" i="13"/>
  <c r="K230" i="14" s="1"/>
  <c r="L230" i="13"/>
  <c r="L230" i="14" s="1"/>
  <c r="R230" i="13"/>
  <c r="R230" i="14" s="1"/>
  <c r="F230" i="13"/>
  <c r="F230" i="14" s="1"/>
  <c r="Q230" i="13"/>
  <c r="Q230" i="14" s="1"/>
  <c r="I230" i="13"/>
  <c r="I230" i="14" s="1"/>
  <c r="M230" i="13"/>
  <c r="M230" i="14" s="1"/>
  <c r="C230" i="13"/>
  <c r="C230" i="14" s="1"/>
  <c r="E230" i="13"/>
  <c r="E230" i="14" s="1"/>
  <c r="AL325" i="1"/>
  <c r="B325" i="13" s="1"/>
  <c r="B325" i="14" s="1"/>
  <c r="F325" i="13"/>
  <c r="F325" i="14" s="1"/>
  <c r="R325" i="13"/>
  <c r="R325" i="14" s="1"/>
  <c r="L325" i="13"/>
  <c r="L325" i="14" s="1"/>
  <c r="I325" i="13"/>
  <c r="I325" i="14" s="1"/>
  <c r="Q325" i="13"/>
  <c r="Q325" i="14" s="1"/>
  <c r="K325" i="13"/>
  <c r="K325" i="14" s="1"/>
  <c r="D325" i="13"/>
  <c r="D325" i="14" s="1"/>
  <c r="M325" i="13"/>
  <c r="M325" i="14" s="1"/>
  <c r="S325" i="13"/>
  <c r="S325" i="14" s="1"/>
  <c r="N325" i="13"/>
  <c r="N325" i="14" s="1"/>
  <c r="J325" i="13"/>
  <c r="J325" i="14" s="1"/>
  <c r="O325" i="13"/>
  <c r="O325" i="14" s="1"/>
  <c r="H325" i="13"/>
  <c r="H325" i="14" s="1"/>
  <c r="G325" i="13"/>
  <c r="G325" i="14" s="1"/>
  <c r="C325" i="13"/>
  <c r="C325" i="14" s="1"/>
  <c r="E325" i="13"/>
  <c r="E325" i="14" s="1"/>
  <c r="R111" i="13"/>
  <c r="R111" i="14" s="1"/>
  <c r="F111" i="13"/>
  <c r="F111" i="14" s="1"/>
  <c r="M111" i="13"/>
  <c r="M111" i="14" s="1"/>
  <c r="K111" i="13"/>
  <c r="K111" i="14" s="1"/>
  <c r="Q111" i="13"/>
  <c r="Q111" i="14" s="1"/>
  <c r="I111" i="13"/>
  <c r="I111" i="14" s="1"/>
  <c r="L111" i="13"/>
  <c r="L111" i="14" s="1"/>
  <c r="O111" i="13"/>
  <c r="O111" i="14" s="1"/>
  <c r="H111" i="13"/>
  <c r="H111" i="14" s="1"/>
  <c r="D111" i="13"/>
  <c r="D111" i="14" s="1"/>
  <c r="N111" i="13"/>
  <c r="N111" i="14" s="1"/>
  <c r="G111" i="13"/>
  <c r="G111" i="14" s="1"/>
  <c r="J111" i="13"/>
  <c r="J111" i="14" s="1"/>
  <c r="S111" i="13"/>
  <c r="S111" i="14" s="1"/>
  <c r="C111" i="13"/>
  <c r="C111" i="14" s="1"/>
  <c r="E111" i="13"/>
  <c r="E111" i="14" s="1"/>
  <c r="AL290" i="1"/>
  <c r="B290" i="13" s="1"/>
  <c r="B290" i="14" s="1"/>
  <c r="D290" i="13"/>
  <c r="D290" i="14" s="1"/>
  <c r="N290" i="13"/>
  <c r="N290" i="14" s="1"/>
  <c r="J290" i="13"/>
  <c r="J290" i="14" s="1"/>
  <c r="G290" i="13"/>
  <c r="G290" i="14" s="1"/>
  <c r="S290" i="13"/>
  <c r="S290" i="14" s="1"/>
  <c r="H290" i="13"/>
  <c r="H290" i="14" s="1"/>
  <c r="M290" i="13"/>
  <c r="M290" i="14" s="1"/>
  <c r="K290" i="13"/>
  <c r="K290" i="14" s="1"/>
  <c r="O290" i="13"/>
  <c r="O290" i="14" s="1"/>
  <c r="L290" i="13"/>
  <c r="L290" i="14" s="1"/>
  <c r="F290" i="13"/>
  <c r="F290" i="14" s="1"/>
  <c r="I290" i="13"/>
  <c r="I290" i="14" s="1"/>
  <c r="R290" i="13"/>
  <c r="R290" i="14" s="1"/>
  <c r="Q290" i="13"/>
  <c r="Q290" i="14" s="1"/>
  <c r="C290" i="13"/>
  <c r="C290" i="14" s="1"/>
  <c r="E290" i="13"/>
  <c r="E290" i="14" s="1"/>
  <c r="AK297" i="1"/>
  <c r="M297" i="13"/>
  <c r="M297" i="14" s="1"/>
  <c r="K297" i="13"/>
  <c r="K297" i="14" s="1"/>
  <c r="L297" i="13"/>
  <c r="L297" i="14" s="1"/>
  <c r="I297" i="13"/>
  <c r="I297" i="14" s="1"/>
  <c r="Q297" i="13"/>
  <c r="Q297" i="14" s="1"/>
  <c r="D297" i="13"/>
  <c r="D297" i="14" s="1"/>
  <c r="R297" i="13"/>
  <c r="R297" i="14" s="1"/>
  <c r="H297" i="13"/>
  <c r="H297" i="14" s="1"/>
  <c r="N297" i="13"/>
  <c r="N297" i="14" s="1"/>
  <c r="J297" i="13"/>
  <c r="J297" i="14" s="1"/>
  <c r="S297" i="13"/>
  <c r="S297" i="14" s="1"/>
  <c r="F297" i="13"/>
  <c r="F297" i="14" s="1"/>
  <c r="O297" i="13"/>
  <c r="O297" i="14" s="1"/>
  <c r="G297" i="13"/>
  <c r="G297" i="14" s="1"/>
  <c r="C297" i="13"/>
  <c r="C297" i="14" s="1"/>
  <c r="E297" i="13"/>
  <c r="E297" i="14" s="1"/>
  <c r="AL81" i="1"/>
  <c r="B81" i="13" s="1"/>
  <c r="B81" i="14" s="1"/>
  <c r="R81" i="13"/>
  <c r="R81" i="14" s="1"/>
  <c r="F81" i="13"/>
  <c r="F81" i="14" s="1"/>
  <c r="M81" i="13"/>
  <c r="M81" i="14" s="1"/>
  <c r="K81" i="13"/>
  <c r="K81" i="14" s="1"/>
  <c r="Q81" i="13"/>
  <c r="Q81" i="14" s="1"/>
  <c r="I81" i="13"/>
  <c r="I81" i="14" s="1"/>
  <c r="L81" i="13"/>
  <c r="L81" i="14" s="1"/>
  <c r="O81" i="13"/>
  <c r="O81" i="14" s="1"/>
  <c r="H81" i="13"/>
  <c r="H81" i="14" s="1"/>
  <c r="G81" i="13"/>
  <c r="G81" i="14" s="1"/>
  <c r="J81" i="13"/>
  <c r="J81" i="14" s="1"/>
  <c r="S81" i="13"/>
  <c r="S81" i="14" s="1"/>
  <c r="N81" i="13"/>
  <c r="N81" i="14" s="1"/>
  <c r="D81" i="13"/>
  <c r="D81" i="14" s="1"/>
  <c r="C81" i="13"/>
  <c r="C81" i="14" s="1"/>
  <c r="E81" i="13"/>
  <c r="E81" i="14" s="1"/>
  <c r="M157" i="13"/>
  <c r="M157" i="14" s="1"/>
  <c r="K157" i="13"/>
  <c r="K157" i="14" s="1"/>
  <c r="R157" i="13"/>
  <c r="R157" i="14" s="1"/>
  <c r="F157" i="13"/>
  <c r="F157" i="14" s="1"/>
  <c r="L157" i="13"/>
  <c r="L157" i="14" s="1"/>
  <c r="Q157" i="13"/>
  <c r="Q157" i="14" s="1"/>
  <c r="I157" i="13"/>
  <c r="I157" i="14" s="1"/>
  <c r="D157" i="13"/>
  <c r="D157" i="14" s="1"/>
  <c r="H157" i="13"/>
  <c r="H157" i="14" s="1"/>
  <c r="O157" i="13"/>
  <c r="O157" i="14" s="1"/>
  <c r="G157" i="13"/>
  <c r="G157" i="14" s="1"/>
  <c r="N157" i="13"/>
  <c r="N157" i="14" s="1"/>
  <c r="J157" i="13"/>
  <c r="J157" i="14" s="1"/>
  <c r="S157" i="13"/>
  <c r="S157" i="14" s="1"/>
  <c r="C157" i="13"/>
  <c r="C157" i="14" s="1"/>
  <c r="E157" i="13"/>
  <c r="E157" i="14" s="1"/>
  <c r="S60" i="13"/>
  <c r="S60" i="14" s="1"/>
  <c r="G60" i="13"/>
  <c r="G60" i="14" s="1"/>
  <c r="N60" i="13"/>
  <c r="N60" i="14" s="1"/>
  <c r="J60" i="13"/>
  <c r="J60" i="14" s="1"/>
  <c r="R60" i="13"/>
  <c r="R60" i="14" s="1"/>
  <c r="F60" i="13"/>
  <c r="F60" i="14" s="1"/>
  <c r="M60" i="13"/>
  <c r="M60" i="14" s="1"/>
  <c r="K60" i="13"/>
  <c r="K60" i="14" s="1"/>
  <c r="Q60" i="13"/>
  <c r="Q60" i="14" s="1"/>
  <c r="I60" i="13"/>
  <c r="I60" i="14" s="1"/>
  <c r="L60" i="13"/>
  <c r="L60" i="14" s="1"/>
  <c r="D60" i="13"/>
  <c r="D60" i="14" s="1"/>
  <c r="H60" i="13"/>
  <c r="H60" i="14" s="1"/>
  <c r="O60" i="13"/>
  <c r="O60" i="14" s="1"/>
  <c r="C60" i="13"/>
  <c r="C60" i="14" s="1"/>
  <c r="E60" i="13"/>
  <c r="E60" i="14" s="1"/>
  <c r="O208" i="13"/>
  <c r="O208" i="14" s="1"/>
  <c r="H208" i="13"/>
  <c r="H208" i="14" s="1"/>
  <c r="D208" i="13"/>
  <c r="D208" i="14" s="1"/>
  <c r="S208" i="13"/>
  <c r="S208" i="14" s="1"/>
  <c r="G208" i="13"/>
  <c r="G208" i="14" s="1"/>
  <c r="J208" i="13"/>
  <c r="J208" i="14" s="1"/>
  <c r="N208" i="13"/>
  <c r="N208" i="14" s="1"/>
  <c r="R208" i="13"/>
  <c r="R208" i="14" s="1"/>
  <c r="F208" i="13"/>
  <c r="F208" i="14" s="1"/>
  <c r="K208" i="13"/>
  <c r="K208" i="14" s="1"/>
  <c r="I208" i="13"/>
  <c r="I208" i="14" s="1"/>
  <c r="M208" i="13"/>
  <c r="M208" i="14" s="1"/>
  <c r="L208" i="13"/>
  <c r="L208" i="14" s="1"/>
  <c r="Q208" i="13"/>
  <c r="Q208" i="14" s="1"/>
  <c r="C208" i="13"/>
  <c r="C208" i="14" s="1"/>
  <c r="E208" i="13"/>
  <c r="E208" i="14" s="1"/>
  <c r="M185" i="13"/>
  <c r="M185" i="14" s="1"/>
  <c r="K185" i="13"/>
  <c r="K185" i="14" s="1"/>
  <c r="R185" i="13"/>
  <c r="R185" i="14" s="1"/>
  <c r="F185" i="13"/>
  <c r="F185" i="14" s="1"/>
  <c r="L185" i="13"/>
  <c r="L185" i="14" s="1"/>
  <c r="Q185" i="13"/>
  <c r="Q185" i="14" s="1"/>
  <c r="I185" i="13"/>
  <c r="I185" i="14" s="1"/>
  <c r="D185" i="13"/>
  <c r="D185" i="14" s="1"/>
  <c r="H185" i="13"/>
  <c r="H185" i="14" s="1"/>
  <c r="O185" i="13"/>
  <c r="O185" i="14" s="1"/>
  <c r="N185" i="13"/>
  <c r="N185" i="14" s="1"/>
  <c r="J185" i="13"/>
  <c r="J185" i="14" s="1"/>
  <c r="G185" i="13"/>
  <c r="G185" i="14" s="1"/>
  <c r="S185" i="13"/>
  <c r="S185" i="14" s="1"/>
  <c r="C185" i="13"/>
  <c r="C185" i="14" s="1"/>
  <c r="E185" i="13"/>
  <c r="E185" i="14" s="1"/>
  <c r="N54" i="13"/>
  <c r="N54" i="14" s="1"/>
  <c r="J54" i="13"/>
  <c r="J54" i="14" s="1"/>
  <c r="S54" i="13"/>
  <c r="S54" i="14" s="1"/>
  <c r="G54" i="13"/>
  <c r="G54" i="14" s="1"/>
  <c r="M54" i="13"/>
  <c r="M54" i="14" s="1"/>
  <c r="K54" i="13"/>
  <c r="K54" i="14" s="1"/>
  <c r="R54" i="13"/>
  <c r="R54" i="14" s="1"/>
  <c r="F54" i="13"/>
  <c r="F54" i="14" s="1"/>
  <c r="L54" i="13"/>
  <c r="L54" i="14" s="1"/>
  <c r="H54" i="13"/>
  <c r="H54" i="14" s="1"/>
  <c r="I54" i="13"/>
  <c r="I54" i="14" s="1"/>
  <c r="O54" i="13"/>
  <c r="O54" i="14" s="1"/>
  <c r="Q54" i="13"/>
  <c r="Q54" i="14" s="1"/>
  <c r="D54" i="13"/>
  <c r="D54" i="14" s="1"/>
  <c r="C54" i="13"/>
  <c r="C54" i="14" s="1"/>
  <c r="E54" i="13"/>
  <c r="E54" i="14" s="1"/>
  <c r="M99" i="13"/>
  <c r="M99" i="14" s="1"/>
  <c r="K99" i="13"/>
  <c r="K99" i="14" s="1"/>
  <c r="R99" i="13"/>
  <c r="R99" i="14" s="1"/>
  <c r="F99" i="13"/>
  <c r="F99" i="14" s="1"/>
  <c r="L99" i="13"/>
  <c r="L99" i="14" s="1"/>
  <c r="Q99" i="13"/>
  <c r="Q99" i="14" s="1"/>
  <c r="I99" i="13"/>
  <c r="I99" i="14" s="1"/>
  <c r="D99" i="13"/>
  <c r="D99" i="14" s="1"/>
  <c r="H99" i="13"/>
  <c r="H99" i="14" s="1"/>
  <c r="O99" i="13"/>
  <c r="O99" i="14" s="1"/>
  <c r="N99" i="13"/>
  <c r="N99" i="14" s="1"/>
  <c r="J99" i="13"/>
  <c r="J99" i="14" s="1"/>
  <c r="S99" i="13"/>
  <c r="S99" i="14" s="1"/>
  <c r="G99" i="13"/>
  <c r="G99" i="14" s="1"/>
  <c r="E99" i="13"/>
  <c r="E99" i="14" s="1"/>
  <c r="C99" i="13"/>
  <c r="C99" i="14" s="1"/>
  <c r="K271" i="13"/>
  <c r="K271" i="14" s="1"/>
  <c r="M271" i="13"/>
  <c r="M271" i="14" s="1"/>
  <c r="L271" i="13"/>
  <c r="L271" i="14" s="1"/>
  <c r="Q271" i="13"/>
  <c r="Q271" i="14" s="1"/>
  <c r="I271" i="13"/>
  <c r="I271" i="14" s="1"/>
  <c r="R271" i="13"/>
  <c r="R271" i="14" s="1"/>
  <c r="O271" i="13"/>
  <c r="O271" i="14" s="1"/>
  <c r="J271" i="13"/>
  <c r="J271" i="14" s="1"/>
  <c r="F271" i="13"/>
  <c r="F271" i="14" s="1"/>
  <c r="D271" i="13"/>
  <c r="D271" i="14" s="1"/>
  <c r="S271" i="13"/>
  <c r="S271" i="14" s="1"/>
  <c r="G271" i="13"/>
  <c r="G271" i="14" s="1"/>
  <c r="H271" i="13"/>
  <c r="H271" i="14" s="1"/>
  <c r="N271" i="13"/>
  <c r="N271" i="14" s="1"/>
  <c r="C271" i="13"/>
  <c r="C271" i="14" s="1"/>
  <c r="E271" i="13"/>
  <c r="E271" i="14" s="1"/>
  <c r="AL227" i="1"/>
  <c r="B227" i="13" s="1"/>
  <c r="B227" i="14" s="1"/>
  <c r="R227" i="13"/>
  <c r="R227" i="14" s="1"/>
  <c r="F227" i="13"/>
  <c r="F227" i="14" s="1"/>
  <c r="L227" i="13"/>
  <c r="L227" i="14" s="1"/>
  <c r="Q227" i="13"/>
  <c r="Q227" i="14" s="1"/>
  <c r="I227" i="13"/>
  <c r="I227" i="14" s="1"/>
  <c r="M227" i="13"/>
  <c r="M227" i="14" s="1"/>
  <c r="K227" i="13"/>
  <c r="K227" i="14" s="1"/>
  <c r="N227" i="13"/>
  <c r="N227" i="14" s="1"/>
  <c r="D227" i="13"/>
  <c r="D227" i="14" s="1"/>
  <c r="S227" i="13"/>
  <c r="S227" i="14" s="1"/>
  <c r="G227" i="13"/>
  <c r="G227" i="14" s="1"/>
  <c r="H227" i="13"/>
  <c r="H227" i="14" s="1"/>
  <c r="J227" i="13"/>
  <c r="J227" i="14" s="1"/>
  <c r="O227" i="13"/>
  <c r="O227" i="14" s="1"/>
  <c r="C227" i="13"/>
  <c r="C227" i="14" s="1"/>
  <c r="E227" i="13"/>
  <c r="E227" i="14" s="1"/>
  <c r="AL195" i="1"/>
  <c r="B195" i="13" s="1"/>
  <c r="B195" i="14" s="1"/>
  <c r="M195" i="13"/>
  <c r="M195" i="14" s="1"/>
  <c r="K195" i="13"/>
  <c r="K195" i="14" s="1"/>
  <c r="R195" i="13"/>
  <c r="R195" i="14" s="1"/>
  <c r="F195" i="13"/>
  <c r="F195" i="14" s="1"/>
  <c r="Q195" i="13"/>
  <c r="Q195" i="14" s="1"/>
  <c r="I195" i="13"/>
  <c r="I195" i="14" s="1"/>
  <c r="O195" i="13"/>
  <c r="O195" i="14" s="1"/>
  <c r="H195" i="13"/>
  <c r="H195" i="14" s="1"/>
  <c r="L195" i="13"/>
  <c r="L195" i="14" s="1"/>
  <c r="D195" i="13"/>
  <c r="D195" i="14" s="1"/>
  <c r="S195" i="13"/>
  <c r="S195" i="14" s="1"/>
  <c r="G195" i="13"/>
  <c r="G195" i="14" s="1"/>
  <c r="J195" i="13"/>
  <c r="J195" i="14" s="1"/>
  <c r="N195" i="13"/>
  <c r="N195" i="14" s="1"/>
  <c r="C195" i="13"/>
  <c r="C195" i="14" s="1"/>
  <c r="E195" i="13"/>
  <c r="E195" i="14" s="1"/>
  <c r="AK163" i="1"/>
  <c r="R163" i="13"/>
  <c r="R163" i="14" s="1"/>
  <c r="F163" i="13"/>
  <c r="F163" i="14" s="1"/>
  <c r="M163" i="13"/>
  <c r="M163" i="14" s="1"/>
  <c r="K163" i="13"/>
  <c r="K163" i="14" s="1"/>
  <c r="Q163" i="13"/>
  <c r="Q163" i="14" s="1"/>
  <c r="I163" i="13"/>
  <c r="I163" i="14" s="1"/>
  <c r="L163" i="13"/>
  <c r="L163" i="14" s="1"/>
  <c r="O163" i="13"/>
  <c r="O163" i="14" s="1"/>
  <c r="H163" i="13"/>
  <c r="H163" i="14" s="1"/>
  <c r="D163" i="13"/>
  <c r="D163" i="14" s="1"/>
  <c r="J163" i="13"/>
  <c r="J163" i="14" s="1"/>
  <c r="S163" i="13"/>
  <c r="S163" i="14" s="1"/>
  <c r="G163" i="13"/>
  <c r="G163" i="14" s="1"/>
  <c r="N163" i="13"/>
  <c r="N163" i="14" s="1"/>
  <c r="C163" i="13"/>
  <c r="C163" i="14" s="1"/>
  <c r="E163" i="13"/>
  <c r="E163" i="14" s="1"/>
  <c r="D238" i="13"/>
  <c r="D238" i="14" s="1"/>
  <c r="H238" i="13"/>
  <c r="H238" i="14" s="1"/>
  <c r="J238" i="13"/>
  <c r="J238" i="14" s="1"/>
  <c r="S238" i="13"/>
  <c r="S238" i="14" s="1"/>
  <c r="G238" i="13"/>
  <c r="G238" i="14" s="1"/>
  <c r="N238" i="13"/>
  <c r="N238" i="14" s="1"/>
  <c r="O238" i="13"/>
  <c r="O238" i="14" s="1"/>
  <c r="K238" i="13"/>
  <c r="K238" i="14" s="1"/>
  <c r="R238" i="13"/>
  <c r="R238" i="14" s="1"/>
  <c r="F238" i="13"/>
  <c r="F238" i="14" s="1"/>
  <c r="Q238" i="13"/>
  <c r="Q238" i="14" s="1"/>
  <c r="I238" i="13"/>
  <c r="I238" i="14" s="1"/>
  <c r="M238" i="13"/>
  <c r="M238" i="14" s="1"/>
  <c r="L238" i="13"/>
  <c r="L238" i="14" s="1"/>
  <c r="C238" i="13"/>
  <c r="C238" i="14" s="1"/>
  <c r="E238" i="13"/>
  <c r="E238" i="14" s="1"/>
  <c r="O166" i="13"/>
  <c r="O166" i="14" s="1"/>
  <c r="H166" i="13"/>
  <c r="H166" i="14" s="1"/>
  <c r="D166" i="13"/>
  <c r="D166" i="14" s="1"/>
  <c r="N166" i="13"/>
  <c r="N166" i="14" s="1"/>
  <c r="J166" i="13"/>
  <c r="J166" i="14" s="1"/>
  <c r="S166" i="13"/>
  <c r="S166" i="14" s="1"/>
  <c r="G166" i="13"/>
  <c r="G166" i="14" s="1"/>
  <c r="R166" i="13"/>
  <c r="R166" i="14" s="1"/>
  <c r="M166" i="13"/>
  <c r="M166" i="14" s="1"/>
  <c r="K166" i="13"/>
  <c r="K166" i="14" s="1"/>
  <c r="F166" i="13"/>
  <c r="F166" i="14" s="1"/>
  <c r="L166" i="13"/>
  <c r="L166" i="14" s="1"/>
  <c r="Q166" i="13"/>
  <c r="Q166" i="14" s="1"/>
  <c r="I166" i="13"/>
  <c r="I166" i="14" s="1"/>
  <c r="C166" i="13"/>
  <c r="C166" i="14" s="1"/>
  <c r="E166" i="13"/>
  <c r="E166" i="14" s="1"/>
  <c r="R102" i="13"/>
  <c r="R102" i="14" s="1"/>
  <c r="G102" i="13"/>
  <c r="G102" i="14" s="1"/>
  <c r="M102" i="13"/>
  <c r="M102" i="14" s="1"/>
  <c r="J102" i="13"/>
  <c r="J102" i="14" s="1"/>
  <c r="Q102" i="13"/>
  <c r="Q102" i="14" s="1"/>
  <c r="F102" i="13"/>
  <c r="F102" i="14" s="1"/>
  <c r="L102" i="13"/>
  <c r="L102" i="14" s="1"/>
  <c r="K102" i="13"/>
  <c r="K102" i="14" s="1"/>
  <c r="O102" i="13"/>
  <c r="O102" i="14" s="1"/>
  <c r="I102" i="13"/>
  <c r="I102" i="14" s="1"/>
  <c r="E102" i="13"/>
  <c r="E102" i="14" s="1"/>
  <c r="S102" i="13"/>
  <c r="S102" i="14" s="1"/>
  <c r="H102" i="13"/>
  <c r="H102" i="14" s="1"/>
  <c r="D102" i="13"/>
  <c r="D102" i="14" s="1"/>
  <c r="N102" i="13"/>
  <c r="N102" i="14" s="1"/>
  <c r="C102" i="13"/>
  <c r="C102" i="14" s="1"/>
  <c r="D232" i="13"/>
  <c r="D232" i="14" s="1"/>
  <c r="N232" i="13"/>
  <c r="N232" i="14" s="1"/>
  <c r="J232" i="13"/>
  <c r="J232" i="14" s="1"/>
  <c r="S232" i="13"/>
  <c r="S232" i="14" s="1"/>
  <c r="G232" i="13"/>
  <c r="G232" i="14" s="1"/>
  <c r="H232" i="13"/>
  <c r="H232" i="14" s="1"/>
  <c r="I232" i="13"/>
  <c r="I232" i="14" s="1"/>
  <c r="O232" i="13"/>
  <c r="O232" i="14" s="1"/>
  <c r="M232" i="13"/>
  <c r="M232" i="14" s="1"/>
  <c r="K232" i="13"/>
  <c r="K232" i="14" s="1"/>
  <c r="L232" i="13"/>
  <c r="L232" i="14" s="1"/>
  <c r="F232" i="13"/>
  <c r="F232" i="14" s="1"/>
  <c r="R232" i="13"/>
  <c r="R232" i="14" s="1"/>
  <c r="Q232" i="13"/>
  <c r="Q232" i="14" s="1"/>
  <c r="C232" i="13"/>
  <c r="C232" i="14" s="1"/>
  <c r="E232" i="13"/>
  <c r="E232" i="14" s="1"/>
  <c r="O392" i="13"/>
  <c r="O392" i="14" s="1"/>
  <c r="H392" i="13"/>
  <c r="H392" i="14" s="1"/>
  <c r="S392" i="13"/>
  <c r="S392" i="14" s="1"/>
  <c r="G392" i="13"/>
  <c r="G392" i="14" s="1"/>
  <c r="N392" i="13"/>
  <c r="N392" i="14" s="1"/>
  <c r="J392" i="13"/>
  <c r="J392" i="14" s="1"/>
  <c r="D392" i="13"/>
  <c r="D392" i="14" s="1"/>
  <c r="R392" i="13"/>
  <c r="R392" i="14" s="1"/>
  <c r="F392" i="13"/>
  <c r="F392" i="14" s="1"/>
  <c r="M392" i="13"/>
  <c r="M392" i="14" s="1"/>
  <c r="Q392" i="13"/>
  <c r="Q392" i="14" s="1"/>
  <c r="I392" i="13"/>
  <c r="I392" i="14" s="1"/>
  <c r="L392" i="13"/>
  <c r="L392" i="14" s="1"/>
  <c r="K392" i="13"/>
  <c r="K392" i="14" s="1"/>
  <c r="C392" i="13"/>
  <c r="C392" i="14" s="1"/>
  <c r="E392" i="13"/>
  <c r="E392" i="14" s="1"/>
  <c r="H426" i="13"/>
  <c r="H426" i="14" s="1"/>
  <c r="O426" i="13"/>
  <c r="O426" i="14" s="1"/>
  <c r="N426" i="13"/>
  <c r="N426" i="14" s="1"/>
  <c r="J426" i="13"/>
  <c r="J426" i="14" s="1"/>
  <c r="S426" i="13"/>
  <c r="S426" i="14" s="1"/>
  <c r="G426" i="13"/>
  <c r="G426" i="14" s="1"/>
  <c r="D426" i="13"/>
  <c r="D426" i="14" s="1"/>
  <c r="M426" i="13"/>
  <c r="M426" i="14" s="1"/>
  <c r="K426" i="13"/>
  <c r="K426" i="14" s="1"/>
  <c r="R426" i="13"/>
  <c r="R426" i="14" s="1"/>
  <c r="F426" i="13"/>
  <c r="F426" i="14" s="1"/>
  <c r="Q426" i="13"/>
  <c r="Q426" i="14" s="1"/>
  <c r="I426" i="13"/>
  <c r="I426" i="14" s="1"/>
  <c r="L426" i="13"/>
  <c r="L426" i="14" s="1"/>
  <c r="C426" i="13"/>
  <c r="C426" i="14" s="1"/>
  <c r="E426" i="13"/>
  <c r="E426" i="14" s="1"/>
  <c r="M241" i="13"/>
  <c r="M241" i="14" s="1"/>
  <c r="F241" i="13"/>
  <c r="F241" i="14" s="1"/>
  <c r="L241" i="13"/>
  <c r="L241" i="14" s="1"/>
  <c r="Q241" i="13"/>
  <c r="Q241" i="14" s="1"/>
  <c r="I241" i="13"/>
  <c r="I241" i="14" s="1"/>
  <c r="R241" i="13"/>
  <c r="R241" i="14" s="1"/>
  <c r="K241" i="13"/>
  <c r="K241" i="14" s="1"/>
  <c r="D241" i="13"/>
  <c r="D241" i="14" s="1"/>
  <c r="S241" i="13"/>
  <c r="S241" i="14" s="1"/>
  <c r="O241" i="13"/>
  <c r="O241" i="14" s="1"/>
  <c r="H241" i="13"/>
  <c r="H241" i="14" s="1"/>
  <c r="N241" i="13"/>
  <c r="N241" i="14" s="1"/>
  <c r="J241" i="13"/>
  <c r="J241" i="14" s="1"/>
  <c r="G241" i="13"/>
  <c r="G241" i="14" s="1"/>
  <c r="C241" i="13"/>
  <c r="C241" i="14" s="1"/>
  <c r="E241" i="13"/>
  <c r="E241" i="14" s="1"/>
  <c r="M275" i="13"/>
  <c r="M275" i="14" s="1"/>
  <c r="K275" i="13"/>
  <c r="K275" i="14" s="1"/>
  <c r="Q275" i="13"/>
  <c r="Q275" i="14" s="1"/>
  <c r="I275" i="13"/>
  <c r="I275" i="14" s="1"/>
  <c r="L275" i="13"/>
  <c r="L275" i="14" s="1"/>
  <c r="F275" i="13"/>
  <c r="F275" i="14" s="1"/>
  <c r="R275" i="13"/>
  <c r="R275" i="14" s="1"/>
  <c r="D275" i="13"/>
  <c r="D275" i="14" s="1"/>
  <c r="S275" i="13"/>
  <c r="S275" i="14" s="1"/>
  <c r="G275" i="13"/>
  <c r="G275" i="14" s="1"/>
  <c r="H275" i="13"/>
  <c r="H275" i="14" s="1"/>
  <c r="N275" i="13"/>
  <c r="N275" i="14" s="1"/>
  <c r="O275" i="13"/>
  <c r="O275" i="14" s="1"/>
  <c r="J275" i="13"/>
  <c r="J275" i="14" s="1"/>
  <c r="C275" i="13"/>
  <c r="C275" i="14" s="1"/>
  <c r="E275" i="13"/>
  <c r="E275" i="14" s="1"/>
  <c r="K269" i="13"/>
  <c r="K269" i="14" s="1"/>
  <c r="M269" i="13"/>
  <c r="M269" i="14" s="1"/>
  <c r="Q269" i="13"/>
  <c r="Q269" i="14" s="1"/>
  <c r="I269" i="13"/>
  <c r="I269" i="14" s="1"/>
  <c r="L269" i="13"/>
  <c r="L269" i="14" s="1"/>
  <c r="F269" i="13"/>
  <c r="F269" i="14" s="1"/>
  <c r="R269" i="13"/>
  <c r="R269" i="14" s="1"/>
  <c r="S269" i="13"/>
  <c r="S269" i="14" s="1"/>
  <c r="O269" i="13"/>
  <c r="O269" i="14" s="1"/>
  <c r="H269" i="13"/>
  <c r="H269" i="14" s="1"/>
  <c r="J269" i="13"/>
  <c r="J269" i="14" s="1"/>
  <c r="G269" i="13"/>
  <c r="G269" i="14" s="1"/>
  <c r="N269" i="13"/>
  <c r="N269" i="14" s="1"/>
  <c r="D269" i="13"/>
  <c r="D269" i="14" s="1"/>
  <c r="C269" i="13"/>
  <c r="C269" i="14" s="1"/>
  <c r="E269" i="13"/>
  <c r="E269" i="14" s="1"/>
  <c r="F435" i="13"/>
  <c r="F435" i="14" s="1"/>
  <c r="R435" i="13"/>
  <c r="R435" i="14" s="1"/>
  <c r="Q435" i="13"/>
  <c r="Q435" i="14" s="1"/>
  <c r="I435" i="13"/>
  <c r="I435" i="14" s="1"/>
  <c r="L435" i="13"/>
  <c r="L435" i="14" s="1"/>
  <c r="M435" i="13"/>
  <c r="M435" i="14" s="1"/>
  <c r="O435" i="13"/>
  <c r="O435" i="14" s="1"/>
  <c r="H435" i="13"/>
  <c r="H435" i="14" s="1"/>
  <c r="K435" i="13"/>
  <c r="K435" i="14" s="1"/>
  <c r="D435" i="13"/>
  <c r="D435" i="14" s="1"/>
  <c r="N435" i="13"/>
  <c r="N435" i="14" s="1"/>
  <c r="S435" i="13"/>
  <c r="S435" i="14" s="1"/>
  <c r="G435" i="13"/>
  <c r="G435" i="14" s="1"/>
  <c r="J435" i="13"/>
  <c r="J435" i="14" s="1"/>
  <c r="C435" i="13"/>
  <c r="C435" i="14" s="1"/>
  <c r="E435" i="13"/>
  <c r="E435" i="14" s="1"/>
  <c r="M177" i="13"/>
  <c r="M177" i="14" s="1"/>
  <c r="K177" i="13"/>
  <c r="K177" i="14" s="1"/>
  <c r="R177" i="13"/>
  <c r="R177" i="14" s="1"/>
  <c r="F177" i="13"/>
  <c r="F177" i="14" s="1"/>
  <c r="I177" i="13"/>
  <c r="I177" i="14" s="1"/>
  <c r="Q177" i="13"/>
  <c r="Q177" i="14" s="1"/>
  <c r="D177" i="13"/>
  <c r="D177" i="14" s="1"/>
  <c r="L177" i="13"/>
  <c r="L177" i="14" s="1"/>
  <c r="H177" i="13"/>
  <c r="H177" i="14" s="1"/>
  <c r="O177" i="13"/>
  <c r="O177" i="14" s="1"/>
  <c r="G177" i="13"/>
  <c r="G177" i="14" s="1"/>
  <c r="N177" i="13"/>
  <c r="N177" i="14" s="1"/>
  <c r="J177" i="13"/>
  <c r="J177" i="14" s="1"/>
  <c r="S177" i="13"/>
  <c r="S177" i="14" s="1"/>
  <c r="C177" i="13"/>
  <c r="C177" i="14" s="1"/>
  <c r="E177" i="13"/>
  <c r="E177" i="14" s="1"/>
  <c r="S24" i="13"/>
  <c r="S24" i="14" s="1"/>
  <c r="G24" i="13"/>
  <c r="G24" i="14" s="1"/>
  <c r="N24" i="13"/>
  <c r="N24" i="14" s="1"/>
  <c r="J24" i="13"/>
  <c r="J24" i="14" s="1"/>
  <c r="R24" i="13"/>
  <c r="R24" i="14" s="1"/>
  <c r="F24" i="13"/>
  <c r="F24" i="14" s="1"/>
  <c r="M24" i="13"/>
  <c r="M24" i="14" s="1"/>
  <c r="Q24" i="13"/>
  <c r="Q24" i="14" s="1"/>
  <c r="I24" i="13"/>
  <c r="I24" i="14" s="1"/>
  <c r="K24" i="13"/>
  <c r="K24" i="14" s="1"/>
  <c r="D24" i="13"/>
  <c r="D24" i="14" s="1"/>
  <c r="L24" i="13"/>
  <c r="L24" i="14" s="1"/>
  <c r="H24" i="13"/>
  <c r="H24" i="14" s="1"/>
  <c r="O24" i="13"/>
  <c r="O24" i="14" s="1"/>
  <c r="C24" i="13"/>
  <c r="C24" i="14" s="1"/>
  <c r="E24" i="13"/>
  <c r="E24" i="14" s="1"/>
  <c r="D132" i="13"/>
  <c r="D132" i="14" s="1"/>
  <c r="O132" i="13"/>
  <c r="O132" i="14" s="1"/>
  <c r="H132" i="13"/>
  <c r="H132" i="14" s="1"/>
  <c r="S132" i="13"/>
  <c r="S132" i="14" s="1"/>
  <c r="G132" i="13"/>
  <c r="G132" i="14" s="1"/>
  <c r="N132" i="13"/>
  <c r="N132" i="14" s="1"/>
  <c r="J132" i="13"/>
  <c r="J132" i="14" s="1"/>
  <c r="K132" i="13"/>
  <c r="K132" i="14" s="1"/>
  <c r="R132" i="13"/>
  <c r="R132" i="14" s="1"/>
  <c r="F132" i="13"/>
  <c r="F132" i="14" s="1"/>
  <c r="M132" i="13"/>
  <c r="M132" i="14" s="1"/>
  <c r="I132" i="13"/>
  <c r="I132" i="14" s="1"/>
  <c r="L132" i="13"/>
  <c r="L132" i="14" s="1"/>
  <c r="Q132" i="13"/>
  <c r="Q132" i="14" s="1"/>
  <c r="C132" i="13"/>
  <c r="C132" i="14" s="1"/>
  <c r="E132" i="13"/>
  <c r="E132" i="14" s="1"/>
  <c r="K377" i="13"/>
  <c r="K377" i="14" s="1"/>
  <c r="M377" i="13"/>
  <c r="M377" i="14" s="1"/>
  <c r="L377" i="13"/>
  <c r="L377" i="14" s="1"/>
  <c r="Q377" i="13"/>
  <c r="Q377" i="14" s="1"/>
  <c r="I377" i="13"/>
  <c r="I377" i="14" s="1"/>
  <c r="F377" i="13"/>
  <c r="F377" i="14" s="1"/>
  <c r="D377" i="13"/>
  <c r="D377" i="14" s="1"/>
  <c r="H377" i="13"/>
  <c r="H377" i="14" s="1"/>
  <c r="G377" i="13"/>
  <c r="G377" i="14" s="1"/>
  <c r="O377" i="13"/>
  <c r="O377" i="14" s="1"/>
  <c r="N377" i="13"/>
  <c r="N377" i="14" s="1"/>
  <c r="J377" i="13"/>
  <c r="J377" i="14" s="1"/>
  <c r="S377" i="13"/>
  <c r="S377" i="14" s="1"/>
  <c r="R377" i="13"/>
  <c r="R377" i="14" s="1"/>
  <c r="C377" i="13"/>
  <c r="C377" i="14" s="1"/>
  <c r="E377" i="13"/>
  <c r="E377" i="14" s="1"/>
  <c r="R97" i="13"/>
  <c r="R97" i="14" s="1"/>
  <c r="F97" i="13"/>
  <c r="F97" i="14" s="1"/>
  <c r="M97" i="13"/>
  <c r="M97" i="14" s="1"/>
  <c r="K97" i="13"/>
  <c r="K97" i="14" s="1"/>
  <c r="Q97" i="13"/>
  <c r="Q97" i="14" s="1"/>
  <c r="I97" i="13"/>
  <c r="I97" i="14" s="1"/>
  <c r="L97" i="13"/>
  <c r="L97" i="14" s="1"/>
  <c r="O97" i="13"/>
  <c r="O97" i="14" s="1"/>
  <c r="H97" i="13"/>
  <c r="H97" i="14" s="1"/>
  <c r="N97" i="13"/>
  <c r="N97" i="14" s="1"/>
  <c r="J97" i="13"/>
  <c r="J97" i="14" s="1"/>
  <c r="D97" i="13"/>
  <c r="D97" i="14" s="1"/>
  <c r="S97" i="13"/>
  <c r="S97" i="14" s="1"/>
  <c r="G97" i="13"/>
  <c r="G97" i="14" s="1"/>
  <c r="E97" i="13"/>
  <c r="E97" i="14" s="1"/>
  <c r="C97" i="13"/>
  <c r="C97" i="14" s="1"/>
  <c r="H346" i="13"/>
  <c r="H346" i="14" s="1"/>
  <c r="O346" i="13"/>
  <c r="O346" i="14" s="1"/>
  <c r="N346" i="13"/>
  <c r="N346" i="14" s="1"/>
  <c r="J346" i="13"/>
  <c r="J346" i="14" s="1"/>
  <c r="G346" i="13"/>
  <c r="G346" i="14" s="1"/>
  <c r="S346" i="13"/>
  <c r="S346" i="14" s="1"/>
  <c r="D346" i="13"/>
  <c r="D346" i="14" s="1"/>
  <c r="M346" i="13"/>
  <c r="M346" i="14" s="1"/>
  <c r="K346" i="13"/>
  <c r="K346" i="14" s="1"/>
  <c r="F346" i="13"/>
  <c r="F346" i="14" s="1"/>
  <c r="L346" i="13"/>
  <c r="L346" i="14" s="1"/>
  <c r="R346" i="13"/>
  <c r="R346" i="14" s="1"/>
  <c r="Q346" i="13"/>
  <c r="Q346" i="14" s="1"/>
  <c r="I346" i="13"/>
  <c r="I346" i="14" s="1"/>
  <c r="C346" i="13"/>
  <c r="C346" i="14" s="1"/>
  <c r="E346" i="13"/>
  <c r="E346" i="14" s="1"/>
  <c r="N30" i="13"/>
  <c r="N30" i="14" s="1"/>
  <c r="J30" i="13"/>
  <c r="J30" i="14" s="1"/>
  <c r="S30" i="13"/>
  <c r="S30" i="14" s="1"/>
  <c r="G30" i="13"/>
  <c r="G30" i="14" s="1"/>
  <c r="M30" i="13"/>
  <c r="M30" i="14" s="1"/>
  <c r="K30" i="13"/>
  <c r="K30" i="14" s="1"/>
  <c r="L30" i="13"/>
  <c r="L30" i="14" s="1"/>
  <c r="F30" i="13"/>
  <c r="F30" i="14" s="1"/>
  <c r="Q30" i="13"/>
  <c r="Q30" i="14" s="1"/>
  <c r="H30" i="13"/>
  <c r="H30" i="14" s="1"/>
  <c r="D30" i="13"/>
  <c r="D30" i="14" s="1"/>
  <c r="R30" i="13"/>
  <c r="R30" i="14" s="1"/>
  <c r="O30" i="13"/>
  <c r="O30" i="14" s="1"/>
  <c r="I30" i="13"/>
  <c r="I30" i="14" s="1"/>
  <c r="C30" i="13"/>
  <c r="C30" i="14" s="1"/>
  <c r="E30" i="13"/>
  <c r="E30" i="14" s="1"/>
  <c r="D338" i="13"/>
  <c r="D338" i="14" s="1"/>
  <c r="N338" i="13"/>
  <c r="N338" i="14" s="1"/>
  <c r="J338" i="13"/>
  <c r="J338" i="14" s="1"/>
  <c r="G338" i="13"/>
  <c r="G338" i="14" s="1"/>
  <c r="S338" i="13"/>
  <c r="S338" i="14" s="1"/>
  <c r="H338" i="13"/>
  <c r="H338" i="14" s="1"/>
  <c r="M338" i="13"/>
  <c r="M338" i="14" s="1"/>
  <c r="K338" i="13"/>
  <c r="K338" i="14" s="1"/>
  <c r="L338" i="13"/>
  <c r="L338" i="14" s="1"/>
  <c r="F338" i="13"/>
  <c r="F338" i="14" s="1"/>
  <c r="Q338" i="13"/>
  <c r="Q338" i="14" s="1"/>
  <c r="I338" i="13"/>
  <c r="I338" i="14" s="1"/>
  <c r="R338" i="13"/>
  <c r="R338" i="14" s="1"/>
  <c r="O338" i="13"/>
  <c r="O338" i="14" s="1"/>
  <c r="C338" i="13"/>
  <c r="C338" i="14" s="1"/>
  <c r="E338" i="13"/>
  <c r="E338" i="14" s="1"/>
  <c r="O302" i="13"/>
  <c r="O302" i="14" s="1"/>
  <c r="H302" i="13"/>
  <c r="H302" i="14" s="1"/>
  <c r="N302" i="13"/>
  <c r="N302" i="14" s="1"/>
  <c r="J302" i="13"/>
  <c r="J302" i="14" s="1"/>
  <c r="S302" i="13"/>
  <c r="S302" i="14" s="1"/>
  <c r="M302" i="13"/>
  <c r="M302" i="14" s="1"/>
  <c r="K302" i="13"/>
  <c r="K302" i="14" s="1"/>
  <c r="L302" i="13"/>
  <c r="L302" i="14" s="1"/>
  <c r="Q302" i="13"/>
  <c r="Q302" i="14" s="1"/>
  <c r="I302" i="13"/>
  <c r="I302" i="14" s="1"/>
  <c r="D302" i="13"/>
  <c r="D302" i="14" s="1"/>
  <c r="F302" i="13"/>
  <c r="F302" i="14" s="1"/>
  <c r="G302" i="13"/>
  <c r="G302" i="14" s="1"/>
  <c r="R302" i="13"/>
  <c r="R302" i="14" s="1"/>
  <c r="C302" i="13"/>
  <c r="C302" i="14" s="1"/>
  <c r="E302" i="13"/>
  <c r="E302" i="14" s="1"/>
  <c r="S40" i="13"/>
  <c r="S40" i="14" s="1"/>
  <c r="G40" i="13"/>
  <c r="G40" i="14" s="1"/>
  <c r="N40" i="13"/>
  <c r="N40" i="14" s="1"/>
  <c r="J40" i="13"/>
  <c r="J40" i="14" s="1"/>
  <c r="R40" i="13"/>
  <c r="R40" i="14" s="1"/>
  <c r="F40" i="13"/>
  <c r="F40" i="14" s="1"/>
  <c r="Q40" i="13"/>
  <c r="Q40" i="14" s="1"/>
  <c r="I40" i="13"/>
  <c r="I40" i="14" s="1"/>
  <c r="K40" i="13"/>
  <c r="K40" i="14" s="1"/>
  <c r="D40" i="13"/>
  <c r="D40" i="14" s="1"/>
  <c r="H40" i="13"/>
  <c r="H40" i="14" s="1"/>
  <c r="L40" i="13"/>
  <c r="L40" i="14" s="1"/>
  <c r="O40" i="13"/>
  <c r="O40" i="14" s="1"/>
  <c r="M40" i="13"/>
  <c r="M40" i="14" s="1"/>
  <c r="C40" i="13"/>
  <c r="C40" i="14" s="1"/>
  <c r="E40" i="13"/>
  <c r="E40" i="14" s="1"/>
  <c r="D360" i="13"/>
  <c r="D360" i="14" s="1"/>
  <c r="S360" i="13"/>
  <c r="S360" i="14" s="1"/>
  <c r="G360" i="13"/>
  <c r="G360" i="14" s="1"/>
  <c r="J360" i="13"/>
  <c r="J360" i="14" s="1"/>
  <c r="N360" i="13"/>
  <c r="N360" i="14" s="1"/>
  <c r="O360" i="13"/>
  <c r="O360" i="14" s="1"/>
  <c r="R360" i="13"/>
  <c r="R360" i="14" s="1"/>
  <c r="F360" i="13"/>
  <c r="F360" i="14" s="1"/>
  <c r="Q360" i="13"/>
  <c r="Q360" i="14" s="1"/>
  <c r="K360" i="13"/>
  <c r="K360" i="14" s="1"/>
  <c r="L360" i="13"/>
  <c r="L360" i="14" s="1"/>
  <c r="M360" i="13"/>
  <c r="M360" i="14" s="1"/>
  <c r="H360" i="13"/>
  <c r="H360" i="14" s="1"/>
  <c r="I360" i="13"/>
  <c r="I360" i="14" s="1"/>
  <c r="C360" i="13"/>
  <c r="C360" i="14" s="1"/>
  <c r="E360" i="13"/>
  <c r="E360" i="14" s="1"/>
  <c r="M411" i="13"/>
  <c r="M411" i="14" s="1"/>
  <c r="K411" i="13"/>
  <c r="K411" i="14" s="1"/>
  <c r="Q411" i="13"/>
  <c r="Q411" i="14" s="1"/>
  <c r="I411" i="13"/>
  <c r="I411" i="14" s="1"/>
  <c r="L411" i="13"/>
  <c r="L411" i="14" s="1"/>
  <c r="O411" i="13"/>
  <c r="O411" i="14" s="1"/>
  <c r="H411" i="13"/>
  <c r="H411" i="14" s="1"/>
  <c r="F411" i="13"/>
  <c r="F411" i="14" s="1"/>
  <c r="R411" i="13"/>
  <c r="R411" i="14" s="1"/>
  <c r="D411" i="13"/>
  <c r="D411" i="14" s="1"/>
  <c r="S411" i="13"/>
  <c r="S411" i="14" s="1"/>
  <c r="G411" i="13"/>
  <c r="G411" i="14" s="1"/>
  <c r="N411" i="13"/>
  <c r="N411" i="14" s="1"/>
  <c r="J411" i="13"/>
  <c r="J411" i="14" s="1"/>
  <c r="C411" i="13"/>
  <c r="C411" i="14" s="1"/>
  <c r="E411" i="13"/>
  <c r="E411" i="14" s="1"/>
  <c r="M441" i="13"/>
  <c r="M441" i="14" s="1"/>
  <c r="F441" i="13"/>
  <c r="F441" i="14" s="1"/>
  <c r="L441" i="13"/>
  <c r="L441" i="14" s="1"/>
  <c r="Q441" i="13"/>
  <c r="Q441" i="14" s="1"/>
  <c r="I441" i="13"/>
  <c r="I441" i="14" s="1"/>
  <c r="R441" i="13"/>
  <c r="R441" i="14" s="1"/>
  <c r="D441" i="13"/>
  <c r="D441" i="14" s="1"/>
  <c r="S441" i="13"/>
  <c r="S441" i="14" s="1"/>
  <c r="K441" i="13"/>
  <c r="K441" i="14" s="1"/>
  <c r="H441" i="13"/>
  <c r="H441" i="14" s="1"/>
  <c r="N441" i="13"/>
  <c r="N441" i="14" s="1"/>
  <c r="J441" i="13"/>
  <c r="J441" i="14" s="1"/>
  <c r="O441" i="13"/>
  <c r="O441" i="14" s="1"/>
  <c r="G441" i="13"/>
  <c r="G441" i="14" s="1"/>
  <c r="C441" i="13"/>
  <c r="C441" i="14" s="1"/>
  <c r="E441" i="13"/>
  <c r="E441" i="14" s="1"/>
  <c r="O92" i="13"/>
  <c r="O92" i="14" s="1"/>
  <c r="H92" i="13"/>
  <c r="H92" i="14" s="1"/>
  <c r="D92" i="13"/>
  <c r="D92" i="14" s="1"/>
  <c r="N92" i="13"/>
  <c r="N92" i="14" s="1"/>
  <c r="J92" i="13"/>
  <c r="J92" i="14" s="1"/>
  <c r="S92" i="13"/>
  <c r="S92" i="14" s="1"/>
  <c r="G92" i="13"/>
  <c r="G92" i="14" s="1"/>
  <c r="M92" i="13"/>
  <c r="M92" i="14" s="1"/>
  <c r="K92" i="13"/>
  <c r="K92" i="14" s="1"/>
  <c r="F92" i="13"/>
  <c r="F92" i="14" s="1"/>
  <c r="I92" i="13"/>
  <c r="I92" i="14" s="1"/>
  <c r="Q92" i="13"/>
  <c r="Q92" i="14" s="1"/>
  <c r="L92" i="13"/>
  <c r="L92" i="14" s="1"/>
  <c r="R92" i="13"/>
  <c r="R92" i="14" s="1"/>
  <c r="C92" i="13"/>
  <c r="C92" i="14" s="1"/>
  <c r="E92" i="13"/>
  <c r="E92" i="14" s="1"/>
  <c r="O88" i="13"/>
  <c r="O88" i="14" s="1"/>
  <c r="H88" i="13"/>
  <c r="H88" i="14" s="1"/>
  <c r="D88" i="13"/>
  <c r="D88" i="14" s="1"/>
  <c r="N88" i="13"/>
  <c r="N88" i="14" s="1"/>
  <c r="J88" i="13"/>
  <c r="J88" i="14" s="1"/>
  <c r="S88" i="13"/>
  <c r="S88" i="14" s="1"/>
  <c r="G88" i="13"/>
  <c r="G88" i="14" s="1"/>
  <c r="M88" i="13"/>
  <c r="M88" i="14" s="1"/>
  <c r="K88" i="13"/>
  <c r="K88" i="14" s="1"/>
  <c r="R88" i="13"/>
  <c r="R88" i="14" s="1"/>
  <c r="I88" i="13"/>
  <c r="I88" i="14" s="1"/>
  <c r="L88" i="13"/>
  <c r="L88" i="14" s="1"/>
  <c r="F88" i="13"/>
  <c r="F88" i="14" s="1"/>
  <c r="Q88" i="13"/>
  <c r="Q88" i="14" s="1"/>
  <c r="E88" i="13"/>
  <c r="E88" i="14" s="1"/>
  <c r="C88" i="13"/>
  <c r="C88" i="14" s="1"/>
  <c r="F357" i="13"/>
  <c r="F357" i="14" s="1"/>
  <c r="M357" i="13"/>
  <c r="M357" i="14" s="1"/>
  <c r="L357" i="13"/>
  <c r="L357" i="14" s="1"/>
  <c r="Q357" i="13"/>
  <c r="Q357" i="14" s="1"/>
  <c r="I357" i="13"/>
  <c r="I357" i="14" s="1"/>
  <c r="K357" i="13"/>
  <c r="K357" i="14" s="1"/>
  <c r="D357" i="13"/>
  <c r="D357" i="14" s="1"/>
  <c r="H357" i="13"/>
  <c r="H357" i="14" s="1"/>
  <c r="G357" i="13"/>
  <c r="G357" i="14" s="1"/>
  <c r="R357" i="13"/>
  <c r="R357" i="14" s="1"/>
  <c r="O357" i="13"/>
  <c r="O357" i="14" s="1"/>
  <c r="N357" i="13"/>
  <c r="N357" i="14" s="1"/>
  <c r="J357" i="13"/>
  <c r="J357" i="14" s="1"/>
  <c r="S357" i="13"/>
  <c r="S357" i="14" s="1"/>
  <c r="C357" i="13"/>
  <c r="C357" i="14" s="1"/>
  <c r="E357" i="13"/>
  <c r="E357" i="14" s="1"/>
  <c r="H248" i="13"/>
  <c r="H248" i="14" s="1"/>
  <c r="O248" i="13"/>
  <c r="O248" i="14" s="1"/>
  <c r="S248" i="13"/>
  <c r="S248" i="14" s="1"/>
  <c r="G248" i="13"/>
  <c r="G248" i="14" s="1"/>
  <c r="J248" i="13"/>
  <c r="J248" i="14" s="1"/>
  <c r="N248" i="13"/>
  <c r="N248" i="14" s="1"/>
  <c r="D248" i="13"/>
  <c r="D248" i="14" s="1"/>
  <c r="F248" i="13"/>
  <c r="F248" i="14" s="1"/>
  <c r="I248" i="13"/>
  <c r="I248" i="14" s="1"/>
  <c r="M248" i="13"/>
  <c r="M248" i="14" s="1"/>
  <c r="K248" i="13"/>
  <c r="K248" i="14" s="1"/>
  <c r="L248" i="13"/>
  <c r="L248" i="14" s="1"/>
  <c r="Q248" i="13"/>
  <c r="Q248" i="14" s="1"/>
  <c r="R248" i="13"/>
  <c r="R248" i="14" s="1"/>
  <c r="C248" i="13"/>
  <c r="C248" i="14" s="1"/>
  <c r="E248" i="13"/>
  <c r="E248" i="14" s="1"/>
  <c r="O250" i="13"/>
  <c r="O250" i="14" s="1"/>
  <c r="H250" i="13"/>
  <c r="H250" i="14" s="1"/>
  <c r="N250" i="13"/>
  <c r="N250" i="14" s="1"/>
  <c r="J250" i="13"/>
  <c r="J250" i="14" s="1"/>
  <c r="G250" i="13"/>
  <c r="G250" i="14" s="1"/>
  <c r="S250" i="13"/>
  <c r="S250" i="14" s="1"/>
  <c r="K250" i="13"/>
  <c r="K250" i="14" s="1"/>
  <c r="R250" i="13"/>
  <c r="R250" i="14" s="1"/>
  <c r="F250" i="13"/>
  <c r="F250" i="14" s="1"/>
  <c r="Q250" i="13"/>
  <c r="Q250" i="14" s="1"/>
  <c r="I250" i="13"/>
  <c r="I250" i="14" s="1"/>
  <c r="L250" i="13"/>
  <c r="L250" i="14" s="1"/>
  <c r="D250" i="13"/>
  <c r="D250" i="14" s="1"/>
  <c r="M250" i="13"/>
  <c r="M250" i="14" s="1"/>
  <c r="C250" i="13"/>
  <c r="C250" i="14" s="1"/>
  <c r="E250" i="13"/>
  <c r="E250" i="14" s="1"/>
  <c r="O138" i="13"/>
  <c r="O138" i="14" s="1"/>
  <c r="H138" i="13"/>
  <c r="H138" i="14" s="1"/>
  <c r="D138" i="13"/>
  <c r="D138" i="14" s="1"/>
  <c r="J138" i="13"/>
  <c r="J138" i="14" s="1"/>
  <c r="N138" i="13"/>
  <c r="N138" i="14" s="1"/>
  <c r="S138" i="13"/>
  <c r="S138" i="14" s="1"/>
  <c r="G138" i="13"/>
  <c r="G138" i="14" s="1"/>
  <c r="M138" i="13"/>
  <c r="M138" i="14" s="1"/>
  <c r="K138" i="13"/>
  <c r="K138" i="14" s="1"/>
  <c r="F138" i="13"/>
  <c r="F138" i="14" s="1"/>
  <c r="R138" i="13"/>
  <c r="R138" i="14" s="1"/>
  <c r="Q138" i="13"/>
  <c r="Q138" i="14" s="1"/>
  <c r="I138" i="13"/>
  <c r="I138" i="14" s="1"/>
  <c r="L138" i="13"/>
  <c r="L138" i="14" s="1"/>
  <c r="C138" i="13"/>
  <c r="C138" i="14" s="1"/>
  <c r="E138" i="13"/>
  <c r="E138" i="14" s="1"/>
  <c r="H254" i="13"/>
  <c r="H254" i="14" s="1"/>
  <c r="N254" i="13"/>
  <c r="N254" i="14" s="1"/>
  <c r="J254" i="13"/>
  <c r="J254" i="14" s="1"/>
  <c r="G254" i="13"/>
  <c r="G254" i="14" s="1"/>
  <c r="S254" i="13"/>
  <c r="S254" i="14" s="1"/>
  <c r="D254" i="13"/>
  <c r="D254" i="14" s="1"/>
  <c r="R254" i="13"/>
  <c r="R254" i="14" s="1"/>
  <c r="F254" i="13"/>
  <c r="F254" i="14" s="1"/>
  <c r="Q254" i="13"/>
  <c r="Q254" i="14" s="1"/>
  <c r="I254" i="13"/>
  <c r="I254" i="14" s="1"/>
  <c r="M254" i="13"/>
  <c r="M254" i="14" s="1"/>
  <c r="O254" i="13"/>
  <c r="O254" i="14" s="1"/>
  <c r="K254" i="13"/>
  <c r="K254" i="14" s="1"/>
  <c r="L254" i="13"/>
  <c r="L254" i="14" s="1"/>
  <c r="C254" i="13"/>
  <c r="C254" i="14" s="1"/>
  <c r="E254" i="13"/>
  <c r="E254" i="14" s="1"/>
  <c r="M361" i="13"/>
  <c r="M361" i="14" s="1"/>
  <c r="K361" i="13"/>
  <c r="K361" i="14" s="1"/>
  <c r="L361" i="13"/>
  <c r="L361" i="14" s="1"/>
  <c r="I361" i="13"/>
  <c r="I361" i="14" s="1"/>
  <c r="Q361" i="13"/>
  <c r="Q361" i="14" s="1"/>
  <c r="D361" i="13"/>
  <c r="D361" i="14" s="1"/>
  <c r="R361" i="13"/>
  <c r="R361" i="14" s="1"/>
  <c r="F361" i="13"/>
  <c r="F361" i="14" s="1"/>
  <c r="O361" i="13"/>
  <c r="O361" i="14" s="1"/>
  <c r="N361" i="13"/>
  <c r="N361" i="14" s="1"/>
  <c r="J361" i="13"/>
  <c r="J361" i="14" s="1"/>
  <c r="G361" i="13"/>
  <c r="G361" i="14" s="1"/>
  <c r="H361" i="13"/>
  <c r="H361" i="14" s="1"/>
  <c r="S361" i="13"/>
  <c r="S361" i="14" s="1"/>
  <c r="C361" i="13"/>
  <c r="C361" i="14" s="1"/>
  <c r="E361" i="13"/>
  <c r="E361" i="14" s="1"/>
  <c r="S64" i="13"/>
  <c r="S64" i="14" s="1"/>
  <c r="G64" i="13"/>
  <c r="G64" i="14" s="1"/>
  <c r="N64" i="13"/>
  <c r="N64" i="14" s="1"/>
  <c r="J64" i="13"/>
  <c r="J64" i="14" s="1"/>
  <c r="R64" i="13"/>
  <c r="R64" i="14" s="1"/>
  <c r="F64" i="13"/>
  <c r="F64" i="14" s="1"/>
  <c r="M64" i="13"/>
  <c r="M64" i="14" s="1"/>
  <c r="K64" i="13"/>
  <c r="K64" i="14" s="1"/>
  <c r="Q64" i="13"/>
  <c r="Q64" i="14" s="1"/>
  <c r="I64" i="13"/>
  <c r="I64" i="14" s="1"/>
  <c r="D64" i="13"/>
  <c r="D64" i="14" s="1"/>
  <c r="L64" i="13"/>
  <c r="L64" i="14" s="1"/>
  <c r="H64" i="13"/>
  <c r="H64" i="14" s="1"/>
  <c r="O64" i="13"/>
  <c r="O64" i="14" s="1"/>
  <c r="C64" i="13"/>
  <c r="C64" i="14" s="1"/>
  <c r="E64" i="13"/>
  <c r="E64" i="14" s="1"/>
  <c r="L57" i="13"/>
  <c r="L57" i="14" s="1"/>
  <c r="Q57" i="13"/>
  <c r="Q57" i="14" s="1"/>
  <c r="I57" i="13"/>
  <c r="I57" i="14" s="1"/>
  <c r="D57" i="13"/>
  <c r="D57" i="14" s="1"/>
  <c r="O57" i="13"/>
  <c r="O57" i="14" s="1"/>
  <c r="H57" i="13"/>
  <c r="H57" i="14" s="1"/>
  <c r="S57" i="13"/>
  <c r="S57" i="14" s="1"/>
  <c r="G57" i="13"/>
  <c r="G57" i="14" s="1"/>
  <c r="M57" i="13"/>
  <c r="M57" i="14" s="1"/>
  <c r="N57" i="13"/>
  <c r="N57" i="14" s="1"/>
  <c r="K57" i="13"/>
  <c r="K57" i="14" s="1"/>
  <c r="F57" i="13"/>
  <c r="F57" i="14" s="1"/>
  <c r="J57" i="13"/>
  <c r="J57" i="14" s="1"/>
  <c r="R57" i="13"/>
  <c r="R57" i="14" s="1"/>
  <c r="C57" i="13"/>
  <c r="C57" i="14" s="1"/>
  <c r="E57" i="13"/>
  <c r="E57" i="14" s="1"/>
  <c r="O366" i="13"/>
  <c r="O366" i="14" s="1"/>
  <c r="D366" i="13"/>
  <c r="D366" i="14" s="1"/>
  <c r="N366" i="13"/>
  <c r="N366" i="14" s="1"/>
  <c r="J366" i="13"/>
  <c r="J366" i="14" s="1"/>
  <c r="S366" i="13"/>
  <c r="S366" i="14" s="1"/>
  <c r="G366" i="13"/>
  <c r="G366" i="14" s="1"/>
  <c r="M366" i="13"/>
  <c r="M366" i="14" s="1"/>
  <c r="K366" i="13"/>
  <c r="K366" i="14" s="1"/>
  <c r="H366" i="13"/>
  <c r="H366" i="14" s="1"/>
  <c r="F366" i="13"/>
  <c r="F366" i="14" s="1"/>
  <c r="L366" i="13"/>
  <c r="L366" i="14" s="1"/>
  <c r="R366" i="13"/>
  <c r="R366" i="14" s="1"/>
  <c r="Q366" i="13"/>
  <c r="Q366" i="14" s="1"/>
  <c r="I366" i="13"/>
  <c r="I366" i="14" s="1"/>
  <c r="C366" i="13"/>
  <c r="C366" i="14" s="1"/>
  <c r="E366" i="13"/>
  <c r="E366" i="14" s="1"/>
  <c r="M87" i="13"/>
  <c r="M87" i="14" s="1"/>
  <c r="K87" i="13"/>
  <c r="K87" i="14" s="1"/>
  <c r="R87" i="13"/>
  <c r="R87" i="14" s="1"/>
  <c r="F87" i="13"/>
  <c r="F87" i="14" s="1"/>
  <c r="L87" i="13"/>
  <c r="L87" i="14" s="1"/>
  <c r="Q87" i="13"/>
  <c r="Q87" i="14" s="1"/>
  <c r="I87" i="13"/>
  <c r="I87" i="14" s="1"/>
  <c r="D87" i="13"/>
  <c r="D87" i="14" s="1"/>
  <c r="H87" i="13"/>
  <c r="H87" i="14" s="1"/>
  <c r="O87" i="13"/>
  <c r="O87" i="14" s="1"/>
  <c r="J87" i="13"/>
  <c r="J87" i="14" s="1"/>
  <c r="N87" i="13"/>
  <c r="N87" i="14" s="1"/>
  <c r="S87" i="13"/>
  <c r="S87" i="14" s="1"/>
  <c r="G87" i="13"/>
  <c r="G87" i="14" s="1"/>
  <c r="E87" i="13"/>
  <c r="E87" i="14" s="1"/>
  <c r="C87" i="13"/>
  <c r="C87" i="14" s="1"/>
  <c r="N10" i="13"/>
  <c r="N10" i="14" s="1"/>
  <c r="J10" i="13"/>
  <c r="J10" i="14" s="1"/>
  <c r="S10" i="13"/>
  <c r="S10" i="14" s="1"/>
  <c r="G10" i="13"/>
  <c r="G10" i="14" s="1"/>
  <c r="M10" i="13"/>
  <c r="M10" i="14" s="1"/>
  <c r="K10" i="13"/>
  <c r="K10" i="14" s="1"/>
  <c r="R10" i="13"/>
  <c r="R10" i="14" s="1"/>
  <c r="L10" i="13"/>
  <c r="L10" i="14" s="1"/>
  <c r="I10" i="13"/>
  <c r="I10" i="14" s="1"/>
  <c r="H10" i="13"/>
  <c r="H10" i="14" s="1"/>
  <c r="D10" i="13"/>
  <c r="D10" i="14" s="1"/>
  <c r="Q10" i="13"/>
  <c r="Q10" i="14" s="1"/>
  <c r="O10" i="13"/>
  <c r="O10" i="14" s="1"/>
  <c r="F10" i="13"/>
  <c r="F10" i="14" s="1"/>
  <c r="E10" i="13"/>
  <c r="E10" i="14" s="1"/>
  <c r="C10" i="13"/>
  <c r="C10" i="14" s="1"/>
  <c r="H306" i="13"/>
  <c r="H306" i="14" s="1"/>
  <c r="O306" i="13"/>
  <c r="O306" i="14" s="1"/>
  <c r="N306" i="13"/>
  <c r="N306" i="14" s="1"/>
  <c r="J306" i="13"/>
  <c r="J306" i="14" s="1"/>
  <c r="S306" i="13"/>
  <c r="S306" i="14" s="1"/>
  <c r="G306" i="13"/>
  <c r="G306" i="14" s="1"/>
  <c r="D306" i="13"/>
  <c r="D306" i="14" s="1"/>
  <c r="M306" i="13"/>
  <c r="M306" i="14" s="1"/>
  <c r="K306" i="13"/>
  <c r="K306" i="14" s="1"/>
  <c r="F306" i="13"/>
  <c r="F306" i="14" s="1"/>
  <c r="R306" i="13"/>
  <c r="R306" i="14" s="1"/>
  <c r="Q306" i="13"/>
  <c r="Q306" i="14" s="1"/>
  <c r="I306" i="13"/>
  <c r="I306" i="14" s="1"/>
  <c r="L306" i="13"/>
  <c r="L306" i="14" s="1"/>
  <c r="C306" i="13"/>
  <c r="C306" i="14" s="1"/>
  <c r="E306" i="13"/>
  <c r="E306" i="14" s="1"/>
  <c r="L45" i="13"/>
  <c r="L45" i="14" s="1"/>
  <c r="Q45" i="13"/>
  <c r="Q45" i="14" s="1"/>
  <c r="I45" i="13"/>
  <c r="I45" i="14" s="1"/>
  <c r="D45" i="13"/>
  <c r="D45" i="14" s="1"/>
  <c r="O45" i="13"/>
  <c r="O45" i="14" s="1"/>
  <c r="S45" i="13"/>
  <c r="S45" i="14" s="1"/>
  <c r="G45" i="13"/>
  <c r="G45" i="14" s="1"/>
  <c r="M45" i="13"/>
  <c r="M45" i="14" s="1"/>
  <c r="F45" i="13"/>
  <c r="F45" i="14" s="1"/>
  <c r="H45" i="13"/>
  <c r="H45" i="14" s="1"/>
  <c r="J45" i="13"/>
  <c r="J45" i="14" s="1"/>
  <c r="K45" i="13"/>
  <c r="K45" i="14" s="1"/>
  <c r="N45" i="13"/>
  <c r="N45" i="14" s="1"/>
  <c r="R45" i="13"/>
  <c r="R45" i="14" s="1"/>
  <c r="C45" i="13"/>
  <c r="C45" i="14" s="1"/>
  <c r="E45" i="13"/>
  <c r="E45" i="14" s="1"/>
  <c r="O372" i="13"/>
  <c r="O372" i="14" s="1"/>
  <c r="D372" i="13"/>
  <c r="D372" i="14" s="1"/>
  <c r="S372" i="13"/>
  <c r="S372" i="14" s="1"/>
  <c r="G372" i="13"/>
  <c r="G372" i="14" s="1"/>
  <c r="J372" i="13"/>
  <c r="J372" i="14" s="1"/>
  <c r="H372" i="13"/>
  <c r="H372" i="14" s="1"/>
  <c r="R372" i="13"/>
  <c r="R372" i="14" s="1"/>
  <c r="F372" i="13"/>
  <c r="F372" i="14" s="1"/>
  <c r="Q372" i="13"/>
  <c r="Q372" i="14" s="1"/>
  <c r="L372" i="13"/>
  <c r="L372" i="14" s="1"/>
  <c r="I372" i="13"/>
  <c r="I372" i="14" s="1"/>
  <c r="K372" i="13"/>
  <c r="K372" i="14" s="1"/>
  <c r="N372" i="13"/>
  <c r="N372" i="14" s="1"/>
  <c r="M372" i="13"/>
  <c r="M372" i="14" s="1"/>
  <c r="C372" i="13"/>
  <c r="C372" i="14" s="1"/>
  <c r="E372" i="13"/>
  <c r="E372" i="14" s="1"/>
  <c r="M421" i="13"/>
  <c r="M421" i="14" s="1"/>
  <c r="K421" i="13"/>
  <c r="K421" i="14" s="1"/>
  <c r="L421" i="13"/>
  <c r="L421" i="14" s="1"/>
  <c r="Q421" i="13"/>
  <c r="Q421" i="14" s="1"/>
  <c r="I421" i="13"/>
  <c r="I421" i="14" s="1"/>
  <c r="R421" i="13"/>
  <c r="R421" i="14" s="1"/>
  <c r="D421" i="13"/>
  <c r="D421" i="14" s="1"/>
  <c r="F421" i="13"/>
  <c r="F421" i="14" s="1"/>
  <c r="O421" i="13"/>
  <c r="O421" i="14" s="1"/>
  <c r="G421" i="13"/>
  <c r="G421" i="14" s="1"/>
  <c r="N421" i="13"/>
  <c r="N421" i="14" s="1"/>
  <c r="J421" i="13"/>
  <c r="J421" i="14" s="1"/>
  <c r="H421" i="13"/>
  <c r="H421" i="14" s="1"/>
  <c r="S421" i="13"/>
  <c r="S421" i="14" s="1"/>
  <c r="C421" i="13"/>
  <c r="C421" i="14" s="1"/>
  <c r="E421" i="13"/>
  <c r="E421" i="14" s="1"/>
  <c r="R119" i="13"/>
  <c r="R119" i="14" s="1"/>
  <c r="F119" i="13"/>
  <c r="F119" i="14" s="1"/>
  <c r="M119" i="13"/>
  <c r="M119" i="14" s="1"/>
  <c r="K119" i="13"/>
  <c r="K119" i="14" s="1"/>
  <c r="Q119" i="13"/>
  <c r="Q119" i="14" s="1"/>
  <c r="I119" i="13"/>
  <c r="I119" i="14" s="1"/>
  <c r="L119" i="13"/>
  <c r="L119" i="14" s="1"/>
  <c r="O119" i="13"/>
  <c r="O119" i="14" s="1"/>
  <c r="H119" i="13"/>
  <c r="H119" i="14" s="1"/>
  <c r="D119" i="13"/>
  <c r="D119" i="14" s="1"/>
  <c r="J119" i="13"/>
  <c r="J119" i="14" s="1"/>
  <c r="S119" i="13"/>
  <c r="S119" i="14" s="1"/>
  <c r="G119" i="13"/>
  <c r="G119" i="14" s="1"/>
  <c r="N119" i="13"/>
  <c r="N119" i="14" s="1"/>
  <c r="C119" i="13"/>
  <c r="C119" i="14" s="1"/>
  <c r="E119" i="13"/>
  <c r="E119" i="14" s="1"/>
  <c r="K341" i="13"/>
  <c r="K341" i="14" s="1"/>
  <c r="M341" i="13"/>
  <c r="M341" i="14" s="1"/>
  <c r="L341" i="13"/>
  <c r="L341" i="14" s="1"/>
  <c r="I341" i="13"/>
  <c r="I341" i="14" s="1"/>
  <c r="Q341" i="13"/>
  <c r="Q341" i="14" s="1"/>
  <c r="H341" i="13"/>
  <c r="H341" i="14" s="1"/>
  <c r="F341" i="13"/>
  <c r="F341" i="14" s="1"/>
  <c r="D341" i="13"/>
  <c r="D341" i="14" s="1"/>
  <c r="O341" i="13"/>
  <c r="O341" i="14" s="1"/>
  <c r="G341" i="13"/>
  <c r="G341" i="14" s="1"/>
  <c r="R341" i="13"/>
  <c r="R341" i="14" s="1"/>
  <c r="J341" i="13"/>
  <c r="J341" i="14" s="1"/>
  <c r="S341" i="13"/>
  <c r="S341" i="14" s="1"/>
  <c r="N341" i="13"/>
  <c r="N341" i="14" s="1"/>
  <c r="C341" i="13"/>
  <c r="C341" i="14" s="1"/>
  <c r="E341" i="13"/>
  <c r="E341" i="14" s="1"/>
  <c r="Q3" i="13"/>
  <c r="Q3" i="14" s="1"/>
  <c r="I3" i="13"/>
  <c r="I3" i="14" s="1"/>
  <c r="L3" i="13"/>
  <c r="L3" i="14" s="1"/>
  <c r="O3" i="13"/>
  <c r="O3" i="14" s="1"/>
  <c r="H3" i="13"/>
  <c r="H3" i="14" s="1"/>
  <c r="N3" i="13"/>
  <c r="N3" i="14" s="1"/>
  <c r="J3" i="13"/>
  <c r="J3" i="14" s="1"/>
  <c r="D3" i="13"/>
  <c r="D3" i="14" s="1"/>
  <c r="G3" i="13"/>
  <c r="G3" i="14" s="1"/>
  <c r="F3" i="13"/>
  <c r="F3" i="14" s="1"/>
  <c r="K3" i="13"/>
  <c r="K3" i="14" s="1"/>
  <c r="S3" i="13"/>
  <c r="S3" i="14" s="1"/>
  <c r="R3" i="13"/>
  <c r="R3" i="14" s="1"/>
  <c r="M3" i="13"/>
  <c r="M3" i="14" s="1"/>
  <c r="E3" i="13"/>
  <c r="E3" i="14" s="1"/>
  <c r="C3" i="13"/>
  <c r="C3" i="14" s="1"/>
  <c r="M373" i="13"/>
  <c r="M373" i="14" s="1"/>
  <c r="F373" i="13"/>
  <c r="F373" i="14" s="1"/>
  <c r="L373" i="13"/>
  <c r="L373" i="14" s="1"/>
  <c r="Q373" i="13"/>
  <c r="Q373" i="14" s="1"/>
  <c r="I373" i="13"/>
  <c r="I373" i="14" s="1"/>
  <c r="H373" i="13"/>
  <c r="H373" i="14" s="1"/>
  <c r="R373" i="13"/>
  <c r="R373" i="14" s="1"/>
  <c r="D373" i="13"/>
  <c r="D373" i="14" s="1"/>
  <c r="J373" i="13"/>
  <c r="J373" i="14" s="1"/>
  <c r="S373" i="13"/>
  <c r="S373" i="14" s="1"/>
  <c r="K373" i="13"/>
  <c r="K373" i="14" s="1"/>
  <c r="O373" i="13"/>
  <c r="O373" i="14" s="1"/>
  <c r="N373" i="13"/>
  <c r="N373" i="14" s="1"/>
  <c r="G373" i="13"/>
  <c r="G373" i="14" s="1"/>
  <c r="C373" i="13"/>
  <c r="C373" i="14" s="1"/>
  <c r="E373" i="13"/>
  <c r="E373" i="14" s="1"/>
  <c r="F395" i="13"/>
  <c r="F395" i="14" s="1"/>
  <c r="R395" i="13"/>
  <c r="R395" i="14" s="1"/>
  <c r="Q395" i="13"/>
  <c r="Q395" i="14" s="1"/>
  <c r="I395" i="13"/>
  <c r="I395" i="14" s="1"/>
  <c r="L395" i="13"/>
  <c r="L395" i="14" s="1"/>
  <c r="M395" i="13"/>
  <c r="M395" i="14" s="1"/>
  <c r="O395" i="13"/>
  <c r="O395" i="14" s="1"/>
  <c r="H395" i="13"/>
  <c r="H395" i="14" s="1"/>
  <c r="K395" i="13"/>
  <c r="K395" i="14" s="1"/>
  <c r="D395" i="13"/>
  <c r="D395" i="14" s="1"/>
  <c r="S395" i="13"/>
  <c r="S395" i="14" s="1"/>
  <c r="G395" i="13"/>
  <c r="G395" i="14" s="1"/>
  <c r="N395" i="13"/>
  <c r="N395" i="14" s="1"/>
  <c r="J395" i="13"/>
  <c r="J395" i="14" s="1"/>
  <c r="C395" i="13"/>
  <c r="C395" i="14" s="1"/>
  <c r="E395" i="13"/>
  <c r="E395" i="14" s="1"/>
  <c r="O320" i="13"/>
  <c r="O320" i="14" s="1"/>
  <c r="H320" i="13"/>
  <c r="H320" i="14" s="1"/>
  <c r="G320" i="13"/>
  <c r="G320" i="14" s="1"/>
  <c r="S320" i="13"/>
  <c r="S320" i="14" s="1"/>
  <c r="J320" i="13"/>
  <c r="J320" i="14" s="1"/>
  <c r="N320" i="13"/>
  <c r="N320" i="14" s="1"/>
  <c r="D320" i="13"/>
  <c r="D320" i="14" s="1"/>
  <c r="R320" i="13"/>
  <c r="R320" i="14" s="1"/>
  <c r="F320" i="13"/>
  <c r="F320" i="14" s="1"/>
  <c r="I320" i="13"/>
  <c r="I320" i="14" s="1"/>
  <c r="K320" i="13"/>
  <c r="K320" i="14" s="1"/>
  <c r="L320" i="13"/>
  <c r="L320" i="14" s="1"/>
  <c r="Q320" i="13"/>
  <c r="Q320" i="14" s="1"/>
  <c r="M320" i="13"/>
  <c r="M320" i="14" s="1"/>
  <c r="C320" i="13"/>
  <c r="C320" i="14" s="1"/>
  <c r="E320" i="13"/>
  <c r="E320" i="14" s="1"/>
  <c r="M125" i="13"/>
  <c r="M125" i="14" s="1"/>
  <c r="K125" i="13"/>
  <c r="K125" i="14" s="1"/>
  <c r="R125" i="13"/>
  <c r="R125" i="14" s="1"/>
  <c r="F125" i="13"/>
  <c r="F125" i="14" s="1"/>
  <c r="L125" i="13"/>
  <c r="L125" i="14" s="1"/>
  <c r="Q125" i="13"/>
  <c r="Q125" i="14" s="1"/>
  <c r="I125" i="13"/>
  <c r="I125" i="14" s="1"/>
  <c r="D125" i="13"/>
  <c r="D125" i="14" s="1"/>
  <c r="H125" i="13"/>
  <c r="H125" i="14" s="1"/>
  <c r="O125" i="13"/>
  <c r="O125" i="14" s="1"/>
  <c r="G125" i="13"/>
  <c r="G125" i="14" s="1"/>
  <c r="N125" i="13"/>
  <c r="N125" i="14" s="1"/>
  <c r="J125" i="13"/>
  <c r="J125" i="14" s="1"/>
  <c r="S125" i="13"/>
  <c r="S125" i="14" s="1"/>
  <c r="C125" i="13"/>
  <c r="C125" i="14" s="1"/>
  <c r="E125" i="13"/>
  <c r="E125" i="14" s="1"/>
  <c r="H212" i="13"/>
  <c r="H212" i="14" s="1"/>
  <c r="O212" i="13"/>
  <c r="O212" i="14" s="1"/>
  <c r="N212" i="13"/>
  <c r="N212" i="14" s="1"/>
  <c r="J212" i="13"/>
  <c r="J212" i="14" s="1"/>
  <c r="S212" i="13"/>
  <c r="S212" i="14" s="1"/>
  <c r="G212" i="13"/>
  <c r="G212" i="14" s="1"/>
  <c r="R212" i="13"/>
  <c r="R212" i="14" s="1"/>
  <c r="F212" i="13"/>
  <c r="F212" i="14" s="1"/>
  <c r="K212" i="13"/>
  <c r="K212" i="14" s="1"/>
  <c r="D212" i="13"/>
  <c r="D212" i="14" s="1"/>
  <c r="M212" i="13"/>
  <c r="M212" i="14" s="1"/>
  <c r="Q212" i="13"/>
  <c r="Q212" i="14" s="1"/>
  <c r="L212" i="13"/>
  <c r="L212" i="14" s="1"/>
  <c r="I212" i="13"/>
  <c r="I212" i="14" s="1"/>
  <c r="C212" i="13"/>
  <c r="C212" i="14" s="1"/>
  <c r="E212" i="13"/>
  <c r="E212" i="14" s="1"/>
  <c r="M353" i="13"/>
  <c r="M353" i="14" s="1"/>
  <c r="K353" i="13"/>
  <c r="K353" i="14" s="1"/>
  <c r="L353" i="13"/>
  <c r="L353" i="14" s="1"/>
  <c r="I353" i="13"/>
  <c r="I353" i="14" s="1"/>
  <c r="Q353" i="13"/>
  <c r="Q353" i="14" s="1"/>
  <c r="R353" i="13"/>
  <c r="R353" i="14" s="1"/>
  <c r="D353" i="13"/>
  <c r="D353" i="14" s="1"/>
  <c r="F353" i="13"/>
  <c r="F353" i="14" s="1"/>
  <c r="H353" i="13"/>
  <c r="H353" i="14" s="1"/>
  <c r="N353" i="13"/>
  <c r="N353" i="14" s="1"/>
  <c r="J353" i="13"/>
  <c r="J353" i="14" s="1"/>
  <c r="G353" i="13"/>
  <c r="G353" i="14" s="1"/>
  <c r="O353" i="13"/>
  <c r="O353" i="14" s="1"/>
  <c r="S353" i="13"/>
  <c r="S353" i="14" s="1"/>
  <c r="C353" i="13"/>
  <c r="C353" i="14" s="1"/>
  <c r="E353" i="13"/>
  <c r="E353" i="14" s="1"/>
  <c r="D144" i="13"/>
  <c r="D144" i="14" s="1"/>
  <c r="O144" i="13"/>
  <c r="O144" i="14" s="1"/>
  <c r="H144" i="13"/>
  <c r="H144" i="14" s="1"/>
  <c r="S144" i="13"/>
  <c r="S144" i="14" s="1"/>
  <c r="G144" i="13"/>
  <c r="G144" i="14" s="1"/>
  <c r="N144" i="13"/>
  <c r="N144" i="14" s="1"/>
  <c r="J144" i="13"/>
  <c r="J144" i="14" s="1"/>
  <c r="R144" i="13"/>
  <c r="R144" i="14" s="1"/>
  <c r="M144" i="13"/>
  <c r="M144" i="14" s="1"/>
  <c r="K144" i="13"/>
  <c r="K144" i="14" s="1"/>
  <c r="F144" i="13"/>
  <c r="F144" i="14" s="1"/>
  <c r="Q144" i="13"/>
  <c r="Q144" i="14" s="1"/>
  <c r="L144" i="13"/>
  <c r="L144" i="14" s="1"/>
  <c r="I144" i="13"/>
  <c r="I144" i="14" s="1"/>
  <c r="C144" i="13"/>
  <c r="C144" i="14" s="1"/>
  <c r="E144" i="13"/>
  <c r="E144" i="14" s="1"/>
  <c r="O76" i="13"/>
  <c r="O76" i="14" s="1"/>
  <c r="H76" i="13"/>
  <c r="H76" i="14" s="1"/>
  <c r="D76" i="13"/>
  <c r="D76" i="14" s="1"/>
  <c r="N76" i="13"/>
  <c r="N76" i="14" s="1"/>
  <c r="J76" i="13"/>
  <c r="J76" i="14" s="1"/>
  <c r="S76" i="13"/>
  <c r="S76" i="14" s="1"/>
  <c r="G76" i="13"/>
  <c r="G76" i="14" s="1"/>
  <c r="M76" i="13"/>
  <c r="M76" i="14" s="1"/>
  <c r="K76" i="13"/>
  <c r="K76" i="14" s="1"/>
  <c r="I76" i="13"/>
  <c r="I76" i="14" s="1"/>
  <c r="L76" i="13"/>
  <c r="L76" i="14" s="1"/>
  <c r="F76" i="13"/>
  <c r="F76" i="14" s="1"/>
  <c r="Q76" i="13"/>
  <c r="Q76" i="14" s="1"/>
  <c r="R76" i="13"/>
  <c r="R76" i="14" s="1"/>
  <c r="E76" i="13"/>
  <c r="E76" i="14" s="1"/>
  <c r="C76" i="13"/>
  <c r="C76" i="14" s="1"/>
  <c r="D152" i="13"/>
  <c r="D152" i="14" s="1"/>
  <c r="O152" i="13"/>
  <c r="O152" i="14" s="1"/>
  <c r="H152" i="13"/>
  <c r="H152" i="14" s="1"/>
  <c r="S152" i="13"/>
  <c r="S152" i="14" s="1"/>
  <c r="G152" i="13"/>
  <c r="G152" i="14" s="1"/>
  <c r="N152" i="13"/>
  <c r="N152" i="14" s="1"/>
  <c r="J152" i="13"/>
  <c r="J152" i="14" s="1"/>
  <c r="R152" i="13"/>
  <c r="R152" i="14" s="1"/>
  <c r="F152" i="13"/>
  <c r="F152" i="14" s="1"/>
  <c r="K152" i="13"/>
  <c r="K152" i="14" s="1"/>
  <c r="Q152" i="13"/>
  <c r="Q152" i="14" s="1"/>
  <c r="M152" i="13"/>
  <c r="M152" i="14" s="1"/>
  <c r="L152" i="13"/>
  <c r="L152" i="14" s="1"/>
  <c r="I152" i="13"/>
  <c r="I152" i="14" s="1"/>
  <c r="C152" i="13"/>
  <c r="C152" i="14" s="1"/>
  <c r="E152" i="13"/>
  <c r="E152" i="14" s="1"/>
  <c r="O412" i="13"/>
  <c r="O412" i="14" s="1"/>
  <c r="H412" i="13"/>
  <c r="H412" i="14" s="1"/>
  <c r="S412" i="13"/>
  <c r="S412" i="14" s="1"/>
  <c r="G412" i="13"/>
  <c r="G412" i="14" s="1"/>
  <c r="N412" i="13"/>
  <c r="N412" i="14" s="1"/>
  <c r="J412" i="13"/>
  <c r="J412" i="14" s="1"/>
  <c r="D412" i="13"/>
  <c r="D412" i="14" s="1"/>
  <c r="R412" i="13"/>
  <c r="R412" i="14" s="1"/>
  <c r="F412" i="13"/>
  <c r="F412" i="14" s="1"/>
  <c r="I412" i="13"/>
  <c r="I412" i="14" s="1"/>
  <c r="L412" i="13"/>
  <c r="L412" i="14" s="1"/>
  <c r="K412" i="13"/>
  <c r="K412" i="14" s="1"/>
  <c r="M412" i="13"/>
  <c r="M412" i="14" s="1"/>
  <c r="Q412" i="13"/>
  <c r="Q412" i="14" s="1"/>
  <c r="C412" i="13"/>
  <c r="C412" i="14" s="1"/>
  <c r="E412" i="13"/>
  <c r="E412" i="14" s="1"/>
  <c r="N58" i="13"/>
  <c r="N58" i="14" s="1"/>
  <c r="J58" i="13"/>
  <c r="J58" i="14" s="1"/>
  <c r="S58" i="13"/>
  <c r="S58" i="14" s="1"/>
  <c r="G58" i="13"/>
  <c r="G58" i="14" s="1"/>
  <c r="M58" i="13"/>
  <c r="M58" i="14" s="1"/>
  <c r="K58" i="13"/>
  <c r="K58" i="14" s="1"/>
  <c r="R58" i="13"/>
  <c r="R58" i="14" s="1"/>
  <c r="F58" i="13"/>
  <c r="F58" i="14" s="1"/>
  <c r="L58" i="13"/>
  <c r="L58" i="14" s="1"/>
  <c r="I58" i="13"/>
  <c r="I58" i="14" s="1"/>
  <c r="H58" i="13"/>
  <c r="H58" i="14" s="1"/>
  <c r="D58" i="13"/>
  <c r="D58" i="14" s="1"/>
  <c r="Q58" i="13"/>
  <c r="Q58" i="14" s="1"/>
  <c r="O58" i="13"/>
  <c r="O58" i="14" s="1"/>
  <c r="C58" i="13"/>
  <c r="C58" i="14" s="1"/>
  <c r="E58" i="13"/>
  <c r="E58" i="14" s="1"/>
  <c r="D274" i="13"/>
  <c r="D274" i="14" s="1"/>
  <c r="N274" i="13"/>
  <c r="N274" i="14" s="1"/>
  <c r="J274" i="13"/>
  <c r="J274" i="14" s="1"/>
  <c r="S274" i="13"/>
  <c r="S274" i="14" s="1"/>
  <c r="G274" i="13"/>
  <c r="G274" i="14" s="1"/>
  <c r="H274" i="13"/>
  <c r="H274" i="14" s="1"/>
  <c r="O274" i="13"/>
  <c r="O274" i="14" s="1"/>
  <c r="M274" i="13"/>
  <c r="M274" i="14" s="1"/>
  <c r="L274" i="13"/>
  <c r="L274" i="14" s="1"/>
  <c r="R274" i="13"/>
  <c r="R274" i="14" s="1"/>
  <c r="F274" i="13"/>
  <c r="F274" i="14" s="1"/>
  <c r="Q274" i="13"/>
  <c r="Q274" i="14" s="1"/>
  <c r="I274" i="13"/>
  <c r="I274" i="14" s="1"/>
  <c r="K274" i="13"/>
  <c r="K274" i="14" s="1"/>
  <c r="C274" i="13"/>
  <c r="C274" i="14" s="1"/>
  <c r="E274" i="13"/>
  <c r="E274" i="14" s="1"/>
  <c r="E74" i="13"/>
  <c r="E74" i="14" s="1"/>
  <c r="O74" i="13"/>
  <c r="O74" i="14" s="1"/>
  <c r="I74" i="13"/>
  <c r="I74" i="14" s="1"/>
  <c r="S74" i="13"/>
  <c r="S74" i="14" s="1"/>
  <c r="D74" i="13"/>
  <c r="D74" i="14" s="1"/>
  <c r="N74" i="13"/>
  <c r="N74" i="14" s="1"/>
  <c r="H74" i="13"/>
  <c r="H74" i="14" s="1"/>
  <c r="R74" i="13"/>
  <c r="R74" i="14" s="1"/>
  <c r="G74" i="13"/>
  <c r="G74" i="14" s="1"/>
  <c r="K74" i="13"/>
  <c r="K74" i="14" s="1"/>
  <c r="Q74" i="13"/>
  <c r="Q74" i="14" s="1"/>
  <c r="J74" i="13"/>
  <c r="J74" i="14" s="1"/>
  <c r="L74" i="13"/>
  <c r="L74" i="14" s="1"/>
  <c r="F74" i="13"/>
  <c r="F74" i="14" s="1"/>
  <c r="M74" i="13"/>
  <c r="M74" i="14" s="1"/>
  <c r="C74" i="13"/>
  <c r="C74" i="14" s="1"/>
  <c r="D98" i="13"/>
  <c r="D98" i="14" s="1"/>
  <c r="O98" i="13"/>
  <c r="O98" i="14" s="1"/>
  <c r="H98" i="13"/>
  <c r="H98" i="14" s="1"/>
  <c r="S98" i="13"/>
  <c r="S98" i="14" s="1"/>
  <c r="G98" i="13"/>
  <c r="G98" i="14" s="1"/>
  <c r="N98" i="13"/>
  <c r="N98" i="14" s="1"/>
  <c r="J98" i="13"/>
  <c r="J98" i="14" s="1"/>
  <c r="R98" i="13"/>
  <c r="R98" i="14" s="1"/>
  <c r="F98" i="13"/>
  <c r="F98" i="14" s="1"/>
  <c r="K98" i="13"/>
  <c r="K98" i="14" s="1"/>
  <c r="M98" i="13"/>
  <c r="M98" i="14" s="1"/>
  <c r="Q98" i="13"/>
  <c r="Q98" i="14" s="1"/>
  <c r="L98" i="13"/>
  <c r="L98" i="14" s="1"/>
  <c r="I98" i="13"/>
  <c r="I98" i="14" s="1"/>
  <c r="C98" i="13"/>
  <c r="C98" i="14" s="1"/>
  <c r="E98" i="13"/>
  <c r="E98" i="14" s="1"/>
  <c r="M329" i="13"/>
  <c r="M329" i="14" s="1"/>
  <c r="K329" i="13"/>
  <c r="K329" i="14" s="1"/>
  <c r="L329" i="13"/>
  <c r="L329" i="14" s="1"/>
  <c r="I329" i="13"/>
  <c r="I329" i="14" s="1"/>
  <c r="Q329" i="13"/>
  <c r="Q329" i="14" s="1"/>
  <c r="D329" i="13"/>
  <c r="D329" i="14" s="1"/>
  <c r="R329" i="13"/>
  <c r="R329" i="14" s="1"/>
  <c r="G329" i="13"/>
  <c r="G329" i="14" s="1"/>
  <c r="H329" i="13"/>
  <c r="H329" i="14" s="1"/>
  <c r="N329" i="13"/>
  <c r="N329" i="14" s="1"/>
  <c r="J329" i="13"/>
  <c r="J329" i="14" s="1"/>
  <c r="O329" i="13"/>
  <c r="O329" i="14" s="1"/>
  <c r="F329" i="13"/>
  <c r="F329" i="14" s="1"/>
  <c r="S329" i="13"/>
  <c r="S329" i="14" s="1"/>
  <c r="C329" i="13"/>
  <c r="C329" i="14" s="1"/>
  <c r="E329" i="13"/>
  <c r="E329" i="14" s="1"/>
  <c r="M137" i="13"/>
  <c r="M137" i="14" s="1"/>
  <c r="K137" i="13"/>
  <c r="K137" i="14" s="1"/>
  <c r="R137" i="13"/>
  <c r="R137" i="14" s="1"/>
  <c r="F137" i="13"/>
  <c r="F137" i="14" s="1"/>
  <c r="L137" i="13"/>
  <c r="L137" i="14" s="1"/>
  <c r="Q137" i="13"/>
  <c r="Q137" i="14" s="1"/>
  <c r="I137" i="13"/>
  <c r="I137" i="14" s="1"/>
  <c r="O137" i="13"/>
  <c r="O137" i="14" s="1"/>
  <c r="D137" i="13"/>
  <c r="D137" i="14" s="1"/>
  <c r="H137" i="13"/>
  <c r="H137" i="14" s="1"/>
  <c r="S137" i="13"/>
  <c r="S137" i="14" s="1"/>
  <c r="N137" i="13"/>
  <c r="N137" i="14" s="1"/>
  <c r="J137" i="13"/>
  <c r="J137" i="14" s="1"/>
  <c r="G137" i="13"/>
  <c r="G137" i="14" s="1"/>
  <c r="C137" i="13"/>
  <c r="C137" i="14" s="1"/>
  <c r="E137" i="13"/>
  <c r="E137" i="14" s="1"/>
  <c r="Q43" i="13"/>
  <c r="Q43" i="14" s="1"/>
  <c r="I43" i="13"/>
  <c r="I43" i="14" s="1"/>
  <c r="L43" i="13"/>
  <c r="L43" i="14" s="1"/>
  <c r="O43" i="13"/>
  <c r="O43" i="14" s="1"/>
  <c r="H43" i="13"/>
  <c r="H43" i="14" s="1"/>
  <c r="D43" i="13"/>
  <c r="D43" i="14" s="1"/>
  <c r="N43" i="13"/>
  <c r="N43" i="14" s="1"/>
  <c r="J43" i="13"/>
  <c r="J43" i="14" s="1"/>
  <c r="K43" i="13"/>
  <c r="K43" i="14" s="1"/>
  <c r="R43" i="13"/>
  <c r="R43" i="14" s="1"/>
  <c r="M43" i="13"/>
  <c r="M43" i="14" s="1"/>
  <c r="F43" i="13"/>
  <c r="F43" i="14" s="1"/>
  <c r="G43" i="13"/>
  <c r="G43" i="14" s="1"/>
  <c r="S43" i="13"/>
  <c r="S43" i="14" s="1"/>
  <c r="E43" i="13"/>
  <c r="E43" i="14" s="1"/>
  <c r="C43" i="13"/>
  <c r="C43" i="14" s="1"/>
  <c r="K335" i="13"/>
  <c r="K335" i="14" s="1"/>
  <c r="M335" i="13"/>
  <c r="M335" i="14" s="1"/>
  <c r="L335" i="13"/>
  <c r="L335" i="14" s="1"/>
  <c r="Q335" i="13"/>
  <c r="Q335" i="14" s="1"/>
  <c r="I335" i="13"/>
  <c r="I335" i="14" s="1"/>
  <c r="R335" i="13"/>
  <c r="R335" i="14" s="1"/>
  <c r="O335" i="13"/>
  <c r="O335" i="14" s="1"/>
  <c r="H335" i="13"/>
  <c r="H335" i="14" s="1"/>
  <c r="F335" i="13"/>
  <c r="F335" i="14" s="1"/>
  <c r="D335" i="13"/>
  <c r="D335" i="14" s="1"/>
  <c r="N335" i="13"/>
  <c r="N335" i="14" s="1"/>
  <c r="S335" i="13"/>
  <c r="S335" i="14" s="1"/>
  <c r="G335" i="13"/>
  <c r="G335" i="14" s="1"/>
  <c r="J335" i="13"/>
  <c r="J335" i="14" s="1"/>
  <c r="C335" i="13"/>
  <c r="C335" i="14" s="1"/>
  <c r="E335" i="13"/>
  <c r="E335" i="14" s="1"/>
  <c r="R365" i="13"/>
  <c r="R365" i="14" s="1"/>
  <c r="F365" i="13"/>
  <c r="F365" i="14" s="1"/>
  <c r="L365" i="13"/>
  <c r="L365" i="14" s="1"/>
  <c r="I365" i="13"/>
  <c r="I365" i="14" s="1"/>
  <c r="Q365" i="13"/>
  <c r="Q365" i="14" s="1"/>
  <c r="M365" i="13"/>
  <c r="M365" i="14" s="1"/>
  <c r="D365" i="13"/>
  <c r="D365" i="14" s="1"/>
  <c r="K365" i="13"/>
  <c r="K365" i="14" s="1"/>
  <c r="O365" i="13"/>
  <c r="O365" i="14" s="1"/>
  <c r="J365" i="13"/>
  <c r="J365" i="14" s="1"/>
  <c r="G365" i="13"/>
  <c r="G365" i="14" s="1"/>
  <c r="H365" i="13"/>
  <c r="H365" i="14" s="1"/>
  <c r="N365" i="13"/>
  <c r="N365" i="14" s="1"/>
  <c r="S365" i="13"/>
  <c r="S365" i="14" s="1"/>
  <c r="C365" i="13"/>
  <c r="C365" i="14" s="1"/>
  <c r="E365" i="13"/>
  <c r="E365" i="14" s="1"/>
  <c r="F427" i="13"/>
  <c r="F427" i="14" s="1"/>
  <c r="R427" i="13"/>
  <c r="R427" i="14" s="1"/>
  <c r="Q427" i="13"/>
  <c r="Q427" i="14" s="1"/>
  <c r="I427" i="13"/>
  <c r="I427" i="14" s="1"/>
  <c r="L427" i="13"/>
  <c r="L427" i="14" s="1"/>
  <c r="M427" i="13"/>
  <c r="M427" i="14" s="1"/>
  <c r="O427" i="13"/>
  <c r="O427" i="14" s="1"/>
  <c r="H427" i="13"/>
  <c r="H427" i="14" s="1"/>
  <c r="K427" i="13"/>
  <c r="K427" i="14" s="1"/>
  <c r="N427" i="13"/>
  <c r="N427" i="14" s="1"/>
  <c r="D427" i="13"/>
  <c r="D427" i="14" s="1"/>
  <c r="S427" i="13"/>
  <c r="S427" i="14" s="1"/>
  <c r="G427" i="13"/>
  <c r="G427" i="14" s="1"/>
  <c r="J427" i="13"/>
  <c r="J427" i="14" s="1"/>
  <c r="C427" i="13"/>
  <c r="C427" i="14" s="1"/>
  <c r="E427" i="13"/>
  <c r="E427" i="14" s="1"/>
  <c r="H220" i="13"/>
  <c r="H220" i="14" s="1"/>
  <c r="O220" i="13"/>
  <c r="O220" i="14" s="1"/>
  <c r="N220" i="13"/>
  <c r="N220" i="14" s="1"/>
  <c r="J220" i="13"/>
  <c r="J220" i="14" s="1"/>
  <c r="S220" i="13"/>
  <c r="S220" i="14" s="1"/>
  <c r="G220" i="13"/>
  <c r="G220" i="14" s="1"/>
  <c r="R220" i="13"/>
  <c r="R220" i="14" s="1"/>
  <c r="F220" i="13"/>
  <c r="F220" i="14" s="1"/>
  <c r="M220" i="13"/>
  <c r="M220" i="14" s="1"/>
  <c r="D220" i="13"/>
  <c r="D220" i="14" s="1"/>
  <c r="K220" i="13"/>
  <c r="K220" i="14" s="1"/>
  <c r="L220" i="13"/>
  <c r="L220" i="14" s="1"/>
  <c r="Q220" i="13"/>
  <c r="Q220" i="14" s="1"/>
  <c r="I220" i="13"/>
  <c r="I220" i="14" s="1"/>
  <c r="C220" i="13"/>
  <c r="C220" i="14" s="1"/>
  <c r="E220" i="13"/>
  <c r="E220" i="14" s="1"/>
  <c r="O386" i="13"/>
  <c r="O386" i="14" s="1"/>
  <c r="H386" i="13"/>
  <c r="H386" i="14" s="1"/>
  <c r="N386" i="13"/>
  <c r="N386" i="14" s="1"/>
  <c r="J386" i="13"/>
  <c r="J386" i="14" s="1"/>
  <c r="S386" i="13"/>
  <c r="S386" i="14" s="1"/>
  <c r="G386" i="13"/>
  <c r="G386" i="14" s="1"/>
  <c r="M386" i="13"/>
  <c r="M386" i="14" s="1"/>
  <c r="K386" i="13"/>
  <c r="K386" i="14" s="1"/>
  <c r="D386" i="13"/>
  <c r="D386" i="14" s="1"/>
  <c r="F386" i="13"/>
  <c r="F386" i="14" s="1"/>
  <c r="I386" i="13"/>
  <c r="I386" i="14" s="1"/>
  <c r="R386" i="13"/>
  <c r="R386" i="14" s="1"/>
  <c r="Q386" i="13"/>
  <c r="Q386" i="14" s="1"/>
  <c r="L386" i="13"/>
  <c r="L386" i="14" s="1"/>
  <c r="C386" i="13"/>
  <c r="C386" i="14" s="1"/>
  <c r="E386" i="13"/>
  <c r="E386" i="14" s="1"/>
  <c r="F273" i="13"/>
  <c r="F273" i="14" s="1"/>
  <c r="R273" i="13"/>
  <c r="R273" i="14" s="1"/>
  <c r="L273" i="13"/>
  <c r="L273" i="14" s="1"/>
  <c r="Q273" i="13"/>
  <c r="Q273" i="14" s="1"/>
  <c r="I273" i="13"/>
  <c r="I273" i="14" s="1"/>
  <c r="K273" i="13"/>
  <c r="K273" i="14" s="1"/>
  <c r="D273" i="13"/>
  <c r="D273" i="14" s="1"/>
  <c r="M273" i="13"/>
  <c r="M273" i="14" s="1"/>
  <c r="O273" i="13"/>
  <c r="O273" i="14" s="1"/>
  <c r="H273" i="13"/>
  <c r="H273" i="14" s="1"/>
  <c r="N273" i="13"/>
  <c r="N273" i="14" s="1"/>
  <c r="J273" i="13"/>
  <c r="J273" i="14" s="1"/>
  <c r="S273" i="13"/>
  <c r="S273" i="14" s="1"/>
  <c r="G273" i="13"/>
  <c r="G273" i="14" s="1"/>
  <c r="C273" i="13"/>
  <c r="C273" i="14" s="1"/>
  <c r="E273" i="13"/>
  <c r="E273" i="14" s="1"/>
  <c r="R291" i="13"/>
  <c r="R291" i="14" s="1"/>
  <c r="F291" i="13"/>
  <c r="F291" i="14" s="1"/>
  <c r="Q291" i="13"/>
  <c r="Q291" i="14" s="1"/>
  <c r="I291" i="13"/>
  <c r="I291" i="14" s="1"/>
  <c r="L291" i="13"/>
  <c r="L291" i="14" s="1"/>
  <c r="K291" i="13"/>
  <c r="K291" i="14" s="1"/>
  <c r="O291" i="13"/>
  <c r="O291" i="14" s="1"/>
  <c r="H291" i="13"/>
  <c r="H291" i="14" s="1"/>
  <c r="N291" i="13"/>
  <c r="N291" i="14" s="1"/>
  <c r="M291" i="13"/>
  <c r="M291" i="14" s="1"/>
  <c r="S291" i="13"/>
  <c r="S291" i="14" s="1"/>
  <c r="G291" i="13"/>
  <c r="G291" i="14" s="1"/>
  <c r="D291" i="13"/>
  <c r="D291" i="14" s="1"/>
  <c r="J291" i="13"/>
  <c r="J291" i="14" s="1"/>
  <c r="C291" i="13"/>
  <c r="C291" i="14" s="1"/>
  <c r="E291" i="13"/>
  <c r="E291" i="14" s="1"/>
  <c r="M239" i="13"/>
  <c r="M239" i="14" s="1"/>
  <c r="K239" i="13"/>
  <c r="K239" i="14" s="1"/>
  <c r="L239" i="13"/>
  <c r="L239" i="14" s="1"/>
  <c r="Q239" i="13"/>
  <c r="Q239" i="14" s="1"/>
  <c r="I239" i="13"/>
  <c r="I239" i="14" s="1"/>
  <c r="R239" i="13"/>
  <c r="R239" i="14" s="1"/>
  <c r="O239" i="13"/>
  <c r="O239" i="14" s="1"/>
  <c r="J239" i="13"/>
  <c r="J239" i="14" s="1"/>
  <c r="D239" i="13"/>
  <c r="D239" i="14" s="1"/>
  <c r="S239" i="13"/>
  <c r="S239" i="14" s="1"/>
  <c r="G239" i="13"/>
  <c r="G239" i="14" s="1"/>
  <c r="F239" i="13"/>
  <c r="F239" i="14" s="1"/>
  <c r="H239" i="13"/>
  <c r="H239" i="14" s="1"/>
  <c r="N239" i="13"/>
  <c r="N239" i="14" s="1"/>
  <c r="C239" i="13"/>
  <c r="C239" i="14" s="1"/>
  <c r="E239" i="13"/>
  <c r="E239" i="14" s="1"/>
  <c r="M207" i="13"/>
  <c r="M207" i="14" s="1"/>
  <c r="K207" i="13"/>
  <c r="K207" i="14" s="1"/>
  <c r="R207" i="13"/>
  <c r="R207" i="14" s="1"/>
  <c r="F207" i="13"/>
  <c r="F207" i="14" s="1"/>
  <c r="Q207" i="13"/>
  <c r="Q207" i="14" s="1"/>
  <c r="I207" i="13"/>
  <c r="I207" i="14" s="1"/>
  <c r="O207" i="13"/>
  <c r="O207" i="14" s="1"/>
  <c r="H207" i="13"/>
  <c r="H207" i="14" s="1"/>
  <c r="L207" i="13"/>
  <c r="L207" i="14" s="1"/>
  <c r="D207" i="13"/>
  <c r="D207" i="14" s="1"/>
  <c r="S207" i="13"/>
  <c r="S207" i="14" s="1"/>
  <c r="G207" i="13"/>
  <c r="G207" i="14" s="1"/>
  <c r="N207" i="13"/>
  <c r="N207" i="14" s="1"/>
  <c r="J207" i="13"/>
  <c r="J207" i="14" s="1"/>
  <c r="C207" i="13"/>
  <c r="C207" i="14" s="1"/>
  <c r="E207" i="13"/>
  <c r="E207" i="14" s="1"/>
  <c r="R159" i="13"/>
  <c r="R159" i="14" s="1"/>
  <c r="F159" i="13"/>
  <c r="F159" i="14" s="1"/>
  <c r="M159" i="13"/>
  <c r="M159" i="14" s="1"/>
  <c r="K159" i="13"/>
  <c r="K159" i="14" s="1"/>
  <c r="Q159" i="13"/>
  <c r="Q159" i="14" s="1"/>
  <c r="I159" i="13"/>
  <c r="I159" i="14" s="1"/>
  <c r="L159" i="13"/>
  <c r="L159" i="14" s="1"/>
  <c r="O159" i="13"/>
  <c r="O159" i="14" s="1"/>
  <c r="H159" i="13"/>
  <c r="H159" i="14" s="1"/>
  <c r="D159" i="13"/>
  <c r="D159" i="14" s="1"/>
  <c r="N159" i="13"/>
  <c r="N159" i="14" s="1"/>
  <c r="S159" i="13"/>
  <c r="S159" i="14" s="1"/>
  <c r="G159" i="13"/>
  <c r="G159" i="14" s="1"/>
  <c r="J159" i="13"/>
  <c r="J159" i="14" s="1"/>
  <c r="C159" i="13"/>
  <c r="C159" i="14" s="1"/>
  <c r="E159" i="13"/>
  <c r="E159" i="14" s="1"/>
  <c r="S48" i="13"/>
  <c r="S48" i="14" s="1"/>
  <c r="G48" i="13"/>
  <c r="G48" i="14" s="1"/>
  <c r="N48" i="13"/>
  <c r="N48" i="14" s="1"/>
  <c r="J48" i="13"/>
  <c r="J48" i="14" s="1"/>
  <c r="R48" i="13"/>
  <c r="R48" i="14" s="1"/>
  <c r="F48" i="13"/>
  <c r="F48" i="14" s="1"/>
  <c r="K48" i="13"/>
  <c r="K48" i="14" s="1"/>
  <c r="M48" i="13"/>
  <c r="M48" i="14" s="1"/>
  <c r="Q48" i="13"/>
  <c r="Q48" i="14" s="1"/>
  <c r="I48" i="13"/>
  <c r="I48" i="14" s="1"/>
  <c r="D48" i="13"/>
  <c r="D48" i="14" s="1"/>
  <c r="H48" i="13"/>
  <c r="H48" i="14" s="1"/>
  <c r="O48" i="13"/>
  <c r="O48" i="14" s="1"/>
  <c r="L48" i="13"/>
  <c r="L48" i="14" s="1"/>
  <c r="C48" i="13"/>
  <c r="C48" i="14" s="1"/>
  <c r="E48" i="13"/>
  <c r="E48" i="14" s="1"/>
  <c r="L25" i="13"/>
  <c r="L25" i="14" s="1"/>
  <c r="Q25" i="13"/>
  <c r="Q25" i="14" s="1"/>
  <c r="I25" i="13"/>
  <c r="I25" i="14" s="1"/>
  <c r="D25" i="13"/>
  <c r="D25" i="14" s="1"/>
  <c r="H25" i="13"/>
  <c r="H25" i="14" s="1"/>
  <c r="S25" i="13"/>
  <c r="S25" i="14" s="1"/>
  <c r="G25" i="13"/>
  <c r="G25" i="14" s="1"/>
  <c r="O25" i="13"/>
  <c r="O25" i="14" s="1"/>
  <c r="M25" i="13"/>
  <c r="M25" i="14" s="1"/>
  <c r="F25" i="13"/>
  <c r="F25" i="14" s="1"/>
  <c r="K25" i="13"/>
  <c r="K25" i="14" s="1"/>
  <c r="R25" i="13"/>
  <c r="R25" i="14" s="1"/>
  <c r="J25" i="13"/>
  <c r="J25" i="14" s="1"/>
  <c r="N25" i="13"/>
  <c r="N25" i="14" s="1"/>
  <c r="C25" i="13"/>
  <c r="C25" i="14" s="1"/>
  <c r="E25" i="13"/>
  <c r="E25" i="14" s="1"/>
  <c r="K333" i="13"/>
  <c r="K333" i="14" s="1"/>
  <c r="M333" i="13"/>
  <c r="M333" i="14" s="1"/>
  <c r="L333" i="13"/>
  <c r="L333" i="14" s="1"/>
  <c r="Q333" i="13"/>
  <c r="Q333" i="14" s="1"/>
  <c r="I333" i="13"/>
  <c r="I333" i="14" s="1"/>
  <c r="F333" i="13"/>
  <c r="F333" i="14" s="1"/>
  <c r="D333" i="13"/>
  <c r="D333" i="14" s="1"/>
  <c r="H333" i="13"/>
  <c r="H333" i="14" s="1"/>
  <c r="R333" i="13"/>
  <c r="R333" i="14" s="1"/>
  <c r="S333" i="13"/>
  <c r="S333" i="14" s="1"/>
  <c r="O333" i="13"/>
  <c r="O333" i="14" s="1"/>
  <c r="J333" i="13"/>
  <c r="J333" i="14" s="1"/>
  <c r="N333" i="13"/>
  <c r="N333" i="14" s="1"/>
  <c r="G333" i="13"/>
  <c r="G333" i="14" s="1"/>
  <c r="C333" i="13"/>
  <c r="C333" i="14" s="1"/>
  <c r="E333" i="13"/>
  <c r="E333" i="14" s="1"/>
  <c r="O178" i="13"/>
  <c r="O178" i="14" s="1"/>
  <c r="H178" i="13"/>
  <c r="H178" i="14" s="1"/>
  <c r="D178" i="13"/>
  <c r="D178" i="14" s="1"/>
  <c r="N178" i="13"/>
  <c r="N178" i="14" s="1"/>
  <c r="G178" i="13"/>
  <c r="G178" i="14" s="1"/>
  <c r="S178" i="13"/>
  <c r="S178" i="14" s="1"/>
  <c r="M178" i="13"/>
  <c r="M178" i="14" s="1"/>
  <c r="K178" i="13"/>
  <c r="K178" i="14" s="1"/>
  <c r="R178" i="13"/>
  <c r="R178" i="14" s="1"/>
  <c r="J178" i="13"/>
  <c r="J178" i="14" s="1"/>
  <c r="F178" i="13"/>
  <c r="F178" i="14" s="1"/>
  <c r="L178" i="13"/>
  <c r="L178" i="14" s="1"/>
  <c r="Q178" i="13"/>
  <c r="Q178" i="14" s="1"/>
  <c r="I178" i="13"/>
  <c r="I178" i="14" s="1"/>
  <c r="C178" i="13"/>
  <c r="C178" i="14" s="1"/>
  <c r="E178" i="13"/>
  <c r="E178" i="14" s="1"/>
  <c r="D108" i="13"/>
  <c r="D108" i="14" s="1"/>
  <c r="O108" i="13"/>
  <c r="O108" i="14" s="1"/>
  <c r="H108" i="13"/>
  <c r="H108" i="14" s="1"/>
  <c r="S108" i="13"/>
  <c r="S108" i="14" s="1"/>
  <c r="G108" i="13"/>
  <c r="G108" i="14" s="1"/>
  <c r="N108" i="13"/>
  <c r="N108" i="14" s="1"/>
  <c r="J108" i="13"/>
  <c r="J108" i="14" s="1"/>
  <c r="R108" i="13"/>
  <c r="R108" i="14" s="1"/>
  <c r="F108" i="13"/>
  <c r="F108" i="14" s="1"/>
  <c r="K108" i="13"/>
  <c r="K108" i="14" s="1"/>
  <c r="M108" i="13"/>
  <c r="M108" i="14" s="1"/>
  <c r="I108" i="13"/>
  <c r="I108" i="14" s="1"/>
  <c r="L108" i="13"/>
  <c r="L108" i="14" s="1"/>
  <c r="Q108" i="13"/>
  <c r="Q108" i="14" s="1"/>
  <c r="C108" i="13"/>
  <c r="C108" i="14" s="1"/>
  <c r="E108" i="13"/>
  <c r="E108" i="14" s="1"/>
  <c r="K351" i="13"/>
  <c r="K351" i="14" s="1"/>
  <c r="M351" i="13"/>
  <c r="M351" i="14" s="1"/>
  <c r="Q351" i="13"/>
  <c r="Q351" i="14" s="1"/>
  <c r="I351" i="13"/>
  <c r="I351" i="14" s="1"/>
  <c r="L351" i="13"/>
  <c r="L351" i="14" s="1"/>
  <c r="R351" i="13"/>
  <c r="R351" i="14" s="1"/>
  <c r="O351" i="13"/>
  <c r="O351" i="14" s="1"/>
  <c r="H351" i="13"/>
  <c r="H351" i="14" s="1"/>
  <c r="F351" i="13"/>
  <c r="F351" i="14" s="1"/>
  <c r="J351" i="13"/>
  <c r="J351" i="14" s="1"/>
  <c r="S351" i="13"/>
  <c r="S351" i="14" s="1"/>
  <c r="G351" i="13"/>
  <c r="G351" i="14" s="1"/>
  <c r="N351" i="13"/>
  <c r="N351" i="14" s="1"/>
  <c r="D351" i="13"/>
  <c r="D351" i="14" s="1"/>
  <c r="C351" i="13"/>
  <c r="C351" i="14" s="1"/>
  <c r="E351" i="13"/>
  <c r="E351" i="14" s="1"/>
  <c r="D94" i="13"/>
  <c r="D94" i="14" s="1"/>
  <c r="O94" i="13"/>
  <c r="O94" i="14" s="1"/>
  <c r="H94" i="13"/>
  <c r="H94" i="14" s="1"/>
  <c r="S94" i="13"/>
  <c r="S94" i="14" s="1"/>
  <c r="G94" i="13"/>
  <c r="G94" i="14" s="1"/>
  <c r="N94" i="13"/>
  <c r="N94" i="14" s="1"/>
  <c r="J94" i="13"/>
  <c r="J94" i="14" s="1"/>
  <c r="R94" i="13"/>
  <c r="R94" i="14" s="1"/>
  <c r="F94" i="13"/>
  <c r="F94" i="14" s="1"/>
  <c r="K94" i="13"/>
  <c r="K94" i="14" s="1"/>
  <c r="M94" i="13"/>
  <c r="M94" i="14" s="1"/>
  <c r="L94" i="13"/>
  <c r="L94" i="14" s="1"/>
  <c r="I94" i="13"/>
  <c r="I94" i="14" s="1"/>
  <c r="Q94" i="13"/>
  <c r="Q94" i="14" s="1"/>
  <c r="E94" i="13"/>
  <c r="E94" i="14" s="1"/>
  <c r="C94" i="13"/>
  <c r="C94" i="14" s="1"/>
  <c r="L5" i="13"/>
  <c r="L5" i="14" s="1"/>
  <c r="Q5" i="13"/>
  <c r="Q5" i="14" s="1"/>
  <c r="I5" i="13"/>
  <c r="I5" i="14" s="1"/>
  <c r="D5" i="13"/>
  <c r="D5" i="14" s="1"/>
  <c r="S5" i="13"/>
  <c r="S5" i="14" s="1"/>
  <c r="G5" i="13"/>
  <c r="G5" i="14" s="1"/>
  <c r="H5" i="13"/>
  <c r="H5" i="14" s="1"/>
  <c r="O5" i="13"/>
  <c r="O5" i="14" s="1"/>
  <c r="N5" i="13"/>
  <c r="N5" i="14" s="1"/>
  <c r="M5" i="13"/>
  <c r="M5" i="14" s="1"/>
  <c r="K5" i="13"/>
  <c r="K5" i="14" s="1"/>
  <c r="R5" i="13"/>
  <c r="R5" i="14" s="1"/>
  <c r="J5" i="13"/>
  <c r="J5" i="14" s="1"/>
  <c r="F5" i="13"/>
  <c r="F5" i="14" s="1"/>
  <c r="C5" i="13"/>
  <c r="C5" i="14" s="1"/>
  <c r="E5" i="13"/>
  <c r="E5" i="14" s="1"/>
  <c r="D160" i="13"/>
  <c r="D160" i="14" s="1"/>
  <c r="O160" i="13"/>
  <c r="O160" i="14" s="1"/>
  <c r="H160" i="13"/>
  <c r="H160" i="14" s="1"/>
  <c r="S160" i="13"/>
  <c r="S160" i="14" s="1"/>
  <c r="G160" i="13"/>
  <c r="G160" i="14" s="1"/>
  <c r="N160" i="13"/>
  <c r="N160" i="14" s="1"/>
  <c r="J160" i="13"/>
  <c r="J160" i="14" s="1"/>
  <c r="R160" i="13"/>
  <c r="R160" i="14" s="1"/>
  <c r="F160" i="13"/>
  <c r="F160" i="14" s="1"/>
  <c r="M160" i="13"/>
  <c r="M160" i="14" s="1"/>
  <c r="K160" i="13"/>
  <c r="K160" i="14" s="1"/>
  <c r="L160" i="13"/>
  <c r="L160" i="14" s="1"/>
  <c r="I160" i="13"/>
  <c r="I160" i="14" s="1"/>
  <c r="Q160" i="13"/>
  <c r="Q160" i="14" s="1"/>
  <c r="C160" i="13"/>
  <c r="C160" i="14" s="1"/>
  <c r="E160" i="13"/>
  <c r="E160" i="14" s="1"/>
  <c r="M173" i="13"/>
  <c r="M173" i="14" s="1"/>
  <c r="K173" i="13"/>
  <c r="K173" i="14" s="1"/>
  <c r="R173" i="13"/>
  <c r="R173" i="14" s="1"/>
  <c r="F173" i="13"/>
  <c r="F173" i="14" s="1"/>
  <c r="Q173" i="13"/>
  <c r="Q173" i="14" s="1"/>
  <c r="I173" i="13"/>
  <c r="I173" i="14" s="1"/>
  <c r="L173" i="13"/>
  <c r="L173" i="14" s="1"/>
  <c r="D173" i="13"/>
  <c r="D173" i="14" s="1"/>
  <c r="H173" i="13"/>
  <c r="H173" i="14" s="1"/>
  <c r="S173" i="13"/>
  <c r="S173" i="14" s="1"/>
  <c r="N173" i="13"/>
  <c r="N173" i="14" s="1"/>
  <c r="J173" i="13"/>
  <c r="J173" i="14" s="1"/>
  <c r="O173" i="13"/>
  <c r="O173" i="14" s="1"/>
  <c r="G173" i="13"/>
  <c r="G173" i="14" s="1"/>
  <c r="C173" i="13"/>
  <c r="C173" i="14" s="1"/>
  <c r="E173" i="13"/>
  <c r="E173" i="14" s="1"/>
  <c r="K389" i="13"/>
  <c r="K389" i="14" s="1"/>
  <c r="M389" i="13"/>
  <c r="M389" i="14" s="1"/>
  <c r="L389" i="13"/>
  <c r="L389" i="14" s="1"/>
  <c r="Q389" i="13"/>
  <c r="Q389" i="14" s="1"/>
  <c r="I389" i="13"/>
  <c r="I389" i="14" s="1"/>
  <c r="F389" i="13"/>
  <c r="F389" i="14" s="1"/>
  <c r="D389" i="13"/>
  <c r="D389" i="14" s="1"/>
  <c r="O389" i="13"/>
  <c r="O389" i="14" s="1"/>
  <c r="N389" i="13"/>
  <c r="N389" i="14" s="1"/>
  <c r="J389" i="13"/>
  <c r="J389" i="14" s="1"/>
  <c r="G389" i="13"/>
  <c r="G389" i="14" s="1"/>
  <c r="H389" i="13"/>
  <c r="H389" i="14" s="1"/>
  <c r="R389" i="13"/>
  <c r="R389" i="14" s="1"/>
  <c r="S389" i="13"/>
  <c r="S389" i="14" s="1"/>
  <c r="C389" i="13"/>
  <c r="C389" i="14" s="1"/>
  <c r="E389" i="13"/>
  <c r="E389" i="14" s="1"/>
  <c r="D180" i="13"/>
  <c r="D180" i="14" s="1"/>
  <c r="O180" i="13"/>
  <c r="O180" i="14" s="1"/>
  <c r="H180" i="13"/>
  <c r="H180" i="14" s="1"/>
  <c r="S180" i="13"/>
  <c r="S180" i="14" s="1"/>
  <c r="G180" i="13"/>
  <c r="G180" i="14" s="1"/>
  <c r="N180" i="13"/>
  <c r="N180" i="14" s="1"/>
  <c r="J180" i="13"/>
  <c r="J180" i="14" s="1"/>
  <c r="K180" i="13"/>
  <c r="K180" i="14" s="1"/>
  <c r="R180" i="13"/>
  <c r="R180" i="14" s="1"/>
  <c r="F180" i="13"/>
  <c r="F180" i="14" s="1"/>
  <c r="M180" i="13"/>
  <c r="M180" i="14" s="1"/>
  <c r="I180" i="13"/>
  <c r="I180" i="14" s="1"/>
  <c r="L180" i="13"/>
  <c r="L180" i="14" s="1"/>
  <c r="Q180" i="13"/>
  <c r="Q180" i="14" s="1"/>
  <c r="C180" i="13"/>
  <c r="C180" i="14" s="1"/>
  <c r="E180" i="13"/>
  <c r="E180" i="14" s="1"/>
  <c r="M233" i="13"/>
  <c r="M233" i="14" s="1"/>
  <c r="K233" i="13"/>
  <c r="K233" i="14" s="1"/>
  <c r="Q233" i="13"/>
  <c r="Q233" i="14" s="1"/>
  <c r="I233" i="13"/>
  <c r="I233" i="14" s="1"/>
  <c r="L233" i="13"/>
  <c r="L233" i="14" s="1"/>
  <c r="R233" i="13"/>
  <c r="R233" i="14" s="1"/>
  <c r="F233" i="13"/>
  <c r="F233" i="14" s="1"/>
  <c r="D233" i="13"/>
  <c r="D233" i="14" s="1"/>
  <c r="S233" i="13"/>
  <c r="S233" i="14" s="1"/>
  <c r="O233" i="13"/>
  <c r="O233" i="14" s="1"/>
  <c r="H233" i="13"/>
  <c r="H233" i="14" s="1"/>
  <c r="N233" i="13"/>
  <c r="N233" i="14" s="1"/>
  <c r="J233" i="13"/>
  <c r="J233" i="14" s="1"/>
  <c r="G233" i="13"/>
  <c r="G233" i="14" s="1"/>
  <c r="C233" i="13"/>
  <c r="C233" i="14" s="1"/>
  <c r="E233" i="13"/>
  <c r="E233" i="14" s="1"/>
  <c r="S4" i="13"/>
  <c r="S4" i="14" s="1"/>
  <c r="G4" i="13"/>
  <c r="G4" i="14" s="1"/>
  <c r="N4" i="13"/>
  <c r="N4" i="14" s="1"/>
  <c r="J4" i="13"/>
  <c r="J4" i="14" s="1"/>
  <c r="M4" i="13"/>
  <c r="M4" i="14" s="1"/>
  <c r="R4" i="13"/>
  <c r="R4" i="14" s="1"/>
  <c r="F4" i="13"/>
  <c r="F4" i="14" s="1"/>
  <c r="Q4" i="13"/>
  <c r="Q4" i="14" s="1"/>
  <c r="I4" i="13"/>
  <c r="I4" i="14" s="1"/>
  <c r="D4" i="13"/>
  <c r="D4" i="14" s="1"/>
  <c r="O4" i="13"/>
  <c r="O4" i="14" s="1"/>
  <c r="L4" i="13"/>
  <c r="L4" i="14" s="1"/>
  <c r="K4" i="13"/>
  <c r="K4" i="14" s="1"/>
  <c r="H4" i="13"/>
  <c r="H4" i="14" s="1"/>
  <c r="C4" i="13"/>
  <c r="C4" i="14" s="1"/>
  <c r="E4" i="13"/>
  <c r="E4" i="14" s="1"/>
  <c r="D298" i="13"/>
  <c r="D298" i="14" s="1"/>
  <c r="O298" i="13"/>
  <c r="O298" i="14" s="1"/>
  <c r="H298" i="13"/>
  <c r="H298" i="14" s="1"/>
  <c r="G298" i="13"/>
  <c r="G298" i="14" s="1"/>
  <c r="N298" i="13"/>
  <c r="N298" i="14" s="1"/>
  <c r="J298" i="13"/>
  <c r="J298" i="14" s="1"/>
  <c r="S298" i="13"/>
  <c r="S298" i="14" s="1"/>
  <c r="M298" i="13"/>
  <c r="M298" i="14" s="1"/>
  <c r="K298" i="13"/>
  <c r="K298" i="14" s="1"/>
  <c r="R298" i="13"/>
  <c r="R298" i="14" s="1"/>
  <c r="L298" i="13"/>
  <c r="L298" i="14" s="1"/>
  <c r="Q298" i="13"/>
  <c r="Q298" i="14" s="1"/>
  <c r="I298" i="13"/>
  <c r="I298" i="14" s="1"/>
  <c r="F298" i="13"/>
  <c r="F298" i="14" s="1"/>
  <c r="C298" i="13"/>
  <c r="C298" i="14" s="1"/>
  <c r="E298" i="13"/>
  <c r="E298" i="14" s="1"/>
  <c r="F337" i="13"/>
  <c r="F337" i="14" s="1"/>
  <c r="R337" i="13"/>
  <c r="R337" i="14" s="1"/>
  <c r="L337" i="13"/>
  <c r="L337" i="14" s="1"/>
  <c r="Q337" i="13"/>
  <c r="Q337" i="14" s="1"/>
  <c r="I337" i="13"/>
  <c r="I337" i="14" s="1"/>
  <c r="K337" i="13"/>
  <c r="K337" i="14" s="1"/>
  <c r="D337" i="13"/>
  <c r="D337" i="14" s="1"/>
  <c r="O337" i="13"/>
  <c r="O337" i="14" s="1"/>
  <c r="N337" i="13"/>
  <c r="N337" i="14" s="1"/>
  <c r="J337" i="13"/>
  <c r="J337" i="14" s="1"/>
  <c r="G337" i="13"/>
  <c r="G337" i="14" s="1"/>
  <c r="M337" i="13"/>
  <c r="M337" i="14" s="1"/>
  <c r="H337" i="13"/>
  <c r="H337" i="14" s="1"/>
  <c r="S337" i="13"/>
  <c r="S337" i="14" s="1"/>
  <c r="C337" i="13"/>
  <c r="C337" i="14" s="1"/>
  <c r="E337" i="13"/>
  <c r="E337" i="14" s="1"/>
  <c r="F393" i="13"/>
  <c r="F393" i="14" s="1"/>
  <c r="L393" i="13"/>
  <c r="L393" i="14" s="1"/>
  <c r="Q393" i="13"/>
  <c r="Q393" i="14" s="1"/>
  <c r="I393" i="13"/>
  <c r="I393" i="14" s="1"/>
  <c r="M393" i="13"/>
  <c r="M393" i="14" s="1"/>
  <c r="D393" i="13"/>
  <c r="D393" i="14" s="1"/>
  <c r="R393" i="13"/>
  <c r="R393" i="14" s="1"/>
  <c r="H393" i="13"/>
  <c r="H393" i="14" s="1"/>
  <c r="N393" i="13"/>
  <c r="N393" i="14" s="1"/>
  <c r="J393" i="13"/>
  <c r="J393" i="14" s="1"/>
  <c r="S393" i="13"/>
  <c r="S393" i="14" s="1"/>
  <c r="K393" i="13"/>
  <c r="K393" i="14" s="1"/>
  <c r="O393" i="13"/>
  <c r="O393" i="14" s="1"/>
  <c r="G393" i="13"/>
  <c r="G393" i="14" s="1"/>
  <c r="C393" i="13"/>
  <c r="C393" i="14" s="1"/>
  <c r="E393" i="13"/>
  <c r="E393" i="14" s="1"/>
  <c r="O100" i="13"/>
  <c r="O100" i="14" s="1"/>
  <c r="H100" i="13"/>
  <c r="H100" i="14" s="1"/>
  <c r="D100" i="13"/>
  <c r="D100" i="14" s="1"/>
  <c r="N100" i="13"/>
  <c r="N100" i="14" s="1"/>
  <c r="J100" i="13"/>
  <c r="J100" i="14" s="1"/>
  <c r="S100" i="13"/>
  <c r="S100" i="14" s="1"/>
  <c r="G100" i="13"/>
  <c r="G100" i="14" s="1"/>
  <c r="M100" i="13"/>
  <c r="M100" i="14" s="1"/>
  <c r="K100" i="13"/>
  <c r="K100" i="14" s="1"/>
  <c r="F100" i="13"/>
  <c r="F100" i="14" s="1"/>
  <c r="R100" i="13"/>
  <c r="R100" i="14" s="1"/>
  <c r="L100" i="13"/>
  <c r="L100" i="14" s="1"/>
  <c r="Q100" i="13"/>
  <c r="Q100" i="14" s="1"/>
  <c r="I100" i="13"/>
  <c r="I100" i="14" s="1"/>
  <c r="C100" i="13"/>
  <c r="C100" i="14" s="1"/>
  <c r="E100" i="13"/>
  <c r="E100" i="14" s="1"/>
  <c r="H272" i="13"/>
  <c r="H272" i="14" s="1"/>
  <c r="O272" i="13"/>
  <c r="O272" i="14" s="1"/>
  <c r="S272" i="13"/>
  <c r="S272" i="14" s="1"/>
  <c r="G272" i="13"/>
  <c r="G272" i="14" s="1"/>
  <c r="N272" i="13"/>
  <c r="N272" i="14" s="1"/>
  <c r="J272" i="13"/>
  <c r="J272" i="14" s="1"/>
  <c r="Q272" i="13"/>
  <c r="Q272" i="14" s="1"/>
  <c r="M272" i="13"/>
  <c r="M272" i="14" s="1"/>
  <c r="K272" i="13"/>
  <c r="K272" i="14" s="1"/>
  <c r="L272" i="13"/>
  <c r="L272" i="14" s="1"/>
  <c r="R272" i="13"/>
  <c r="R272" i="14" s="1"/>
  <c r="I272" i="13"/>
  <c r="I272" i="14" s="1"/>
  <c r="D272" i="13"/>
  <c r="D272" i="14" s="1"/>
  <c r="F272" i="13"/>
  <c r="F272" i="14" s="1"/>
  <c r="C272" i="13"/>
  <c r="C272" i="14" s="1"/>
  <c r="E272" i="13"/>
  <c r="E272" i="14" s="1"/>
  <c r="M113" i="13"/>
  <c r="M113" i="14" s="1"/>
  <c r="K113" i="13"/>
  <c r="K113" i="14" s="1"/>
  <c r="R113" i="13"/>
  <c r="R113" i="14" s="1"/>
  <c r="F113" i="13"/>
  <c r="F113" i="14" s="1"/>
  <c r="L113" i="13"/>
  <c r="L113" i="14" s="1"/>
  <c r="I113" i="13"/>
  <c r="I113" i="14" s="1"/>
  <c r="Q113" i="13"/>
  <c r="Q113" i="14" s="1"/>
  <c r="D113" i="13"/>
  <c r="D113" i="14" s="1"/>
  <c r="O113" i="13"/>
  <c r="O113" i="14" s="1"/>
  <c r="N113" i="13"/>
  <c r="N113" i="14" s="1"/>
  <c r="J113" i="13"/>
  <c r="J113" i="14" s="1"/>
  <c r="S113" i="13"/>
  <c r="S113" i="14" s="1"/>
  <c r="H113" i="13"/>
  <c r="H113" i="14" s="1"/>
  <c r="G113" i="13"/>
  <c r="G113" i="14" s="1"/>
  <c r="C113" i="13"/>
  <c r="C113" i="14" s="1"/>
  <c r="E113" i="13"/>
  <c r="E113" i="14" s="1"/>
  <c r="O190" i="13"/>
  <c r="O190" i="14" s="1"/>
  <c r="H190" i="13"/>
  <c r="H190" i="14" s="1"/>
  <c r="N190" i="13"/>
  <c r="N190" i="14" s="1"/>
  <c r="J190" i="13"/>
  <c r="J190" i="14" s="1"/>
  <c r="G190" i="13"/>
  <c r="G190" i="14" s="1"/>
  <c r="M190" i="13"/>
  <c r="M190" i="14" s="1"/>
  <c r="K190" i="13"/>
  <c r="K190" i="14" s="1"/>
  <c r="S190" i="13"/>
  <c r="S190" i="14" s="1"/>
  <c r="F190" i="13"/>
  <c r="F190" i="14" s="1"/>
  <c r="R190" i="13"/>
  <c r="R190" i="14" s="1"/>
  <c r="Q190" i="13"/>
  <c r="Q190" i="14" s="1"/>
  <c r="I190" i="13"/>
  <c r="I190" i="14" s="1"/>
  <c r="D190" i="13"/>
  <c r="D190" i="14" s="1"/>
  <c r="L190" i="13"/>
  <c r="L190" i="14" s="1"/>
  <c r="C190" i="13"/>
  <c r="C190" i="14" s="1"/>
  <c r="E190" i="13"/>
  <c r="E190" i="14" s="1"/>
  <c r="O282" i="13"/>
  <c r="O282" i="14" s="1"/>
  <c r="H282" i="13"/>
  <c r="H282" i="14" s="1"/>
  <c r="N282" i="13"/>
  <c r="N282" i="14" s="1"/>
  <c r="J282" i="13"/>
  <c r="J282" i="14" s="1"/>
  <c r="S282" i="13"/>
  <c r="S282" i="14" s="1"/>
  <c r="G282" i="13"/>
  <c r="G282" i="14" s="1"/>
  <c r="D282" i="13"/>
  <c r="D282" i="14" s="1"/>
  <c r="K282" i="13"/>
  <c r="K282" i="14" s="1"/>
  <c r="R282" i="13"/>
  <c r="R282" i="14" s="1"/>
  <c r="F282" i="13"/>
  <c r="F282" i="14" s="1"/>
  <c r="Q282" i="13"/>
  <c r="Q282" i="14" s="1"/>
  <c r="I282" i="13"/>
  <c r="I282" i="14" s="1"/>
  <c r="M282" i="13"/>
  <c r="M282" i="14" s="1"/>
  <c r="L282" i="13"/>
  <c r="L282" i="14" s="1"/>
  <c r="C282" i="13"/>
  <c r="C282" i="14" s="1"/>
  <c r="E282" i="13"/>
  <c r="E282" i="14" s="1"/>
  <c r="D406" i="13"/>
  <c r="D406" i="14" s="1"/>
  <c r="N406" i="13"/>
  <c r="N406" i="14" s="1"/>
  <c r="J406" i="13"/>
  <c r="J406" i="14" s="1"/>
  <c r="S406" i="13"/>
  <c r="S406" i="14" s="1"/>
  <c r="G406" i="13"/>
  <c r="G406" i="14" s="1"/>
  <c r="O406" i="13"/>
  <c r="O406" i="14" s="1"/>
  <c r="M406" i="13"/>
  <c r="M406" i="14" s="1"/>
  <c r="K406" i="13"/>
  <c r="K406" i="14" s="1"/>
  <c r="F406" i="13"/>
  <c r="F406" i="14" s="1"/>
  <c r="L406" i="13"/>
  <c r="L406" i="14" s="1"/>
  <c r="R406" i="13"/>
  <c r="R406" i="14" s="1"/>
  <c r="Q406" i="13"/>
  <c r="Q406" i="14" s="1"/>
  <c r="I406" i="13"/>
  <c r="I406" i="14" s="1"/>
  <c r="H406" i="13"/>
  <c r="H406" i="14" s="1"/>
  <c r="C406" i="13"/>
  <c r="C406" i="14" s="1"/>
  <c r="E406" i="13"/>
  <c r="E406" i="14" s="1"/>
  <c r="H342" i="13"/>
  <c r="H342" i="14" s="1"/>
  <c r="O342" i="13"/>
  <c r="O342" i="14" s="1"/>
  <c r="N342" i="13"/>
  <c r="N342" i="14" s="1"/>
  <c r="J342" i="13"/>
  <c r="J342" i="14" s="1"/>
  <c r="G342" i="13"/>
  <c r="G342" i="14" s="1"/>
  <c r="S342" i="13"/>
  <c r="S342" i="14" s="1"/>
  <c r="D342" i="13"/>
  <c r="D342" i="14" s="1"/>
  <c r="M342" i="13"/>
  <c r="M342" i="14" s="1"/>
  <c r="K342" i="13"/>
  <c r="K342" i="14" s="1"/>
  <c r="F342" i="13"/>
  <c r="F342" i="14" s="1"/>
  <c r="Q342" i="13"/>
  <c r="Q342" i="14" s="1"/>
  <c r="I342" i="13"/>
  <c r="I342" i="14" s="1"/>
  <c r="R342" i="13"/>
  <c r="R342" i="14" s="1"/>
  <c r="L342" i="13"/>
  <c r="L342" i="14" s="1"/>
  <c r="C342" i="13"/>
  <c r="C342" i="14" s="1"/>
  <c r="E342" i="13"/>
  <c r="E342" i="14" s="1"/>
  <c r="Q35" i="13"/>
  <c r="Q35" i="14" s="1"/>
  <c r="I35" i="13"/>
  <c r="I35" i="14" s="1"/>
  <c r="L35" i="13"/>
  <c r="L35" i="14" s="1"/>
  <c r="O35" i="13"/>
  <c r="O35" i="14" s="1"/>
  <c r="H35" i="13"/>
  <c r="H35" i="14" s="1"/>
  <c r="N35" i="13"/>
  <c r="N35" i="14" s="1"/>
  <c r="J35" i="13"/>
  <c r="J35" i="14" s="1"/>
  <c r="G35" i="13"/>
  <c r="G35" i="14" s="1"/>
  <c r="F35" i="13"/>
  <c r="F35" i="14" s="1"/>
  <c r="D35" i="13"/>
  <c r="D35" i="14" s="1"/>
  <c r="M35" i="13"/>
  <c r="M35" i="14" s="1"/>
  <c r="S35" i="13"/>
  <c r="S35" i="14" s="1"/>
  <c r="R35" i="13"/>
  <c r="R35" i="14" s="1"/>
  <c r="K35" i="13"/>
  <c r="K35" i="14" s="1"/>
  <c r="C35" i="13"/>
  <c r="C35" i="14" s="1"/>
  <c r="E35" i="13"/>
  <c r="E35" i="14" s="1"/>
  <c r="D424" i="13"/>
  <c r="D424" i="14" s="1"/>
  <c r="S424" i="13"/>
  <c r="S424" i="14" s="1"/>
  <c r="G424" i="13"/>
  <c r="G424" i="14" s="1"/>
  <c r="N424" i="13"/>
  <c r="N424" i="14" s="1"/>
  <c r="J424" i="13"/>
  <c r="J424" i="14" s="1"/>
  <c r="H424" i="13"/>
  <c r="H424" i="14" s="1"/>
  <c r="R424" i="13"/>
  <c r="R424" i="14" s="1"/>
  <c r="F424" i="13"/>
  <c r="F424" i="14" s="1"/>
  <c r="M424" i="13"/>
  <c r="M424" i="14" s="1"/>
  <c r="L424" i="13"/>
  <c r="L424" i="14" s="1"/>
  <c r="Q424" i="13"/>
  <c r="Q424" i="14" s="1"/>
  <c r="O424" i="13"/>
  <c r="O424" i="14" s="1"/>
  <c r="K424" i="13"/>
  <c r="K424" i="14" s="1"/>
  <c r="I424" i="13"/>
  <c r="I424" i="14" s="1"/>
  <c r="C424" i="13"/>
  <c r="C424" i="14" s="1"/>
  <c r="E424" i="13"/>
  <c r="E424" i="14" s="1"/>
  <c r="O162" i="13"/>
  <c r="O162" i="14" s="1"/>
  <c r="H162" i="13"/>
  <c r="H162" i="14" s="1"/>
  <c r="D162" i="13"/>
  <c r="D162" i="14" s="1"/>
  <c r="N162" i="13"/>
  <c r="N162" i="14" s="1"/>
  <c r="J162" i="13"/>
  <c r="J162" i="14" s="1"/>
  <c r="S162" i="13"/>
  <c r="S162" i="14" s="1"/>
  <c r="G162" i="13"/>
  <c r="G162" i="14" s="1"/>
  <c r="M162" i="13"/>
  <c r="M162" i="14" s="1"/>
  <c r="K162" i="13"/>
  <c r="K162" i="14" s="1"/>
  <c r="F162" i="13"/>
  <c r="F162" i="14" s="1"/>
  <c r="R162" i="13"/>
  <c r="R162" i="14" s="1"/>
  <c r="Q162" i="13"/>
  <c r="Q162" i="14" s="1"/>
  <c r="I162" i="13"/>
  <c r="I162" i="14" s="1"/>
  <c r="L162" i="13"/>
  <c r="L162" i="14" s="1"/>
  <c r="C162" i="13"/>
  <c r="C162" i="14" s="1"/>
  <c r="E162" i="13"/>
  <c r="E162" i="14" s="1"/>
  <c r="F327" i="13"/>
  <c r="F327" i="14" s="1"/>
  <c r="R327" i="13"/>
  <c r="R327" i="14" s="1"/>
  <c r="Q327" i="13"/>
  <c r="Q327" i="14" s="1"/>
  <c r="I327" i="13"/>
  <c r="I327" i="14" s="1"/>
  <c r="L327" i="13"/>
  <c r="L327" i="14" s="1"/>
  <c r="M327" i="13"/>
  <c r="M327" i="14" s="1"/>
  <c r="O327" i="13"/>
  <c r="O327" i="14" s="1"/>
  <c r="H327" i="13"/>
  <c r="H327" i="14" s="1"/>
  <c r="N327" i="13"/>
  <c r="N327" i="14" s="1"/>
  <c r="K327" i="13"/>
  <c r="K327" i="14" s="1"/>
  <c r="S327" i="13"/>
  <c r="S327" i="14" s="1"/>
  <c r="G327" i="13"/>
  <c r="G327" i="14" s="1"/>
  <c r="D327" i="13"/>
  <c r="D327" i="14" s="1"/>
  <c r="J327" i="13"/>
  <c r="J327" i="14" s="1"/>
  <c r="C327" i="13"/>
  <c r="C327" i="14" s="1"/>
  <c r="E327" i="13"/>
  <c r="E327" i="14" s="1"/>
  <c r="H316" i="13"/>
  <c r="H316" i="14" s="1"/>
  <c r="O316" i="13"/>
  <c r="O316" i="14" s="1"/>
  <c r="S316" i="13"/>
  <c r="S316" i="14" s="1"/>
  <c r="G316" i="13"/>
  <c r="G316" i="14" s="1"/>
  <c r="J316" i="13"/>
  <c r="J316" i="14" s="1"/>
  <c r="N316" i="13"/>
  <c r="N316" i="14" s="1"/>
  <c r="R316" i="13"/>
  <c r="R316" i="14" s="1"/>
  <c r="F316" i="13"/>
  <c r="F316" i="14" s="1"/>
  <c r="D316" i="13"/>
  <c r="D316" i="14" s="1"/>
  <c r="Q316" i="13"/>
  <c r="Q316" i="14" s="1"/>
  <c r="K316" i="13"/>
  <c r="K316" i="14" s="1"/>
  <c r="L316" i="13"/>
  <c r="L316" i="14" s="1"/>
  <c r="M316" i="13"/>
  <c r="M316" i="14" s="1"/>
  <c r="I316" i="13"/>
  <c r="I316" i="14" s="1"/>
  <c r="C316" i="13"/>
  <c r="C316" i="14" s="1"/>
  <c r="E316" i="13"/>
  <c r="E316" i="14" s="1"/>
  <c r="Q11" i="13"/>
  <c r="Q11" i="14" s="1"/>
  <c r="I11" i="13"/>
  <c r="I11" i="14" s="1"/>
  <c r="L11" i="13"/>
  <c r="L11" i="14" s="1"/>
  <c r="O11" i="13"/>
  <c r="O11" i="14" s="1"/>
  <c r="H11" i="13"/>
  <c r="H11" i="14" s="1"/>
  <c r="D11" i="13"/>
  <c r="D11" i="14" s="1"/>
  <c r="N11" i="13"/>
  <c r="N11" i="14" s="1"/>
  <c r="J11" i="13"/>
  <c r="J11" i="14" s="1"/>
  <c r="F11" i="13"/>
  <c r="F11" i="14" s="1"/>
  <c r="R11" i="13"/>
  <c r="R11" i="14" s="1"/>
  <c r="M11" i="13"/>
  <c r="M11" i="14" s="1"/>
  <c r="G11" i="13"/>
  <c r="G11" i="14" s="1"/>
  <c r="S11" i="13"/>
  <c r="S11" i="14" s="1"/>
  <c r="K11" i="13"/>
  <c r="K11" i="14" s="1"/>
  <c r="E11" i="13"/>
  <c r="E11" i="14" s="1"/>
  <c r="C11" i="13"/>
  <c r="C11" i="14" s="1"/>
  <c r="F381" i="13"/>
  <c r="F381" i="14" s="1"/>
  <c r="M381" i="13"/>
  <c r="M381" i="14" s="1"/>
  <c r="L381" i="13"/>
  <c r="L381" i="14" s="1"/>
  <c r="Q381" i="13"/>
  <c r="Q381" i="14" s="1"/>
  <c r="I381" i="13"/>
  <c r="I381" i="14" s="1"/>
  <c r="H381" i="13"/>
  <c r="H381" i="14" s="1"/>
  <c r="K381" i="13"/>
  <c r="K381" i="14" s="1"/>
  <c r="D381" i="13"/>
  <c r="D381" i="14" s="1"/>
  <c r="G381" i="13"/>
  <c r="G381" i="14" s="1"/>
  <c r="O381" i="13"/>
  <c r="O381" i="14" s="1"/>
  <c r="N381" i="13"/>
  <c r="N381" i="14" s="1"/>
  <c r="J381" i="13"/>
  <c r="J381" i="14" s="1"/>
  <c r="S381" i="13"/>
  <c r="S381" i="14" s="1"/>
  <c r="R381" i="13"/>
  <c r="R381" i="14" s="1"/>
  <c r="C381" i="13"/>
  <c r="C381" i="14" s="1"/>
  <c r="E381" i="13"/>
  <c r="E381" i="14" s="1"/>
  <c r="D156" i="13"/>
  <c r="D156" i="14" s="1"/>
  <c r="O156" i="13"/>
  <c r="O156" i="14" s="1"/>
  <c r="H156" i="13"/>
  <c r="H156" i="14" s="1"/>
  <c r="S156" i="13"/>
  <c r="S156" i="14" s="1"/>
  <c r="G156" i="13"/>
  <c r="G156" i="14" s="1"/>
  <c r="N156" i="13"/>
  <c r="N156" i="14" s="1"/>
  <c r="J156" i="13"/>
  <c r="J156" i="14" s="1"/>
  <c r="K156" i="13"/>
  <c r="K156" i="14" s="1"/>
  <c r="R156" i="13"/>
  <c r="R156" i="14" s="1"/>
  <c r="F156" i="13"/>
  <c r="F156" i="14" s="1"/>
  <c r="I156" i="13"/>
  <c r="I156" i="14" s="1"/>
  <c r="M156" i="13"/>
  <c r="M156" i="14" s="1"/>
  <c r="Q156" i="13"/>
  <c r="Q156" i="14" s="1"/>
  <c r="L156" i="13"/>
  <c r="L156" i="14" s="1"/>
  <c r="C156" i="13"/>
  <c r="C156" i="14" s="1"/>
  <c r="E156" i="13"/>
  <c r="E156" i="14" s="1"/>
  <c r="O106" i="13"/>
  <c r="O106" i="14" s="1"/>
  <c r="H106" i="13"/>
  <c r="H106" i="14" s="1"/>
  <c r="D106" i="13"/>
  <c r="D106" i="14" s="1"/>
  <c r="N106" i="13"/>
  <c r="N106" i="14" s="1"/>
  <c r="J106" i="13"/>
  <c r="J106" i="14" s="1"/>
  <c r="S106" i="13"/>
  <c r="S106" i="14" s="1"/>
  <c r="G106" i="13"/>
  <c r="G106" i="14" s="1"/>
  <c r="M106" i="13"/>
  <c r="M106" i="14" s="1"/>
  <c r="K106" i="13"/>
  <c r="K106" i="14" s="1"/>
  <c r="R106" i="13"/>
  <c r="R106" i="14" s="1"/>
  <c r="F106" i="13"/>
  <c r="F106" i="14" s="1"/>
  <c r="Q106" i="13"/>
  <c r="Q106" i="14" s="1"/>
  <c r="I106" i="13"/>
  <c r="I106" i="14" s="1"/>
  <c r="L106" i="13"/>
  <c r="L106" i="14" s="1"/>
  <c r="C106" i="13"/>
  <c r="C106" i="14" s="1"/>
  <c r="E106" i="13"/>
  <c r="E106" i="14" s="1"/>
  <c r="AL217" i="1"/>
  <c r="B217" i="13" s="1"/>
  <c r="B217" i="14" s="1"/>
  <c r="M217" i="13"/>
  <c r="M217" i="14" s="1"/>
  <c r="Q217" i="13"/>
  <c r="Q217" i="14" s="1"/>
  <c r="I217" i="13"/>
  <c r="I217" i="14" s="1"/>
  <c r="L217" i="13"/>
  <c r="L217" i="14" s="1"/>
  <c r="D217" i="13"/>
  <c r="D217" i="14" s="1"/>
  <c r="R217" i="13"/>
  <c r="R217" i="14" s="1"/>
  <c r="K217" i="13"/>
  <c r="K217" i="14" s="1"/>
  <c r="H217" i="13"/>
  <c r="H217" i="14" s="1"/>
  <c r="F217" i="13"/>
  <c r="F217" i="14" s="1"/>
  <c r="S217" i="13"/>
  <c r="S217" i="14" s="1"/>
  <c r="O217" i="13"/>
  <c r="O217" i="14" s="1"/>
  <c r="N217" i="13"/>
  <c r="N217" i="14" s="1"/>
  <c r="J217" i="13"/>
  <c r="J217" i="14" s="1"/>
  <c r="G217" i="13"/>
  <c r="G217" i="14" s="1"/>
  <c r="C217" i="13"/>
  <c r="C217" i="14" s="1"/>
  <c r="E217" i="13"/>
  <c r="E217" i="14" s="1"/>
  <c r="F295" i="13"/>
  <c r="F295" i="14" s="1"/>
  <c r="R295" i="13"/>
  <c r="R295" i="14" s="1"/>
  <c r="Q295" i="13"/>
  <c r="Q295" i="14" s="1"/>
  <c r="I295" i="13"/>
  <c r="I295" i="14" s="1"/>
  <c r="L295" i="13"/>
  <c r="L295" i="14" s="1"/>
  <c r="M295" i="13"/>
  <c r="M295" i="14" s="1"/>
  <c r="O295" i="13"/>
  <c r="O295" i="14" s="1"/>
  <c r="H295" i="13"/>
  <c r="H295" i="14" s="1"/>
  <c r="K295" i="13"/>
  <c r="K295" i="14" s="1"/>
  <c r="N295" i="13"/>
  <c r="N295" i="14" s="1"/>
  <c r="S295" i="13"/>
  <c r="S295" i="14" s="1"/>
  <c r="G295" i="13"/>
  <c r="G295" i="14" s="1"/>
  <c r="D295" i="13"/>
  <c r="D295" i="14" s="1"/>
  <c r="J295" i="13"/>
  <c r="J295" i="14" s="1"/>
  <c r="C295" i="13"/>
  <c r="C295" i="14" s="1"/>
  <c r="E295" i="13"/>
  <c r="E295" i="14" s="1"/>
  <c r="AL263" i="1"/>
  <c r="B263" i="13" s="1"/>
  <c r="B263" i="14" s="1"/>
  <c r="K263" i="13"/>
  <c r="K263" i="14" s="1"/>
  <c r="M263" i="13"/>
  <c r="M263" i="14" s="1"/>
  <c r="L263" i="13"/>
  <c r="L263" i="14" s="1"/>
  <c r="Q263" i="13"/>
  <c r="Q263" i="14" s="1"/>
  <c r="I263" i="13"/>
  <c r="I263" i="14" s="1"/>
  <c r="R263" i="13"/>
  <c r="R263" i="14" s="1"/>
  <c r="H263" i="13"/>
  <c r="H263" i="14" s="1"/>
  <c r="J263" i="13"/>
  <c r="J263" i="14" s="1"/>
  <c r="D263" i="13"/>
  <c r="D263" i="14" s="1"/>
  <c r="S263" i="13"/>
  <c r="S263" i="14" s="1"/>
  <c r="G263" i="13"/>
  <c r="G263" i="14" s="1"/>
  <c r="O263" i="13"/>
  <c r="O263" i="14" s="1"/>
  <c r="N263" i="13"/>
  <c r="N263" i="14" s="1"/>
  <c r="F263" i="13"/>
  <c r="F263" i="14" s="1"/>
  <c r="C263" i="13"/>
  <c r="C263" i="14" s="1"/>
  <c r="E263" i="13"/>
  <c r="E263" i="14" s="1"/>
  <c r="F219" i="13"/>
  <c r="F219" i="14" s="1"/>
  <c r="R219" i="13"/>
  <c r="R219" i="14" s="1"/>
  <c r="L219" i="13"/>
  <c r="L219" i="14" s="1"/>
  <c r="Q219" i="13"/>
  <c r="Q219" i="14" s="1"/>
  <c r="I219" i="13"/>
  <c r="I219" i="14" s="1"/>
  <c r="O219" i="13"/>
  <c r="O219" i="14" s="1"/>
  <c r="H219" i="13"/>
  <c r="H219" i="14" s="1"/>
  <c r="K219" i="13"/>
  <c r="K219" i="14" s="1"/>
  <c r="D219" i="13"/>
  <c r="D219" i="14" s="1"/>
  <c r="J219" i="13"/>
  <c r="J219" i="14" s="1"/>
  <c r="N219" i="13"/>
  <c r="N219" i="14" s="1"/>
  <c r="S219" i="13"/>
  <c r="S219" i="14" s="1"/>
  <c r="G219" i="13"/>
  <c r="G219" i="14" s="1"/>
  <c r="M219" i="13"/>
  <c r="M219" i="14" s="1"/>
  <c r="C219" i="13"/>
  <c r="C219" i="14" s="1"/>
  <c r="E219" i="13"/>
  <c r="E219" i="14" s="1"/>
  <c r="R187" i="13"/>
  <c r="R187" i="14" s="1"/>
  <c r="F187" i="13"/>
  <c r="F187" i="14" s="1"/>
  <c r="M187" i="13"/>
  <c r="M187" i="14" s="1"/>
  <c r="K187" i="13"/>
  <c r="K187" i="14" s="1"/>
  <c r="Q187" i="13"/>
  <c r="Q187" i="14" s="1"/>
  <c r="I187" i="13"/>
  <c r="I187" i="14" s="1"/>
  <c r="L187" i="13"/>
  <c r="L187" i="14" s="1"/>
  <c r="O187" i="13"/>
  <c r="O187" i="14" s="1"/>
  <c r="H187" i="13"/>
  <c r="H187" i="14" s="1"/>
  <c r="D187" i="13"/>
  <c r="D187" i="14" s="1"/>
  <c r="S187" i="13"/>
  <c r="S187" i="14" s="1"/>
  <c r="G187" i="13"/>
  <c r="G187" i="14" s="1"/>
  <c r="J187" i="13"/>
  <c r="J187" i="14" s="1"/>
  <c r="N187" i="13"/>
  <c r="N187" i="14" s="1"/>
  <c r="C187" i="13"/>
  <c r="C187" i="14" s="1"/>
  <c r="E187" i="13"/>
  <c r="E187" i="14" s="1"/>
  <c r="R155" i="13"/>
  <c r="R155" i="14" s="1"/>
  <c r="F155" i="13"/>
  <c r="F155" i="14" s="1"/>
  <c r="M155" i="13"/>
  <c r="M155" i="14" s="1"/>
  <c r="K155" i="13"/>
  <c r="K155" i="14" s="1"/>
  <c r="Q155" i="13"/>
  <c r="Q155" i="14" s="1"/>
  <c r="I155" i="13"/>
  <c r="I155" i="14" s="1"/>
  <c r="L155" i="13"/>
  <c r="L155" i="14" s="1"/>
  <c r="O155" i="13"/>
  <c r="O155" i="14" s="1"/>
  <c r="H155" i="13"/>
  <c r="H155" i="14" s="1"/>
  <c r="D155" i="13"/>
  <c r="D155" i="14" s="1"/>
  <c r="S155" i="13"/>
  <c r="S155" i="14" s="1"/>
  <c r="G155" i="13"/>
  <c r="G155" i="14" s="1"/>
  <c r="J155" i="13"/>
  <c r="J155" i="14" s="1"/>
  <c r="N155" i="13"/>
  <c r="N155" i="14" s="1"/>
  <c r="C155" i="13"/>
  <c r="C155" i="14" s="1"/>
  <c r="E155" i="13"/>
  <c r="E155" i="14" s="1"/>
  <c r="O256" i="13"/>
  <c r="O256" i="14" s="1"/>
  <c r="H256" i="13"/>
  <c r="H256" i="14" s="1"/>
  <c r="S256" i="13"/>
  <c r="S256" i="14" s="1"/>
  <c r="G256" i="13"/>
  <c r="G256" i="14" s="1"/>
  <c r="N256" i="13"/>
  <c r="N256" i="14" s="1"/>
  <c r="D256" i="13"/>
  <c r="D256" i="14" s="1"/>
  <c r="J256" i="13"/>
  <c r="J256" i="14" s="1"/>
  <c r="Q256" i="13"/>
  <c r="Q256" i="14" s="1"/>
  <c r="M256" i="13"/>
  <c r="M256" i="14" s="1"/>
  <c r="K256" i="13"/>
  <c r="K256" i="14" s="1"/>
  <c r="L256" i="13"/>
  <c r="L256" i="14" s="1"/>
  <c r="F256" i="13"/>
  <c r="F256" i="14" s="1"/>
  <c r="R256" i="13"/>
  <c r="R256" i="14" s="1"/>
  <c r="I256" i="13"/>
  <c r="I256" i="14" s="1"/>
  <c r="C256" i="13"/>
  <c r="C256" i="14" s="1"/>
  <c r="E256" i="13"/>
  <c r="E256" i="14" s="1"/>
  <c r="D402" i="13"/>
  <c r="D402" i="14" s="1"/>
  <c r="N402" i="13"/>
  <c r="N402" i="14" s="1"/>
  <c r="J402" i="13"/>
  <c r="J402" i="14" s="1"/>
  <c r="S402" i="13"/>
  <c r="S402" i="14" s="1"/>
  <c r="G402" i="13"/>
  <c r="G402" i="14" s="1"/>
  <c r="H402" i="13"/>
  <c r="H402" i="14" s="1"/>
  <c r="M402" i="13"/>
  <c r="M402" i="14" s="1"/>
  <c r="K402" i="13"/>
  <c r="K402" i="14" s="1"/>
  <c r="O402" i="13"/>
  <c r="O402" i="14" s="1"/>
  <c r="F402" i="13"/>
  <c r="F402" i="14" s="1"/>
  <c r="Q402" i="13"/>
  <c r="Q402" i="14" s="1"/>
  <c r="I402" i="13"/>
  <c r="I402" i="14" s="1"/>
  <c r="R402" i="13"/>
  <c r="R402" i="14" s="1"/>
  <c r="L402" i="13"/>
  <c r="L402" i="14" s="1"/>
  <c r="C402" i="13"/>
  <c r="C402" i="14" s="1"/>
  <c r="E402" i="13"/>
  <c r="E402" i="14" s="1"/>
  <c r="AK281" i="1"/>
  <c r="M281" i="13"/>
  <c r="M281" i="14" s="1"/>
  <c r="K281" i="13"/>
  <c r="K281" i="14" s="1"/>
  <c r="L281" i="13"/>
  <c r="L281" i="14" s="1"/>
  <c r="I281" i="13"/>
  <c r="I281" i="14" s="1"/>
  <c r="Q281" i="13"/>
  <c r="Q281" i="14" s="1"/>
  <c r="R281" i="13"/>
  <c r="R281" i="14" s="1"/>
  <c r="D281" i="13"/>
  <c r="D281" i="14" s="1"/>
  <c r="F281" i="13"/>
  <c r="F281" i="14" s="1"/>
  <c r="G281" i="13"/>
  <c r="G281" i="14" s="1"/>
  <c r="O281" i="13"/>
  <c r="O281" i="14" s="1"/>
  <c r="H281" i="13"/>
  <c r="H281" i="14" s="1"/>
  <c r="N281" i="13"/>
  <c r="N281" i="14" s="1"/>
  <c r="J281" i="13"/>
  <c r="J281" i="14" s="1"/>
  <c r="S281" i="13"/>
  <c r="S281" i="14" s="1"/>
  <c r="C281" i="13"/>
  <c r="C281" i="14" s="1"/>
  <c r="E281" i="13"/>
  <c r="E281" i="14" s="1"/>
  <c r="D172" i="13"/>
  <c r="D172" i="14" s="1"/>
  <c r="O172" i="13"/>
  <c r="O172" i="14" s="1"/>
  <c r="H172" i="13"/>
  <c r="H172" i="14" s="1"/>
  <c r="N172" i="13"/>
  <c r="N172" i="14" s="1"/>
  <c r="J172" i="13"/>
  <c r="J172" i="14" s="1"/>
  <c r="S172" i="13"/>
  <c r="S172" i="14" s="1"/>
  <c r="G172" i="13"/>
  <c r="G172" i="14" s="1"/>
  <c r="R172" i="13"/>
  <c r="R172" i="14" s="1"/>
  <c r="F172" i="13"/>
  <c r="F172" i="14" s="1"/>
  <c r="K172" i="13"/>
  <c r="K172" i="14" s="1"/>
  <c r="M172" i="13"/>
  <c r="M172" i="14" s="1"/>
  <c r="Q172" i="13"/>
  <c r="Q172" i="14" s="1"/>
  <c r="I172" i="13"/>
  <c r="I172" i="14" s="1"/>
  <c r="L172" i="13"/>
  <c r="L172" i="14" s="1"/>
  <c r="C172" i="13"/>
  <c r="C172" i="14" s="1"/>
  <c r="E172" i="13"/>
  <c r="E172" i="14" s="1"/>
  <c r="O430" i="13"/>
  <c r="O430" i="14" s="1"/>
  <c r="H430" i="13"/>
  <c r="H430" i="14" s="1"/>
  <c r="N430" i="13"/>
  <c r="N430" i="14" s="1"/>
  <c r="J430" i="13"/>
  <c r="J430" i="14" s="1"/>
  <c r="S430" i="13"/>
  <c r="S430" i="14" s="1"/>
  <c r="G430" i="13"/>
  <c r="G430" i="14" s="1"/>
  <c r="M430" i="13"/>
  <c r="M430" i="14" s="1"/>
  <c r="K430" i="13"/>
  <c r="K430" i="14" s="1"/>
  <c r="R430" i="13"/>
  <c r="R430" i="14" s="1"/>
  <c r="L430" i="13"/>
  <c r="L430" i="14" s="1"/>
  <c r="Q430" i="13"/>
  <c r="Q430" i="14" s="1"/>
  <c r="I430" i="13"/>
  <c r="I430" i="14" s="1"/>
  <c r="F430" i="13"/>
  <c r="F430" i="14" s="1"/>
  <c r="D430" i="13"/>
  <c r="D430" i="14" s="1"/>
  <c r="C430" i="13"/>
  <c r="C430" i="14" s="1"/>
  <c r="E430" i="13"/>
  <c r="E430" i="14" s="1"/>
  <c r="R197" i="13"/>
  <c r="R197" i="14" s="1"/>
  <c r="F197" i="13"/>
  <c r="F197" i="14" s="1"/>
  <c r="M197" i="13"/>
  <c r="M197" i="14" s="1"/>
  <c r="K197" i="13"/>
  <c r="K197" i="14" s="1"/>
  <c r="L197" i="13"/>
  <c r="L197" i="14" s="1"/>
  <c r="I197" i="13"/>
  <c r="I197" i="14" s="1"/>
  <c r="D197" i="13"/>
  <c r="D197" i="14" s="1"/>
  <c r="Q197" i="13"/>
  <c r="Q197" i="14" s="1"/>
  <c r="O197" i="13"/>
  <c r="O197" i="14" s="1"/>
  <c r="S197" i="13"/>
  <c r="S197" i="14" s="1"/>
  <c r="N197" i="13"/>
  <c r="N197" i="14" s="1"/>
  <c r="J197" i="13"/>
  <c r="J197" i="14" s="1"/>
  <c r="H197" i="13"/>
  <c r="H197" i="14" s="1"/>
  <c r="G197" i="13"/>
  <c r="G197" i="14" s="1"/>
  <c r="C197" i="13"/>
  <c r="C197" i="14" s="1"/>
  <c r="E197" i="13"/>
  <c r="E197" i="14" s="1"/>
  <c r="R107" i="13"/>
  <c r="R107" i="14" s="1"/>
  <c r="F107" i="13"/>
  <c r="F107" i="14" s="1"/>
  <c r="M107" i="13"/>
  <c r="M107" i="14" s="1"/>
  <c r="K107" i="13"/>
  <c r="K107" i="14" s="1"/>
  <c r="Q107" i="13"/>
  <c r="Q107" i="14" s="1"/>
  <c r="I107" i="13"/>
  <c r="I107" i="14" s="1"/>
  <c r="L107" i="13"/>
  <c r="L107" i="14" s="1"/>
  <c r="O107" i="13"/>
  <c r="O107" i="14" s="1"/>
  <c r="H107" i="13"/>
  <c r="H107" i="14" s="1"/>
  <c r="D107" i="13"/>
  <c r="D107" i="14" s="1"/>
  <c r="J107" i="13"/>
  <c r="J107" i="14" s="1"/>
  <c r="S107" i="13"/>
  <c r="S107" i="14" s="1"/>
  <c r="G107" i="13"/>
  <c r="G107" i="14" s="1"/>
  <c r="N107" i="13"/>
  <c r="N107" i="14" s="1"/>
  <c r="C107" i="13"/>
  <c r="C107" i="14" s="1"/>
  <c r="E107" i="13"/>
  <c r="E107" i="14" s="1"/>
  <c r="R77" i="13"/>
  <c r="R77" i="14" s="1"/>
  <c r="F77" i="13"/>
  <c r="F77" i="14" s="1"/>
  <c r="M77" i="13"/>
  <c r="M77" i="14" s="1"/>
  <c r="K77" i="13"/>
  <c r="K77" i="14" s="1"/>
  <c r="Q77" i="13"/>
  <c r="Q77" i="14" s="1"/>
  <c r="I77" i="13"/>
  <c r="I77" i="14" s="1"/>
  <c r="L77" i="13"/>
  <c r="L77" i="14" s="1"/>
  <c r="O77" i="13"/>
  <c r="O77" i="14" s="1"/>
  <c r="H77" i="13"/>
  <c r="H77" i="14" s="1"/>
  <c r="G77" i="13"/>
  <c r="G77" i="14" s="1"/>
  <c r="D77" i="13"/>
  <c r="D77" i="14" s="1"/>
  <c r="S77" i="13"/>
  <c r="S77" i="14" s="1"/>
  <c r="N77" i="13"/>
  <c r="N77" i="14" s="1"/>
  <c r="J77" i="13"/>
  <c r="J77" i="14" s="1"/>
  <c r="C77" i="13"/>
  <c r="C77" i="14" s="1"/>
  <c r="E77" i="13"/>
  <c r="E77" i="14" s="1"/>
  <c r="F213" i="13"/>
  <c r="F213" i="14" s="1"/>
  <c r="R213" i="13"/>
  <c r="R213" i="14" s="1"/>
  <c r="Q213" i="13"/>
  <c r="Q213" i="14" s="1"/>
  <c r="I213" i="13"/>
  <c r="I213" i="14" s="1"/>
  <c r="L213" i="13"/>
  <c r="L213" i="14" s="1"/>
  <c r="D213" i="13"/>
  <c r="D213" i="14" s="1"/>
  <c r="O213" i="13"/>
  <c r="O213" i="14" s="1"/>
  <c r="M213" i="13"/>
  <c r="M213" i="14" s="1"/>
  <c r="K213" i="13"/>
  <c r="K213" i="14" s="1"/>
  <c r="H213" i="13"/>
  <c r="H213" i="14" s="1"/>
  <c r="S213" i="13"/>
  <c r="S213" i="14" s="1"/>
  <c r="N213" i="13"/>
  <c r="N213" i="14" s="1"/>
  <c r="J213" i="13"/>
  <c r="J213" i="14" s="1"/>
  <c r="G213" i="13"/>
  <c r="G213" i="14" s="1"/>
  <c r="C213" i="13"/>
  <c r="C213" i="14" s="1"/>
  <c r="E213" i="13"/>
  <c r="E213" i="14" s="1"/>
  <c r="M199" i="13"/>
  <c r="M199" i="14" s="1"/>
  <c r="K199" i="13"/>
  <c r="K199" i="14" s="1"/>
  <c r="R199" i="13"/>
  <c r="R199" i="14" s="1"/>
  <c r="F199" i="13"/>
  <c r="F199" i="14" s="1"/>
  <c r="Q199" i="13"/>
  <c r="Q199" i="14" s="1"/>
  <c r="I199" i="13"/>
  <c r="I199" i="14" s="1"/>
  <c r="L199" i="13"/>
  <c r="L199" i="14" s="1"/>
  <c r="O199" i="13"/>
  <c r="O199" i="14" s="1"/>
  <c r="H199" i="13"/>
  <c r="H199" i="14" s="1"/>
  <c r="D199" i="13"/>
  <c r="D199" i="14" s="1"/>
  <c r="S199" i="13"/>
  <c r="S199" i="14" s="1"/>
  <c r="G199" i="13"/>
  <c r="G199" i="14" s="1"/>
  <c r="N199" i="13"/>
  <c r="N199" i="14" s="1"/>
  <c r="J199" i="13"/>
  <c r="J199" i="14" s="1"/>
  <c r="C199" i="13"/>
  <c r="C199" i="14" s="1"/>
  <c r="E199" i="13"/>
  <c r="E199" i="14" s="1"/>
  <c r="M169" i="13"/>
  <c r="M169" i="14" s="1"/>
  <c r="K169" i="13"/>
  <c r="K169" i="14" s="1"/>
  <c r="R169" i="13"/>
  <c r="R169" i="14" s="1"/>
  <c r="F169" i="13"/>
  <c r="F169" i="14" s="1"/>
  <c r="L169" i="13"/>
  <c r="L169" i="14" s="1"/>
  <c r="O169" i="13"/>
  <c r="O169" i="14" s="1"/>
  <c r="D169" i="13"/>
  <c r="D169" i="14" s="1"/>
  <c r="I169" i="13"/>
  <c r="I169" i="14" s="1"/>
  <c r="Q169" i="13"/>
  <c r="Q169" i="14" s="1"/>
  <c r="H169" i="13"/>
  <c r="H169" i="14" s="1"/>
  <c r="G169" i="13"/>
  <c r="G169" i="14" s="1"/>
  <c r="N169" i="13"/>
  <c r="N169" i="14" s="1"/>
  <c r="J169" i="13"/>
  <c r="J169" i="14" s="1"/>
  <c r="S169" i="13"/>
  <c r="S169" i="14" s="1"/>
  <c r="C169" i="13"/>
  <c r="C169" i="14" s="1"/>
  <c r="E169" i="13"/>
  <c r="E169" i="14" s="1"/>
  <c r="M181" i="13"/>
  <c r="M181" i="14" s="1"/>
  <c r="K181" i="13"/>
  <c r="K181" i="14" s="1"/>
  <c r="R181" i="13"/>
  <c r="R181" i="14" s="1"/>
  <c r="F181" i="13"/>
  <c r="F181" i="14" s="1"/>
  <c r="L181" i="13"/>
  <c r="L181" i="14" s="1"/>
  <c r="Q181" i="13"/>
  <c r="Q181" i="14" s="1"/>
  <c r="I181" i="13"/>
  <c r="I181" i="14" s="1"/>
  <c r="D181" i="13"/>
  <c r="D181" i="14" s="1"/>
  <c r="H181" i="13"/>
  <c r="H181" i="14" s="1"/>
  <c r="O181" i="13"/>
  <c r="O181" i="14" s="1"/>
  <c r="S181" i="13"/>
  <c r="S181" i="14" s="1"/>
  <c r="N181" i="13"/>
  <c r="N181" i="14" s="1"/>
  <c r="J181" i="13"/>
  <c r="J181" i="14" s="1"/>
  <c r="G181" i="13"/>
  <c r="G181" i="14" s="1"/>
  <c r="C181" i="13"/>
  <c r="C181" i="14" s="1"/>
  <c r="E181" i="13"/>
  <c r="E181" i="14" s="1"/>
  <c r="M149" i="13"/>
  <c r="M149" i="14" s="1"/>
  <c r="K149" i="13"/>
  <c r="K149" i="14" s="1"/>
  <c r="R149" i="13"/>
  <c r="R149" i="14" s="1"/>
  <c r="F149" i="13"/>
  <c r="F149" i="14" s="1"/>
  <c r="L149" i="13"/>
  <c r="L149" i="14" s="1"/>
  <c r="Q149" i="13"/>
  <c r="Q149" i="14" s="1"/>
  <c r="I149" i="13"/>
  <c r="I149" i="14" s="1"/>
  <c r="D149" i="13"/>
  <c r="D149" i="14" s="1"/>
  <c r="H149" i="13"/>
  <c r="H149" i="14" s="1"/>
  <c r="O149" i="13"/>
  <c r="O149" i="14" s="1"/>
  <c r="S149" i="13"/>
  <c r="S149" i="14" s="1"/>
  <c r="N149" i="13"/>
  <c r="N149" i="14" s="1"/>
  <c r="J149" i="13"/>
  <c r="J149" i="14" s="1"/>
  <c r="G149" i="13"/>
  <c r="G149" i="14" s="1"/>
  <c r="C149" i="13"/>
  <c r="C149" i="14" s="1"/>
  <c r="E149" i="13"/>
  <c r="E149" i="14" s="1"/>
  <c r="M153" i="13"/>
  <c r="M153" i="14" s="1"/>
  <c r="K153" i="13"/>
  <c r="K153" i="14" s="1"/>
  <c r="R153" i="13"/>
  <c r="R153" i="14" s="1"/>
  <c r="F153" i="13"/>
  <c r="F153" i="14" s="1"/>
  <c r="L153" i="13"/>
  <c r="L153" i="14" s="1"/>
  <c r="Q153" i="13"/>
  <c r="Q153" i="14" s="1"/>
  <c r="I153" i="13"/>
  <c r="I153" i="14" s="1"/>
  <c r="D153" i="13"/>
  <c r="D153" i="14" s="1"/>
  <c r="H153" i="13"/>
  <c r="H153" i="14" s="1"/>
  <c r="O153" i="13"/>
  <c r="O153" i="14" s="1"/>
  <c r="N153" i="13"/>
  <c r="N153" i="14" s="1"/>
  <c r="J153" i="13"/>
  <c r="J153" i="14" s="1"/>
  <c r="G153" i="13"/>
  <c r="G153" i="14" s="1"/>
  <c r="S153" i="13"/>
  <c r="S153" i="14" s="1"/>
  <c r="C153" i="13"/>
  <c r="C153" i="14" s="1"/>
  <c r="E153" i="13"/>
  <c r="E153" i="14" s="1"/>
  <c r="L65" i="13"/>
  <c r="L65" i="14" s="1"/>
  <c r="Q65" i="13"/>
  <c r="Q65" i="14" s="1"/>
  <c r="I65" i="13"/>
  <c r="I65" i="14" s="1"/>
  <c r="D65" i="13"/>
  <c r="D65" i="14" s="1"/>
  <c r="O65" i="13"/>
  <c r="O65" i="14" s="1"/>
  <c r="H65" i="13"/>
  <c r="H65" i="14" s="1"/>
  <c r="N65" i="13"/>
  <c r="N65" i="14" s="1"/>
  <c r="S65" i="13"/>
  <c r="S65" i="14" s="1"/>
  <c r="G65" i="13"/>
  <c r="G65" i="14" s="1"/>
  <c r="J65" i="13"/>
  <c r="J65" i="14" s="1"/>
  <c r="K65" i="13"/>
  <c r="K65" i="14" s="1"/>
  <c r="F65" i="13"/>
  <c r="F65" i="14" s="1"/>
  <c r="M65" i="13"/>
  <c r="M65" i="14" s="1"/>
  <c r="R65" i="13"/>
  <c r="R65" i="14" s="1"/>
  <c r="C65" i="13"/>
  <c r="C65" i="14" s="1"/>
  <c r="E65" i="13"/>
  <c r="E65" i="14" s="1"/>
  <c r="M339" i="13"/>
  <c r="M339" i="14" s="1"/>
  <c r="R339" i="13"/>
  <c r="R339" i="14" s="1"/>
  <c r="K339" i="13"/>
  <c r="K339" i="14" s="1"/>
  <c r="Q339" i="13"/>
  <c r="Q339" i="14" s="1"/>
  <c r="I339" i="13"/>
  <c r="I339" i="14" s="1"/>
  <c r="L339" i="13"/>
  <c r="L339" i="14" s="1"/>
  <c r="O339" i="13"/>
  <c r="O339" i="14" s="1"/>
  <c r="H339" i="13"/>
  <c r="H339" i="14" s="1"/>
  <c r="F339" i="13"/>
  <c r="F339" i="14" s="1"/>
  <c r="S339" i="13"/>
  <c r="S339" i="14" s="1"/>
  <c r="G339" i="13"/>
  <c r="G339" i="14" s="1"/>
  <c r="D339" i="13"/>
  <c r="D339" i="14" s="1"/>
  <c r="J339" i="13"/>
  <c r="J339" i="14" s="1"/>
  <c r="N339" i="13"/>
  <c r="N339" i="14" s="1"/>
  <c r="C339" i="13"/>
  <c r="C339" i="14" s="1"/>
  <c r="E339" i="13"/>
  <c r="E339" i="14" s="1"/>
  <c r="H340" i="13"/>
  <c r="H340" i="14" s="1"/>
  <c r="O340" i="13"/>
  <c r="O340" i="14" s="1"/>
  <c r="S340" i="13"/>
  <c r="S340" i="14" s="1"/>
  <c r="G340" i="13"/>
  <c r="G340" i="14" s="1"/>
  <c r="J340" i="13"/>
  <c r="J340" i="14" s="1"/>
  <c r="N340" i="13"/>
  <c r="N340" i="14" s="1"/>
  <c r="R340" i="13"/>
  <c r="R340" i="14" s="1"/>
  <c r="F340" i="13"/>
  <c r="F340" i="14" s="1"/>
  <c r="D340" i="13"/>
  <c r="D340" i="14" s="1"/>
  <c r="K340" i="13"/>
  <c r="K340" i="14" s="1"/>
  <c r="I340" i="13"/>
  <c r="I340" i="14" s="1"/>
  <c r="M340" i="13"/>
  <c r="M340" i="14" s="1"/>
  <c r="L340" i="13"/>
  <c r="L340" i="14" s="1"/>
  <c r="Q340" i="13"/>
  <c r="Q340" i="14" s="1"/>
  <c r="C340" i="13"/>
  <c r="C340" i="14" s="1"/>
  <c r="E340" i="13"/>
  <c r="E340" i="14" s="1"/>
  <c r="H378" i="13"/>
  <c r="H378" i="14" s="1"/>
  <c r="O378" i="13"/>
  <c r="O378" i="14" s="1"/>
  <c r="N378" i="13"/>
  <c r="N378" i="14" s="1"/>
  <c r="J378" i="13"/>
  <c r="J378" i="14" s="1"/>
  <c r="S378" i="13"/>
  <c r="S378" i="14" s="1"/>
  <c r="G378" i="13"/>
  <c r="G378" i="14" s="1"/>
  <c r="D378" i="13"/>
  <c r="D378" i="14" s="1"/>
  <c r="M378" i="13"/>
  <c r="M378" i="14" s="1"/>
  <c r="K378" i="13"/>
  <c r="K378" i="14" s="1"/>
  <c r="Q378" i="13"/>
  <c r="Q378" i="14" s="1"/>
  <c r="I378" i="13"/>
  <c r="I378" i="14" s="1"/>
  <c r="R378" i="13"/>
  <c r="R378" i="14" s="1"/>
  <c r="F378" i="13"/>
  <c r="F378" i="14" s="1"/>
  <c r="L378" i="13"/>
  <c r="L378" i="14" s="1"/>
  <c r="C378" i="13"/>
  <c r="C378" i="14" s="1"/>
  <c r="E378" i="13"/>
  <c r="E378" i="14" s="1"/>
  <c r="R127" i="13"/>
  <c r="R127" i="14" s="1"/>
  <c r="F127" i="13"/>
  <c r="F127" i="14" s="1"/>
  <c r="M127" i="13"/>
  <c r="M127" i="14" s="1"/>
  <c r="K127" i="13"/>
  <c r="K127" i="14" s="1"/>
  <c r="Q127" i="13"/>
  <c r="Q127" i="14" s="1"/>
  <c r="I127" i="13"/>
  <c r="I127" i="14" s="1"/>
  <c r="L127" i="13"/>
  <c r="L127" i="14" s="1"/>
  <c r="O127" i="13"/>
  <c r="O127" i="14" s="1"/>
  <c r="H127" i="13"/>
  <c r="H127" i="14" s="1"/>
  <c r="D127" i="13"/>
  <c r="D127" i="14" s="1"/>
  <c r="J127" i="13"/>
  <c r="J127" i="14" s="1"/>
  <c r="S127" i="13"/>
  <c r="S127" i="14" s="1"/>
  <c r="G127" i="13"/>
  <c r="G127" i="14" s="1"/>
  <c r="N127" i="13"/>
  <c r="N127" i="14" s="1"/>
  <c r="C127" i="13"/>
  <c r="C127" i="14" s="1"/>
  <c r="E127" i="13"/>
  <c r="E127" i="14" s="1"/>
  <c r="N22" i="13"/>
  <c r="N22" i="14" s="1"/>
  <c r="J22" i="13"/>
  <c r="J22" i="14" s="1"/>
  <c r="S22" i="13"/>
  <c r="S22" i="14" s="1"/>
  <c r="G22" i="13"/>
  <c r="G22" i="14" s="1"/>
  <c r="M22" i="13"/>
  <c r="M22" i="14" s="1"/>
  <c r="K22" i="13"/>
  <c r="K22" i="14" s="1"/>
  <c r="F22" i="13"/>
  <c r="F22" i="14" s="1"/>
  <c r="R22" i="13"/>
  <c r="R22" i="14" s="1"/>
  <c r="L22" i="13"/>
  <c r="L22" i="14" s="1"/>
  <c r="O22" i="13"/>
  <c r="O22" i="14" s="1"/>
  <c r="D22" i="13"/>
  <c r="D22" i="14" s="1"/>
  <c r="I22" i="13"/>
  <c r="I22" i="14" s="1"/>
  <c r="H22" i="13"/>
  <c r="H22" i="14" s="1"/>
  <c r="Q22" i="13"/>
  <c r="Q22" i="14" s="1"/>
  <c r="C22" i="13"/>
  <c r="C22" i="14" s="1"/>
  <c r="E22" i="13"/>
  <c r="E22" i="14" s="1"/>
  <c r="O330" i="13"/>
  <c r="O330" i="14" s="1"/>
  <c r="H330" i="13"/>
  <c r="H330" i="14" s="1"/>
  <c r="N330" i="13"/>
  <c r="N330" i="14" s="1"/>
  <c r="J330" i="13"/>
  <c r="J330" i="14" s="1"/>
  <c r="G330" i="13"/>
  <c r="G330" i="14" s="1"/>
  <c r="S330" i="13"/>
  <c r="S330" i="14" s="1"/>
  <c r="M330" i="13"/>
  <c r="M330" i="14" s="1"/>
  <c r="K330" i="13"/>
  <c r="K330" i="14" s="1"/>
  <c r="D330" i="13"/>
  <c r="D330" i="14" s="1"/>
  <c r="R330" i="13"/>
  <c r="R330" i="14" s="1"/>
  <c r="Q330" i="13"/>
  <c r="Q330" i="14" s="1"/>
  <c r="I330" i="13"/>
  <c r="I330" i="14" s="1"/>
  <c r="L330" i="13"/>
  <c r="L330" i="14" s="1"/>
  <c r="F330" i="13"/>
  <c r="F330" i="14" s="1"/>
  <c r="C330" i="13"/>
  <c r="C330" i="14" s="1"/>
  <c r="E330" i="13"/>
  <c r="E330" i="14" s="1"/>
  <c r="M95" i="13"/>
  <c r="M95" i="14" s="1"/>
  <c r="K95" i="13"/>
  <c r="K95" i="14" s="1"/>
  <c r="R95" i="13"/>
  <c r="R95" i="14" s="1"/>
  <c r="F95" i="13"/>
  <c r="F95" i="14" s="1"/>
  <c r="L95" i="13"/>
  <c r="L95" i="14" s="1"/>
  <c r="Q95" i="13"/>
  <c r="Q95" i="14" s="1"/>
  <c r="I95" i="13"/>
  <c r="I95" i="14" s="1"/>
  <c r="D95" i="13"/>
  <c r="D95" i="14" s="1"/>
  <c r="O95" i="13"/>
  <c r="O95" i="14" s="1"/>
  <c r="S95" i="13"/>
  <c r="S95" i="14" s="1"/>
  <c r="N95" i="13"/>
  <c r="N95" i="14" s="1"/>
  <c r="J95" i="13"/>
  <c r="J95" i="14" s="1"/>
  <c r="G95" i="13"/>
  <c r="G95" i="14" s="1"/>
  <c r="H95" i="13"/>
  <c r="H95" i="14" s="1"/>
  <c r="E95" i="13"/>
  <c r="E95" i="14" s="1"/>
  <c r="C95" i="13"/>
  <c r="C95" i="14" s="1"/>
  <c r="S32" i="13"/>
  <c r="S32" i="14" s="1"/>
  <c r="G32" i="13"/>
  <c r="G32" i="14" s="1"/>
  <c r="N32" i="13"/>
  <c r="N32" i="14" s="1"/>
  <c r="J32" i="13"/>
  <c r="J32" i="14" s="1"/>
  <c r="R32" i="13"/>
  <c r="R32" i="14" s="1"/>
  <c r="F32" i="13"/>
  <c r="F32" i="14" s="1"/>
  <c r="K32" i="13"/>
  <c r="K32" i="14" s="1"/>
  <c r="Q32" i="13"/>
  <c r="Q32" i="14" s="1"/>
  <c r="I32" i="13"/>
  <c r="I32" i="14" s="1"/>
  <c r="M32" i="13"/>
  <c r="M32" i="14" s="1"/>
  <c r="D32" i="13"/>
  <c r="D32" i="14" s="1"/>
  <c r="L32" i="13"/>
  <c r="L32" i="14" s="1"/>
  <c r="H32" i="13"/>
  <c r="H32" i="14" s="1"/>
  <c r="O32" i="13"/>
  <c r="O32" i="14" s="1"/>
  <c r="C32" i="13"/>
  <c r="C32" i="14" s="1"/>
  <c r="E32" i="13"/>
  <c r="E32" i="14" s="1"/>
  <c r="D352" i="13"/>
  <c r="D352" i="14" s="1"/>
  <c r="S352" i="13"/>
  <c r="S352" i="14" s="1"/>
  <c r="G352" i="13"/>
  <c r="G352" i="14" s="1"/>
  <c r="J352" i="13"/>
  <c r="J352" i="14" s="1"/>
  <c r="N352" i="13"/>
  <c r="N352" i="14" s="1"/>
  <c r="O352" i="13"/>
  <c r="O352" i="14" s="1"/>
  <c r="R352" i="13"/>
  <c r="R352" i="14" s="1"/>
  <c r="F352" i="13"/>
  <c r="F352" i="14" s="1"/>
  <c r="H352" i="13"/>
  <c r="H352" i="14" s="1"/>
  <c r="M352" i="13"/>
  <c r="M352" i="14" s="1"/>
  <c r="Q352" i="13"/>
  <c r="Q352" i="14" s="1"/>
  <c r="L352" i="13"/>
  <c r="L352" i="14" s="1"/>
  <c r="K352" i="13"/>
  <c r="K352" i="14" s="1"/>
  <c r="I352" i="13"/>
  <c r="I352" i="14" s="1"/>
  <c r="C352" i="13"/>
  <c r="C352" i="14" s="1"/>
  <c r="E352" i="13"/>
  <c r="E352" i="14" s="1"/>
  <c r="H390" i="13"/>
  <c r="H390" i="14" s="1"/>
  <c r="O390" i="13"/>
  <c r="O390" i="14" s="1"/>
  <c r="N390" i="13"/>
  <c r="N390" i="14" s="1"/>
  <c r="J390" i="13"/>
  <c r="J390" i="14" s="1"/>
  <c r="S390" i="13"/>
  <c r="S390" i="14" s="1"/>
  <c r="G390" i="13"/>
  <c r="G390" i="14" s="1"/>
  <c r="D390" i="13"/>
  <c r="D390" i="14" s="1"/>
  <c r="M390" i="13"/>
  <c r="M390" i="14" s="1"/>
  <c r="K390" i="13"/>
  <c r="K390" i="14" s="1"/>
  <c r="F390" i="13"/>
  <c r="F390" i="14" s="1"/>
  <c r="L390" i="13"/>
  <c r="L390" i="14" s="1"/>
  <c r="R390" i="13"/>
  <c r="R390" i="14" s="1"/>
  <c r="Q390" i="13"/>
  <c r="Q390" i="14" s="1"/>
  <c r="I390" i="13"/>
  <c r="I390" i="14" s="1"/>
  <c r="C390" i="13"/>
  <c r="C390" i="14" s="1"/>
  <c r="E390" i="13"/>
  <c r="E390" i="14" s="1"/>
  <c r="M121" i="13"/>
  <c r="M121" i="14" s="1"/>
  <c r="K121" i="13"/>
  <c r="K121" i="14" s="1"/>
  <c r="R121" i="13"/>
  <c r="R121" i="14" s="1"/>
  <c r="F121" i="13"/>
  <c r="F121" i="14" s="1"/>
  <c r="L121" i="13"/>
  <c r="L121" i="14" s="1"/>
  <c r="Q121" i="13"/>
  <c r="Q121" i="14" s="1"/>
  <c r="I121" i="13"/>
  <c r="I121" i="14" s="1"/>
  <c r="D121" i="13"/>
  <c r="D121" i="14" s="1"/>
  <c r="H121" i="13"/>
  <c r="H121" i="14" s="1"/>
  <c r="O121" i="13"/>
  <c r="O121" i="14" s="1"/>
  <c r="S121" i="13"/>
  <c r="S121" i="14" s="1"/>
  <c r="N121" i="13"/>
  <c r="N121" i="14" s="1"/>
  <c r="J121" i="13"/>
  <c r="J121" i="14" s="1"/>
  <c r="G121" i="13"/>
  <c r="G121" i="14" s="1"/>
  <c r="C121" i="13"/>
  <c r="C121" i="14" s="1"/>
  <c r="E121" i="13"/>
  <c r="E121" i="14" s="1"/>
  <c r="D332" i="13"/>
  <c r="D332" i="14" s="1"/>
  <c r="S332" i="13"/>
  <c r="S332" i="14" s="1"/>
  <c r="G332" i="13"/>
  <c r="G332" i="14" s="1"/>
  <c r="J332" i="13"/>
  <c r="J332" i="14" s="1"/>
  <c r="N332" i="13"/>
  <c r="N332" i="14" s="1"/>
  <c r="H332" i="13"/>
  <c r="H332" i="14" s="1"/>
  <c r="R332" i="13"/>
  <c r="R332" i="14" s="1"/>
  <c r="F332" i="13"/>
  <c r="F332" i="14" s="1"/>
  <c r="M332" i="13"/>
  <c r="M332" i="14" s="1"/>
  <c r="I332" i="13"/>
  <c r="I332" i="14" s="1"/>
  <c r="L332" i="13"/>
  <c r="L332" i="14" s="1"/>
  <c r="Q332" i="13"/>
  <c r="Q332" i="14" s="1"/>
  <c r="O332" i="13"/>
  <c r="O332" i="14" s="1"/>
  <c r="K332" i="13"/>
  <c r="K332" i="14" s="1"/>
  <c r="C332" i="13"/>
  <c r="C332" i="14" s="1"/>
  <c r="E332" i="13"/>
  <c r="E332" i="14" s="1"/>
  <c r="Q23" i="13"/>
  <c r="Q23" i="14" s="1"/>
  <c r="I23" i="13"/>
  <c r="I23" i="14" s="1"/>
  <c r="L23" i="13"/>
  <c r="L23" i="14" s="1"/>
  <c r="O23" i="13"/>
  <c r="O23" i="14" s="1"/>
  <c r="H23" i="13"/>
  <c r="H23" i="14" s="1"/>
  <c r="N23" i="13"/>
  <c r="N23" i="14" s="1"/>
  <c r="J23" i="13"/>
  <c r="J23" i="14" s="1"/>
  <c r="D23" i="13"/>
  <c r="D23" i="14" s="1"/>
  <c r="S23" i="13"/>
  <c r="S23" i="14" s="1"/>
  <c r="F23" i="13"/>
  <c r="F23" i="14" s="1"/>
  <c r="M23" i="13"/>
  <c r="M23" i="14" s="1"/>
  <c r="R23" i="13"/>
  <c r="R23" i="14" s="1"/>
  <c r="G23" i="13"/>
  <c r="G23" i="14" s="1"/>
  <c r="K23" i="13"/>
  <c r="K23" i="14" s="1"/>
  <c r="E23" i="13"/>
  <c r="E23" i="14" s="1"/>
  <c r="C23" i="13"/>
  <c r="C23" i="14" s="1"/>
  <c r="D120" i="13"/>
  <c r="D120" i="14" s="1"/>
  <c r="O120" i="13"/>
  <c r="O120" i="14" s="1"/>
  <c r="H120" i="13"/>
  <c r="H120" i="14" s="1"/>
  <c r="S120" i="13"/>
  <c r="S120" i="14" s="1"/>
  <c r="G120" i="13"/>
  <c r="G120" i="14" s="1"/>
  <c r="N120" i="13"/>
  <c r="N120" i="14" s="1"/>
  <c r="J120" i="13"/>
  <c r="J120" i="14" s="1"/>
  <c r="R120" i="13"/>
  <c r="R120" i="14" s="1"/>
  <c r="F120" i="13"/>
  <c r="F120" i="14" s="1"/>
  <c r="I120" i="13"/>
  <c r="I120" i="14" s="1"/>
  <c r="L120" i="13"/>
  <c r="L120" i="14" s="1"/>
  <c r="Q120" i="13"/>
  <c r="Q120" i="14" s="1"/>
  <c r="K120" i="13"/>
  <c r="K120" i="14" s="1"/>
  <c r="M120" i="13"/>
  <c r="M120" i="14" s="1"/>
  <c r="C120" i="13"/>
  <c r="C120" i="14" s="1"/>
  <c r="E120" i="13"/>
  <c r="E120" i="14" s="1"/>
  <c r="S73" i="13"/>
  <c r="S73" i="14" s="1"/>
  <c r="D73" i="13"/>
  <c r="D73" i="14" s="1"/>
  <c r="N73" i="13"/>
  <c r="N73" i="14" s="1"/>
  <c r="H73" i="13"/>
  <c r="H73" i="14" s="1"/>
  <c r="R73" i="13"/>
  <c r="R73" i="14" s="1"/>
  <c r="G73" i="13"/>
  <c r="G73" i="14" s="1"/>
  <c r="M73" i="13"/>
  <c r="M73" i="14" s="1"/>
  <c r="J73" i="13"/>
  <c r="J73" i="14" s="1"/>
  <c r="Q73" i="13"/>
  <c r="Q73" i="14" s="1"/>
  <c r="F73" i="13"/>
  <c r="F73" i="14" s="1"/>
  <c r="L73" i="13"/>
  <c r="L73" i="14" s="1"/>
  <c r="K73" i="13"/>
  <c r="K73" i="14" s="1"/>
  <c r="I73" i="13"/>
  <c r="I73" i="14" s="1"/>
  <c r="E73" i="13"/>
  <c r="E73" i="14" s="1"/>
  <c r="O73" i="13"/>
  <c r="O73" i="14" s="1"/>
  <c r="C73" i="13"/>
  <c r="C73" i="14" s="1"/>
  <c r="K425" i="13"/>
  <c r="K425" i="14" s="1"/>
  <c r="M425" i="13"/>
  <c r="M425" i="14" s="1"/>
  <c r="L425" i="13"/>
  <c r="L425" i="14" s="1"/>
  <c r="Q425" i="13"/>
  <c r="Q425" i="14" s="1"/>
  <c r="I425" i="13"/>
  <c r="I425" i="14" s="1"/>
  <c r="F425" i="13"/>
  <c r="F425" i="14" s="1"/>
  <c r="D425" i="13"/>
  <c r="D425" i="14" s="1"/>
  <c r="S425" i="13"/>
  <c r="S425" i="14" s="1"/>
  <c r="H425" i="13"/>
  <c r="H425" i="14" s="1"/>
  <c r="N425" i="13"/>
  <c r="N425" i="14" s="1"/>
  <c r="J425" i="13"/>
  <c r="J425" i="14" s="1"/>
  <c r="O425" i="13"/>
  <c r="O425" i="14" s="1"/>
  <c r="R425" i="13"/>
  <c r="R425" i="14" s="1"/>
  <c r="G425" i="13"/>
  <c r="G425" i="14" s="1"/>
  <c r="C425" i="13"/>
  <c r="C425" i="14" s="1"/>
  <c r="E425" i="13"/>
  <c r="E425" i="14" s="1"/>
  <c r="D128" i="13"/>
  <c r="D128" i="14" s="1"/>
  <c r="O128" i="13"/>
  <c r="O128" i="14" s="1"/>
  <c r="H128" i="13"/>
  <c r="H128" i="14" s="1"/>
  <c r="S128" i="13"/>
  <c r="S128" i="14" s="1"/>
  <c r="G128" i="13"/>
  <c r="G128" i="14" s="1"/>
  <c r="N128" i="13"/>
  <c r="N128" i="14" s="1"/>
  <c r="J128" i="13"/>
  <c r="J128" i="14" s="1"/>
  <c r="R128" i="13"/>
  <c r="R128" i="14" s="1"/>
  <c r="F128" i="13"/>
  <c r="F128" i="14" s="1"/>
  <c r="M128" i="13"/>
  <c r="M128" i="14" s="1"/>
  <c r="K128" i="13"/>
  <c r="K128" i="14" s="1"/>
  <c r="I128" i="13"/>
  <c r="I128" i="14" s="1"/>
  <c r="L128" i="13"/>
  <c r="L128" i="14" s="1"/>
  <c r="Q128" i="13"/>
  <c r="Q128" i="14" s="1"/>
  <c r="C128" i="13"/>
  <c r="C128" i="14" s="1"/>
  <c r="E128" i="13"/>
  <c r="E128" i="14" s="1"/>
  <c r="O84" i="13"/>
  <c r="O84" i="14" s="1"/>
  <c r="H84" i="13"/>
  <c r="H84" i="14" s="1"/>
  <c r="D84" i="13"/>
  <c r="D84" i="14" s="1"/>
  <c r="N84" i="13"/>
  <c r="N84" i="14" s="1"/>
  <c r="J84" i="13"/>
  <c r="J84" i="14" s="1"/>
  <c r="S84" i="13"/>
  <c r="S84" i="14" s="1"/>
  <c r="G84" i="13"/>
  <c r="G84" i="14" s="1"/>
  <c r="M84" i="13"/>
  <c r="M84" i="14" s="1"/>
  <c r="K84" i="13"/>
  <c r="K84" i="14" s="1"/>
  <c r="R84" i="13"/>
  <c r="R84" i="14" s="1"/>
  <c r="I84" i="13"/>
  <c r="I84" i="14" s="1"/>
  <c r="Q84" i="13"/>
  <c r="Q84" i="14" s="1"/>
  <c r="F84" i="13"/>
  <c r="F84" i="14" s="1"/>
  <c r="L84" i="13"/>
  <c r="L84" i="14" s="1"/>
  <c r="C84" i="13"/>
  <c r="C84" i="14" s="1"/>
  <c r="E84" i="13"/>
  <c r="E84" i="14" s="1"/>
  <c r="Q31" i="13"/>
  <c r="Q31" i="14" s="1"/>
  <c r="I31" i="13"/>
  <c r="I31" i="14" s="1"/>
  <c r="L31" i="13"/>
  <c r="L31" i="14" s="1"/>
  <c r="O31" i="13"/>
  <c r="O31" i="14" s="1"/>
  <c r="H31" i="13"/>
  <c r="H31" i="14" s="1"/>
  <c r="D31" i="13"/>
  <c r="D31" i="14" s="1"/>
  <c r="N31" i="13"/>
  <c r="N31" i="14" s="1"/>
  <c r="J31" i="13"/>
  <c r="J31" i="14" s="1"/>
  <c r="F31" i="13"/>
  <c r="F31" i="14" s="1"/>
  <c r="G31" i="13"/>
  <c r="G31" i="14" s="1"/>
  <c r="R31" i="13"/>
  <c r="R31" i="14" s="1"/>
  <c r="K31" i="13"/>
  <c r="K31" i="14" s="1"/>
  <c r="S31" i="13"/>
  <c r="S31" i="14" s="1"/>
  <c r="M31" i="13"/>
  <c r="M31" i="14" s="1"/>
  <c r="C31" i="13"/>
  <c r="C31" i="14" s="1"/>
  <c r="E31" i="13"/>
  <c r="E31" i="14" s="1"/>
  <c r="S68" i="13"/>
  <c r="S68" i="14" s="1"/>
  <c r="G68" i="13"/>
  <c r="G68" i="14" s="1"/>
  <c r="N68" i="13"/>
  <c r="N68" i="14" s="1"/>
  <c r="J68" i="13"/>
  <c r="J68" i="14" s="1"/>
  <c r="R68" i="13"/>
  <c r="R68" i="14" s="1"/>
  <c r="F68" i="13"/>
  <c r="F68" i="14" s="1"/>
  <c r="M68" i="13"/>
  <c r="M68" i="14" s="1"/>
  <c r="K68" i="13"/>
  <c r="K68" i="14" s="1"/>
  <c r="Q68" i="13"/>
  <c r="Q68" i="14" s="1"/>
  <c r="I68" i="13"/>
  <c r="I68" i="14" s="1"/>
  <c r="L68" i="13"/>
  <c r="L68" i="14" s="1"/>
  <c r="O68" i="13"/>
  <c r="O68" i="14" s="1"/>
  <c r="D68" i="13"/>
  <c r="D68" i="14" s="1"/>
  <c r="H68" i="13"/>
  <c r="H68" i="14" s="1"/>
  <c r="E68" i="13"/>
  <c r="E68" i="14" s="1"/>
  <c r="C68" i="13"/>
  <c r="C68" i="14" s="1"/>
  <c r="D362" i="13"/>
  <c r="D362" i="14" s="1"/>
  <c r="H362" i="13"/>
  <c r="H362" i="14" s="1"/>
  <c r="N362" i="13"/>
  <c r="N362" i="14" s="1"/>
  <c r="J362" i="13"/>
  <c r="J362" i="14" s="1"/>
  <c r="G362" i="13"/>
  <c r="G362" i="14" s="1"/>
  <c r="S362" i="13"/>
  <c r="S362" i="14" s="1"/>
  <c r="M362" i="13"/>
  <c r="M362" i="14" s="1"/>
  <c r="K362" i="13"/>
  <c r="K362" i="14" s="1"/>
  <c r="L362" i="13"/>
  <c r="L362" i="14" s="1"/>
  <c r="O362" i="13"/>
  <c r="O362" i="14" s="1"/>
  <c r="F362" i="13"/>
  <c r="F362" i="14" s="1"/>
  <c r="Q362" i="13"/>
  <c r="Q362" i="14" s="1"/>
  <c r="I362" i="13"/>
  <c r="I362" i="14" s="1"/>
  <c r="R362" i="13"/>
  <c r="R362" i="14" s="1"/>
  <c r="C362" i="13"/>
  <c r="C362" i="14" s="1"/>
  <c r="E362" i="13"/>
  <c r="E362" i="14" s="1"/>
  <c r="O370" i="13"/>
  <c r="O370" i="14" s="1"/>
  <c r="H370" i="13"/>
  <c r="H370" i="14" s="1"/>
  <c r="N370" i="13"/>
  <c r="N370" i="14" s="1"/>
  <c r="J370" i="13"/>
  <c r="J370" i="14" s="1"/>
  <c r="S370" i="13"/>
  <c r="S370" i="14" s="1"/>
  <c r="G370" i="13"/>
  <c r="G370" i="14" s="1"/>
  <c r="M370" i="13"/>
  <c r="M370" i="14" s="1"/>
  <c r="K370" i="13"/>
  <c r="K370" i="14" s="1"/>
  <c r="D370" i="13"/>
  <c r="D370" i="14" s="1"/>
  <c r="R370" i="13"/>
  <c r="R370" i="14" s="1"/>
  <c r="F370" i="13"/>
  <c r="F370" i="14" s="1"/>
  <c r="L370" i="13"/>
  <c r="L370" i="14" s="1"/>
  <c r="Q370" i="13"/>
  <c r="Q370" i="14" s="1"/>
  <c r="I370" i="13"/>
  <c r="I370" i="14" s="1"/>
  <c r="C370" i="13"/>
  <c r="C370" i="14" s="1"/>
  <c r="E370" i="13"/>
  <c r="E370" i="14" s="1"/>
  <c r="S52" i="13"/>
  <c r="S52" i="14" s="1"/>
  <c r="G52" i="13"/>
  <c r="G52" i="14" s="1"/>
  <c r="N52" i="13"/>
  <c r="N52" i="14" s="1"/>
  <c r="J52" i="13"/>
  <c r="J52" i="14" s="1"/>
  <c r="R52" i="13"/>
  <c r="R52" i="14" s="1"/>
  <c r="F52" i="13"/>
  <c r="F52" i="14" s="1"/>
  <c r="M52" i="13"/>
  <c r="M52" i="14" s="1"/>
  <c r="Q52" i="13"/>
  <c r="Q52" i="14" s="1"/>
  <c r="I52" i="13"/>
  <c r="I52" i="14" s="1"/>
  <c r="D52" i="13"/>
  <c r="D52" i="14" s="1"/>
  <c r="H52" i="13"/>
  <c r="H52" i="14" s="1"/>
  <c r="L52" i="13"/>
  <c r="L52" i="14" s="1"/>
  <c r="K52" i="13"/>
  <c r="K52" i="14" s="1"/>
  <c r="O52" i="13"/>
  <c r="O52" i="14" s="1"/>
  <c r="E52" i="13"/>
  <c r="E52" i="14" s="1"/>
  <c r="C52" i="13"/>
  <c r="C52" i="14" s="1"/>
  <c r="H334" i="13"/>
  <c r="H334" i="14" s="1"/>
  <c r="D334" i="13"/>
  <c r="D334" i="14" s="1"/>
  <c r="N334" i="13"/>
  <c r="N334" i="14" s="1"/>
  <c r="J334" i="13"/>
  <c r="J334" i="14" s="1"/>
  <c r="G334" i="13"/>
  <c r="G334" i="14" s="1"/>
  <c r="S334" i="13"/>
  <c r="S334" i="14" s="1"/>
  <c r="O334" i="13"/>
  <c r="O334" i="14" s="1"/>
  <c r="M334" i="13"/>
  <c r="M334" i="14" s="1"/>
  <c r="K334" i="13"/>
  <c r="K334" i="14" s="1"/>
  <c r="Q334" i="13"/>
  <c r="Q334" i="14" s="1"/>
  <c r="I334" i="13"/>
  <c r="I334" i="14" s="1"/>
  <c r="R334" i="13"/>
  <c r="R334" i="14" s="1"/>
  <c r="F334" i="13"/>
  <c r="F334" i="14" s="1"/>
  <c r="L334" i="13"/>
  <c r="L334" i="14" s="1"/>
  <c r="C334" i="13"/>
  <c r="C334" i="14" s="1"/>
  <c r="E334" i="13"/>
  <c r="E334" i="14" s="1"/>
  <c r="D246" i="13"/>
  <c r="D246" i="14" s="1"/>
  <c r="N246" i="13"/>
  <c r="N246" i="14" s="1"/>
  <c r="J246" i="13"/>
  <c r="J246" i="14" s="1"/>
  <c r="S246" i="13"/>
  <c r="S246" i="14" s="1"/>
  <c r="G246" i="13"/>
  <c r="G246" i="14" s="1"/>
  <c r="H246" i="13"/>
  <c r="H246" i="14" s="1"/>
  <c r="R246" i="13"/>
  <c r="R246" i="14" s="1"/>
  <c r="F246" i="13"/>
  <c r="F246" i="14" s="1"/>
  <c r="Q246" i="13"/>
  <c r="Q246" i="14" s="1"/>
  <c r="I246" i="13"/>
  <c r="I246" i="14" s="1"/>
  <c r="M246" i="13"/>
  <c r="M246" i="14" s="1"/>
  <c r="L246" i="13"/>
  <c r="L246" i="14" s="1"/>
  <c r="O246" i="13"/>
  <c r="O246" i="14" s="1"/>
  <c r="K246" i="13"/>
  <c r="K246" i="14" s="1"/>
  <c r="C246" i="13"/>
  <c r="C246" i="14" s="1"/>
  <c r="E246" i="13"/>
  <c r="E246" i="14" s="1"/>
  <c r="S36" i="13"/>
  <c r="S36" i="14" s="1"/>
  <c r="G36" i="13"/>
  <c r="G36" i="14" s="1"/>
  <c r="N36" i="13"/>
  <c r="N36" i="14" s="1"/>
  <c r="J36" i="13"/>
  <c r="J36" i="14" s="1"/>
  <c r="R36" i="13"/>
  <c r="R36" i="14" s="1"/>
  <c r="F36" i="13"/>
  <c r="F36" i="14" s="1"/>
  <c r="K36" i="13"/>
  <c r="K36" i="14" s="1"/>
  <c r="M36" i="13"/>
  <c r="M36" i="14" s="1"/>
  <c r="Q36" i="13"/>
  <c r="Q36" i="14" s="1"/>
  <c r="I36" i="13"/>
  <c r="I36" i="14" s="1"/>
  <c r="D36" i="13"/>
  <c r="D36" i="14" s="1"/>
  <c r="O36" i="13"/>
  <c r="O36" i="14" s="1"/>
  <c r="L36" i="13"/>
  <c r="L36" i="14" s="1"/>
  <c r="H36" i="13"/>
  <c r="H36" i="14" s="1"/>
  <c r="E36" i="13"/>
  <c r="E36" i="14" s="1"/>
  <c r="C36" i="13"/>
  <c r="C36" i="14" s="1"/>
  <c r="O364" i="13"/>
  <c r="O364" i="14" s="1"/>
  <c r="H364" i="13"/>
  <c r="H364" i="14" s="1"/>
  <c r="S364" i="13"/>
  <c r="S364" i="14" s="1"/>
  <c r="G364" i="13"/>
  <c r="G364" i="14" s="1"/>
  <c r="N364" i="13"/>
  <c r="N364" i="14" s="1"/>
  <c r="J364" i="13"/>
  <c r="J364" i="14" s="1"/>
  <c r="D364" i="13"/>
  <c r="D364" i="14" s="1"/>
  <c r="R364" i="13"/>
  <c r="R364" i="14" s="1"/>
  <c r="F364" i="13"/>
  <c r="F364" i="14" s="1"/>
  <c r="K364" i="13"/>
  <c r="K364" i="14" s="1"/>
  <c r="Q364" i="13"/>
  <c r="Q364" i="14" s="1"/>
  <c r="M364" i="13"/>
  <c r="M364" i="14" s="1"/>
  <c r="L364" i="13"/>
  <c r="L364" i="14" s="1"/>
  <c r="I364" i="13"/>
  <c r="I364" i="14" s="1"/>
  <c r="C364" i="13"/>
  <c r="C364" i="14" s="1"/>
  <c r="E364" i="13"/>
  <c r="E364" i="14" s="1"/>
  <c r="M403" i="13"/>
  <c r="M403" i="14" s="1"/>
  <c r="K403" i="13"/>
  <c r="K403" i="14" s="1"/>
  <c r="Q403" i="13"/>
  <c r="Q403" i="14" s="1"/>
  <c r="I403" i="13"/>
  <c r="I403" i="14" s="1"/>
  <c r="L403" i="13"/>
  <c r="L403" i="14" s="1"/>
  <c r="F403" i="13"/>
  <c r="F403" i="14" s="1"/>
  <c r="O403" i="13"/>
  <c r="O403" i="14" s="1"/>
  <c r="H403" i="13"/>
  <c r="H403" i="14" s="1"/>
  <c r="R403" i="13"/>
  <c r="R403" i="14" s="1"/>
  <c r="D403" i="13"/>
  <c r="D403" i="14" s="1"/>
  <c r="J403" i="13"/>
  <c r="J403" i="14" s="1"/>
  <c r="S403" i="13"/>
  <c r="S403" i="14" s="1"/>
  <c r="G403" i="13"/>
  <c r="G403" i="14" s="1"/>
  <c r="N403" i="13"/>
  <c r="N403" i="14" s="1"/>
  <c r="C403" i="13"/>
  <c r="C403" i="14" s="1"/>
  <c r="E403" i="13"/>
  <c r="E403" i="14" s="1"/>
  <c r="H380" i="13"/>
  <c r="H380" i="14" s="1"/>
  <c r="O380" i="13"/>
  <c r="O380" i="14" s="1"/>
  <c r="S380" i="13"/>
  <c r="S380" i="14" s="1"/>
  <c r="G380" i="13"/>
  <c r="G380" i="14" s="1"/>
  <c r="N380" i="13"/>
  <c r="N380" i="14" s="1"/>
  <c r="J380" i="13"/>
  <c r="J380" i="14" s="1"/>
  <c r="R380" i="13"/>
  <c r="R380" i="14" s="1"/>
  <c r="F380" i="13"/>
  <c r="F380" i="14" s="1"/>
  <c r="D380" i="13"/>
  <c r="D380" i="14" s="1"/>
  <c r="K380" i="13"/>
  <c r="K380" i="14" s="1"/>
  <c r="L380" i="13"/>
  <c r="L380" i="14" s="1"/>
  <c r="I380" i="13"/>
  <c r="I380" i="14" s="1"/>
  <c r="M380" i="13"/>
  <c r="M380" i="14" s="1"/>
  <c r="Q380" i="13"/>
  <c r="Q380" i="14" s="1"/>
  <c r="C380" i="13"/>
  <c r="C380" i="14" s="1"/>
  <c r="E380" i="13"/>
  <c r="E380" i="14" s="1"/>
  <c r="D404" i="13"/>
  <c r="D404" i="14" s="1"/>
  <c r="H404" i="13"/>
  <c r="H404" i="14" s="1"/>
  <c r="S404" i="13"/>
  <c r="S404" i="14" s="1"/>
  <c r="G404" i="13"/>
  <c r="G404" i="14" s="1"/>
  <c r="N404" i="13"/>
  <c r="N404" i="14" s="1"/>
  <c r="J404" i="13"/>
  <c r="J404" i="14" s="1"/>
  <c r="O404" i="13"/>
  <c r="O404" i="14" s="1"/>
  <c r="R404" i="13"/>
  <c r="R404" i="14" s="1"/>
  <c r="F404" i="13"/>
  <c r="F404" i="14" s="1"/>
  <c r="K404" i="13"/>
  <c r="K404" i="14" s="1"/>
  <c r="I404" i="13"/>
  <c r="I404" i="14" s="1"/>
  <c r="M404" i="13"/>
  <c r="M404" i="14" s="1"/>
  <c r="L404" i="13"/>
  <c r="L404" i="14" s="1"/>
  <c r="Q404" i="13"/>
  <c r="Q404" i="14" s="1"/>
  <c r="C404" i="13"/>
  <c r="C404" i="14" s="1"/>
  <c r="E404" i="13"/>
  <c r="E404" i="14" s="1"/>
  <c r="M319" i="13"/>
  <c r="M319" i="14" s="1"/>
  <c r="K319" i="13"/>
  <c r="K319" i="14" s="1"/>
  <c r="Q319" i="13"/>
  <c r="Q319" i="14" s="1"/>
  <c r="I319" i="13"/>
  <c r="I319" i="14" s="1"/>
  <c r="L319" i="13"/>
  <c r="L319" i="14" s="1"/>
  <c r="F319" i="13"/>
  <c r="F319" i="14" s="1"/>
  <c r="O319" i="13"/>
  <c r="O319" i="14" s="1"/>
  <c r="H319" i="13"/>
  <c r="H319" i="14" s="1"/>
  <c r="D319" i="13"/>
  <c r="D319" i="14" s="1"/>
  <c r="J319" i="13"/>
  <c r="J319" i="14" s="1"/>
  <c r="S319" i="13"/>
  <c r="S319" i="14" s="1"/>
  <c r="G319" i="13"/>
  <c r="G319" i="14" s="1"/>
  <c r="R319" i="13"/>
  <c r="R319" i="14" s="1"/>
  <c r="N319" i="13"/>
  <c r="N319" i="14" s="1"/>
  <c r="C319" i="13"/>
  <c r="C319" i="14" s="1"/>
  <c r="E319" i="13"/>
  <c r="E319" i="14" s="1"/>
  <c r="S56" i="13"/>
  <c r="S56" i="14" s="1"/>
  <c r="G56" i="13"/>
  <c r="G56" i="14" s="1"/>
  <c r="N56" i="13"/>
  <c r="N56" i="14" s="1"/>
  <c r="J56" i="13"/>
  <c r="J56" i="14" s="1"/>
  <c r="R56" i="13"/>
  <c r="R56" i="14" s="1"/>
  <c r="F56" i="13"/>
  <c r="F56" i="14" s="1"/>
  <c r="Q56" i="13"/>
  <c r="Q56" i="14" s="1"/>
  <c r="I56" i="13"/>
  <c r="I56" i="14" s="1"/>
  <c r="K56" i="13"/>
  <c r="K56" i="14" s="1"/>
  <c r="D56" i="13"/>
  <c r="D56" i="14" s="1"/>
  <c r="H56" i="13"/>
  <c r="H56" i="14" s="1"/>
  <c r="L56" i="13"/>
  <c r="L56" i="14" s="1"/>
  <c r="M56" i="13"/>
  <c r="M56" i="14" s="1"/>
  <c r="O56" i="13"/>
  <c r="O56" i="14" s="1"/>
  <c r="C56" i="13"/>
  <c r="C56" i="14" s="1"/>
  <c r="E56" i="13"/>
  <c r="E56" i="14" s="1"/>
  <c r="M419" i="13"/>
  <c r="M419" i="14" s="1"/>
  <c r="Q419" i="13"/>
  <c r="Q419" i="14" s="1"/>
  <c r="I419" i="13"/>
  <c r="I419" i="14" s="1"/>
  <c r="L419" i="13"/>
  <c r="L419" i="14" s="1"/>
  <c r="F419" i="13"/>
  <c r="F419" i="14" s="1"/>
  <c r="O419" i="13"/>
  <c r="O419" i="14" s="1"/>
  <c r="H419" i="13"/>
  <c r="H419" i="14" s="1"/>
  <c r="N419" i="13"/>
  <c r="N419" i="14" s="1"/>
  <c r="K419" i="13"/>
  <c r="K419" i="14" s="1"/>
  <c r="S419" i="13"/>
  <c r="S419" i="14" s="1"/>
  <c r="G419" i="13"/>
  <c r="G419" i="14" s="1"/>
  <c r="D419" i="13"/>
  <c r="D419" i="14" s="1"/>
  <c r="R419" i="13"/>
  <c r="R419" i="14" s="1"/>
  <c r="J419" i="13"/>
  <c r="J419" i="14" s="1"/>
  <c r="C419" i="13"/>
  <c r="C419" i="14" s="1"/>
  <c r="E419" i="13"/>
  <c r="E419" i="14" s="1"/>
  <c r="N34" i="13"/>
  <c r="N34" i="14" s="1"/>
  <c r="J34" i="13"/>
  <c r="J34" i="14" s="1"/>
  <c r="S34" i="13"/>
  <c r="S34" i="14" s="1"/>
  <c r="G34" i="13"/>
  <c r="G34" i="14" s="1"/>
  <c r="M34" i="13"/>
  <c r="M34" i="14" s="1"/>
  <c r="K34" i="13"/>
  <c r="K34" i="14" s="1"/>
  <c r="F34" i="13"/>
  <c r="F34" i="14" s="1"/>
  <c r="L34" i="13"/>
  <c r="L34" i="14" s="1"/>
  <c r="R34" i="13"/>
  <c r="R34" i="14" s="1"/>
  <c r="H34" i="13"/>
  <c r="H34" i="14" s="1"/>
  <c r="O34" i="13"/>
  <c r="O34" i="14" s="1"/>
  <c r="I34" i="13"/>
  <c r="I34" i="14" s="1"/>
  <c r="Q34" i="13"/>
  <c r="Q34" i="14" s="1"/>
  <c r="D34" i="13"/>
  <c r="D34" i="14" s="1"/>
  <c r="E34" i="13"/>
  <c r="E34" i="14" s="1"/>
  <c r="C34" i="13"/>
  <c r="C34" i="14" s="1"/>
  <c r="F417" i="13"/>
  <c r="F417" i="14" s="1"/>
  <c r="M417" i="13"/>
  <c r="M417" i="14" s="1"/>
  <c r="L417" i="13"/>
  <c r="L417" i="14" s="1"/>
  <c r="Q417" i="13"/>
  <c r="Q417" i="14" s="1"/>
  <c r="I417" i="13"/>
  <c r="I417" i="14" s="1"/>
  <c r="K417" i="13"/>
  <c r="K417" i="14" s="1"/>
  <c r="D417" i="13"/>
  <c r="D417" i="14" s="1"/>
  <c r="R417" i="13"/>
  <c r="R417" i="14" s="1"/>
  <c r="O417" i="13"/>
  <c r="O417" i="14" s="1"/>
  <c r="S417" i="13"/>
  <c r="S417" i="14" s="1"/>
  <c r="N417" i="13"/>
  <c r="N417" i="14" s="1"/>
  <c r="J417" i="13"/>
  <c r="J417" i="14" s="1"/>
  <c r="H417" i="13"/>
  <c r="H417" i="14" s="1"/>
  <c r="G417" i="13"/>
  <c r="G417" i="14" s="1"/>
  <c r="C417" i="13"/>
  <c r="C417" i="14" s="1"/>
  <c r="E417" i="13"/>
  <c r="E417" i="14" s="1"/>
  <c r="R167" i="13"/>
  <c r="R167" i="14" s="1"/>
  <c r="F167" i="13"/>
  <c r="F167" i="14" s="1"/>
  <c r="M167" i="13"/>
  <c r="M167" i="14" s="1"/>
  <c r="K167" i="13"/>
  <c r="K167" i="14" s="1"/>
  <c r="Q167" i="13"/>
  <c r="Q167" i="14" s="1"/>
  <c r="I167" i="13"/>
  <c r="I167" i="14" s="1"/>
  <c r="L167" i="13"/>
  <c r="L167" i="14" s="1"/>
  <c r="O167" i="13"/>
  <c r="O167" i="14" s="1"/>
  <c r="H167" i="13"/>
  <c r="H167" i="14" s="1"/>
  <c r="D167" i="13"/>
  <c r="D167" i="14" s="1"/>
  <c r="S167" i="13"/>
  <c r="S167" i="14" s="1"/>
  <c r="G167" i="13"/>
  <c r="G167" i="14" s="1"/>
  <c r="N167" i="13"/>
  <c r="N167" i="14" s="1"/>
  <c r="J167" i="13"/>
  <c r="J167" i="14" s="1"/>
  <c r="C167" i="13"/>
  <c r="C167" i="14" s="1"/>
  <c r="E167" i="13"/>
  <c r="E167" i="14" s="1"/>
  <c r="D268" i="13"/>
  <c r="D268" i="14" s="1"/>
  <c r="N268" i="13"/>
  <c r="N268" i="14" s="1"/>
  <c r="J268" i="13"/>
  <c r="J268" i="14" s="1"/>
  <c r="S268" i="13"/>
  <c r="S268" i="14" s="1"/>
  <c r="H268" i="13"/>
  <c r="H268" i="14" s="1"/>
  <c r="G268" i="13"/>
  <c r="G268" i="14" s="1"/>
  <c r="I268" i="13"/>
  <c r="I268" i="14" s="1"/>
  <c r="F268" i="13"/>
  <c r="F268" i="14" s="1"/>
  <c r="M268" i="13"/>
  <c r="M268" i="14" s="1"/>
  <c r="K268" i="13"/>
  <c r="K268" i="14" s="1"/>
  <c r="L268" i="13"/>
  <c r="L268" i="14" s="1"/>
  <c r="R268" i="13"/>
  <c r="R268" i="14" s="1"/>
  <c r="O268" i="13"/>
  <c r="O268" i="14" s="1"/>
  <c r="Q268" i="13"/>
  <c r="Q268" i="14" s="1"/>
  <c r="C268" i="13"/>
  <c r="C268" i="14" s="1"/>
  <c r="E268" i="13"/>
  <c r="E268" i="14" s="1"/>
  <c r="D176" i="13"/>
  <c r="D176" i="14" s="1"/>
  <c r="O176" i="13"/>
  <c r="O176" i="14" s="1"/>
  <c r="H176" i="13"/>
  <c r="H176" i="14" s="1"/>
  <c r="N176" i="13"/>
  <c r="N176" i="14" s="1"/>
  <c r="J176" i="13"/>
  <c r="J176" i="14" s="1"/>
  <c r="S176" i="13"/>
  <c r="S176" i="14" s="1"/>
  <c r="G176" i="13"/>
  <c r="G176" i="14" s="1"/>
  <c r="R176" i="13"/>
  <c r="R176" i="14" s="1"/>
  <c r="M176" i="13"/>
  <c r="M176" i="14" s="1"/>
  <c r="K176" i="13"/>
  <c r="K176" i="14" s="1"/>
  <c r="F176" i="13"/>
  <c r="F176" i="14" s="1"/>
  <c r="L176" i="13"/>
  <c r="L176" i="14" s="1"/>
  <c r="Q176" i="13"/>
  <c r="Q176" i="14" s="1"/>
  <c r="I176" i="13"/>
  <c r="I176" i="14" s="1"/>
  <c r="C176" i="13"/>
  <c r="C176" i="14" s="1"/>
  <c r="E176" i="13"/>
  <c r="E176" i="14" s="1"/>
  <c r="H222" i="13"/>
  <c r="H222" i="14" s="1"/>
  <c r="O222" i="13"/>
  <c r="O222" i="14" s="1"/>
  <c r="S222" i="13"/>
  <c r="S222" i="14" s="1"/>
  <c r="G222" i="13"/>
  <c r="G222" i="14" s="1"/>
  <c r="N222" i="13"/>
  <c r="N222" i="14" s="1"/>
  <c r="J222" i="13"/>
  <c r="J222" i="14" s="1"/>
  <c r="D222" i="13"/>
  <c r="D222" i="14" s="1"/>
  <c r="M222" i="13"/>
  <c r="M222" i="14" s="1"/>
  <c r="L222" i="13"/>
  <c r="L222" i="14" s="1"/>
  <c r="F222" i="13"/>
  <c r="F222" i="14" s="1"/>
  <c r="Q222" i="13"/>
  <c r="Q222" i="14" s="1"/>
  <c r="I222" i="13"/>
  <c r="I222" i="14" s="1"/>
  <c r="R222" i="13"/>
  <c r="R222" i="14" s="1"/>
  <c r="K222" i="13"/>
  <c r="K222" i="14" s="1"/>
  <c r="C222" i="13"/>
  <c r="C222" i="14" s="1"/>
  <c r="E222" i="13"/>
  <c r="E222" i="14" s="1"/>
  <c r="D286" i="13"/>
  <c r="D286" i="14" s="1"/>
  <c r="N286" i="13"/>
  <c r="N286" i="14" s="1"/>
  <c r="J286" i="13"/>
  <c r="J286" i="14" s="1"/>
  <c r="G286" i="13"/>
  <c r="G286" i="14" s="1"/>
  <c r="H286" i="13"/>
  <c r="H286" i="14" s="1"/>
  <c r="O286" i="13"/>
  <c r="O286" i="14" s="1"/>
  <c r="R286" i="13"/>
  <c r="R286" i="14" s="1"/>
  <c r="F286" i="13"/>
  <c r="F286" i="14" s="1"/>
  <c r="Q286" i="13"/>
  <c r="Q286" i="14" s="1"/>
  <c r="I286" i="13"/>
  <c r="I286" i="14" s="1"/>
  <c r="M286" i="13"/>
  <c r="M286" i="14" s="1"/>
  <c r="L286" i="13"/>
  <c r="L286" i="14" s="1"/>
  <c r="S286" i="13"/>
  <c r="S286" i="14" s="1"/>
  <c r="K286" i="13"/>
  <c r="K286" i="14" s="1"/>
  <c r="C286" i="13"/>
  <c r="C286" i="14" s="1"/>
  <c r="E286" i="13"/>
  <c r="E286" i="14" s="1"/>
  <c r="L13" i="13"/>
  <c r="L13" i="14" s="1"/>
  <c r="Q13" i="13"/>
  <c r="Q13" i="14" s="1"/>
  <c r="I13" i="13"/>
  <c r="I13" i="14" s="1"/>
  <c r="D13" i="13"/>
  <c r="D13" i="14" s="1"/>
  <c r="H13" i="13"/>
  <c r="H13" i="14" s="1"/>
  <c r="O13" i="13"/>
  <c r="O13" i="14" s="1"/>
  <c r="S13" i="13"/>
  <c r="S13" i="14" s="1"/>
  <c r="G13" i="13"/>
  <c r="G13" i="14" s="1"/>
  <c r="M13" i="13"/>
  <c r="M13" i="14" s="1"/>
  <c r="F13" i="13"/>
  <c r="F13" i="14" s="1"/>
  <c r="J13" i="13"/>
  <c r="J13" i="14" s="1"/>
  <c r="K13" i="13"/>
  <c r="K13" i="14" s="1"/>
  <c r="R13" i="13"/>
  <c r="R13" i="14" s="1"/>
  <c r="N13" i="13"/>
  <c r="N13" i="14" s="1"/>
  <c r="E13" i="13"/>
  <c r="E13" i="14" s="1"/>
  <c r="C13" i="13"/>
  <c r="C13" i="14" s="1"/>
  <c r="D78" i="13"/>
  <c r="D78" i="14" s="1"/>
  <c r="O78" i="13"/>
  <c r="O78" i="14" s="1"/>
  <c r="H78" i="13"/>
  <c r="H78" i="14" s="1"/>
  <c r="S78" i="13"/>
  <c r="S78" i="14" s="1"/>
  <c r="G78" i="13"/>
  <c r="G78" i="14" s="1"/>
  <c r="N78" i="13"/>
  <c r="N78" i="14" s="1"/>
  <c r="J78" i="13"/>
  <c r="J78" i="14" s="1"/>
  <c r="R78" i="13"/>
  <c r="R78" i="14" s="1"/>
  <c r="F78" i="13"/>
  <c r="F78" i="14" s="1"/>
  <c r="K78" i="13"/>
  <c r="K78" i="14" s="1"/>
  <c r="L78" i="13"/>
  <c r="L78" i="14" s="1"/>
  <c r="I78" i="13"/>
  <c r="I78" i="14" s="1"/>
  <c r="M78" i="13"/>
  <c r="M78" i="14" s="1"/>
  <c r="Q78" i="13"/>
  <c r="Q78" i="14" s="1"/>
  <c r="E78" i="13"/>
  <c r="E78" i="14" s="1"/>
  <c r="C78" i="13"/>
  <c r="C78" i="14" s="1"/>
  <c r="AL367" i="1"/>
  <c r="B367" i="13" s="1"/>
  <c r="B367" i="14" s="1"/>
  <c r="R367" i="13"/>
  <c r="R367" i="14" s="1"/>
  <c r="F367" i="13"/>
  <c r="F367" i="14" s="1"/>
  <c r="L367" i="13"/>
  <c r="L367" i="14" s="1"/>
  <c r="Q367" i="13"/>
  <c r="Q367" i="14" s="1"/>
  <c r="I367" i="13"/>
  <c r="I367" i="14" s="1"/>
  <c r="K367" i="13"/>
  <c r="K367" i="14" s="1"/>
  <c r="O367" i="13"/>
  <c r="O367" i="14" s="1"/>
  <c r="H367" i="13"/>
  <c r="H367" i="14" s="1"/>
  <c r="M367" i="13"/>
  <c r="M367" i="14" s="1"/>
  <c r="S367" i="13"/>
  <c r="S367" i="14" s="1"/>
  <c r="G367" i="13"/>
  <c r="G367" i="14" s="1"/>
  <c r="N367" i="13"/>
  <c r="N367" i="14" s="1"/>
  <c r="D367" i="13"/>
  <c r="D367" i="14" s="1"/>
  <c r="J367" i="13"/>
  <c r="J367" i="14" s="1"/>
  <c r="C367" i="13"/>
  <c r="C367" i="14" s="1"/>
  <c r="E367" i="13"/>
  <c r="E367" i="14" s="1"/>
  <c r="O226" i="13"/>
  <c r="O226" i="14" s="1"/>
  <c r="H226" i="13"/>
  <c r="H226" i="14" s="1"/>
  <c r="S226" i="13"/>
  <c r="S226" i="14" s="1"/>
  <c r="G226" i="13"/>
  <c r="G226" i="14" s="1"/>
  <c r="N226" i="13"/>
  <c r="N226" i="14" s="1"/>
  <c r="J226" i="13"/>
  <c r="J226" i="14" s="1"/>
  <c r="D226" i="13"/>
  <c r="D226" i="14" s="1"/>
  <c r="M226" i="13"/>
  <c r="M226" i="14" s="1"/>
  <c r="R226" i="13"/>
  <c r="R226" i="14" s="1"/>
  <c r="F226" i="13"/>
  <c r="F226" i="14" s="1"/>
  <c r="Q226" i="13"/>
  <c r="Q226" i="14" s="1"/>
  <c r="I226" i="13"/>
  <c r="I226" i="14" s="1"/>
  <c r="K226" i="13"/>
  <c r="K226" i="14" s="1"/>
  <c r="L226" i="13"/>
  <c r="L226" i="14" s="1"/>
  <c r="C226" i="13"/>
  <c r="C226" i="14" s="1"/>
  <c r="E226" i="13"/>
  <c r="E226" i="14" s="1"/>
  <c r="M349" i="13"/>
  <c r="M349" i="14" s="1"/>
  <c r="K349" i="13"/>
  <c r="K349" i="14" s="1"/>
  <c r="L349" i="13"/>
  <c r="L349" i="14" s="1"/>
  <c r="I349" i="13"/>
  <c r="I349" i="14" s="1"/>
  <c r="Q349" i="13"/>
  <c r="Q349" i="14" s="1"/>
  <c r="H349" i="13"/>
  <c r="H349" i="14" s="1"/>
  <c r="R349" i="13"/>
  <c r="R349" i="14" s="1"/>
  <c r="D349" i="13"/>
  <c r="D349" i="14" s="1"/>
  <c r="O349" i="13"/>
  <c r="O349" i="14" s="1"/>
  <c r="S349" i="13"/>
  <c r="S349" i="14" s="1"/>
  <c r="F349" i="13"/>
  <c r="F349" i="14" s="1"/>
  <c r="N349" i="13"/>
  <c r="N349" i="14" s="1"/>
  <c r="J349" i="13"/>
  <c r="J349" i="14" s="1"/>
  <c r="G349" i="13"/>
  <c r="G349" i="14" s="1"/>
  <c r="C349" i="13"/>
  <c r="C349" i="14" s="1"/>
  <c r="E349" i="13"/>
  <c r="E349" i="14" s="1"/>
  <c r="AL189" i="1"/>
  <c r="B189" i="13" s="1"/>
  <c r="B189" i="14" s="1"/>
  <c r="M189" i="13"/>
  <c r="M189" i="14" s="1"/>
  <c r="K189" i="13"/>
  <c r="K189" i="14" s="1"/>
  <c r="R189" i="13"/>
  <c r="R189" i="14" s="1"/>
  <c r="F189" i="13"/>
  <c r="F189" i="14" s="1"/>
  <c r="L189" i="13"/>
  <c r="L189" i="14" s="1"/>
  <c r="Q189" i="13"/>
  <c r="Q189" i="14" s="1"/>
  <c r="D189" i="13"/>
  <c r="D189" i="14" s="1"/>
  <c r="H189" i="13"/>
  <c r="H189" i="14" s="1"/>
  <c r="I189" i="13"/>
  <c r="I189" i="14" s="1"/>
  <c r="O189" i="13"/>
  <c r="O189" i="14" s="1"/>
  <c r="S189" i="13"/>
  <c r="S189" i="14" s="1"/>
  <c r="N189" i="13"/>
  <c r="N189" i="14" s="1"/>
  <c r="J189" i="13"/>
  <c r="J189" i="14" s="1"/>
  <c r="G189" i="13"/>
  <c r="G189" i="14" s="1"/>
  <c r="C189" i="13"/>
  <c r="C189" i="14" s="1"/>
  <c r="E189" i="13"/>
  <c r="E189" i="14" s="1"/>
  <c r="K315" i="13"/>
  <c r="K315" i="14" s="1"/>
  <c r="M315" i="13"/>
  <c r="M315" i="14" s="1"/>
  <c r="Q315" i="13"/>
  <c r="Q315" i="14" s="1"/>
  <c r="I315" i="13"/>
  <c r="I315" i="14" s="1"/>
  <c r="L315" i="13"/>
  <c r="L315" i="14" s="1"/>
  <c r="F315" i="13"/>
  <c r="F315" i="14" s="1"/>
  <c r="R315" i="13"/>
  <c r="R315" i="14" s="1"/>
  <c r="O315" i="13"/>
  <c r="O315" i="14" s="1"/>
  <c r="H315" i="13"/>
  <c r="H315" i="14" s="1"/>
  <c r="D315" i="13"/>
  <c r="D315" i="14" s="1"/>
  <c r="J315" i="13"/>
  <c r="J315" i="14" s="1"/>
  <c r="S315" i="13"/>
  <c r="S315" i="14" s="1"/>
  <c r="G315" i="13"/>
  <c r="G315" i="14" s="1"/>
  <c r="N315" i="13"/>
  <c r="N315" i="14" s="1"/>
  <c r="C315" i="13"/>
  <c r="C315" i="14" s="1"/>
  <c r="E315" i="13"/>
  <c r="E315" i="14" s="1"/>
  <c r="D292" i="13"/>
  <c r="D292" i="14" s="1"/>
  <c r="S292" i="13"/>
  <c r="S292" i="14" s="1"/>
  <c r="G292" i="13"/>
  <c r="G292" i="14" s="1"/>
  <c r="J292" i="13"/>
  <c r="J292" i="14" s="1"/>
  <c r="N292" i="13"/>
  <c r="N292" i="14" s="1"/>
  <c r="H292" i="13"/>
  <c r="H292" i="14" s="1"/>
  <c r="R292" i="13"/>
  <c r="R292" i="14" s="1"/>
  <c r="F292" i="13"/>
  <c r="F292" i="14" s="1"/>
  <c r="K292" i="13"/>
  <c r="K292" i="14" s="1"/>
  <c r="M292" i="13"/>
  <c r="M292" i="14" s="1"/>
  <c r="L292" i="13"/>
  <c r="L292" i="14" s="1"/>
  <c r="Q292" i="13"/>
  <c r="Q292" i="14" s="1"/>
  <c r="O292" i="13"/>
  <c r="O292" i="14" s="1"/>
  <c r="I292" i="13"/>
  <c r="I292" i="14" s="1"/>
  <c r="C292" i="13"/>
  <c r="C292" i="14" s="1"/>
  <c r="E292" i="13"/>
  <c r="E292" i="14" s="1"/>
  <c r="AL196" i="1"/>
  <c r="B196" i="13" s="1"/>
  <c r="B196" i="14" s="1"/>
  <c r="O196" i="13"/>
  <c r="O196" i="14" s="1"/>
  <c r="H196" i="13"/>
  <c r="H196" i="14" s="1"/>
  <c r="D196" i="13"/>
  <c r="D196" i="14" s="1"/>
  <c r="S196" i="13"/>
  <c r="S196" i="14" s="1"/>
  <c r="G196" i="13"/>
  <c r="G196" i="14" s="1"/>
  <c r="N196" i="13"/>
  <c r="N196" i="14" s="1"/>
  <c r="K196" i="13"/>
  <c r="K196" i="14" s="1"/>
  <c r="R196" i="13"/>
  <c r="R196" i="14" s="1"/>
  <c r="F196" i="13"/>
  <c r="F196" i="14" s="1"/>
  <c r="J196" i="13"/>
  <c r="J196" i="14" s="1"/>
  <c r="M196" i="13"/>
  <c r="M196" i="14" s="1"/>
  <c r="Q196" i="13"/>
  <c r="Q196" i="14" s="1"/>
  <c r="I196" i="13"/>
  <c r="I196" i="14" s="1"/>
  <c r="L196" i="13"/>
  <c r="L196" i="14" s="1"/>
  <c r="C196" i="13"/>
  <c r="C196" i="14" s="1"/>
  <c r="E196" i="13"/>
  <c r="E196" i="14" s="1"/>
  <c r="H382" i="13"/>
  <c r="H382" i="14" s="1"/>
  <c r="O382" i="13"/>
  <c r="O382" i="14" s="1"/>
  <c r="N382" i="13"/>
  <c r="N382" i="14" s="1"/>
  <c r="J382" i="13"/>
  <c r="J382" i="14" s="1"/>
  <c r="S382" i="13"/>
  <c r="S382" i="14" s="1"/>
  <c r="G382" i="13"/>
  <c r="G382" i="14" s="1"/>
  <c r="D382" i="13"/>
  <c r="D382" i="14" s="1"/>
  <c r="M382" i="13"/>
  <c r="M382" i="14" s="1"/>
  <c r="K382" i="13"/>
  <c r="K382" i="14" s="1"/>
  <c r="R382" i="13"/>
  <c r="R382" i="14" s="1"/>
  <c r="Q382" i="13"/>
  <c r="Q382" i="14" s="1"/>
  <c r="I382" i="13"/>
  <c r="I382" i="14" s="1"/>
  <c r="F382" i="13"/>
  <c r="F382" i="14" s="1"/>
  <c r="L382" i="13"/>
  <c r="L382" i="14" s="1"/>
  <c r="C382" i="13"/>
  <c r="C382" i="14" s="1"/>
  <c r="E382" i="13"/>
  <c r="E382" i="14" s="1"/>
  <c r="R89" i="13"/>
  <c r="R89" i="14" s="1"/>
  <c r="F89" i="13"/>
  <c r="F89" i="14" s="1"/>
  <c r="M89" i="13"/>
  <c r="M89" i="14" s="1"/>
  <c r="K89" i="13"/>
  <c r="K89" i="14" s="1"/>
  <c r="Q89" i="13"/>
  <c r="Q89" i="14" s="1"/>
  <c r="I89" i="13"/>
  <c r="I89" i="14" s="1"/>
  <c r="L89" i="13"/>
  <c r="L89" i="14" s="1"/>
  <c r="O89" i="13"/>
  <c r="O89" i="14" s="1"/>
  <c r="H89" i="13"/>
  <c r="H89" i="14" s="1"/>
  <c r="D89" i="13"/>
  <c r="D89" i="14" s="1"/>
  <c r="S89" i="13"/>
  <c r="S89" i="14" s="1"/>
  <c r="G89" i="13"/>
  <c r="G89" i="14" s="1"/>
  <c r="N89" i="13"/>
  <c r="N89" i="14" s="1"/>
  <c r="J89" i="13"/>
  <c r="J89" i="14" s="1"/>
  <c r="E89" i="13"/>
  <c r="E89" i="14" s="1"/>
  <c r="C89" i="13"/>
  <c r="C89" i="14" s="1"/>
  <c r="AK283" i="1"/>
  <c r="M283" i="13"/>
  <c r="M283" i="14" s="1"/>
  <c r="K283" i="13"/>
  <c r="K283" i="14" s="1"/>
  <c r="Q283" i="13"/>
  <c r="Q283" i="14" s="1"/>
  <c r="I283" i="13"/>
  <c r="I283" i="14" s="1"/>
  <c r="L283" i="13"/>
  <c r="L283" i="14" s="1"/>
  <c r="F283" i="13"/>
  <c r="F283" i="14" s="1"/>
  <c r="O283" i="13"/>
  <c r="O283" i="14" s="1"/>
  <c r="J283" i="13"/>
  <c r="J283" i="14" s="1"/>
  <c r="R283" i="13"/>
  <c r="R283" i="14" s="1"/>
  <c r="D283" i="13"/>
  <c r="D283" i="14" s="1"/>
  <c r="S283" i="13"/>
  <c r="S283" i="14" s="1"/>
  <c r="G283" i="13"/>
  <c r="G283" i="14" s="1"/>
  <c r="H283" i="13"/>
  <c r="H283" i="14" s="1"/>
  <c r="N283" i="13"/>
  <c r="N283" i="14" s="1"/>
  <c r="C283" i="13"/>
  <c r="C283" i="14" s="1"/>
  <c r="E283" i="13"/>
  <c r="E283" i="14" s="1"/>
  <c r="K231" i="13"/>
  <c r="K231" i="14" s="1"/>
  <c r="R231" i="13"/>
  <c r="R231" i="14" s="1"/>
  <c r="L231" i="13"/>
  <c r="L231" i="14" s="1"/>
  <c r="Q231" i="13"/>
  <c r="Q231" i="14" s="1"/>
  <c r="I231" i="13"/>
  <c r="I231" i="14" s="1"/>
  <c r="F231" i="13"/>
  <c r="F231" i="14" s="1"/>
  <c r="M231" i="13"/>
  <c r="M231" i="14" s="1"/>
  <c r="O231" i="13"/>
  <c r="O231" i="14" s="1"/>
  <c r="D231" i="13"/>
  <c r="D231" i="14" s="1"/>
  <c r="S231" i="13"/>
  <c r="S231" i="14" s="1"/>
  <c r="G231" i="13"/>
  <c r="G231" i="14" s="1"/>
  <c r="N231" i="13"/>
  <c r="N231" i="14" s="1"/>
  <c r="H231" i="13"/>
  <c r="H231" i="14" s="1"/>
  <c r="J231" i="13"/>
  <c r="J231" i="14" s="1"/>
  <c r="C231" i="13"/>
  <c r="C231" i="14" s="1"/>
  <c r="E231" i="13"/>
  <c r="E231" i="14" s="1"/>
  <c r="R191" i="13"/>
  <c r="R191" i="14" s="1"/>
  <c r="F191" i="13"/>
  <c r="F191" i="14" s="1"/>
  <c r="M191" i="13"/>
  <c r="M191" i="14" s="1"/>
  <c r="K191" i="13"/>
  <c r="K191" i="14" s="1"/>
  <c r="Q191" i="13"/>
  <c r="Q191" i="14" s="1"/>
  <c r="I191" i="13"/>
  <c r="I191" i="14" s="1"/>
  <c r="O191" i="13"/>
  <c r="O191" i="14" s="1"/>
  <c r="H191" i="13"/>
  <c r="H191" i="14" s="1"/>
  <c r="L191" i="13"/>
  <c r="L191" i="14" s="1"/>
  <c r="D191" i="13"/>
  <c r="D191" i="14" s="1"/>
  <c r="J191" i="13"/>
  <c r="J191" i="14" s="1"/>
  <c r="S191" i="13"/>
  <c r="S191" i="14" s="1"/>
  <c r="G191" i="13"/>
  <c r="G191" i="14" s="1"/>
  <c r="N191" i="13"/>
  <c r="N191" i="14" s="1"/>
  <c r="C191" i="13"/>
  <c r="C191" i="14" s="1"/>
  <c r="E191" i="13"/>
  <c r="E191" i="14" s="1"/>
  <c r="R151" i="13"/>
  <c r="R151" i="14" s="1"/>
  <c r="F151" i="13"/>
  <c r="F151" i="14" s="1"/>
  <c r="M151" i="13"/>
  <c r="M151" i="14" s="1"/>
  <c r="K151" i="13"/>
  <c r="K151" i="14" s="1"/>
  <c r="Q151" i="13"/>
  <c r="Q151" i="14" s="1"/>
  <c r="I151" i="13"/>
  <c r="I151" i="14" s="1"/>
  <c r="L151" i="13"/>
  <c r="L151" i="14" s="1"/>
  <c r="O151" i="13"/>
  <c r="O151" i="14" s="1"/>
  <c r="H151" i="13"/>
  <c r="H151" i="14" s="1"/>
  <c r="D151" i="13"/>
  <c r="D151" i="14" s="1"/>
  <c r="J151" i="13"/>
  <c r="J151" i="14" s="1"/>
  <c r="S151" i="13"/>
  <c r="S151" i="14" s="1"/>
  <c r="G151" i="13"/>
  <c r="G151" i="14" s="1"/>
  <c r="N151" i="13"/>
  <c r="N151" i="14" s="1"/>
  <c r="C151" i="13"/>
  <c r="C151" i="14" s="1"/>
  <c r="E151" i="13"/>
  <c r="E151" i="14" s="1"/>
  <c r="R209" i="13"/>
  <c r="R209" i="14" s="1"/>
  <c r="F209" i="13"/>
  <c r="F209" i="14" s="1"/>
  <c r="M209" i="13"/>
  <c r="M209" i="14" s="1"/>
  <c r="K209" i="13"/>
  <c r="K209" i="14" s="1"/>
  <c r="L209" i="13"/>
  <c r="L209" i="14" s="1"/>
  <c r="D209" i="13"/>
  <c r="D209" i="14" s="1"/>
  <c r="I209" i="13"/>
  <c r="I209" i="14" s="1"/>
  <c r="Q209" i="13"/>
  <c r="Q209" i="14" s="1"/>
  <c r="H209" i="13"/>
  <c r="H209" i="14" s="1"/>
  <c r="O209" i="13"/>
  <c r="O209" i="14" s="1"/>
  <c r="G209" i="13"/>
  <c r="G209" i="14" s="1"/>
  <c r="N209" i="13"/>
  <c r="N209" i="14" s="1"/>
  <c r="J209" i="13"/>
  <c r="J209" i="14" s="1"/>
  <c r="S209" i="13"/>
  <c r="S209" i="14" s="1"/>
  <c r="C209" i="13"/>
  <c r="C209" i="14" s="1"/>
  <c r="E209" i="13"/>
  <c r="E209" i="14" s="1"/>
  <c r="D396" i="13"/>
  <c r="D396" i="14" s="1"/>
  <c r="S396" i="13"/>
  <c r="S396" i="14" s="1"/>
  <c r="G396" i="13"/>
  <c r="G396" i="14" s="1"/>
  <c r="N396" i="13"/>
  <c r="N396" i="14" s="1"/>
  <c r="J396" i="13"/>
  <c r="J396" i="14" s="1"/>
  <c r="O396" i="13"/>
  <c r="O396" i="14" s="1"/>
  <c r="R396" i="13"/>
  <c r="R396" i="14" s="1"/>
  <c r="F396" i="13"/>
  <c r="F396" i="14" s="1"/>
  <c r="I396" i="13"/>
  <c r="I396" i="14" s="1"/>
  <c r="H396" i="13"/>
  <c r="H396" i="14" s="1"/>
  <c r="L396" i="13"/>
  <c r="L396" i="14" s="1"/>
  <c r="K396" i="13"/>
  <c r="K396" i="14" s="1"/>
  <c r="M396" i="13"/>
  <c r="M396" i="14" s="1"/>
  <c r="Q396" i="13"/>
  <c r="Q396" i="14" s="1"/>
  <c r="C396" i="13"/>
  <c r="C396" i="14" s="1"/>
  <c r="E396" i="13"/>
  <c r="E396" i="14" s="1"/>
  <c r="F317" i="13"/>
  <c r="F317" i="14" s="1"/>
  <c r="R317" i="13"/>
  <c r="R317" i="14" s="1"/>
  <c r="L317" i="13"/>
  <c r="L317" i="14" s="1"/>
  <c r="Q317" i="13"/>
  <c r="Q317" i="14" s="1"/>
  <c r="I317" i="13"/>
  <c r="I317" i="14" s="1"/>
  <c r="H317" i="13"/>
  <c r="H317" i="14" s="1"/>
  <c r="K317" i="13"/>
  <c r="K317" i="14" s="1"/>
  <c r="D317" i="13"/>
  <c r="D317" i="14" s="1"/>
  <c r="G317" i="13"/>
  <c r="G317" i="14" s="1"/>
  <c r="M317" i="13"/>
  <c r="M317" i="14" s="1"/>
  <c r="O317" i="13"/>
  <c r="O317" i="14" s="1"/>
  <c r="N317" i="13"/>
  <c r="N317" i="14" s="1"/>
  <c r="J317" i="13"/>
  <c r="J317" i="14" s="1"/>
  <c r="S317" i="13"/>
  <c r="S317" i="14" s="1"/>
  <c r="C317" i="13"/>
  <c r="C317" i="14" s="1"/>
  <c r="E317" i="13"/>
  <c r="E317" i="14" s="1"/>
  <c r="O300" i="13"/>
  <c r="O300" i="14" s="1"/>
  <c r="H300" i="13"/>
  <c r="H300" i="14" s="1"/>
  <c r="S300" i="13"/>
  <c r="S300" i="14" s="1"/>
  <c r="G300" i="13"/>
  <c r="G300" i="14" s="1"/>
  <c r="N300" i="13"/>
  <c r="N300" i="14" s="1"/>
  <c r="J300" i="13"/>
  <c r="J300" i="14" s="1"/>
  <c r="D300" i="13"/>
  <c r="D300" i="14" s="1"/>
  <c r="R300" i="13"/>
  <c r="R300" i="14" s="1"/>
  <c r="F300" i="13"/>
  <c r="F300" i="14" s="1"/>
  <c r="M300" i="13"/>
  <c r="M300" i="14" s="1"/>
  <c r="I300" i="13"/>
  <c r="I300" i="14" s="1"/>
  <c r="L300" i="13"/>
  <c r="L300" i="14" s="1"/>
  <c r="K300" i="13"/>
  <c r="K300" i="14" s="1"/>
  <c r="Q300" i="13"/>
  <c r="Q300" i="14" s="1"/>
  <c r="C300" i="13"/>
  <c r="C300" i="14" s="1"/>
  <c r="E300" i="13"/>
  <c r="E300" i="14" s="1"/>
  <c r="O130" i="13"/>
  <c r="O130" i="14" s="1"/>
  <c r="D130" i="13"/>
  <c r="D130" i="14" s="1"/>
  <c r="H130" i="13"/>
  <c r="H130" i="14" s="1"/>
  <c r="N130" i="13"/>
  <c r="N130" i="14" s="1"/>
  <c r="J130" i="13"/>
  <c r="J130" i="14" s="1"/>
  <c r="S130" i="13"/>
  <c r="S130" i="14" s="1"/>
  <c r="G130" i="13"/>
  <c r="G130" i="14" s="1"/>
  <c r="M130" i="13"/>
  <c r="M130" i="14" s="1"/>
  <c r="K130" i="13"/>
  <c r="K130" i="14" s="1"/>
  <c r="F130" i="13"/>
  <c r="F130" i="14" s="1"/>
  <c r="R130" i="13"/>
  <c r="R130" i="14" s="1"/>
  <c r="L130" i="13"/>
  <c r="L130" i="14" s="1"/>
  <c r="Q130" i="13"/>
  <c r="Q130" i="14" s="1"/>
  <c r="I130" i="13"/>
  <c r="I130" i="14" s="1"/>
  <c r="C130" i="13"/>
  <c r="C130" i="14" s="1"/>
  <c r="E130" i="13"/>
  <c r="E130" i="14" s="1"/>
  <c r="H218" i="13"/>
  <c r="H218" i="14" s="1"/>
  <c r="O218" i="13"/>
  <c r="O218" i="14" s="1"/>
  <c r="S218" i="13"/>
  <c r="S218" i="14" s="1"/>
  <c r="G218" i="13"/>
  <c r="G218" i="14" s="1"/>
  <c r="N218" i="13"/>
  <c r="N218" i="14" s="1"/>
  <c r="J218" i="13"/>
  <c r="J218" i="14" s="1"/>
  <c r="M218" i="13"/>
  <c r="M218" i="14" s="1"/>
  <c r="K218" i="13"/>
  <c r="K218" i="14" s="1"/>
  <c r="F218" i="13"/>
  <c r="F218" i="14" s="1"/>
  <c r="R218" i="13"/>
  <c r="R218" i="14" s="1"/>
  <c r="D218" i="13"/>
  <c r="D218" i="14" s="1"/>
  <c r="Q218" i="13"/>
  <c r="Q218" i="14" s="1"/>
  <c r="I218" i="13"/>
  <c r="I218" i="14" s="1"/>
  <c r="L218" i="13"/>
  <c r="L218" i="14" s="1"/>
  <c r="C218" i="13"/>
  <c r="C218" i="14" s="1"/>
  <c r="E218" i="13"/>
  <c r="E218" i="14" s="1"/>
  <c r="M249" i="13"/>
  <c r="M249" i="14" s="1"/>
  <c r="F249" i="13"/>
  <c r="F249" i="14" s="1"/>
  <c r="L249" i="13"/>
  <c r="L249" i="14" s="1"/>
  <c r="Q249" i="13"/>
  <c r="Q249" i="14" s="1"/>
  <c r="I249" i="13"/>
  <c r="I249" i="14" s="1"/>
  <c r="R249" i="13"/>
  <c r="R249" i="14" s="1"/>
  <c r="D249" i="13"/>
  <c r="D249" i="14" s="1"/>
  <c r="G249" i="13"/>
  <c r="G249" i="14" s="1"/>
  <c r="K249" i="13"/>
  <c r="K249" i="14" s="1"/>
  <c r="O249" i="13"/>
  <c r="O249" i="14" s="1"/>
  <c r="H249" i="13"/>
  <c r="H249" i="14" s="1"/>
  <c r="N249" i="13"/>
  <c r="N249" i="14" s="1"/>
  <c r="J249" i="13"/>
  <c r="J249" i="14" s="1"/>
  <c r="S249" i="13"/>
  <c r="S249" i="14" s="1"/>
  <c r="C249" i="13"/>
  <c r="C249" i="14" s="1"/>
  <c r="E249" i="13"/>
  <c r="E249" i="14" s="1"/>
  <c r="O182" i="13"/>
  <c r="O182" i="14" s="1"/>
  <c r="H182" i="13"/>
  <c r="H182" i="14" s="1"/>
  <c r="D182" i="13"/>
  <c r="D182" i="14" s="1"/>
  <c r="N182" i="13"/>
  <c r="N182" i="14" s="1"/>
  <c r="J182" i="13"/>
  <c r="J182" i="14" s="1"/>
  <c r="S182" i="13"/>
  <c r="S182" i="14" s="1"/>
  <c r="G182" i="13"/>
  <c r="G182" i="14" s="1"/>
  <c r="R182" i="13"/>
  <c r="R182" i="14" s="1"/>
  <c r="M182" i="13"/>
  <c r="M182" i="14" s="1"/>
  <c r="K182" i="13"/>
  <c r="K182" i="14" s="1"/>
  <c r="F182" i="13"/>
  <c r="F182" i="14" s="1"/>
  <c r="Q182" i="13"/>
  <c r="Q182" i="14" s="1"/>
  <c r="I182" i="13"/>
  <c r="I182" i="14" s="1"/>
  <c r="L182" i="13"/>
  <c r="L182" i="14" s="1"/>
  <c r="C182" i="13"/>
  <c r="C182" i="14" s="1"/>
  <c r="E182" i="13"/>
  <c r="E182" i="14" s="1"/>
  <c r="R93" i="13"/>
  <c r="R93" i="14" s="1"/>
  <c r="F93" i="13"/>
  <c r="F93" i="14" s="1"/>
  <c r="M93" i="13"/>
  <c r="M93" i="14" s="1"/>
  <c r="K93" i="13"/>
  <c r="K93" i="14" s="1"/>
  <c r="Q93" i="13"/>
  <c r="Q93" i="14" s="1"/>
  <c r="I93" i="13"/>
  <c r="I93" i="14" s="1"/>
  <c r="L93" i="13"/>
  <c r="L93" i="14" s="1"/>
  <c r="O93" i="13"/>
  <c r="O93" i="14" s="1"/>
  <c r="H93" i="13"/>
  <c r="H93" i="14" s="1"/>
  <c r="D93" i="13"/>
  <c r="D93" i="14" s="1"/>
  <c r="G93" i="13"/>
  <c r="G93" i="14" s="1"/>
  <c r="J93" i="13"/>
  <c r="J93" i="14" s="1"/>
  <c r="S93" i="13"/>
  <c r="S93" i="14" s="1"/>
  <c r="N93" i="13"/>
  <c r="N93" i="14" s="1"/>
  <c r="C93" i="13"/>
  <c r="C93" i="14" s="1"/>
  <c r="E93" i="13"/>
  <c r="E93" i="14" s="1"/>
  <c r="Q19" i="13"/>
  <c r="Q19" i="14" s="1"/>
  <c r="I19" i="13"/>
  <c r="I19" i="14" s="1"/>
  <c r="L19" i="13"/>
  <c r="L19" i="14" s="1"/>
  <c r="O19" i="13"/>
  <c r="O19" i="14" s="1"/>
  <c r="H19" i="13"/>
  <c r="H19" i="14" s="1"/>
  <c r="N19" i="13"/>
  <c r="N19" i="14" s="1"/>
  <c r="J19" i="13"/>
  <c r="J19" i="14" s="1"/>
  <c r="G19" i="13"/>
  <c r="G19" i="14" s="1"/>
  <c r="F19" i="13"/>
  <c r="F19" i="14" s="1"/>
  <c r="S19" i="13"/>
  <c r="S19" i="14" s="1"/>
  <c r="R19" i="13"/>
  <c r="R19" i="14" s="1"/>
  <c r="M19" i="13"/>
  <c r="M19" i="14" s="1"/>
  <c r="D19" i="13"/>
  <c r="D19" i="14" s="1"/>
  <c r="K19" i="13"/>
  <c r="K19" i="14" s="1"/>
  <c r="E19" i="13"/>
  <c r="E19" i="14" s="1"/>
  <c r="C19" i="13"/>
  <c r="C19" i="14" s="1"/>
  <c r="D288" i="13"/>
  <c r="D288" i="14" s="1"/>
  <c r="G288" i="13"/>
  <c r="G288" i="14" s="1"/>
  <c r="S288" i="13"/>
  <c r="S288" i="14" s="1"/>
  <c r="J288" i="13"/>
  <c r="J288" i="14" s="1"/>
  <c r="N288" i="13"/>
  <c r="N288" i="14" s="1"/>
  <c r="H288" i="13"/>
  <c r="H288" i="14" s="1"/>
  <c r="R288" i="13"/>
  <c r="R288" i="14" s="1"/>
  <c r="F288" i="13"/>
  <c r="F288" i="14" s="1"/>
  <c r="Q288" i="13"/>
  <c r="Q288" i="14" s="1"/>
  <c r="K288" i="13"/>
  <c r="K288" i="14" s="1"/>
  <c r="L288" i="13"/>
  <c r="L288" i="14" s="1"/>
  <c r="I288" i="13"/>
  <c r="I288" i="14" s="1"/>
  <c r="O288" i="13"/>
  <c r="O288" i="14" s="1"/>
  <c r="M288" i="13"/>
  <c r="M288" i="14" s="1"/>
  <c r="C288" i="13"/>
  <c r="C288" i="14" s="1"/>
  <c r="E288" i="13"/>
  <c r="E288" i="14" s="1"/>
  <c r="D164" i="13"/>
  <c r="D164" i="14" s="1"/>
  <c r="O164" i="13"/>
  <c r="O164" i="14" s="1"/>
  <c r="H164" i="13"/>
  <c r="H164" i="14" s="1"/>
  <c r="S164" i="13"/>
  <c r="S164" i="14" s="1"/>
  <c r="G164" i="13"/>
  <c r="G164" i="14" s="1"/>
  <c r="N164" i="13"/>
  <c r="N164" i="14" s="1"/>
  <c r="J164" i="13"/>
  <c r="J164" i="14" s="1"/>
  <c r="K164" i="13"/>
  <c r="K164" i="14" s="1"/>
  <c r="R164" i="13"/>
  <c r="R164" i="14" s="1"/>
  <c r="F164" i="13"/>
  <c r="F164" i="14" s="1"/>
  <c r="M164" i="13"/>
  <c r="M164" i="14" s="1"/>
  <c r="Q164" i="13"/>
  <c r="Q164" i="14" s="1"/>
  <c r="L164" i="13"/>
  <c r="L164" i="14" s="1"/>
  <c r="I164" i="13"/>
  <c r="I164" i="14" s="1"/>
  <c r="C164" i="13"/>
  <c r="C164" i="14" s="1"/>
  <c r="E164" i="13"/>
  <c r="E164" i="14" s="1"/>
  <c r="N50" i="13"/>
  <c r="N50" i="14" s="1"/>
  <c r="J50" i="13"/>
  <c r="J50" i="14" s="1"/>
  <c r="S50" i="13"/>
  <c r="S50" i="14" s="1"/>
  <c r="G50" i="13"/>
  <c r="G50" i="14" s="1"/>
  <c r="M50" i="13"/>
  <c r="M50" i="14" s="1"/>
  <c r="K50" i="13"/>
  <c r="K50" i="14" s="1"/>
  <c r="F50" i="13"/>
  <c r="F50" i="14" s="1"/>
  <c r="R50" i="13"/>
  <c r="R50" i="14" s="1"/>
  <c r="L50" i="13"/>
  <c r="L50" i="14" s="1"/>
  <c r="O50" i="13"/>
  <c r="O50" i="14" s="1"/>
  <c r="H50" i="13"/>
  <c r="H50" i="14" s="1"/>
  <c r="D50" i="13"/>
  <c r="D50" i="14" s="1"/>
  <c r="I50" i="13"/>
  <c r="I50" i="14" s="1"/>
  <c r="Q50" i="13"/>
  <c r="Q50" i="14" s="1"/>
  <c r="C50" i="13"/>
  <c r="C50" i="14" s="1"/>
  <c r="E50" i="13"/>
  <c r="E50" i="14" s="1"/>
  <c r="K433" i="13"/>
  <c r="K433" i="14" s="1"/>
  <c r="M433" i="13"/>
  <c r="M433" i="14" s="1"/>
  <c r="L433" i="13"/>
  <c r="L433" i="14" s="1"/>
  <c r="Q433" i="13"/>
  <c r="Q433" i="14" s="1"/>
  <c r="I433" i="13"/>
  <c r="I433" i="14" s="1"/>
  <c r="R433" i="13"/>
  <c r="R433" i="14" s="1"/>
  <c r="F433" i="13"/>
  <c r="F433" i="14" s="1"/>
  <c r="D433" i="13"/>
  <c r="D433" i="14" s="1"/>
  <c r="O433" i="13"/>
  <c r="O433" i="14" s="1"/>
  <c r="G433" i="13"/>
  <c r="G433" i="14" s="1"/>
  <c r="N433" i="13"/>
  <c r="N433" i="14" s="1"/>
  <c r="J433" i="13"/>
  <c r="J433" i="14" s="1"/>
  <c r="H433" i="13"/>
  <c r="H433" i="14" s="1"/>
  <c r="S433" i="13"/>
  <c r="S433" i="14" s="1"/>
  <c r="C433" i="13"/>
  <c r="C433" i="14" s="1"/>
  <c r="E433" i="13"/>
  <c r="E433" i="14" s="1"/>
  <c r="O146" i="13"/>
  <c r="O146" i="14" s="1"/>
  <c r="H146" i="13"/>
  <c r="H146" i="14" s="1"/>
  <c r="D146" i="13"/>
  <c r="D146" i="14" s="1"/>
  <c r="J146" i="13"/>
  <c r="J146" i="14" s="1"/>
  <c r="N146" i="13"/>
  <c r="N146" i="14" s="1"/>
  <c r="S146" i="13"/>
  <c r="S146" i="14" s="1"/>
  <c r="G146" i="13"/>
  <c r="G146" i="14" s="1"/>
  <c r="M146" i="13"/>
  <c r="M146" i="14" s="1"/>
  <c r="K146" i="13"/>
  <c r="K146" i="14" s="1"/>
  <c r="R146" i="13"/>
  <c r="R146" i="14" s="1"/>
  <c r="Q146" i="13"/>
  <c r="Q146" i="14" s="1"/>
  <c r="I146" i="13"/>
  <c r="I146" i="14" s="1"/>
  <c r="F146" i="13"/>
  <c r="F146" i="14" s="1"/>
  <c r="L146" i="13"/>
  <c r="L146" i="14" s="1"/>
  <c r="C146" i="13"/>
  <c r="C146" i="14" s="1"/>
  <c r="E146" i="13"/>
  <c r="E146" i="14" s="1"/>
  <c r="Q51" i="13"/>
  <c r="Q51" i="14" s="1"/>
  <c r="I51" i="13"/>
  <c r="I51" i="14" s="1"/>
  <c r="L51" i="13"/>
  <c r="L51" i="14" s="1"/>
  <c r="O51" i="13"/>
  <c r="O51" i="14" s="1"/>
  <c r="H51" i="13"/>
  <c r="H51" i="14" s="1"/>
  <c r="N51" i="13"/>
  <c r="N51" i="14" s="1"/>
  <c r="J51" i="13"/>
  <c r="J51" i="14" s="1"/>
  <c r="D51" i="13"/>
  <c r="D51" i="14" s="1"/>
  <c r="G51" i="13"/>
  <c r="G51" i="14" s="1"/>
  <c r="R51" i="13"/>
  <c r="R51" i="14" s="1"/>
  <c r="M51" i="13"/>
  <c r="M51" i="14" s="1"/>
  <c r="S51" i="13"/>
  <c r="S51" i="14" s="1"/>
  <c r="F51" i="13"/>
  <c r="F51" i="14" s="1"/>
  <c r="K51" i="13"/>
  <c r="K51" i="14" s="1"/>
  <c r="E51" i="13"/>
  <c r="E51" i="14" s="1"/>
  <c r="C51" i="13"/>
  <c r="C51" i="14" s="1"/>
  <c r="D400" i="13"/>
  <c r="D400" i="14" s="1"/>
  <c r="S400" i="13"/>
  <c r="S400" i="14" s="1"/>
  <c r="G400" i="13"/>
  <c r="G400" i="14" s="1"/>
  <c r="N400" i="13"/>
  <c r="N400" i="14" s="1"/>
  <c r="J400" i="13"/>
  <c r="J400" i="14" s="1"/>
  <c r="H400" i="13"/>
  <c r="H400" i="14" s="1"/>
  <c r="R400" i="13"/>
  <c r="R400" i="14" s="1"/>
  <c r="F400" i="13"/>
  <c r="F400" i="14" s="1"/>
  <c r="O400" i="13"/>
  <c r="O400" i="14" s="1"/>
  <c r="K400" i="13"/>
  <c r="K400" i="14" s="1"/>
  <c r="L400" i="13"/>
  <c r="L400" i="14" s="1"/>
  <c r="I400" i="13"/>
  <c r="I400" i="14" s="1"/>
  <c r="M400" i="13"/>
  <c r="M400" i="14" s="1"/>
  <c r="Q400" i="13"/>
  <c r="Q400" i="14" s="1"/>
  <c r="C400" i="13"/>
  <c r="C400" i="14" s="1"/>
  <c r="E400" i="13"/>
  <c r="E400" i="14" s="1"/>
  <c r="M109" i="13"/>
  <c r="M109" i="14" s="1"/>
  <c r="K109" i="13"/>
  <c r="K109" i="14" s="1"/>
  <c r="R109" i="13"/>
  <c r="R109" i="14" s="1"/>
  <c r="F109" i="13"/>
  <c r="F109" i="14" s="1"/>
  <c r="L109" i="13"/>
  <c r="L109" i="14" s="1"/>
  <c r="Q109" i="13"/>
  <c r="Q109" i="14" s="1"/>
  <c r="I109" i="13"/>
  <c r="I109" i="14" s="1"/>
  <c r="D109" i="13"/>
  <c r="D109" i="14" s="1"/>
  <c r="H109" i="13"/>
  <c r="H109" i="14" s="1"/>
  <c r="O109" i="13"/>
  <c r="O109" i="14" s="1"/>
  <c r="S109" i="13"/>
  <c r="S109" i="14" s="1"/>
  <c r="N109" i="13"/>
  <c r="N109" i="14" s="1"/>
  <c r="J109" i="13"/>
  <c r="J109" i="14" s="1"/>
  <c r="G109" i="13"/>
  <c r="G109" i="14" s="1"/>
  <c r="C109" i="13"/>
  <c r="C109" i="14" s="1"/>
  <c r="E109" i="13"/>
  <c r="E109" i="14" s="1"/>
  <c r="O200" i="13"/>
  <c r="O200" i="14" s="1"/>
  <c r="H200" i="13"/>
  <c r="H200" i="14" s="1"/>
  <c r="D200" i="13"/>
  <c r="D200" i="14" s="1"/>
  <c r="S200" i="13"/>
  <c r="S200" i="14" s="1"/>
  <c r="G200" i="13"/>
  <c r="G200" i="14" s="1"/>
  <c r="R200" i="13"/>
  <c r="R200" i="14" s="1"/>
  <c r="F200" i="13"/>
  <c r="F200" i="14" s="1"/>
  <c r="J200" i="13"/>
  <c r="J200" i="14" s="1"/>
  <c r="N200" i="13"/>
  <c r="N200" i="14" s="1"/>
  <c r="K200" i="13"/>
  <c r="K200" i="14" s="1"/>
  <c r="M200" i="13"/>
  <c r="M200" i="14" s="1"/>
  <c r="Q200" i="13"/>
  <c r="Q200" i="14" s="1"/>
  <c r="L200" i="13"/>
  <c r="L200" i="14" s="1"/>
  <c r="I200" i="13"/>
  <c r="I200" i="14" s="1"/>
  <c r="C200" i="13"/>
  <c r="C200" i="14" s="1"/>
  <c r="E200" i="13"/>
  <c r="E200" i="14" s="1"/>
  <c r="M145" i="13"/>
  <c r="M145" i="14" s="1"/>
  <c r="K145" i="13"/>
  <c r="K145" i="14" s="1"/>
  <c r="R145" i="13"/>
  <c r="R145" i="14" s="1"/>
  <c r="F145" i="13"/>
  <c r="F145" i="14" s="1"/>
  <c r="L145" i="13"/>
  <c r="L145" i="14" s="1"/>
  <c r="Q145" i="13"/>
  <c r="Q145" i="14" s="1"/>
  <c r="D145" i="13"/>
  <c r="D145" i="14" s="1"/>
  <c r="I145" i="13"/>
  <c r="I145" i="14" s="1"/>
  <c r="H145" i="13"/>
  <c r="H145" i="14" s="1"/>
  <c r="O145" i="13"/>
  <c r="O145" i="14" s="1"/>
  <c r="N145" i="13"/>
  <c r="N145" i="14" s="1"/>
  <c r="J145" i="13"/>
  <c r="J145" i="14" s="1"/>
  <c r="S145" i="13"/>
  <c r="S145" i="14" s="1"/>
  <c r="G145" i="13"/>
  <c r="G145" i="14" s="1"/>
  <c r="C145" i="13"/>
  <c r="C145" i="14" s="1"/>
  <c r="E145" i="13"/>
  <c r="E145" i="14" s="1"/>
  <c r="H416" i="13"/>
  <c r="H416" i="14" s="1"/>
  <c r="O416" i="13"/>
  <c r="O416" i="14" s="1"/>
  <c r="G416" i="13"/>
  <c r="G416" i="14" s="1"/>
  <c r="S416" i="13"/>
  <c r="S416" i="14" s="1"/>
  <c r="N416" i="13"/>
  <c r="N416" i="14" s="1"/>
  <c r="J416" i="13"/>
  <c r="J416" i="14" s="1"/>
  <c r="R416" i="13"/>
  <c r="R416" i="14" s="1"/>
  <c r="F416" i="13"/>
  <c r="F416" i="14" s="1"/>
  <c r="K416" i="13"/>
  <c r="K416" i="14" s="1"/>
  <c r="L416" i="13"/>
  <c r="L416" i="14" s="1"/>
  <c r="Q416" i="13"/>
  <c r="Q416" i="14" s="1"/>
  <c r="M416" i="13"/>
  <c r="M416" i="14" s="1"/>
  <c r="D416" i="13"/>
  <c r="D416" i="14" s="1"/>
  <c r="I416" i="13"/>
  <c r="I416" i="14" s="1"/>
  <c r="C416" i="13"/>
  <c r="C416" i="14" s="1"/>
  <c r="E416" i="13"/>
  <c r="E416" i="14" s="1"/>
  <c r="D210" i="13"/>
  <c r="D210" i="14" s="1"/>
  <c r="H210" i="13"/>
  <c r="H210" i="14" s="1"/>
  <c r="N210" i="13"/>
  <c r="N210" i="14" s="1"/>
  <c r="S210" i="13"/>
  <c r="S210" i="14" s="1"/>
  <c r="J210" i="13"/>
  <c r="J210" i="14" s="1"/>
  <c r="G210" i="13"/>
  <c r="G210" i="14" s="1"/>
  <c r="M210" i="13"/>
  <c r="M210" i="14" s="1"/>
  <c r="K210" i="13"/>
  <c r="K210" i="14" s="1"/>
  <c r="O210" i="13"/>
  <c r="O210" i="14" s="1"/>
  <c r="F210" i="13"/>
  <c r="F210" i="14" s="1"/>
  <c r="R210" i="13"/>
  <c r="R210" i="14" s="1"/>
  <c r="Q210" i="13"/>
  <c r="Q210" i="14" s="1"/>
  <c r="I210" i="13"/>
  <c r="I210" i="14" s="1"/>
  <c r="L210" i="13"/>
  <c r="L210" i="14" s="1"/>
  <c r="C210" i="13"/>
  <c r="C210" i="14" s="1"/>
  <c r="E210" i="13"/>
  <c r="E210" i="14" s="1"/>
  <c r="Q39" i="13"/>
  <c r="Q39" i="14" s="1"/>
  <c r="I39" i="13"/>
  <c r="I39" i="14" s="1"/>
  <c r="L39" i="13"/>
  <c r="L39" i="14" s="1"/>
  <c r="O39" i="13"/>
  <c r="O39" i="14" s="1"/>
  <c r="H39" i="13"/>
  <c r="H39" i="14" s="1"/>
  <c r="D39" i="13"/>
  <c r="D39" i="14" s="1"/>
  <c r="N39" i="13"/>
  <c r="N39" i="14" s="1"/>
  <c r="J39" i="13"/>
  <c r="J39" i="14" s="1"/>
  <c r="S39" i="13"/>
  <c r="S39" i="14" s="1"/>
  <c r="R39" i="13"/>
  <c r="R39" i="14" s="1"/>
  <c r="F39" i="13"/>
  <c r="F39" i="14" s="1"/>
  <c r="K39" i="13"/>
  <c r="K39" i="14" s="1"/>
  <c r="G39" i="13"/>
  <c r="G39" i="14" s="1"/>
  <c r="M39" i="13"/>
  <c r="M39" i="14" s="1"/>
  <c r="C39" i="13"/>
  <c r="C39" i="14" s="1"/>
  <c r="E39" i="13"/>
  <c r="E39" i="14" s="1"/>
  <c r="D420" i="13"/>
  <c r="D420" i="14" s="1"/>
  <c r="H420" i="13"/>
  <c r="H420" i="14" s="1"/>
  <c r="S420" i="13"/>
  <c r="S420" i="14" s="1"/>
  <c r="G420" i="13"/>
  <c r="G420" i="14" s="1"/>
  <c r="N420" i="13"/>
  <c r="N420" i="14" s="1"/>
  <c r="J420" i="13"/>
  <c r="J420" i="14" s="1"/>
  <c r="O420" i="13"/>
  <c r="O420" i="14" s="1"/>
  <c r="R420" i="13"/>
  <c r="R420" i="14" s="1"/>
  <c r="F420" i="13"/>
  <c r="F420" i="14" s="1"/>
  <c r="K420" i="13"/>
  <c r="K420" i="14" s="1"/>
  <c r="M420" i="13"/>
  <c r="M420" i="14" s="1"/>
  <c r="L420" i="13"/>
  <c r="L420" i="14" s="1"/>
  <c r="Q420" i="13"/>
  <c r="Q420" i="14" s="1"/>
  <c r="I420" i="13"/>
  <c r="I420" i="14" s="1"/>
  <c r="C420" i="13"/>
  <c r="C420" i="14" s="1"/>
  <c r="E420" i="13"/>
  <c r="E420" i="14" s="1"/>
  <c r="H294" i="13"/>
  <c r="H294" i="14" s="1"/>
  <c r="O294" i="13"/>
  <c r="O294" i="14" s="1"/>
  <c r="N294" i="13"/>
  <c r="N294" i="14" s="1"/>
  <c r="J294" i="13"/>
  <c r="J294" i="14" s="1"/>
  <c r="G294" i="13"/>
  <c r="G294" i="14" s="1"/>
  <c r="S294" i="13"/>
  <c r="S294" i="14" s="1"/>
  <c r="D294" i="13"/>
  <c r="D294" i="14" s="1"/>
  <c r="M294" i="13"/>
  <c r="M294" i="14" s="1"/>
  <c r="K294" i="13"/>
  <c r="K294" i="14" s="1"/>
  <c r="F294" i="13"/>
  <c r="F294" i="14" s="1"/>
  <c r="R294" i="13"/>
  <c r="R294" i="14" s="1"/>
  <c r="Q294" i="13"/>
  <c r="Q294" i="14" s="1"/>
  <c r="I294" i="13"/>
  <c r="I294" i="14" s="1"/>
  <c r="L294" i="13"/>
  <c r="L294" i="14" s="1"/>
  <c r="C294" i="13"/>
  <c r="C294" i="14" s="1"/>
  <c r="E294" i="13"/>
  <c r="E294" i="14" s="1"/>
  <c r="L29" i="13"/>
  <c r="L29" i="14" s="1"/>
  <c r="Q29" i="13"/>
  <c r="Q29" i="14" s="1"/>
  <c r="I29" i="13"/>
  <c r="I29" i="14" s="1"/>
  <c r="D29" i="13"/>
  <c r="D29" i="14" s="1"/>
  <c r="H29" i="13"/>
  <c r="H29" i="14" s="1"/>
  <c r="O29" i="13"/>
  <c r="O29" i="14" s="1"/>
  <c r="S29" i="13"/>
  <c r="S29" i="14" s="1"/>
  <c r="G29" i="13"/>
  <c r="G29" i="14" s="1"/>
  <c r="K29" i="13"/>
  <c r="K29" i="14" s="1"/>
  <c r="F29" i="13"/>
  <c r="F29" i="14" s="1"/>
  <c r="J29" i="13"/>
  <c r="J29" i="14" s="1"/>
  <c r="M29" i="13"/>
  <c r="M29" i="14" s="1"/>
  <c r="N29" i="13"/>
  <c r="N29" i="14" s="1"/>
  <c r="R29" i="13"/>
  <c r="R29" i="14" s="1"/>
  <c r="E29" i="13"/>
  <c r="E29" i="14" s="1"/>
  <c r="C29" i="13"/>
  <c r="C29" i="14" s="1"/>
  <c r="R371" i="13"/>
  <c r="R371" i="14" s="1"/>
  <c r="F371" i="13"/>
  <c r="F371" i="14" s="1"/>
  <c r="Q371" i="13"/>
  <c r="Q371" i="14" s="1"/>
  <c r="I371" i="13"/>
  <c r="I371" i="14" s="1"/>
  <c r="L371" i="13"/>
  <c r="L371" i="14" s="1"/>
  <c r="K371" i="13"/>
  <c r="K371" i="14" s="1"/>
  <c r="O371" i="13"/>
  <c r="O371" i="14" s="1"/>
  <c r="H371" i="13"/>
  <c r="H371" i="14" s="1"/>
  <c r="N371" i="13"/>
  <c r="N371" i="14" s="1"/>
  <c r="M371" i="13"/>
  <c r="M371" i="14" s="1"/>
  <c r="D371" i="13"/>
  <c r="D371" i="14" s="1"/>
  <c r="S371" i="13"/>
  <c r="S371" i="14" s="1"/>
  <c r="G371" i="13"/>
  <c r="G371" i="14" s="1"/>
  <c r="J371" i="13"/>
  <c r="J371" i="14" s="1"/>
  <c r="C371" i="13"/>
  <c r="C371" i="14" s="1"/>
  <c r="E371" i="13"/>
  <c r="E371" i="14" s="1"/>
  <c r="D276" i="13"/>
  <c r="D276" i="14" s="1"/>
  <c r="S276" i="13"/>
  <c r="S276" i="14" s="1"/>
  <c r="G276" i="13"/>
  <c r="G276" i="14" s="1"/>
  <c r="N276" i="13"/>
  <c r="N276" i="14" s="1"/>
  <c r="J276" i="13"/>
  <c r="J276" i="14" s="1"/>
  <c r="H276" i="13"/>
  <c r="H276" i="14" s="1"/>
  <c r="F276" i="13"/>
  <c r="F276" i="14" s="1"/>
  <c r="Q276" i="13"/>
  <c r="Q276" i="14" s="1"/>
  <c r="M276" i="13"/>
  <c r="M276" i="14" s="1"/>
  <c r="K276" i="13"/>
  <c r="K276" i="14" s="1"/>
  <c r="L276" i="13"/>
  <c r="L276" i="14" s="1"/>
  <c r="O276" i="13"/>
  <c r="O276" i="14" s="1"/>
  <c r="R276" i="13"/>
  <c r="R276" i="14" s="1"/>
  <c r="I276" i="13"/>
  <c r="I276" i="14" s="1"/>
  <c r="C276" i="13"/>
  <c r="C276" i="14" s="1"/>
  <c r="E276" i="13"/>
  <c r="E276" i="14" s="1"/>
  <c r="O374" i="13"/>
  <c r="O374" i="14" s="1"/>
  <c r="H374" i="13"/>
  <c r="H374" i="14" s="1"/>
  <c r="N374" i="13"/>
  <c r="N374" i="14" s="1"/>
  <c r="J374" i="13"/>
  <c r="J374" i="14" s="1"/>
  <c r="G374" i="13"/>
  <c r="G374" i="14" s="1"/>
  <c r="S374" i="13"/>
  <c r="S374" i="14" s="1"/>
  <c r="M374" i="13"/>
  <c r="M374" i="14" s="1"/>
  <c r="K374" i="13"/>
  <c r="K374" i="14" s="1"/>
  <c r="R374" i="13"/>
  <c r="R374" i="14" s="1"/>
  <c r="D374" i="13"/>
  <c r="D374" i="14" s="1"/>
  <c r="F374" i="13"/>
  <c r="F374" i="14" s="1"/>
  <c r="L374" i="13"/>
  <c r="L374" i="14" s="1"/>
  <c r="Q374" i="13"/>
  <c r="Q374" i="14" s="1"/>
  <c r="I374" i="13"/>
  <c r="I374" i="14" s="1"/>
  <c r="C374" i="13"/>
  <c r="C374" i="14" s="1"/>
  <c r="E374" i="13"/>
  <c r="E374" i="14" s="1"/>
  <c r="K323" i="13"/>
  <c r="K323" i="14" s="1"/>
  <c r="M323" i="13"/>
  <c r="M323" i="14" s="1"/>
  <c r="Q323" i="13"/>
  <c r="Q323" i="14" s="1"/>
  <c r="I323" i="13"/>
  <c r="I323" i="14" s="1"/>
  <c r="L323" i="13"/>
  <c r="L323" i="14" s="1"/>
  <c r="R323" i="13"/>
  <c r="R323" i="14" s="1"/>
  <c r="O323" i="13"/>
  <c r="O323" i="14" s="1"/>
  <c r="H323" i="13"/>
  <c r="H323" i="14" s="1"/>
  <c r="N323" i="13"/>
  <c r="N323" i="14" s="1"/>
  <c r="S323" i="13"/>
  <c r="S323" i="14" s="1"/>
  <c r="G323" i="13"/>
  <c r="G323" i="14" s="1"/>
  <c r="J323" i="13"/>
  <c r="J323" i="14" s="1"/>
  <c r="F323" i="13"/>
  <c r="F323" i="14" s="1"/>
  <c r="D323" i="13"/>
  <c r="D323" i="14" s="1"/>
  <c r="C323" i="13"/>
  <c r="C323" i="14" s="1"/>
  <c r="E323" i="13"/>
  <c r="E323" i="14" s="1"/>
  <c r="H284" i="13"/>
  <c r="H284" i="14" s="1"/>
  <c r="S284" i="13"/>
  <c r="S284" i="14" s="1"/>
  <c r="G284" i="13"/>
  <c r="G284" i="14" s="1"/>
  <c r="J284" i="13"/>
  <c r="J284" i="14" s="1"/>
  <c r="N284" i="13"/>
  <c r="N284" i="14" s="1"/>
  <c r="D284" i="13"/>
  <c r="D284" i="14" s="1"/>
  <c r="I284" i="13"/>
  <c r="I284" i="14" s="1"/>
  <c r="M284" i="13"/>
  <c r="M284" i="14" s="1"/>
  <c r="K284" i="13"/>
  <c r="K284" i="14" s="1"/>
  <c r="L284" i="13"/>
  <c r="L284" i="14" s="1"/>
  <c r="R284" i="13"/>
  <c r="R284" i="14" s="1"/>
  <c r="O284" i="13"/>
  <c r="O284" i="14" s="1"/>
  <c r="F284" i="13"/>
  <c r="F284" i="14" s="1"/>
  <c r="Q284" i="13"/>
  <c r="Q284" i="14" s="1"/>
  <c r="C284" i="13"/>
  <c r="C284" i="14" s="1"/>
  <c r="E284" i="13"/>
  <c r="E284" i="14" s="1"/>
  <c r="K117" i="13"/>
  <c r="K117" i="14" s="1"/>
  <c r="M117" i="13"/>
  <c r="M117" i="14" s="1"/>
  <c r="R117" i="13"/>
  <c r="R117" i="14" s="1"/>
  <c r="F117" i="13"/>
  <c r="F117" i="14" s="1"/>
  <c r="L117" i="13"/>
  <c r="L117" i="14" s="1"/>
  <c r="Q117" i="13"/>
  <c r="Q117" i="14" s="1"/>
  <c r="I117" i="13"/>
  <c r="I117" i="14" s="1"/>
  <c r="D117" i="13"/>
  <c r="D117" i="14" s="1"/>
  <c r="H117" i="13"/>
  <c r="H117" i="14" s="1"/>
  <c r="O117" i="13"/>
  <c r="O117" i="14" s="1"/>
  <c r="G117" i="13"/>
  <c r="G117" i="14" s="1"/>
  <c r="N117" i="13"/>
  <c r="N117" i="14" s="1"/>
  <c r="J117" i="13"/>
  <c r="J117" i="14" s="1"/>
  <c r="S117" i="13"/>
  <c r="S117" i="14" s="1"/>
  <c r="C117" i="13"/>
  <c r="C117" i="14" s="1"/>
  <c r="E117" i="13"/>
  <c r="E117" i="14" s="1"/>
  <c r="D264" i="13"/>
  <c r="D264" i="14" s="1"/>
  <c r="N264" i="13"/>
  <c r="N264" i="14" s="1"/>
  <c r="J264" i="13"/>
  <c r="J264" i="14" s="1"/>
  <c r="S264" i="13"/>
  <c r="S264" i="14" s="1"/>
  <c r="G264" i="13"/>
  <c r="G264" i="14" s="1"/>
  <c r="O264" i="13"/>
  <c r="O264" i="14" s="1"/>
  <c r="H264" i="13"/>
  <c r="H264" i="14" s="1"/>
  <c r="R264" i="13"/>
  <c r="R264" i="14" s="1"/>
  <c r="Q264" i="13"/>
  <c r="Q264" i="14" s="1"/>
  <c r="M264" i="13"/>
  <c r="M264" i="14" s="1"/>
  <c r="K264" i="13"/>
  <c r="K264" i="14" s="1"/>
  <c r="L264" i="13"/>
  <c r="L264" i="14" s="1"/>
  <c r="F264" i="13"/>
  <c r="F264" i="14" s="1"/>
  <c r="I264" i="13"/>
  <c r="I264" i="14" s="1"/>
  <c r="C264" i="13"/>
  <c r="C264" i="14" s="1"/>
  <c r="E264" i="13"/>
  <c r="E264" i="14" s="1"/>
  <c r="M105" i="13"/>
  <c r="M105" i="14" s="1"/>
  <c r="K105" i="13"/>
  <c r="K105" i="14" s="1"/>
  <c r="R105" i="13"/>
  <c r="R105" i="14" s="1"/>
  <c r="F105" i="13"/>
  <c r="F105" i="14" s="1"/>
  <c r="L105" i="13"/>
  <c r="L105" i="14" s="1"/>
  <c r="Q105" i="13"/>
  <c r="Q105" i="14" s="1"/>
  <c r="I105" i="13"/>
  <c r="I105" i="14" s="1"/>
  <c r="H105" i="13"/>
  <c r="H105" i="14" s="1"/>
  <c r="D105" i="13"/>
  <c r="D105" i="14" s="1"/>
  <c r="O105" i="13"/>
  <c r="O105" i="14" s="1"/>
  <c r="G105" i="13"/>
  <c r="G105" i="14" s="1"/>
  <c r="N105" i="13"/>
  <c r="N105" i="14" s="1"/>
  <c r="J105" i="13"/>
  <c r="J105" i="14" s="1"/>
  <c r="S105" i="13"/>
  <c r="S105" i="14" s="1"/>
  <c r="C105" i="13"/>
  <c r="C105" i="14" s="1"/>
  <c r="E105" i="13"/>
  <c r="E105" i="14" s="1"/>
  <c r="R287" i="13"/>
  <c r="R287" i="14" s="1"/>
  <c r="K287" i="13"/>
  <c r="K287" i="14" s="1"/>
  <c r="Q287" i="13"/>
  <c r="Q287" i="14" s="1"/>
  <c r="I287" i="13"/>
  <c r="I287" i="14" s="1"/>
  <c r="L287" i="13"/>
  <c r="L287" i="14" s="1"/>
  <c r="F287" i="13"/>
  <c r="F287" i="14" s="1"/>
  <c r="O287" i="13"/>
  <c r="O287" i="14" s="1"/>
  <c r="J287" i="13"/>
  <c r="J287" i="14" s="1"/>
  <c r="M287" i="13"/>
  <c r="M287" i="14" s="1"/>
  <c r="D287" i="13"/>
  <c r="D287" i="14" s="1"/>
  <c r="S287" i="13"/>
  <c r="S287" i="14" s="1"/>
  <c r="G287" i="13"/>
  <c r="G287" i="14" s="1"/>
  <c r="H287" i="13"/>
  <c r="H287" i="14" s="1"/>
  <c r="N287" i="13"/>
  <c r="N287" i="14" s="1"/>
  <c r="C287" i="13"/>
  <c r="C287" i="14" s="1"/>
  <c r="E287" i="13"/>
  <c r="E287" i="14" s="1"/>
  <c r="M243" i="13"/>
  <c r="M243" i="14" s="1"/>
  <c r="K243" i="13"/>
  <c r="K243" i="14" s="1"/>
  <c r="Q243" i="13"/>
  <c r="Q243" i="14" s="1"/>
  <c r="I243" i="13"/>
  <c r="I243" i="14" s="1"/>
  <c r="L243" i="13"/>
  <c r="L243" i="14" s="1"/>
  <c r="F243" i="13"/>
  <c r="F243" i="14" s="1"/>
  <c r="R243" i="13"/>
  <c r="R243" i="14" s="1"/>
  <c r="H243" i="13"/>
  <c r="H243" i="14" s="1"/>
  <c r="N243" i="13"/>
  <c r="N243" i="14" s="1"/>
  <c r="D243" i="13"/>
  <c r="D243" i="14" s="1"/>
  <c r="S243" i="13"/>
  <c r="S243" i="14" s="1"/>
  <c r="G243" i="13"/>
  <c r="G243" i="14" s="1"/>
  <c r="O243" i="13"/>
  <c r="O243" i="14" s="1"/>
  <c r="J243" i="13"/>
  <c r="J243" i="14" s="1"/>
  <c r="C243" i="13"/>
  <c r="C243" i="14" s="1"/>
  <c r="E243" i="13"/>
  <c r="E243" i="14" s="1"/>
  <c r="F211" i="13"/>
  <c r="F211" i="14" s="1"/>
  <c r="K211" i="13"/>
  <c r="K211" i="14" s="1"/>
  <c r="M211" i="13"/>
  <c r="M211" i="14" s="1"/>
  <c r="L211" i="13"/>
  <c r="L211" i="14" s="1"/>
  <c r="Q211" i="13"/>
  <c r="Q211" i="14" s="1"/>
  <c r="I211" i="13"/>
  <c r="I211" i="14" s="1"/>
  <c r="O211" i="13"/>
  <c r="O211" i="14" s="1"/>
  <c r="H211" i="13"/>
  <c r="H211" i="14" s="1"/>
  <c r="D211" i="13"/>
  <c r="D211" i="14" s="1"/>
  <c r="R211" i="13"/>
  <c r="R211" i="14" s="1"/>
  <c r="J211" i="13"/>
  <c r="J211" i="14" s="1"/>
  <c r="S211" i="13"/>
  <c r="S211" i="14" s="1"/>
  <c r="G211" i="13"/>
  <c r="G211" i="14" s="1"/>
  <c r="N211" i="13"/>
  <c r="N211" i="14" s="1"/>
  <c r="C211" i="13"/>
  <c r="C211" i="14" s="1"/>
  <c r="E211" i="13"/>
  <c r="E211" i="14" s="1"/>
  <c r="R179" i="13"/>
  <c r="R179" i="14" s="1"/>
  <c r="F179" i="13"/>
  <c r="F179" i="14" s="1"/>
  <c r="M179" i="13"/>
  <c r="M179" i="14" s="1"/>
  <c r="K179" i="13"/>
  <c r="K179" i="14" s="1"/>
  <c r="Q179" i="13"/>
  <c r="Q179" i="14" s="1"/>
  <c r="I179" i="13"/>
  <c r="I179" i="14" s="1"/>
  <c r="L179" i="13"/>
  <c r="L179" i="14" s="1"/>
  <c r="O179" i="13"/>
  <c r="O179" i="14" s="1"/>
  <c r="H179" i="13"/>
  <c r="H179" i="14" s="1"/>
  <c r="D179" i="13"/>
  <c r="D179" i="14" s="1"/>
  <c r="J179" i="13"/>
  <c r="J179" i="14" s="1"/>
  <c r="S179" i="13"/>
  <c r="S179" i="14" s="1"/>
  <c r="G179" i="13"/>
  <c r="G179" i="14" s="1"/>
  <c r="N179" i="13"/>
  <c r="N179" i="14" s="1"/>
  <c r="C179" i="13"/>
  <c r="C179" i="14" s="1"/>
  <c r="E179" i="13"/>
  <c r="E179" i="14" s="1"/>
  <c r="R147" i="13"/>
  <c r="R147" i="14" s="1"/>
  <c r="F147" i="13"/>
  <c r="F147" i="14" s="1"/>
  <c r="M147" i="13"/>
  <c r="M147" i="14" s="1"/>
  <c r="K147" i="13"/>
  <c r="K147" i="14" s="1"/>
  <c r="Q147" i="13"/>
  <c r="Q147" i="14" s="1"/>
  <c r="I147" i="13"/>
  <c r="I147" i="14" s="1"/>
  <c r="L147" i="13"/>
  <c r="L147" i="14" s="1"/>
  <c r="O147" i="13"/>
  <c r="O147" i="14" s="1"/>
  <c r="H147" i="13"/>
  <c r="H147" i="14" s="1"/>
  <c r="D147" i="13"/>
  <c r="D147" i="14" s="1"/>
  <c r="J147" i="13"/>
  <c r="J147" i="14" s="1"/>
  <c r="S147" i="13"/>
  <c r="S147" i="14" s="1"/>
  <c r="G147" i="13"/>
  <c r="G147" i="14" s="1"/>
  <c r="N147" i="13"/>
  <c r="N147" i="14" s="1"/>
  <c r="C147" i="13"/>
  <c r="C147" i="14" s="1"/>
  <c r="E147" i="13"/>
  <c r="E147" i="14" s="1"/>
  <c r="O126" i="13"/>
  <c r="O126" i="14" s="1"/>
  <c r="H126" i="13"/>
  <c r="H126" i="14" s="1"/>
  <c r="D126" i="13"/>
  <c r="D126" i="14" s="1"/>
  <c r="N126" i="13"/>
  <c r="N126" i="14" s="1"/>
  <c r="J126" i="13"/>
  <c r="J126" i="14" s="1"/>
  <c r="S126" i="13"/>
  <c r="S126" i="14" s="1"/>
  <c r="G126" i="13"/>
  <c r="G126" i="14" s="1"/>
  <c r="M126" i="13"/>
  <c r="M126" i="14" s="1"/>
  <c r="K126" i="13"/>
  <c r="K126" i="14" s="1"/>
  <c r="F126" i="13"/>
  <c r="F126" i="14" s="1"/>
  <c r="Q126" i="13"/>
  <c r="Q126" i="14" s="1"/>
  <c r="I126" i="13"/>
  <c r="I126" i="14" s="1"/>
  <c r="R126" i="13"/>
  <c r="R126" i="14" s="1"/>
  <c r="L126" i="13"/>
  <c r="L126" i="14" s="1"/>
  <c r="C126" i="13"/>
  <c r="C126" i="14" s="1"/>
  <c r="E126" i="13"/>
  <c r="E126" i="14" s="1"/>
  <c r="K305" i="13"/>
  <c r="K305" i="14" s="1"/>
  <c r="M305" i="13"/>
  <c r="M305" i="14" s="1"/>
  <c r="L305" i="13"/>
  <c r="L305" i="14" s="1"/>
  <c r="I305" i="13"/>
  <c r="I305" i="14" s="1"/>
  <c r="Q305" i="13"/>
  <c r="Q305" i="14" s="1"/>
  <c r="R305" i="13"/>
  <c r="R305" i="14" s="1"/>
  <c r="F305" i="13"/>
  <c r="F305" i="14" s="1"/>
  <c r="O305" i="13"/>
  <c r="O305" i="14" s="1"/>
  <c r="G305" i="13"/>
  <c r="G305" i="14" s="1"/>
  <c r="N305" i="13"/>
  <c r="N305" i="14" s="1"/>
  <c r="J305" i="13"/>
  <c r="J305" i="14" s="1"/>
  <c r="S305" i="13"/>
  <c r="S305" i="14" s="1"/>
  <c r="D305" i="13"/>
  <c r="D305" i="14" s="1"/>
  <c r="H305" i="13"/>
  <c r="H305" i="14" s="1"/>
  <c r="C305" i="13"/>
  <c r="C305" i="14" s="1"/>
  <c r="E305" i="13"/>
  <c r="E305" i="14" s="1"/>
  <c r="AL192" i="1"/>
  <c r="B192" i="13" s="1"/>
  <c r="B192" i="14" s="1"/>
  <c r="D192" i="13"/>
  <c r="D192" i="14" s="1"/>
  <c r="H192" i="13"/>
  <c r="H192" i="14" s="1"/>
  <c r="S192" i="13"/>
  <c r="S192" i="14" s="1"/>
  <c r="G192" i="13"/>
  <c r="G192" i="14" s="1"/>
  <c r="J192" i="13"/>
  <c r="J192" i="14" s="1"/>
  <c r="N192" i="13"/>
  <c r="N192" i="14" s="1"/>
  <c r="R192" i="13"/>
  <c r="R192" i="14" s="1"/>
  <c r="F192" i="13"/>
  <c r="F192" i="14" s="1"/>
  <c r="K192" i="13"/>
  <c r="K192" i="14" s="1"/>
  <c r="M192" i="13"/>
  <c r="M192" i="14" s="1"/>
  <c r="Q192" i="13"/>
  <c r="Q192" i="14" s="1"/>
  <c r="L192" i="13"/>
  <c r="L192" i="14" s="1"/>
  <c r="O192" i="13"/>
  <c r="O192" i="14" s="1"/>
  <c r="I192" i="13"/>
  <c r="I192" i="14" s="1"/>
  <c r="C192" i="13"/>
  <c r="C192" i="14" s="1"/>
  <c r="E192" i="13"/>
  <c r="E192" i="14" s="1"/>
  <c r="H312" i="13"/>
  <c r="H312" i="14" s="1"/>
  <c r="D312" i="13"/>
  <c r="D312" i="14" s="1"/>
  <c r="S312" i="13"/>
  <c r="S312" i="14" s="1"/>
  <c r="G312" i="13"/>
  <c r="G312" i="14" s="1"/>
  <c r="J312" i="13"/>
  <c r="J312" i="14" s="1"/>
  <c r="N312" i="13"/>
  <c r="N312" i="14" s="1"/>
  <c r="R312" i="13"/>
  <c r="R312" i="14" s="1"/>
  <c r="F312" i="13"/>
  <c r="F312" i="14" s="1"/>
  <c r="O312" i="13"/>
  <c r="O312" i="14" s="1"/>
  <c r="M312" i="13"/>
  <c r="M312" i="14" s="1"/>
  <c r="L312" i="13"/>
  <c r="L312" i="14" s="1"/>
  <c r="K312" i="13"/>
  <c r="K312" i="14" s="1"/>
  <c r="I312" i="13"/>
  <c r="I312" i="14" s="1"/>
  <c r="Q312" i="13"/>
  <c r="Q312" i="14" s="1"/>
  <c r="C312" i="13"/>
  <c r="C312" i="14" s="1"/>
  <c r="E312" i="13"/>
  <c r="E312" i="14" s="1"/>
  <c r="AL140" i="1"/>
  <c r="B140" i="13" s="1"/>
  <c r="B140" i="14" s="1"/>
  <c r="D140" i="13"/>
  <c r="D140" i="14" s="1"/>
  <c r="O140" i="13"/>
  <c r="O140" i="14" s="1"/>
  <c r="H140" i="13"/>
  <c r="H140" i="14" s="1"/>
  <c r="S140" i="13"/>
  <c r="S140" i="14" s="1"/>
  <c r="G140" i="13"/>
  <c r="G140" i="14" s="1"/>
  <c r="N140" i="13"/>
  <c r="N140" i="14" s="1"/>
  <c r="J140" i="13"/>
  <c r="J140" i="14" s="1"/>
  <c r="R140" i="13"/>
  <c r="R140" i="14" s="1"/>
  <c r="F140" i="13"/>
  <c r="F140" i="14" s="1"/>
  <c r="K140" i="13"/>
  <c r="K140" i="14" s="1"/>
  <c r="M140" i="13"/>
  <c r="M140" i="14" s="1"/>
  <c r="I140" i="13"/>
  <c r="I140" i="14" s="1"/>
  <c r="Q140" i="13"/>
  <c r="Q140" i="14" s="1"/>
  <c r="L140" i="13"/>
  <c r="L140" i="14" s="1"/>
  <c r="C140" i="13"/>
  <c r="C140" i="14" s="1"/>
  <c r="E140" i="13"/>
  <c r="E140" i="14" s="1"/>
  <c r="AK81" i="1"/>
  <c r="AL186" i="1"/>
  <c r="B186" i="13" s="1"/>
  <c r="B186" i="14" s="1"/>
  <c r="AK72" i="1"/>
  <c r="AK140" i="1"/>
  <c r="AK215" i="1"/>
  <c r="AL150" i="1"/>
  <c r="B150" i="13" s="1"/>
  <c r="B150" i="14" s="1"/>
  <c r="AK423" i="1"/>
  <c r="AL116" i="1"/>
  <c r="B116" i="13" s="1"/>
  <c r="B116" i="14" s="1"/>
  <c r="AL85" i="1"/>
  <c r="B85" i="13" s="1"/>
  <c r="B85" i="14" s="1"/>
  <c r="AK112" i="1"/>
  <c r="B269" i="5"/>
  <c r="B269" i="12" s="1"/>
  <c r="B293" i="5"/>
  <c r="B293" i="12" s="1"/>
  <c r="B378" i="5"/>
  <c r="B378" i="12" s="1"/>
  <c r="B95" i="5"/>
  <c r="B95" i="12" s="1"/>
  <c r="B121" i="5"/>
  <c r="B121" i="12" s="1"/>
  <c r="B129" i="5"/>
  <c r="B129" i="12" s="1"/>
  <c r="B84" i="5"/>
  <c r="B84" i="12" s="1"/>
  <c r="B133" i="5"/>
  <c r="B133" i="12" s="1"/>
  <c r="B318" i="5"/>
  <c r="B318" i="12" s="1"/>
  <c r="B375" i="5"/>
  <c r="B375" i="12" s="1"/>
  <c r="B212" i="5"/>
  <c r="B212" i="12" s="1"/>
  <c r="B86" i="5"/>
  <c r="B86" i="12" s="1"/>
  <c r="B170" i="5"/>
  <c r="B170" i="12" s="1"/>
  <c r="B315" i="5"/>
  <c r="B315" i="12" s="1"/>
  <c r="B231" i="5"/>
  <c r="B231" i="12" s="1"/>
  <c r="B48" i="5"/>
  <c r="B48" i="12" s="1"/>
  <c r="AL443" i="1"/>
  <c r="B443" i="13" s="1"/>
  <c r="B443" i="14" s="1"/>
  <c r="B443" i="5"/>
  <c r="B443" i="12" s="1"/>
  <c r="B19" i="5"/>
  <c r="B19" i="12" s="1"/>
  <c r="B337" i="5"/>
  <c r="B337" i="12" s="1"/>
  <c r="AK205" i="1"/>
  <c r="B205" i="5"/>
  <c r="B205" i="12" s="1"/>
  <c r="B282" i="5"/>
  <c r="B282" i="12" s="1"/>
  <c r="B35" i="5"/>
  <c r="B35" i="12" s="1"/>
  <c r="B157" i="5"/>
  <c r="B157" i="12" s="1"/>
  <c r="B213" i="5"/>
  <c r="B213" i="12" s="1"/>
  <c r="B153" i="5"/>
  <c r="B153" i="12" s="1"/>
  <c r="AK217" i="1"/>
  <c r="AK157" i="1"/>
  <c r="B299" i="5"/>
  <c r="B299" i="12" s="1"/>
  <c r="B358" i="5"/>
  <c r="B358" i="12" s="1"/>
  <c r="B7" i="5"/>
  <c r="B7" i="12" s="1"/>
  <c r="B438" i="5"/>
  <c r="B438" i="12" s="1"/>
  <c r="B350" i="5"/>
  <c r="B350" i="12" s="1"/>
  <c r="B91" i="5"/>
  <c r="B91" i="12" s="1"/>
  <c r="B14" i="5"/>
  <c r="B14" i="12" s="1"/>
  <c r="B322" i="5"/>
  <c r="B322" i="12" s="1"/>
  <c r="B67" i="5"/>
  <c r="B67" i="12" s="1"/>
  <c r="B388" i="5"/>
  <c r="B388" i="12" s="1"/>
  <c r="B344" i="5"/>
  <c r="B344" i="12" s="1"/>
  <c r="B83" i="5"/>
  <c r="B83" i="12" s="1"/>
  <c r="B354" i="5"/>
  <c r="B354" i="12" s="1"/>
  <c r="B23" i="5"/>
  <c r="B23" i="12" s="1"/>
  <c r="B120" i="5"/>
  <c r="B120" i="12" s="1"/>
  <c r="B248" i="5"/>
  <c r="B248" i="12" s="1"/>
  <c r="B405" i="5"/>
  <c r="B405" i="12" s="1"/>
  <c r="B407" i="5"/>
  <c r="B407" i="12" s="1"/>
  <c r="B409" i="5"/>
  <c r="B409" i="12" s="1"/>
  <c r="B31" i="5"/>
  <c r="B31" i="12" s="1"/>
  <c r="B68" i="5"/>
  <c r="B68" i="12" s="1"/>
  <c r="B57" i="5"/>
  <c r="B57" i="12" s="1"/>
  <c r="B370" i="5"/>
  <c r="B370" i="12" s="1"/>
  <c r="B87" i="5"/>
  <c r="B87" i="12" s="1"/>
  <c r="B10" i="5"/>
  <c r="B10" i="12" s="1"/>
  <c r="B63" i="5"/>
  <c r="B63" i="12" s="1"/>
  <c r="B384" i="5"/>
  <c r="B384" i="12" s="1"/>
  <c r="B348" i="5"/>
  <c r="B348" i="12" s="1"/>
  <c r="B139" i="5"/>
  <c r="B139" i="12" s="1"/>
  <c r="B124" i="5"/>
  <c r="B124" i="12" s="1"/>
  <c r="B53" i="5"/>
  <c r="B53" i="12" s="1"/>
  <c r="B41" i="5"/>
  <c r="B41" i="12" s="1"/>
  <c r="B385" i="5"/>
  <c r="B385" i="12" s="1"/>
  <c r="B259" i="5"/>
  <c r="B259" i="12" s="1"/>
  <c r="B125" i="5"/>
  <c r="B125" i="12" s="1"/>
  <c r="B270" i="5"/>
  <c r="B270" i="12" s="1"/>
  <c r="AK35" i="1"/>
  <c r="B412" i="5"/>
  <c r="B412" i="12" s="1"/>
  <c r="B58" i="5"/>
  <c r="B58" i="12" s="1"/>
  <c r="AL274" i="1"/>
  <c r="B274" i="13" s="1"/>
  <c r="B274" i="14" s="1"/>
  <c r="B274" i="5"/>
  <c r="B274" i="12" s="1"/>
  <c r="AK74" i="1"/>
  <c r="B74" i="5"/>
  <c r="B74" i="12" s="1"/>
  <c r="AL98" i="1"/>
  <c r="B98" i="13" s="1"/>
  <c r="B98" i="14" s="1"/>
  <c r="B98" i="5"/>
  <c r="B98" i="12" s="1"/>
  <c r="B329" i="5"/>
  <c r="B329" i="12" s="1"/>
  <c r="B137" i="5"/>
  <c r="B137" i="12" s="1"/>
  <c r="B114" i="5"/>
  <c r="B114" i="12" s="1"/>
  <c r="B96" i="5"/>
  <c r="B96" i="12" s="1"/>
  <c r="AL434" i="1"/>
  <c r="B434" i="13" s="1"/>
  <c r="B434" i="14" s="1"/>
  <c r="B434" i="5"/>
  <c r="B434" i="12" s="1"/>
  <c r="B220" i="5"/>
  <c r="B220" i="12" s="1"/>
  <c r="B382" i="5"/>
  <c r="B382" i="12" s="1"/>
  <c r="B386" i="5"/>
  <c r="B386" i="12" s="1"/>
  <c r="B273" i="5"/>
  <c r="B273" i="12" s="1"/>
  <c r="B368" i="5"/>
  <c r="B368" i="12" s="1"/>
  <c r="AK267" i="1"/>
  <c r="B267" i="5"/>
  <c r="B267" i="12" s="1"/>
  <c r="AL223" i="1"/>
  <c r="B223" i="13" s="1"/>
  <c r="B223" i="14" s="1"/>
  <c r="B223" i="5"/>
  <c r="B223" i="12" s="1"/>
  <c r="AL191" i="1"/>
  <c r="B191" i="13" s="1"/>
  <c r="B191" i="14" s="1"/>
  <c r="B191" i="5"/>
  <c r="B191" i="12" s="1"/>
  <c r="B151" i="5"/>
  <c r="B151" i="12" s="1"/>
  <c r="B25" i="5"/>
  <c r="B25" i="12" s="1"/>
  <c r="B333" i="5"/>
  <c r="B333" i="12" s="1"/>
  <c r="B313" i="5"/>
  <c r="B313" i="12" s="1"/>
  <c r="B429" i="5"/>
  <c r="B429" i="12" s="1"/>
  <c r="B62" i="5"/>
  <c r="B62" i="12" s="1"/>
  <c r="B432" i="5"/>
  <c r="B432" i="12" s="1"/>
  <c r="B194" i="5"/>
  <c r="B194" i="12" s="1"/>
  <c r="AL280" i="1"/>
  <c r="B280" i="13" s="1"/>
  <c r="B280" i="14" s="1"/>
  <c r="B280" i="5"/>
  <c r="B280" i="12" s="1"/>
  <c r="B237" i="5"/>
  <c r="B237" i="12" s="1"/>
  <c r="B331" i="5"/>
  <c r="B331" i="12" s="1"/>
  <c r="B104" i="5"/>
  <c r="B104" i="12" s="1"/>
  <c r="B228" i="5"/>
  <c r="B228" i="12" s="1"/>
  <c r="B233" i="5"/>
  <c r="B233" i="12" s="1"/>
  <c r="B289" i="5"/>
  <c r="B289" i="12" s="1"/>
  <c r="B146" i="5"/>
  <c r="B146" i="12" s="1"/>
  <c r="B51" i="5"/>
  <c r="B51" i="12" s="1"/>
  <c r="B400" i="5"/>
  <c r="B400" i="12" s="1"/>
  <c r="B109" i="5"/>
  <c r="B109" i="12" s="1"/>
  <c r="B141" i="5"/>
  <c r="B141" i="12" s="1"/>
  <c r="B437" i="5"/>
  <c r="B437" i="12" s="1"/>
  <c r="B416" i="5"/>
  <c r="B416" i="12" s="1"/>
  <c r="B210" i="5"/>
  <c r="B210" i="12" s="1"/>
  <c r="B39" i="5"/>
  <c r="B39" i="12" s="1"/>
  <c r="B420" i="5"/>
  <c r="B420" i="12" s="1"/>
  <c r="B294" i="5"/>
  <c r="B294" i="12" s="1"/>
  <c r="B29" i="5"/>
  <c r="B29" i="12" s="1"/>
  <c r="B371" i="5"/>
  <c r="B371" i="12" s="1"/>
  <c r="B276" i="5"/>
  <c r="B276" i="12" s="1"/>
  <c r="B316" i="5"/>
  <c r="B316" i="12" s="1"/>
  <c r="B303" i="5"/>
  <c r="B303" i="12" s="1"/>
  <c r="B284" i="5"/>
  <c r="B284" i="12" s="1"/>
  <c r="B156" i="5"/>
  <c r="B156" i="12" s="1"/>
  <c r="B106" i="5"/>
  <c r="B106" i="12" s="1"/>
  <c r="B105" i="5"/>
  <c r="B105" i="12" s="1"/>
  <c r="B99" i="5"/>
  <c r="B99" i="12" s="1"/>
  <c r="B287" i="5"/>
  <c r="B287" i="12" s="1"/>
  <c r="B243" i="5"/>
  <c r="B243" i="12" s="1"/>
  <c r="B211" i="5"/>
  <c r="B211" i="12" s="1"/>
  <c r="B179" i="5"/>
  <c r="B179" i="12" s="1"/>
  <c r="B147" i="5"/>
  <c r="B147" i="12" s="1"/>
  <c r="B238" i="5"/>
  <c r="B238" i="12" s="1"/>
  <c r="B166" i="5"/>
  <c r="B166" i="12" s="1"/>
  <c r="B278" i="5"/>
  <c r="B278" i="12" s="1"/>
  <c r="AK192" i="1"/>
  <c r="B192" i="5"/>
  <c r="B192" i="12" s="1"/>
  <c r="B296" i="5"/>
  <c r="B296" i="12" s="1"/>
  <c r="B101" i="5"/>
  <c r="B101" i="12" s="1"/>
  <c r="B140" i="5"/>
  <c r="B140" i="12" s="1"/>
  <c r="B168" i="5"/>
  <c r="B168" i="12" s="1"/>
  <c r="B339" i="5"/>
  <c r="B339" i="12" s="1"/>
  <c r="B127" i="5"/>
  <c r="B127" i="12" s="1"/>
  <c r="B330" i="5"/>
  <c r="B330" i="12" s="1"/>
  <c r="B352" i="5"/>
  <c r="B352" i="12" s="1"/>
  <c r="B332" i="5"/>
  <c r="B332" i="12" s="1"/>
  <c r="B357" i="5"/>
  <c r="B357" i="12" s="1"/>
  <c r="B425" i="5"/>
  <c r="B425" i="12" s="1"/>
  <c r="B361" i="5"/>
  <c r="B361" i="12" s="1"/>
  <c r="B123" i="5"/>
  <c r="B123" i="12" s="1"/>
  <c r="B71" i="5"/>
  <c r="B71" i="12" s="1"/>
  <c r="B261" i="5"/>
  <c r="B261" i="12" s="1"/>
  <c r="B247" i="5"/>
  <c r="B247" i="12" s="1"/>
  <c r="B320" i="5"/>
  <c r="B320" i="12" s="1"/>
  <c r="B167" i="5"/>
  <c r="B167" i="12" s="1"/>
  <c r="B431" i="5"/>
  <c r="B431" i="12" s="1"/>
  <c r="B188" i="5"/>
  <c r="B188" i="12" s="1"/>
  <c r="B21" i="5"/>
  <c r="B21" i="12" s="1"/>
  <c r="B17" i="5"/>
  <c r="B17" i="12" s="1"/>
  <c r="B292" i="5"/>
  <c r="B292" i="12" s="1"/>
  <c r="B244" i="5"/>
  <c r="B244" i="12" s="1"/>
  <c r="B304" i="5"/>
  <c r="B304" i="12" s="1"/>
  <c r="B283" i="5"/>
  <c r="B283" i="12" s="1"/>
  <c r="B159" i="5"/>
  <c r="B159" i="12" s="1"/>
  <c r="AK55" i="1"/>
  <c r="B55" i="5"/>
  <c r="B55" i="12" s="1"/>
  <c r="B387" i="5"/>
  <c r="B387" i="12" s="1"/>
  <c r="B355" i="5"/>
  <c r="B355" i="12" s="1"/>
  <c r="B328" i="5"/>
  <c r="B328" i="12" s="1"/>
  <c r="AL164" i="1"/>
  <c r="B164" i="13" s="1"/>
  <c r="B164" i="14" s="1"/>
  <c r="B164" i="5"/>
  <c r="B164" i="12" s="1"/>
  <c r="B298" i="5"/>
  <c r="B298" i="12" s="1"/>
  <c r="AL100" i="1"/>
  <c r="B100" i="13" s="1"/>
  <c r="B100" i="14" s="1"/>
  <c r="B100" i="5"/>
  <c r="B100" i="12" s="1"/>
  <c r="B113" i="5"/>
  <c r="B113" i="12" s="1"/>
  <c r="B190" i="5"/>
  <c r="B190" i="12" s="1"/>
  <c r="B342" i="5"/>
  <c r="B342" i="12" s="1"/>
  <c r="B162" i="5"/>
  <c r="B162" i="12" s="1"/>
  <c r="B327" i="5"/>
  <c r="B327" i="12" s="1"/>
  <c r="AL323" i="1"/>
  <c r="B323" i="13" s="1"/>
  <c r="B323" i="14" s="1"/>
  <c r="B323" i="5"/>
  <c r="B323" i="12" s="1"/>
  <c r="B161" i="5"/>
  <c r="B161" i="12" s="1"/>
  <c r="AL295" i="1"/>
  <c r="B295" i="13" s="1"/>
  <c r="B295" i="14" s="1"/>
  <c r="B295" i="5"/>
  <c r="B295" i="12" s="1"/>
  <c r="AL219" i="1"/>
  <c r="B219" i="13" s="1"/>
  <c r="B219" i="14" s="1"/>
  <c r="B219" i="5"/>
  <c r="B219" i="12" s="1"/>
  <c r="AL187" i="1"/>
  <c r="B187" i="13" s="1"/>
  <c r="B187" i="14" s="1"/>
  <c r="B187" i="5"/>
  <c r="B187" i="12" s="1"/>
  <c r="B305" i="5"/>
  <c r="B305" i="12" s="1"/>
  <c r="AK187" i="1"/>
  <c r="B77" i="5"/>
  <c r="B77" i="12" s="1"/>
  <c r="B201" i="5"/>
  <c r="B201" i="12" s="1"/>
  <c r="B107" i="5"/>
  <c r="B107" i="12" s="1"/>
  <c r="AK304" i="1"/>
  <c r="AL281" i="1"/>
  <c r="B281" i="13" s="1"/>
  <c r="B281" i="14" s="1"/>
  <c r="AL38" i="1"/>
  <c r="B38" i="13" s="1"/>
  <c r="B38" i="14" s="1"/>
  <c r="B169" i="5"/>
  <c r="B169" i="12" s="1"/>
  <c r="B225" i="5"/>
  <c r="B225" i="12" s="1"/>
  <c r="B428" i="5"/>
  <c r="B428" i="12" s="1"/>
  <c r="B46" i="5"/>
  <c r="B46" i="12" s="1"/>
  <c r="B229" i="5"/>
  <c r="B229" i="12" s="1"/>
  <c r="B435" i="5"/>
  <c r="B435" i="12" s="1"/>
  <c r="B165" i="5"/>
  <c r="B165" i="12" s="1"/>
  <c r="B49" i="5"/>
  <c r="B49" i="12" s="1"/>
  <c r="B262" i="5"/>
  <c r="B262" i="12" s="1"/>
  <c r="B414" i="5"/>
  <c r="B414" i="12" s="1"/>
  <c r="B12" i="5"/>
  <c r="B12" i="12" s="1"/>
  <c r="B61" i="5"/>
  <c r="B61" i="12" s="1"/>
  <c r="B79" i="5"/>
  <c r="B79" i="12" s="1"/>
  <c r="B6" i="5"/>
  <c r="B6" i="12" s="1"/>
  <c r="B314" i="5"/>
  <c r="B314" i="12" s="1"/>
  <c r="B59" i="5"/>
  <c r="B59" i="12" s="1"/>
  <c r="B376" i="5"/>
  <c r="B376" i="12" s="1"/>
  <c r="B413" i="5"/>
  <c r="B413" i="12" s="1"/>
  <c r="B9" i="5"/>
  <c r="B9" i="12" s="1"/>
  <c r="B258" i="5"/>
  <c r="B258" i="12" s="1"/>
  <c r="B398" i="5"/>
  <c r="B398" i="12" s="1"/>
  <c r="B439" i="5"/>
  <c r="B439" i="12" s="1"/>
  <c r="B401" i="5"/>
  <c r="B401" i="12" s="1"/>
  <c r="B73" i="5"/>
  <c r="B73" i="12" s="1"/>
  <c r="B250" i="5"/>
  <c r="B250" i="12" s="1"/>
  <c r="B301" i="5"/>
  <c r="B301" i="12" s="1"/>
  <c r="B422" i="5"/>
  <c r="B422" i="12" s="1"/>
  <c r="B345" i="5"/>
  <c r="B345" i="12" s="1"/>
  <c r="B80" i="5"/>
  <c r="B80" i="12" s="1"/>
  <c r="B408" i="5"/>
  <c r="B408" i="12" s="1"/>
  <c r="B362" i="5"/>
  <c r="B362" i="12" s="1"/>
  <c r="B336" i="5"/>
  <c r="B336" i="12" s="1"/>
  <c r="B52" i="5"/>
  <c r="B52" i="12" s="1"/>
  <c r="B334" i="5"/>
  <c r="B334" i="12" s="1"/>
  <c r="B306" i="5"/>
  <c r="B306" i="12" s="1"/>
  <c r="B45" i="5"/>
  <c r="B45" i="12" s="1"/>
  <c r="B372" i="5"/>
  <c r="B372" i="12" s="1"/>
  <c r="B421" i="5"/>
  <c r="B421" i="12" s="1"/>
  <c r="B119" i="5"/>
  <c r="B119" i="12" s="1"/>
  <c r="B341" i="5"/>
  <c r="B341" i="12" s="1"/>
  <c r="B3" i="5"/>
  <c r="B3" i="12" s="1"/>
  <c r="B373" i="5"/>
  <c r="B373" i="12" s="1"/>
  <c r="B395" i="5"/>
  <c r="B395" i="12" s="1"/>
  <c r="B28" i="5"/>
  <c r="B28" i="12" s="1"/>
  <c r="B34" i="5"/>
  <c r="B34" i="12" s="1"/>
  <c r="B417" i="5"/>
  <c r="B417" i="12" s="1"/>
  <c r="AL19" i="1"/>
  <c r="B19" i="13" s="1"/>
  <c r="B19" i="14" s="1"/>
  <c r="AK292" i="1"/>
  <c r="AL231" i="1"/>
  <c r="B231" i="13" s="1"/>
  <c r="B231" i="14" s="1"/>
  <c r="B307" i="5"/>
  <c r="B307" i="12" s="1"/>
  <c r="B353" i="5"/>
  <c r="B353" i="12" s="1"/>
  <c r="B224" i="5"/>
  <c r="B224" i="12" s="1"/>
  <c r="B76" i="5"/>
  <c r="B76" i="12" s="1"/>
  <c r="AK305" i="1"/>
  <c r="AL342" i="1"/>
  <c r="B342" i="13" s="1"/>
  <c r="B342" i="14" s="1"/>
  <c r="B176" i="5"/>
  <c r="B176" i="12" s="1"/>
  <c r="AL35" i="1"/>
  <c r="B35" i="13" s="1"/>
  <c r="B35" i="14" s="1"/>
  <c r="B152" i="5"/>
  <c r="B152" i="12" s="1"/>
  <c r="AL21" i="1"/>
  <c r="B21" i="13" s="1"/>
  <c r="B21" i="14" s="1"/>
  <c r="B222" i="5"/>
  <c r="B222" i="12" s="1"/>
  <c r="B286" i="5"/>
  <c r="B286" i="12" s="1"/>
  <c r="B13" i="5"/>
  <c r="B13" i="12" s="1"/>
  <c r="B78" i="5"/>
  <c r="B78" i="12" s="1"/>
  <c r="B367" i="5"/>
  <c r="B367" i="12" s="1"/>
  <c r="B226" i="5"/>
  <c r="B226" i="12" s="1"/>
  <c r="B349" i="5"/>
  <c r="B349" i="12" s="1"/>
  <c r="B8" i="5"/>
  <c r="B8" i="12" s="1"/>
  <c r="B27" i="5"/>
  <c r="B27" i="12" s="1"/>
  <c r="B33" i="5"/>
  <c r="B33" i="12" s="1"/>
  <c r="B69" i="5"/>
  <c r="B69" i="12" s="1"/>
  <c r="B193" i="5"/>
  <c r="B193" i="12" s="1"/>
  <c r="B89" i="5"/>
  <c r="B89" i="12" s="1"/>
  <c r="B103" i="5"/>
  <c r="B103" i="12" s="1"/>
  <c r="B215" i="5"/>
  <c r="B215" i="12" s="1"/>
  <c r="B183" i="5"/>
  <c r="B183" i="12" s="1"/>
  <c r="B143" i="5"/>
  <c r="B143" i="12" s="1"/>
  <c r="B209" i="5"/>
  <c r="B209" i="12" s="1"/>
  <c r="B396" i="5"/>
  <c r="B396" i="12" s="1"/>
  <c r="B178" i="5"/>
  <c r="B178" i="12" s="1"/>
  <c r="B108" i="5"/>
  <c r="B108" i="12" s="1"/>
  <c r="B351" i="5"/>
  <c r="B351" i="12" s="1"/>
  <c r="B94" i="5"/>
  <c r="B94" i="12" s="1"/>
  <c r="AK5" i="1"/>
  <c r="B5" i="5"/>
  <c r="B5" i="12" s="1"/>
  <c r="B160" i="5"/>
  <c r="B160" i="12" s="1"/>
  <c r="B173" i="5"/>
  <c r="B173" i="12" s="1"/>
  <c r="B72" i="5"/>
  <c r="B72" i="12" s="1"/>
  <c r="AL216" i="1"/>
  <c r="B216" i="13" s="1"/>
  <c r="B216" i="14" s="1"/>
  <c r="B216" i="5"/>
  <c r="B216" i="12" s="1"/>
  <c r="B265" i="5"/>
  <c r="B265" i="12" s="1"/>
  <c r="B50" i="5"/>
  <c r="B50" i="12" s="1"/>
  <c r="B4" i="5"/>
  <c r="B4" i="12" s="1"/>
  <c r="B112" i="5"/>
  <c r="B112" i="12" s="1"/>
  <c r="B363" i="5"/>
  <c r="B363" i="12" s="1"/>
  <c r="B383" i="5"/>
  <c r="B383" i="12" s="1"/>
  <c r="B118" i="5"/>
  <c r="B118" i="12" s="1"/>
  <c r="AL110" i="1"/>
  <c r="B110" i="13" s="1"/>
  <c r="B110" i="14" s="1"/>
  <c r="B110" i="5"/>
  <c r="B110" i="12" s="1"/>
  <c r="B394" i="5"/>
  <c r="B394" i="12" s="1"/>
  <c r="B321" i="5"/>
  <c r="B321" i="12" s="1"/>
  <c r="AL410" i="1"/>
  <c r="B410" i="13" s="1"/>
  <c r="B410" i="14" s="1"/>
  <c r="B410" i="5"/>
  <c r="B410" i="12" s="1"/>
  <c r="B82" i="5"/>
  <c r="B82" i="12" s="1"/>
  <c r="B90" i="5"/>
  <c r="B90" i="12" s="1"/>
  <c r="B202" i="5"/>
  <c r="B202" i="12" s="1"/>
  <c r="B66" i="5"/>
  <c r="B66" i="12" s="1"/>
  <c r="B150" i="5"/>
  <c r="B150" i="12" s="1"/>
  <c r="B148" i="5"/>
  <c r="B148" i="12" s="1"/>
  <c r="B374" i="5"/>
  <c r="B374" i="12" s="1"/>
  <c r="B60" i="5"/>
  <c r="B60" i="12" s="1"/>
  <c r="AK240" i="1"/>
  <c r="B240" i="5"/>
  <c r="B240" i="12" s="1"/>
  <c r="B117" i="5"/>
  <c r="B117" i="12" s="1"/>
  <c r="B264" i="5"/>
  <c r="B264" i="12" s="1"/>
  <c r="B54" i="5"/>
  <c r="B54" i="12" s="1"/>
  <c r="B85" i="5"/>
  <c r="B85" i="12" s="1"/>
  <c r="AK279" i="1"/>
  <c r="B279" i="5"/>
  <c r="B279" i="12" s="1"/>
  <c r="AK235" i="1"/>
  <c r="B235" i="5"/>
  <c r="B235" i="12" s="1"/>
  <c r="AK203" i="1"/>
  <c r="B203" i="5"/>
  <c r="B203" i="12" s="1"/>
  <c r="AL171" i="1"/>
  <c r="B171" i="13" s="1"/>
  <c r="B171" i="14" s="1"/>
  <c r="B171" i="5"/>
  <c r="B171" i="12" s="1"/>
  <c r="AL75" i="1"/>
  <c r="B75" i="13" s="1"/>
  <c r="B75" i="14" s="1"/>
  <c r="B75" i="5"/>
  <c r="B75" i="12" s="1"/>
  <c r="B256" i="5"/>
  <c r="B256" i="12" s="1"/>
  <c r="B232" i="5"/>
  <c r="B232" i="12" s="1"/>
  <c r="B245" i="5"/>
  <c r="B245" i="12" s="1"/>
  <c r="B199" i="5"/>
  <c r="B199" i="12" s="1"/>
  <c r="B181" i="5"/>
  <c r="B181" i="12" s="1"/>
  <c r="B149" i="5"/>
  <c r="B149" i="12" s="1"/>
  <c r="B177" i="5"/>
  <c r="B177" i="12" s="1"/>
  <c r="B65" i="5"/>
  <c r="B65" i="12" s="1"/>
  <c r="B340" i="5"/>
  <c r="B340" i="12" s="1"/>
  <c r="B22" i="5"/>
  <c r="B22" i="12" s="1"/>
  <c r="B32" i="5"/>
  <c r="B32" i="12" s="1"/>
  <c r="B390" i="5"/>
  <c r="B390" i="12" s="1"/>
  <c r="B88" i="5"/>
  <c r="B88" i="12" s="1"/>
  <c r="B399" i="5"/>
  <c r="B399" i="12" s="1"/>
  <c r="B128" i="5"/>
  <c r="B128" i="12" s="1"/>
  <c r="B64" i="5"/>
  <c r="B64" i="12" s="1"/>
  <c r="B366" i="5"/>
  <c r="B366" i="12" s="1"/>
  <c r="B18" i="5"/>
  <c r="B18" i="12" s="1"/>
  <c r="B397" i="5"/>
  <c r="B397" i="12" s="1"/>
  <c r="B356" i="5"/>
  <c r="B356" i="12" s="1"/>
  <c r="B136" i="5"/>
  <c r="B136" i="12" s="1"/>
  <c r="B369" i="5"/>
  <c r="B369" i="12" s="1"/>
  <c r="B20" i="5"/>
  <c r="B20" i="12" s="1"/>
  <c r="B268" i="5"/>
  <c r="B268" i="12" s="1"/>
  <c r="B343" i="5"/>
  <c r="B343" i="12" s="1"/>
  <c r="B214" i="5"/>
  <c r="B214" i="12" s="1"/>
  <c r="B189" i="5"/>
  <c r="B189" i="12" s="1"/>
  <c r="B196" i="5"/>
  <c r="B196" i="12" s="1"/>
  <c r="B38" i="5"/>
  <c r="B38" i="12" s="1"/>
  <c r="B206" i="5"/>
  <c r="B206" i="12" s="1"/>
  <c r="B198" i="5"/>
  <c r="B198" i="12" s="1"/>
  <c r="AL154" i="1"/>
  <c r="B154" i="13" s="1"/>
  <c r="B154" i="14" s="1"/>
  <c r="B154" i="5"/>
  <c r="B154" i="12" s="1"/>
  <c r="B115" i="5"/>
  <c r="B115" i="12" s="1"/>
  <c r="B288" i="5"/>
  <c r="B288" i="12" s="1"/>
  <c r="B393" i="5"/>
  <c r="B393" i="12" s="1"/>
  <c r="B200" i="5"/>
  <c r="B200" i="12" s="1"/>
  <c r="B145" i="5"/>
  <c r="B145" i="12" s="1"/>
  <c r="AL406" i="1"/>
  <c r="B406" i="13" s="1"/>
  <c r="B406" i="14" s="1"/>
  <c r="B406" i="5"/>
  <c r="B406" i="12" s="1"/>
  <c r="B424" i="5"/>
  <c r="B424" i="12" s="1"/>
  <c r="B81" i="5"/>
  <c r="B81" i="12" s="1"/>
  <c r="AL185" i="1"/>
  <c r="B185" i="13" s="1"/>
  <c r="B185" i="14" s="1"/>
  <c r="B185" i="5"/>
  <c r="B185" i="12" s="1"/>
  <c r="B217" i="5"/>
  <c r="B217" i="12" s="1"/>
  <c r="AK263" i="1"/>
  <c r="B263" i="5"/>
  <c r="B263" i="12" s="1"/>
  <c r="AL155" i="1"/>
  <c r="B155" i="13" s="1"/>
  <c r="B155" i="14" s="1"/>
  <c r="B155" i="5"/>
  <c r="B155" i="12" s="1"/>
  <c r="B122" i="5"/>
  <c r="B122" i="12" s="1"/>
  <c r="B281" i="5"/>
  <c r="B281" i="12" s="1"/>
  <c r="B430" i="5"/>
  <c r="B430" i="12" s="1"/>
  <c r="B275" i="5"/>
  <c r="B275" i="12" s="1"/>
  <c r="AL430" i="1"/>
  <c r="B430" i="13" s="1"/>
  <c r="B430" i="14" s="1"/>
  <c r="AK189" i="1"/>
  <c r="B241" i="5"/>
  <c r="B241" i="12" s="1"/>
  <c r="B197" i="5"/>
  <c r="B197" i="12" s="1"/>
  <c r="AL283" i="1"/>
  <c r="B283" i="13" s="1"/>
  <c r="B283" i="14" s="1"/>
  <c r="B277" i="5"/>
  <c r="B277" i="12" s="1"/>
  <c r="AK190" i="1"/>
  <c r="AL161" i="1"/>
  <c r="B161" i="13" s="1"/>
  <c r="B161" i="14" s="1"/>
  <c r="B285" i="5"/>
  <c r="B285" i="12" s="1"/>
  <c r="AK48" i="1"/>
  <c r="AK196" i="1"/>
  <c r="B24" i="5"/>
  <c r="B24" i="12" s="1"/>
  <c r="B132" i="5"/>
  <c r="B132" i="12" s="1"/>
  <c r="B377" i="5"/>
  <c r="B377" i="12" s="1"/>
  <c r="B97" i="5"/>
  <c r="B97" i="12" s="1"/>
  <c r="B346" i="5"/>
  <c r="B346" i="12" s="1"/>
  <c r="B30" i="5"/>
  <c r="B30" i="12" s="1"/>
  <c r="B338" i="5"/>
  <c r="B338" i="12" s="1"/>
  <c r="B302" i="5"/>
  <c r="B302" i="12" s="1"/>
  <c r="B40" i="5"/>
  <c r="B40" i="12" s="1"/>
  <c r="B360" i="5"/>
  <c r="B360" i="12" s="1"/>
  <c r="B411" i="5"/>
  <c r="B411" i="12" s="1"/>
  <c r="B441" i="5"/>
  <c r="B441" i="12" s="1"/>
  <c r="B92" i="5"/>
  <c r="B92" i="12" s="1"/>
  <c r="B37" i="5"/>
  <c r="B37" i="12" s="1"/>
  <c r="B418" i="5"/>
  <c r="B418" i="12" s="1"/>
  <c r="B138" i="5"/>
  <c r="B138" i="12" s="1"/>
  <c r="B254" i="5"/>
  <c r="B254" i="12" s="1"/>
  <c r="B391" i="5"/>
  <c r="B391" i="12" s="1"/>
  <c r="B15" i="5"/>
  <c r="B15" i="12" s="1"/>
  <c r="B415" i="5"/>
  <c r="B415" i="12" s="1"/>
  <c r="B135" i="5"/>
  <c r="B135" i="12" s="1"/>
  <c r="B26" i="5"/>
  <c r="B26" i="12" s="1"/>
  <c r="B326" i="5"/>
  <c r="B326" i="12" s="1"/>
  <c r="B246" i="5"/>
  <c r="B246" i="12" s="1"/>
  <c r="B36" i="5"/>
  <c r="B36" i="12" s="1"/>
  <c r="B364" i="5"/>
  <c r="B364" i="12" s="1"/>
  <c r="B403" i="5"/>
  <c r="B403" i="12" s="1"/>
  <c r="B380" i="5"/>
  <c r="B380" i="12" s="1"/>
  <c r="B404" i="5"/>
  <c r="B404" i="12" s="1"/>
  <c r="B319" i="5"/>
  <c r="B319" i="12" s="1"/>
  <c r="B56" i="5"/>
  <c r="B56" i="12" s="1"/>
  <c r="B419" i="5"/>
  <c r="B419" i="12" s="1"/>
  <c r="B255" i="5"/>
  <c r="B255" i="12" s="1"/>
  <c r="B257" i="5"/>
  <c r="B257" i="12" s="1"/>
  <c r="AL327" i="1"/>
  <c r="B327" i="13" s="1"/>
  <c r="B327" i="14" s="1"/>
  <c r="AK170" i="1"/>
  <c r="AL170" i="1"/>
  <c r="B170" i="13" s="1"/>
  <c r="B170" i="14" s="1"/>
  <c r="B144" i="5"/>
  <c r="B144" i="12" s="1"/>
  <c r="AL315" i="1"/>
  <c r="B315" i="13" s="1"/>
  <c r="B315" i="14" s="1"/>
  <c r="AL162" i="1"/>
  <c r="B162" i="13" s="1"/>
  <c r="B162" i="14" s="1"/>
  <c r="AK424" i="1"/>
  <c r="AL74" i="1"/>
  <c r="B74" i="13" s="1"/>
  <c r="B74" i="14" s="1"/>
  <c r="B158" i="5"/>
  <c r="B158" i="12" s="1"/>
  <c r="B379" i="5"/>
  <c r="B379" i="12" s="1"/>
  <c r="B242" i="5"/>
  <c r="B242" i="12" s="1"/>
  <c r="AK260" i="1"/>
  <c r="B260" i="5"/>
  <c r="B260" i="12" s="1"/>
  <c r="B234" i="5"/>
  <c r="B234" i="12" s="1"/>
  <c r="B134" i="5"/>
  <c r="B134" i="12" s="1"/>
  <c r="AK184" i="1"/>
  <c r="B184" i="5"/>
  <c r="B184" i="12" s="1"/>
  <c r="B43" i="5"/>
  <c r="B43" i="12" s="1"/>
  <c r="B335" i="5"/>
  <c r="B335" i="12" s="1"/>
  <c r="B365" i="5"/>
  <c r="B365" i="12" s="1"/>
  <c r="AL427" i="1"/>
  <c r="B427" i="13" s="1"/>
  <c r="B427" i="14" s="1"/>
  <c r="B427" i="5"/>
  <c r="B427" i="12" s="1"/>
  <c r="B236" i="5"/>
  <c r="B236" i="12" s="1"/>
  <c r="AK16" i="1"/>
  <c r="B16" i="5"/>
  <c r="B16" i="12" s="1"/>
  <c r="B291" i="5"/>
  <c r="B291" i="12" s="1"/>
  <c r="B239" i="5"/>
  <c r="B239" i="12" s="1"/>
  <c r="AL207" i="1"/>
  <c r="B207" i="13" s="1"/>
  <c r="B207" i="14" s="1"/>
  <c r="B207" i="5"/>
  <c r="B207" i="12" s="1"/>
  <c r="AK175" i="1"/>
  <c r="B175" i="5"/>
  <c r="B175" i="12" s="1"/>
  <c r="B116" i="5"/>
  <c r="B116" i="12" s="1"/>
  <c r="B131" i="5"/>
  <c r="B131" i="12" s="1"/>
  <c r="B266" i="5"/>
  <c r="B266" i="12" s="1"/>
  <c r="B317" i="5"/>
  <c r="B317" i="12" s="1"/>
  <c r="B300" i="5"/>
  <c r="B300" i="12" s="1"/>
  <c r="B130" i="5"/>
  <c r="B130" i="12" s="1"/>
  <c r="B218" i="5"/>
  <c r="B218" i="12" s="1"/>
  <c r="B249" i="5"/>
  <c r="B249" i="12" s="1"/>
  <c r="B182" i="5"/>
  <c r="B182" i="12" s="1"/>
  <c r="AL93" i="1"/>
  <c r="B93" i="13" s="1"/>
  <c r="B93" i="14" s="1"/>
  <c r="B93" i="5"/>
  <c r="B93" i="12" s="1"/>
  <c r="AK389" i="1"/>
  <c r="B389" i="5"/>
  <c r="B389" i="12" s="1"/>
  <c r="B180" i="5"/>
  <c r="B180" i="12" s="1"/>
  <c r="B324" i="5"/>
  <c r="B324" i="12" s="1"/>
  <c r="B433" i="5"/>
  <c r="B433" i="12" s="1"/>
  <c r="B174" i="5"/>
  <c r="B174" i="12" s="1"/>
  <c r="B359" i="5"/>
  <c r="B359" i="12" s="1"/>
  <c r="B186" i="5"/>
  <c r="B186" i="12" s="1"/>
  <c r="B47" i="5"/>
  <c r="B47" i="12" s="1"/>
  <c r="B272" i="5"/>
  <c r="B272" i="12" s="1"/>
  <c r="B204" i="5"/>
  <c r="B204" i="12" s="1"/>
  <c r="AL347" i="1"/>
  <c r="B347" i="13" s="1"/>
  <c r="B347" i="14" s="1"/>
  <c r="B347" i="5"/>
  <c r="B347" i="12" s="1"/>
  <c r="B44" i="5"/>
  <c r="B44" i="12" s="1"/>
  <c r="B230" i="5"/>
  <c r="B230" i="12" s="1"/>
  <c r="B325" i="5"/>
  <c r="B325" i="12" s="1"/>
  <c r="B111" i="5"/>
  <c r="B111" i="12" s="1"/>
  <c r="B290" i="5"/>
  <c r="B290" i="12" s="1"/>
  <c r="B297" i="5"/>
  <c r="B297" i="12" s="1"/>
  <c r="B221" i="5"/>
  <c r="B221" i="12" s="1"/>
  <c r="B11" i="5"/>
  <c r="B11" i="12" s="1"/>
  <c r="B381" i="5"/>
  <c r="B381" i="12" s="1"/>
  <c r="B208" i="5"/>
  <c r="B208" i="12" s="1"/>
  <c r="B423" i="5"/>
  <c r="B423" i="12" s="1"/>
  <c r="B271" i="5"/>
  <c r="B271" i="12" s="1"/>
  <c r="B227" i="5"/>
  <c r="B227" i="12" s="1"/>
  <c r="B195" i="5"/>
  <c r="B195" i="12" s="1"/>
  <c r="B163" i="5"/>
  <c r="B163" i="12" s="1"/>
  <c r="B126" i="5"/>
  <c r="B126" i="12" s="1"/>
  <c r="B402" i="5"/>
  <c r="B402" i="12" s="1"/>
  <c r="AK102" i="1"/>
  <c r="B102" i="5"/>
  <c r="B102" i="12" s="1"/>
  <c r="B172" i="5"/>
  <c r="B172" i="12" s="1"/>
  <c r="B312" i="5"/>
  <c r="B312" i="12" s="1"/>
  <c r="B392" i="5"/>
  <c r="B392" i="12" s="1"/>
  <c r="B426" i="5"/>
  <c r="B426" i="12" s="1"/>
  <c r="AL106" i="1"/>
  <c r="B106" i="13" s="1"/>
  <c r="B106" i="14" s="1"/>
  <c r="AK430" i="1"/>
  <c r="AK171" i="1"/>
  <c r="AK437" i="1"/>
  <c r="AK433" i="1"/>
  <c r="AL267" i="1"/>
  <c r="B267" i="13" s="1"/>
  <c r="B267" i="14" s="1"/>
  <c r="AL16" i="1"/>
  <c r="B16" i="13" s="1"/>
  <c r="B16" i="14" s="1"/>
  <c r="AL260" i="1"/>
  <c r="B260" i="13" s="1"/>
  <c r="B260" i="14" s="1"/>
  <c r="AL43" i="1"/>
  <c r="B43" i="13" s="1"/>
  <c r="B43" i="14" s="1"/>
  <c r="AL60" i="1"/>
  <c r="B60" i="13" s="1"/>
  <c r="B60" i="14" s="1"/>
  <c r="AL113" i="1"/>
  <c r="B113" i="13" s="1"/>
  <c r="B113" i="14" s="1"/>
  <c r="AL184" i="1"/>
  <c r="B184" i="13" s="1"/>
  <c r="B184" i="14" s="1"/>
  <c r="AK117" i="1"/>
  <c r="AK295" i="1"/>
  <c r="AK155" i="1"/>
  <c r="AK93" i="1"/>
  <c r="AK223" i="1"/>
  <c r="AK207" i="1"/>
  <c r="AK239" i="1"/>
  <c r="AK185" i="1"/>
  <c r="AL358" i="1"/>
  <c r="B358" i="13" s="1"/>
  <c r="B358" i="14" s="1"/>
  <c r="AL350" i="1"/>
  <c r="B350" i="13" s="1"/>
  <c r="B350" i="14" s="1"/>
  <c r="AK120" i="1"/>
  <c r="AK405" i="1"/>
  <c r="AL366" i="1"/>
  <c r="B366" i="13" s="1"/>
  <c r="B366" i="14" s="1"/>
  <c r="AL356" i="1"/>
  <c r="B356" i="13" s="1"/>
  <c r="B356" i="14" s="1"/>
  <c r="AL387" i="1"/>
  <c r="B387" i="13" s="1"/>
  <c r="B387" i="14" s="1"/>
  <c r="AK351" i="1"/>
  <c r="AK355" i="1"/>
  <c r="AK173" i="1"/>
  <c r="AL265" i="1"/>
  <c r="B265" i="13" s="1"/>
  <c r="B265" i="14" s="1"/>
  <c r="AK383" i="1"/>
  <c r="AK118" i="1"/>
  <c r="AL416" i="1"/>
  <c r="B416" i="13" s="1"/>
  <c r="B416" i="14" s="1"/>
  <c r="AL210" i="1"/>
  <c r="B210" i="13" s="1"/>
  <c r="B210" i="14" s="1"/>
  <c r="AK210" i="1"/>
  <c r="AL238" i="1"/>
  <c r="B238" i="13" s="1"/>
  <c r="B238" i="14" s="1"/>
  <c r="AK238" i="1"/>
  <c r="AL256" i="1"/>
  <c r="B256" i="13" s="1"/>
  <c r="B256" i="14" s="1"/>
  <c r="AK256" i="1"/>
  <c r="AL437" i="1"/>
  <c r="B437" i="13" s="1"/>
  <c r="B437" i="14" s="1"/>
  <c r="AL204" i="1"/>
  <c r="B204" i="13" s="1"/>
  <c r="B204" i="14" s="1"/>
  <c r="AK414" i="1"/>
  <c r="AK79" i="1"/>
  <c r="AK376" i="1"/>
  <c r="AK413" i="1"/>
  <c r="AK398" i="1"/>
  <c r="AK439" i="1"/>
  <c r="AK301" i="1"/>
  <c r="AK31" i="1"/>
  <c r="AL57" i="1"/>
  <c r="B57" i="13" s="1"/>
  <c r="B57" i="14" s="1"/>
  <c r="AL87" i="1"/>
  <c r="B87" i="13" s="1"/>
  <c r="B87" i="14" s="1"/>
  <c r="AL10" i="1"/>
  <c r="B10" i="13" s="1"/>
  <c r="B10" i="14" s="1"/>
  <c r="AK384" i="1"/>
  <c r="AK348" i="1"/>
  <c r="AK139" i="1"/>
  <c r="AL53" i="1"/>
  <c r="B53" i="13" s="1"/>
  <c r="B53" i="14" s="1"/>
  <c r="AL41" i="1"/>
  <c r="B41" i="13" s="1"/>
  <c r="B41" i="14" s="1"/>
  <c r="AK20" i="1"/>
  <c r="AL351" i="1"/>
  <c r="B351" i="13" s="1"/>
  <c r="B351" i="14" s="1"/>
  <c r="AL212" i="1"/>
  <c r="B212" i="13" s="1"/>
  <c r="B212" i="14" s="1"/>
  <c r="AL205" i="1"/>
  <c r="B205" i="13" s="1"/>
  <c r="B205" i="14" s="1"/>
  <c r="AL431" i="1"/>
  <c r="B431" i="13" s="1"/>
  <c r="B431" i="14" s="1"/>
  <c r="AL353" i="1"/>
  <c r="B353" i="13" s="1"/>
  <c r="B353" i="14" s="1"/>
  <c r="AK224" i="1"/>
  <c r="AK288" i="1"/>
  <c r="AK176" i="1"/>
  <c r="AK152" i="1"/>
  <c r="AL359" i="1"/>
  <c r="B359" i="13" s="1"/>
  <c r="B359" i="14" s="1"/>
  <c r="AK416" i="1"/>
  <c r="AK158" i="1"/>
  <c r="AL158" i="1"/>
  <c r="B158" i="13" s="1"/>
  <c r="B158" i="14" s="1"/>
  <c r="AK58" i="1"/>
  <c r="AL58" i="1"/>
  <c r="B58" i="13" s="1"/>
  <c r="B58" i="14" s="1"/>
  <c r="AK379" i="1"/>
  <c r="AL379" i="1"/>
  <c r="B379" i="13" s="1"/>
  <c r="B379" i="14" s="1"/>
  <c r="AK274" i="1"/>
  <c r="AK242" i="1"/>
  <c r="AL242" i="1"/>
  <c r="B242" i="13" s="1"/>
  <c r="B242" i="14" s="1"/>
  <c r="AK98" i="1"/>
  <c r="AL234" i="1"/>
  <c r="B234" i="13" s="1"/>
  <c r="B234" i="14" s="1"/>
  <c r="AL134" i="1"/>
  <c r="B134" i="13" s="1"/>
  <c r="B134" i="14" s="1"/>
  <c r="AL8" i="1"/>
  <c r="B8" i="13" s="1"/>
  <c r="B8" i="14" s="1"/>
  <c r="AK335" i="1"/>
  <c r="AK96" i="1"/>
  <c r="AL69" i="1"/>
  <c r="B69" i="13" s="1"/>
  <c r="B69" i="14" s="1"/>
  <c r="AK220" i="1"/>
  <c r="AK193" i="1"/>
  <c r="B2" i="5"/>
  <c r="B2" i="12" s="1"/>
  <c r="AL175" i="1"/>
  <c r="B175" i="13" s="1"/>
  <c r="B175" i="14" s="1"/>
  <c r="AL159" i="1"/>
  <c r="B159" i="13" s="1"/>
  <c r="B159" i="14" s="1"/>
  <c r="AL143" i="1"/>
  <c r="B143" i="13" s="1"/>
  <c r="B143" i="14" s="1"/>
  <c r="AL48" i="1"/>
  <c r="B48" i="13" s="1"/>
  <c r="B48" i="14" s="1"/>
  <c r="AL228" i="1"/>
  <c r="B228" i="13" s="1"/>
  <c r="B228" i="14" s="1"/>
  <c r="AK420" i="1"/>
  <c r="AK325" i="1"/>
  <c r="AK294" i="1"/>
  <c r="AL111" i="1"/>
  <c r="B111" i="13" s="1"/>
  <c r="B111" i="14" s="1"/>
  <c r="AK29" i="1"/>
  <c r="AK290" i="1"/>
  <c r="AK371" i="1"/>
  <c r="AL297" i="1"/>
  <c r="B297" i="13" s="1"/>
  <c r="B297" i="14" s="1"/>
  <c r="AK316" i="1"/>
  <c r="AL221" i="1"/>
  <c r="B221" i="13" s="1"/>
  <c r="B221" i="14" s="1"/>
  <c r="AK323" i="1"/>
  <c r="AK60" i="1"/>
  <c r="AL117" i="1"/>
  <c r="B117" i="13" s="1"/>
  <c r="B117" i="14" s="1"/>
  <c r="AL264" i="1"/>
  <c r="B264" i="13" s="1"/>
  <c r="B264" i="14" s="1"/>
  <c r="AK161" i="1"/>
  <c r="AK75" i="1"/>
  <c r="AL305" i="1"/>
  <c r="B305" i="13" s="1"/>
  <c r="B305" i="14" s="1"/>
  <c r="AK296" i="1"/>
  <c r="AL7" i="1"/>
  <c r="B7" i="13" s="1"/>
  <c r="B7" i="14" s="1"/>
  <c r="AL344" i="1"/>
  <c r="B344" i="13" s="1"/>
  <c r="B344" i="14" s="1"/>
  <c r="AK407" i="1"/>
  <c r="AL64" i="1"/>
  <c r="B64" i="13" s="1"/>
  <c r="B64" i="14" s="1"/>
  <c r="AK247" i="1"/>
  <c r="AL198" i="1"/>
  <c r="B198" i="13" s="1"/>
  <c r="B198" i="14" s="1"/>
  <c r="AK108" i="1"/>
  <c r="AK94" i="1"/>
  <c r="AL115" i="1"/>
  <c r="B115" i="13" s="1"/>
  <c r="B115" i="14" s="1"/>
  <c r="AK216" i="1"/>
  <c r="AK406" i="1"/>
  <c r="AL24" i="1"/>
  <c r="B24" i="13" s="1"/>
  <c r="B24" i="14" s="1"/>
  <c r="AL377" i="1"/>
  <c r="B377" i="13" s="1"/>
  <c r="B377" i="14" s="1"/>
  <c r="AL30" i="1"/>
  <c r="B30" i="13" s="1"/>
  <c r="B30" i="14" s="1"/>
  <c r="AK302" i="1"/>
  <c r="AK411" i="1"/>
  <c r="AL37" i="1"/>
  <c r="B37" i="13" s="1"/>
  <c r="B37" i="14" s="1"/>
  <c r="AK418" i="1"/>
  <c r="AL345" i="1"/>
  <c r="B345" i="13" s="1"/>
  <c r="B345" i="14" s="1"/>
  <c r="AL80" i="1"/>
  <c r="B80" i="13" s="1"/>
  <c r="B80" i="14" s="1"/>
  <c r="AK362" i="1"/>
  <c r="AK52" i="1"/>
  <c r="AK334" i="1"/>
  <c r="AL45" i="1"/>
  <c r="B45" i="13" s="1"/>
  <c r="B45" i="14" s="1"/>
  <c r="AL372" i="1"/>
  <c r="B372" i="13" s="1"/>
  <c r="B372" i="14" s="1"/>
  <c r="AL421" i="1"/>
  <c r="B421" i="13" s="1"/>
  <c r="B421" i="14" s="1"/>
  <c r="AK3" i="1"/>
  <c r="AK373" i="1"/>
  <c r="AK395" i="1"/>
  <c r="AK259" i="1"/>
  <c r="AL118" i="1"/>
  <c r="B118" i="13" s="1"/>
  <c r="B118" i="14" s="1"/>
  <c r="AK144" i="1"/>
  <c r="AL383" i="1"/>
  <c r="B383" i="13" s="1"/>
  <c r="B383" i="14" s="1"/>
  <c r="AL396" i="1"/>
  <c r="B396" i="13" s="1"/>
  <c r="B396" i="14" s="1"/>
  <c r="AK359" i="1"/>
  <c r="AK198" i="1"/>
  <c r="AL94" i="1"/>
  <c r="B94" i="13" s="1"/>
  <c r="B94" i="14" s="1"/>
  <c r="AL288" i="1"/>
  <c r="B288" i="13" s="1"/>
  <c r="B288" i="14" s="1"/>
  <c r="AK387" i="1"/>
  <c r="AK206" i="1"/>
  <c r="AL206" i="1"/>
  <c r="B206" i="13" s="1"/>
  <c r="B206" i="14" s="1"/>
  <c r="AL266" i="1"/>
  <c r="B266" i="13" s="1"/>
  <c r="B266" i="14" s="1"/>
  <c r="AK313" i="1"/>
  <c r="AL300" i="1"/>
  <c r="B300" i="13" s="1"/>
  <c r="B300" i="14" s="1"/>
  <c r="AK130" i="1"/>
  <c r="AK62" i="1"/>
  <c r="AK218" i="1"/>
  <c r="AL432" i="1"/>
  <c r="B432" i="13" s="1"/>
  <c r="B432" i="14" s="1"/>
  <c r="AK249" i="1"/>
  <c r="AK182" i="1"/>
  <c r="AK160" i="1"/>
  <c r="AK331" i="1"/>
  <c r="AK104" i="1"/>
  <c r="AL174" i="1"/>
  <c r="B174" i="13" s="1"/>
  <c r="B174" i="14" s="1"/>
  <c r="AK174" i="1"/>
  <c r="AL298" i="1"/>
  <c r="B298" i="13" s="1"/>
  <c r="B298" i="14" s="1"/>
  <c r="AK298" i="1"/>
  <c r="AK363" i="1"/>
  <c r="AL363" i="1"/>
  <c r="B363" i="13" s="1"/>
  <c r="B363" i="14" s="1"/>
  <c r="AK337" i="1"/>
  <c r="AL337" i="1"/>
  <c r="B337" i="13" s="1"/>
  <c r="B337" i="14" s="1"/>
  <c r="AK51" i="1"/>
  <c r="AK47" i="1"/>
  <c r="AK109" i="1"/>
  <c r="AL141" i="1"/>
  <c r="B141" i="13" s="1"/>
  <c r="B141" i="14" s="1"/>
  <c r="AK272" i="1"/>
  <c r="AK113" i="1"/>
  <c r="AL321" i="1"/>
  <c r="B321" i="13" s="1"/>
  <c r="B321" i="14" s="1"/>
  <c r="AK321" i="1"/>
  <c r="AL282" i="1"/>
  <c r="B282" i="13" s="1"/>
  <c r="B282" i="14" s="1"/>
  <c r="AK282" i="1"/>
  <c r="AK44" i="1"/>
  <c r="AL39" i="1"/>
  <c r="B39" i="13" s="1"/>
  <c r="B39" i="14" s="1"/>
  <c r="AK230" i="1"/>
  <c r="AK126" i="1"/>
  <c r="AL126" i="1"/>
  <c r="B126" i="13" s="1"/>
  <c r="B126" i="14" s="1"/>
  <c r="AK166" i="1"/>
  <c r="AL299" i="1"/>
  <c r="B299" i="13" s="1"/>
  <c r="B299" i="14" s="1"/>
  <c r="AL91" i="1"/>
  <c r="B91" i="13" s="1"/>
  <c r="B91" i="14" s="1"/>
  <c r="AK248" i="1"/>
  <c r="AL133" i="1"/>
  <c r="B133" i="13" s="1"/>
  <c r="B133" i="14" s="1"/>
  <c r="AK18" i="1"/>
  <c r="AK261" i="1"/>
  <c r="AK136" i="1"/>
  <c r="AL419" i="1"/>
  <c r="B419" i="13" s="1"/>
  <c r="B419" i="14" s="1"/>
  <c r="AL412" i="1"/>
  <c r="B412" i="13" s="1"/>
  <c r="B412" i="14" s="1"/>
  <c r="AK396" i="1"/>
  <c r="AL55" i="1"/>
  <c r="B55" i="13" s="1"/>
  <c r="B55" i="14" s="1"/>
  <c r="AL178" i="1"/>
  <c r="B178" i="13" s="1"/>
  <c r="B178" i="14" s="1"/>
  <c r="AK443" i="1"/>
  <c r="AK154" i="1"/>
  <c r="AL5" i="1"/>
  <c r="B5" i="13" s="1"/>
  <c r="B5" i="14" s="1"/>
  <c r="AK280" i="1"/>
  <c r="AL328" i="1"/>
  <c r="B328" i="13" s="1"/>
  <c r="B328" i="14" s="1"/>
  <c r="AK19" i="1"/>
  <c r="AK164" i="1"/>
  <c r="AL146" i="1"/>
  <c r="B146" i="13" s="1"/>
  <c r="B146" i="14" s="1"/>
  <c r="AK146" i="1"/>
  <c r="AK393" i="1"/>
  <c r="AL393" i="1"/>
  <c r="B393" i="13" s="1"/>
  <c r="B393" i="14" s="1"/>
  <c r="AK100" i="1"/>
  <c r="AK204" i="1"/>
  <c r="AL145" i="1"/>
  <c r="B145" i="13" s="1"/>
  <c r="B145" i="14" s="1"/>
  <c r="AK347" i="1"/>
  <c r="AK410" i="1"/>
  <c r="AL82" i="1"/>
  <c r="B82" i="13" s="1"/>
  <c r="B82" i="14" s="1"/>
  <c r="AK145" i="1"/>
  <c r="AK110" i="1"/>
  <c r="AK49" i="1"/>
  <c r="AL177" i="1"/>
  <c r="B177" i="13" s="1"/>
  <c r="B177" i="14" s="1"/>
  <c r="AL168" i="1"/>
  <c r="B168" i="13" s="1"/>
  <c r="B168" i="14" s="1"/>
  <c r="AL339" i="1"/>
  <c r="B339" i="13" s="1"/>
  <c r="B339" i="14" s="1"/>
  <c r="AL378" i="1"/>
  <c r="B378" i="13" s="1"/>
  <c r="B378" i="14" s="1"/>
  <c r="AK127" i="1"/>
  <c r="AK22" i="1"/>
  <c r="AL390" i="1"/>
  <c r="B390" i="13" s="1"/>
  <c r="B390" i="14" s="1"/>
  <c r="AK357" i="1"/>
  <c r="AK129" i="1"/>
  <c r="AK425" i="1"/>
  <c r="AK391" i="1"/>
  <c r="AK415" i="1"/>
  <c r="AL135" i="1"/>
  <c r="B135" i="13" s="1"/>
  <c r="B135" i="14" s="1"/>
  <c r="AK26" i="1"/>
  <c r="AK36" i="1"/>
  <c r="AK403" i="1"/>
  <c r="AK404" i="1"/>
  <c r="AK319" i="1"/>
  <c r="AL34" i="1"/>
  <c r="B34" i="13" s="1"/>
  <c r="B34" i="14" s="1"/>
  <c r="AL417" i="1"/>
  <c r="B417" i="13" s="1"/>
  <c r="B417" i="14" s="1"/>
  <c r="AL355" i="1"/>
  <c r="B355" i="13" s="1"/>
  <c r="B355" i="14" s="1"/>
  <c r="AK167" i="1"/>
  <c r="AL307" i="1"/>
  <c r="B307" i="13" s="1"/>
  <c r="B307" i="14" s="1"/>
  <c r="AL389" i="1"/>
  <c r="B389" i="13" s="1"/>
  <c r="B389" i="14" s="1"/>
  <c r="AL268" i="1"/>
  <c r="B268" i="13" s="1"/>
  <c r="B268" i="14" s="1"/>
  <c r="AK188" i="1"/>
  <c r="AK265" i="1"/>
  <c r="AK76" i="1"/>
  <c r="AK82" i="1"/>
  <c r="AK328" i="1"/>
  <c r="AL200" i="1"/>
  <c r="B200" i="13" s="1"/>
  <c r="B200" i="14" s="1"/>
  <c r="AK178" i="1"/>
  <c r="AK122" i="1"/>
  <c r="AL108" i="1"/>
  <c r="B108" i="13" s="1"/>
  <c r="B108" i="14" s="1"/>
  <c r="AK115" i="1"/>
  <c r="AK222" i="1"/>
  <c r="AL222" i="1"/>
  <c r="B222" i="13" s="1"/>
  <c r="B222" i="14" s="1"/>
  <c r="AK86" i="1"/>
  <c r="AL86" i="1"/>
  <c r="B86" i="13" s="1"/>
  <c r="B86" i="14" s="1"/>
  <c r="AK286" i="1"/>
  <c r="AL286" i="1"/>
  <c r="B286" i="13" s="1"/>
  <c r="B286" i="14" s="1"/>
  <c r="AK21" i="1"/>
  <c r="AK13" i="1"/>
  <c r="AL13" i="1"/>
  <c r="B13" i="13" s="1"/>
  <c r="B13" i="14" s="1"/>
  <c r="AK343" i="1"/>
  <c r="AK17" i="1"/>
  <c r="AK367" i="1"/>
  <c r="AL329" i="1"/>
  <c r="B329" i="13" s="1"/>
  <c r="B329" i="14" s="1"/>
  <c r="AL226" i="1"/>
  <c r="B226" i="13" s="1"/>
  <c r="B226" i="14" s="1"/>
  <c r="AK214" i="1"/>
  <c r="AK43" i="1"/>
  <c r="AL27" i="1"/>
  <c r="B27" i="13" s="1"/>
  <c r="B27" i="14" s="1"/>
  <c r="AK315" i="1"/>
  <c r="AK33" i="1"/>
  <c r="AL292" i="1"/>
  <c r="B292" i="13" s="1"/>
  <c r="B292" i="14" s="1"/>
  <c r="AK427" i="1"/>
  <c r="AK236" i="1"/>
  <c r="AL244" i="1"/>
  <c r="B244" i="13" s="1"/>
  <c r="B244" i="14" s="1"/>
  <c r="AK291" i="1"/>
  <c r="AK103" i="1"/>
  <c r="AK183" i="1"/>
  <c r="AL289" i="1"/>
  <c r="B289" i="13" s="1"/>
  <c r="B289" i="14" s="1"/>
  <c r="AK342" i="1"/>
  <c r="AK90" i="1"/>
  <c r="AK202" i="1"/>
  <c r="AL424" i="1"/>
  <c r="B424" i="13" s="1"/>
  <c r="B424" i="14" s="1"/>
  <c r="AK66" i="1"/>
  <c r="AK162" i="1"/>
  <c r="AK327" i="1"/>
  <c r="AK148" i="1"/>
  <c r="AL374" i="1"/>
  <c r="B374" i="13" s="1"/>
  <c r="B374" i="14" s="1"/>
  <c r="AL157" i="1"/>
  <c r="B157" i="13" s="1"/>
  <c r="B157" i="14" s="1"/>
  <c r="AL11" i="1"/>
  <c r="B11" i="13" s="1"/>
  <c r="B11" i="14" s="1"/>
  <c r="AK303" i="1"/>
  <c r="AK208" i="1"/>
  <c r="AK156" i="1"/>
  <c r="AK106" i="1"/>
  <c r="AK287" i="1"/>
  <c r="AK271" i="1"/>
  <c r="AK243" i="1"/>
  <c r="AK227" i="1"/>
  <c r="AK211" i="1"/>
  <c r="AK195" i="1"/>
  <c r="AK147" i="1"/>
  <c r="AK402" i="1"/>
  <c r="AK278" i="1"/>
  <c r="AL102" i="1"/>
  <c r="B102" i="13" s="1"/>
  <c r="B102" i="14" s="1"/>
  <c r="AK232" i="1"/>
  <c r="AL14" i="1"/>
  <c r="B14" i="13" s="1"/>
  <c r="B14" i="14" s="1"/>
  <c r="AL384" i="1"/>
  <c r="B384" i="13" s="1"/>
  <c r="B384" i="14" s="1"/>
  <c r="AL439" i="1"/>
  <c r="B439" i="13" s="1"/>
  <c r="B439" i="14" s="1"/>
  <c r="AK412" i="1"/>
  <c r="AK63" i="1"/>
  <c r="AL348" i="1"/>
  <c r="B348" i="13" s="1"/>
  <c r="B348" i="14" s="1"/>
  <c r="AL411" i="1"/>
  <c r="B411" i="13" s="1"/>
  <c r="B411" i="14" s="1"/>
  <c r="AL152" i="1"/>
  <c r="B152" i="13" s="1"/>
  <c r="B152" i="14" s="1"/>
  <c r="AL76" i="1"/>
  <c r="B76" i="13" s="1"/>
  <c r="B76" i="14" s="1"/>
  <c r="AK369" i="1"/>
  <c r="AL63" i="1"/>
  <c r="B63" i="13" s="1"/>
  <c r="B63" i="14" s="1"/>
  <c r="AL302" i="1"/>
  <c r="B302" i="13" s="1"/>
  <c r="B302" i="14" s="1"/>
  <c r="AL414" i="1"/>
  <c r="B414" i="13" s="1"/>
  <c r="B414" i="14" s="1"/>
  <c r="AL320" i="1"/>
  <c r="B320" i="13" s="1"/>
  <c r="B320" i="14" s="1"/>
  <c r="AK73" i="1"/>
  <c r="AK41" i="1"/>
  <c r="AL139" i="1"/>
  <c r="B139" i="13" s="1"/>
  <c r="B139" i="14" s="1"/>
  <c r="AL370" i="1"/>
  <c r="B370" i="13" s="1"/>
  <c r="B370" i="14" s="1"/>
  <c r="AL176" i="1"/>
  <c r="B176" i="13" s="1"/>
  <c r="B176" i="14" s="1"/>
  <c r="AK177" i="1"/>
  <c r="AK346" i="1"/>
  <c r="AL144" i="1"/>
  <c r="B144" i="13" s="1"/>
  <c r="B144" i="14" s="1"/>
  <c r="AL188" i="1"/>
  <c r="B188" i="13" s="1"/>
  <c r="B188" i="14" s="1"/>
  <c r="AK14" i="1"/>
  <c r="AL322" i="1"/>
  <c r="B322" i="13" s="1"/>
  <c r="B322" i="14" s="1"/>
  <c r="AK350" i="1"/>
  <c r="AK322" i="1"/>
  <c r="AL61" i="1"/>
  <c r="B61" i="13" s="1"/>
  <c r="B61" i="14" s="1"/>
  <c r="AK12" i="1"/>
  <c r="AK123" i="1"/>
  <c r="AL123" i="1"/>
  <c r="B123" i="13" s="1"/>
  <c r="B123" i="14" s="1"/>
  <c r="AL369" i="1"/>
  <c r="B369" i="13" s="1"/>
  <c r="B369" i="14" s="1"/>
  <c r="AK61" i="1"/>
  <c r="AL376" i="1"/>
  <c r="B376" i="13" s="1"/>
  <c r="B376" i="14" s="1"/>
  <c r="AK314" i="1"/>
  <c r="AK91" i="1"/>
  <c r="AK438" i="1"/>
  <c r="AL257" i="1"/>
  <c r="B257" i="13" s="1"/>
  <c r="B257" i="14" s="1"/>
  <c r="AL334" i="1"/>
  <c r="B334" i="13" s="1"/>
  <c r="B334" i="14" s="1"/>
  <c r="AK88" i="1"/>
  <c r="AK257" i="1"/>
  <c r="AL88" i="1"/>
  <c r="B88" i="13" s="1"/>
  <c r="B88" i="14" s="1"/>
  <c r="AL259" i="1"/>
  <c r="B259" i="13" s="1"/>
  <c r="B259" i="14" s="1"/>
  <c r="AL52" i="1"/>
  <c r="B52" i="13" s="1"/>
  <c r="B52" i="14" s="1"/>
  <c r="AL395" i="1"/>
  <c r="B395" i="13" s="1"/>
  <c r="B395" i="14" s="1"/>
  <c r="AL246" i="1"/>
  <c r="B246" i="13" s="1"/>
  <c r="B246" i="14" s="1"/>
  <c r="AL403" i="1"/>
  <c r="B403" i="13" s="1"/>
  <c r="B403" i="14" s="1"/>
  <c r="AK366" i="1"/>
  <c r="AK318" i="1"/>
  <c r="AL36" i="1"/>
  <c r="B36" i="13" s="1"/>
  <c r="B36" i="14" s="1"/>
  <c r="AL59" i="1"/>
  <c r="B59" i="13" s="1"/>
  <c r="B59" i="14" s="1"/>
  <c r="AL120" i="1"/>
  <c r="B120" i="13" s="1"/>
  <c r="B120" i="14" s="1"/>
  <c r="AL346" i="1"/>
  <c r="B346" i="13" s="1"/>
  <c r="B346" i="14" s="1"/>
  <c r="AK212" i="1"/>
  <c r="AK34" i="1"/>
  <c r="AK364" i="1"/>
  <c r="AL18" i="1"/>
  <c r="B18" i="13" s="1"/>
  <c r="B18" i="14" s="1"/>
  <c r="AL318" i="1"/>
  <c r="B318" i="13" s="1"/>
  <c r="B318" i="14" s="1"/>
  <c r="AL364" i="1"/>
  <c r="B364" i="13" s="1"/>
  <c r="B364" i="14" s="1"/>
  <c r="AK380" i="1"/>
  <c r="AL380" i="1"/>
  <c r="B380" i="13" s="1"/>
  <c r="B380" i="14" s="1"/>
  <c r="AL12" i="1"/>
  <c r="B12" i="13" s="1"/>
  <c r="B12" i="14" s="1"/>
  <c r="AK377" i="1"/>
  <c r="AL415" i="1"/>
  <c r="B415" i="13" s="1"/>
  <c r="B415" i="14" s="1"/>
  <c r="AL301" i="1"/>
  <c r="B301" i="13" s="1"/>
  <c r="B301" i="14" s="1"/>
  <c r="AK6" i="1"/>
  <c r="AK246" i="1"/>
  <c r="AL373" i="1"/>
  <c r="B373" i="13" s="1"/>
  <c r="B373" i="14" s="1"/>
  <c r="AL15" i="1"/>
  <c r="B15" i="13" s="1"/>
  <c r="B15" i="14" s="1"/>
  <c r="AL119" i="1"/>
  <c r="B119" i="13" s="1"/>
  <c r="B119" i="14" s="1"/>
  <c r="AK59" i="1"/>
  <c r="AK421" i="1"/>
  <c r="AL95" i="1"/>
  <c r="B95" i="13" s="1"/>
  <c r="B95" i="14" s="1"/>
  <c r="AK15" i="1"/>
  <c r="AL255" i="1"/>
  <c r="B255" i="13" s="1"/>
  <c r="B255" i="14" s="1"/>
  <c r="AL391" i="1"/>
  <c r="B391" i="13" s="1"/>
  <c r="B391" i="14" s="1"/>
  <c r="AL398" i="1"/>
  <c r="B398" i="13" s="1"/>
  <c r="B398" i="14" s="1"/>
  <c r="AK332" i="1"/>
  <c r="AL71" i="1"/>
  <c r="B71" i="13" s="1"/>
  <c r="B71" i="14" s="1"/>
  <c r="AK10" i="1"/>
  <c r="AK356" i="1"/>
  <c r="AL32" i="1"/>
  <c r="B32" i="13" s="1"/>
  <c r="B32" i="14" s="1"/>
  <c r="AL425" i="1"/>
  <c r="B425" i="13" s="1"/>
  <c r="B425" i="14" s="1"/>
  <c r="AK352" i="1"/>
  <c r="AL405" i="1"/>
  <c r="B405" i="13" s="1"/>
  <c r="B405" i="14" s="1"/>
  <c r="AL418" i="1"/>
  <c r="B418" i="13" s="1"/>
  <c r="B418" i="14" s="1"/>
  <c r="AL357" i="1"/>
  <c r="B357" i="13" s="1"/>
  <c r="B357" i="14" s="1"/>
  <c r="AK53" i="1"/>
  <c r="AK270" i="1"/>
  <c r="AL270" i="1"/>
  <c r="B270" i="13" s="1"/>
  <c r="B270" i="14" s="1"/>
  <c r="AK307" i="1"/>
  <c r="AK268" i="1"/>
  <c r="AL352" i="1"/>
  <c r="B352" i="13" s="1"/>
  <c r="B352" i="14" s="1"/>
  <c r="AL340" i="1"/>
  <c r="B340" i="13" s="1"/>
  <c r="B340" i="14" s="1"/>
  <c r="AL326" i="1"/>
  <c r="B326" i="13" s="1"/>
  <c r="B326" i="14" s="1"/>
  <c r="AL385" i="1"/>
  <c r="B385" i="13" s="1"/>
  <c r="B385" i="14" s="1"/>
  <c r="AK32" i="1"/>
  <c r="AL167" i="1"/>
  <c r="B167" i="13" s="1"/>
  <c r="B167" i="14" s="1"/>
  <c r="AK95" i="1"/>
  <c r="AK125" i="1"/>
  <c r="AL127" i="1"/>
  <c r="B127" i="13" s="1"/>
  <c r="B127" i="14" s="1"/>
  <c r="AL336" i="1"/>
  <c r="B336" i="13" s="1"/>
  <c r="B336" i="14" s="1"/>
  <c r="AK168" i="1"/>
  <c r="AK97" i="1"/>
  <c r="AK360" i="1"/>
  <c r="AL404" i="1"/>
  <c r="B404" i="13" s="1"/>
  <c r="B404" i="14" s="1"/>
  <c r="AL20" i="1"/>
  <c r="B20" i="13" s="1"/>
  <c r="B20" i="14" s="1"/>
  <c r="AK431" i="1"/>
  <c r="AK353" i="1"/>
  <c r="AL224" i="1"/>
  <c r="B224" i="13" s="1"/>
  <c r="B224" i="14" s="1"/>
  <c r="AL129" i="1"/>
  <c r="B129" i="13" s="1"/>
  <c r="B129" i="14" s="1"/>
  <c r="AK338" i="1"/>
  <c r="AL338" i="1"/>
  <c r="B338" i="13" s="1"/>
  <c r="B338" i="14" s="1"/>
  <c r="AK40" i="1"/>
  <c r="AL68" i="1"/>
  <c r="B68" i="13" s="1"/>
  <c r="B68" i="14" s="1"/>
  <c r="AL40" i="1"/>
  <c r="B40" i="13" s="1"/>
  <c r="B40" i="14" s="1"/>
  <c r="AL31" i="1"/>
  <c r="B31" i="13" s="1"/>
  <c r="B31" i="14" s="1"/>
  <c r="AK65" i="1"/>
  <c r="AK68" i="1"/>
  <c r="AK30" i="1"/>
  <c r="AL314" i="1"/>
  <c r="B314" i="13" s="1"/>
  <c r="B314" i="14" s="1"/>
  <c r="AL360" i="1"/>
  <c r="B360" i="13" s="1"/>
  <c r="B360" i="14" s="1"/>
  <c r="AL79" i="1"/>
  <c r="B79" i="13" s="1"/>
  <c r="B79" i="14" s="1"/>
  <c r="AL6" i="1"/>
  <c r="B6" i="13" s="1"/>
  <c r="B6" i="14" s="1"/>
  <c r="AL97" i="1"/>
  <c r="B97" i="13" s="1"/>
  <c r="B97" i="14" s="1"/>
  <c r="AK23" i="1"/>
  <c r="AL438" i="1"/>
  <c r="B438" i="13" s="1"/>
  <c r="B438" i="14" s="1"/>
  <c r="AK299" i="1"/>
  <c r="AK344" i="1"/>
  <c r="AK67" i="1"/>
  <c r="AK408" i="1"/>
  <c r="AL125" i="1"/>
  <c r="B125" i="13" s="1"/>
  <c r="B125" i="14" s="1"/>
  <c r="AK399" i="1"/>
  <c r="AL399" i="1"/>
  <c r="B399" i="13" s="1"/>
  <c r="B399" i="14" s="1"/>
  <c r="AK340" i="1"/>
  <c r="AK255" i="1"/>
  <c r="AK80" i="1"/>
  <c r="AL361" i="1"/>
  <c r="B361" i="13" s="1"/>
  <c r="B361" i="14" s="1"/>
  <c r="AL408" i="1"/>
  <c r="B408" i="13" s="1"/>
  <c r="B408" i="14" s="1"/>
  <c r="AL136" i="1"/>
  <c r="B136" i="13" s="1"/>
  <c r="B136" i="14" s="1"/>
  <c r="AK37" i="1"/>
  <c r="AL23" i="1"/>
  <c r="B23" i="13" s="1"/>
  <c r="B23" i="14" s="1"/>
  <c r="AL248" i="1"/>
  <c r="B248" i="13" s="1"/>
  <c r="B248" i="14" s="1"/>
  <c r="AL407" i="1"/>
  <c r="B407" i="13" s="1"/>
  <c r="B407" i="14" s="1"/>
  <c r="AK361" i="1"/>
  <c r="AK64" i="1"/>
  <c r="AK57" i="1"/>
  <c r="AK87" i="1"/>
  <c r="AK326" i="1"/>
  <c r="AK306" i="1"/>
  <c r="AK71" i="1"/>
  <c r="AK45" i="1"/>
  <c r="AK397" i="1"/>
  <c r="AL261" i="1"/>
  <c r="B261" i="13" s="1"/>
  <c r="B261" i="14" s="1"/>
  <c r="AK119" i="1"/>
  <c r="AL3" i="1"/>
  <c r="B3" i="13" s="1"/>
  <c r="B3" i="14" s="1"/>
  <c r="AL247" i="1"/>
  <c r="B247" i="13" s="1"/>
  <c r="B247" i="14" s="1"/>
  <c r="AL56" i="1"/>
  <c r="B56" i="13" s="1"/>
  <c r="B56" i="14" s="1"/>
  <c r="AK385" i="1"/>
  <c r="AK417" i="1"/>
  <c r="AK372" i="1"/>
  <c r="AL397" i="1"/>
  <c r="B397" i="13" s="1"/>
  <c r="B397" i="14" s="1"/>
  <c r="AK135" i="1"/>
  <c r="AL26" i="1"/>
  <c r="B26" i="13" s="1"/>
  <c r="B26" i="14" s="1"/>
  <c r="AL22" i="1"/>
  <c r="B22" i="13" s="1"/>
  <c r="B22" i="14" s="1"/>
  <c r="AK378" i="1"/>
  <c r="AL330" i="1"/>
  <c r="B330" i="13" s="1"/>
  <c r="B330" i="14" s="1"/>
  <c r="AK56" i="1"/>
  <c r="AL306" i="1"/>
  <c r="B306" i="13" s="1"/>
  <c r="B306" i="14" s="1"/>
  <c r="AK83" i="1"/>
  <c r="AK330" i="1"/>
  <c r="AK388" i="1"/>
  <c r="AL332" i="1"/>
  <c r="B332" i="13" s="1"/>
  <c r="B332" i="14" s="1"/>
  <c r="AL67" i="1"/>
  <c r="B67" i="13" s="1"/>
  <c r="B67" i="14" s="1"/>
  <c r="AL388" i="1"/>
  <c r="B388" i="13" s="1"/>
  <c r="B388" i="14" s="1"/>
  <c r="AL83" i="1"/>
  <c r="B83" i="13" s="1"/>
  <c r="B83" i="14" s="1"/>
  <c r="AL319" i="1"/>
  <c r="B319" i="13" s="1"/>
  <c r="B319" i="14" s="1"/>
  <c r="AK7" i="1"/>
  <c r="AK24" i="1"/>
  <c r="AK138" i="1"/>
  <c r="AL138" i="1"/>
  <c r="B138" i="13" s="1"/>
  <c r="B138" i="14" s="1"/>
  <c r="AK409" i="1"/>
  <c r="AL409" i="1"/>
  <c r="B409" i="13" s="1"/>
  <c r="B409" i="14" s="1"/>
  <c r="AK254" i="1"/>
  <c r="AL254" i="1"/>
  <c r="B254" i="13" s="1"/>
  <c r="B254" i="14" s="1"/>
  <c r="AK345" i="1"/>
  <c r="AK375" i="1"/>
  <c r="AL375" i="1"/>
  <c r="B375" i="13" s="1"/>
  <c r="B375" i="14" s="1"/>
  <c r="AL341" i="1"/>
  <c r="B341" i="13" s="1"/>
  <c r="B341" i="14" s="1"/>
  <c r="AK341" i="1"/>
  <c r="AK262" i="1"/>
  <c r="AL262" i="1"/>
  <c r="B262" i="13" s="1"/>
  <c r="B262" i="14" s="1"/>
  <c r="AK9" i="1"/>
  <c r="AL9" i="1"/>
  <c r="B9" i="13" s="1"/>
  <c r="B9" i="14" s="1"/>
  <c r="AL441" i="1"/>
  <c r="B441" i="13" s="1"/>
  <c r="B441" i="14" s="1"/>
  <c r="AK441" i="1"/>
  <c r="AL354" i="1"/>
  <c r="B354" i="13" s="1"/>
  <c r="B354" i="14" s="1"/>
  <c r="AK354" i="1"/>
  <c r="AK92" i="1"/>
  <c r="AL92" i="1"/>
  <c r="B92" i="13" s="1"/>
  <c r="B92" i="14" s="1"/>
  <c r="AK390" i="1"/>
  <c r="AL413" i="1"/>
  <c r="B413" i="13" s="1"/>
  <c r="B413" i="14" s="1"/>
  <c r="AK358" i="1"/>
  <c r="AL65" i="1"/>
  <c r="B65" i="13" s="1"/>
  <c r="B65" i="14" s="1"/>
  <c r="AK339" i="1"/>
  <c r="AK128" i="1"/>
  <c r="AL128" i="1"/>
  <c r="B128" i="13" s="1"/>
  <c r="B128" i="14" s="1"/>
  <c r="AK422" i="1"/>
  <c r="AL422" i="1"/>
  <c r="B422" i="13" s="1"/>
  <c r="B422" i="14" s="1"/>
  <c r="AL84" i="1"/>
  <c r="B84" i="13" s="1"/>
  <c r="B84" i="14" s="1"/>
  <c r="AK84" i="1"/>
  <c r="AL124" i="1"/>
  <c r="B124" i="13" s="1"/>
  <c r="B124" i="14" s="1"/>
  <c r="AK124" i="1"/>
  <c r="AL132" i="1"/>
  <c r="B132" i="13" s="1"/>
  <c r="B132" i="14" s="1"/>
  <c r="AK132" i="1"/>
  <c r="AK121" i="1"/>
  <c r="AL121" i="1"/>
  <c r="B121" i="13" s="1"/>
  <c r="B121" i="14" s="1"/>
  <c r="AK258" i="1"/>
  <c r="AL258" i="1"/>
  <c r="B258" i="13" s="1"/>
  <c r="B258" i="14" s="1"/>
  <c r="AL28" i="1"/>
  <c r="B28" i="13" s="1"/>
  <c r="B28" i="14" s="1"/>
  <c r="AL250" i="1"/>
  <c r="B250" i="13" s="1"/>
  <c r="B250" i="14" s="1"/>
  <c r="AK250" i="1"/>
  <c r="AK28" i="1"/>
  <c r="AK133" i="1"/>
  <c r="AK165" i="1"/>
  <c r="AK435" i="1"/>
  <c r="AK370" i="1"/>
  <c r="AL165" i="1"/>
  <c r="B165" i="13" s="1"/>
  <c r="B165" i="14" s="1"/>
  <c r="AL73" i="1"/>
  <c r="B73" i="13" s="1"/>
  <c r="B73" i="14" s="1"/>
  <c r="AK320" i="1"/>
  <c r="AL49" i="1"/>
  <c r="B49" i="13" s="1"/>
  <c r="B49" i="14" s="1"/>
  <c r="AL435" i="1"/>
  <c r="B435" i="13" s="1"/>
  <c r="B435" i="14" s="1"/>
  <c r="AL362" i="1"/>
  <c r="B362" i="13" s="1"/>
  <c r="B362" i="14" s="1"/>
  <c r="AK419" i="1"/>
  <c r="AK336" i="1"/>
  <c r="AK285" i="1"/>
  <c r="AL285" i="1"/>
  <c r="B285" i="13" s="1"/>
  <c r="B285" i="14" s="1"/>
  <c r="AK401" i="1"/>
  <c r="AL401" i="1"/>
  <c r="B401" i="13" s="1"/>
  <c r="B401" i="14" s="1"/>
  <c r="AL77" i="1"/>
  <c r="B77" i="13" s="1"/>
  <c r="B77" i="14" s="1"/>
  <c r="AK77" i="1"/>
  <c r="AK324" i="1"/>
  <c r="AL324" i="1"/>
  <c r="B324" i="13" s="1"/>
  <c r="B324" i="14" s="1"/>
  <c r="AK197" i="1"/>
  <c r="AL197" i="1"/>
  <c r="B197" i="13" s="1"/>
  <c r="B197" i="14" s="1"/>
  <c r="AL386" i="1"/>
  <c r="B386" i="13" s="1"/>
  <c r="B386" i="14" s="1"/>
  <c r="AK386" i="1"/>
  <c r="AK269" i="1"/>
  <c r="AL269" i="1"/>
  <c r="B269" i="13" s="1"/>
  <c r="B269" i="14" s="1"/>
  <c r="AL153" i="1"/>
  <c r="B153" i="13" s="1"/>
  <c r="B153" i="14" s="1"/>
  <c r="AK153" i="1"/>
  <c r="AK54" i="1"/>
  <c r="AL54" i="1"/>
  <c r="B54" i="13" s="1"/>
  <c r="B54" i="14" s="1"/>
  <c r="AL428" i="1"/>
  <c r="B428" i="13" s="1"/>
  <c r="B428" i="14" s="1"/>
  <c r="AK428" i="1"/>
  <c r="AL213" i="1"/>
  <c r="B213" i="13" s="1"/>
  <c r="B213" i="14" s="1"/>
  <c r="AK213" i="1"/>
  <c r="AK312" i="1"/>
  <c r="AL312" i="1"/>
  <c r="B312" i="13" s="1"/>
  <c r="B312" i="14" s="1"/>
  <c r="AK46" i="1"/>
  <c r="AL46" i="1"/>
  <c r="B46" i="13" s="1"/>
  <c r="B46" i="14" s="1"/>
  <c r="AK107" i="1"/>
  <c r="AL107" i="1"/>
  <c r="B107" i="13" s="1"/>
  <c r="B107" i="14" s="1"/>
  <c r="AK149" i="1"/>
  <c r="AL149" i="1"/>
  <c r="B149" i="13" s="1"/>
  <c r="B149" i="14" s="1"/>
  <c r="AK277" i="1"/>
  <c r="AL277" i="1"/>
  <c r="B277" i="13" s="1"/>
  <c r="B277" i="14" s="1"/>
  <c r="AK241" i="1"/>
  <c r="AL241" i="1"/>
  <c r="B241" i="13" s="1"/>
  <c r="B241" i="14" s="1"/>
  <c r="AK169" i="1"/>
  <c r="AL169" i="1"/>
  <c r="B169" i="13" s="1"/>
  <c r="B169" i="14" s="1"/>
  <c r="AK50" i="1"/>
  <c r="AL50" i="1"/>
  <c r="B50" i="13" s="1"/>
  <c r="B50" i="14" s="1"/>
  <c r="AK225" i="1"/>
  <c r="AL225" i="1"/>
  <c r="B225" i="13" s="1"/>
  <c r="B225" i="14" s="1"/>
  <c r="AK89" i="1"/>
  <c r="AL89" i="1"/>
  <c r="B89" i="13" s="1"/>
  <c r="B89" i="14" s="1"/>
  <c r="AL201" i="1"/>
  <c r="B201" i="13" s="1"/>
  <c r="B201" i="14" s="1"/>
  <c r="AK201" i="1"/>
  <c r="AL293" i="1"/>
  <c r="B293" i="13" s="1"/>
  <c r="B293" i="14" s="1"/>
  <c r="AK293" i="1"/>
  <c r="AL181" i="1"/>
  <c r="B181" i="13" s="1"/>
  <c r="B181" i="14" s="1"/>
  <c r="AK181" i="1"/>
  <c r="AK229" i="1"/>
  <c r="AL229" i="1"/>
  <c r="B229" i="13" s="1"/>
  <c r="B229" i="14" s="1"/>
  <c r="AK131" i="1"/>
  <c r="AL131" i="1"/>
  <c r="B131" i="13" s="1"/>
  <c r="B131" i="14" s="1"/>
  <c r="AK275" i="1"/>
  <c r="AL275" i="1"/>
  <c r="B275" i="13" s="1"/>
  <c r="B275" i="14" s="1"/>
  <c r="AK2" i="1"/>
  <c r="AL2" i="1"/>
  <c r="B2" i="13" s="1"/>
  <c r="B2" i="14" s="1"/>
  <c r="AL368" i="1"/>
  <c r="B368" i="13" s="1"/>
  <c r="B368" i="14" s="1"/>
  <c r="AK368" i="1"/>
  <c r="AK199" i="1"/>
  <c r="AL199" i="1"/>
  <c r="B199" i="13" s="1"/>
  <c r="B199" i="14" s="1"/>
  <c r="AK99" i="1"/>
  <c r="AL99" i="1"/>
  <c r="B99" i="13" s="1"/>
  <c r="B99" i="14" s="1"/>
  <c r="AD106" i="1"/>
  <c r="P106" i="5" s="1"/>
  <c r="AD107" i="1"/>
  <c r="P107" i="5" s="1"/>
  <c r="AD108" i="1"/>
  <c r="P108" i="5" s="1"/>
  <c r="AD109" i="1"/>
  <c r="P109" i="5" s="1"/>
  <c r="AD427" i="1"/>
  <c r="P427" i="5" s="1"/>
  <c r="AD428" i="1"/>
  <c r="P428" i="5" s="1"/>
  <c r="AD429" i="1"/>
  <c r="P429" i="5" s="1"/>
  <c r="AD430" i="1"/>
  <c r="P430" i="5" s="1"/>
  <c r="AD431" i="1"/>
  <c r="P431" i="5" s="1"/>
  <c r="AD432" i="1"/>
  <c r="P432" i="5" s="1"/>
  <c r="AD433" i="1"/>
  <c r="P433" i="5" s="1"/>
  <c r="AD434" i="1"/>
  <c r="P434" i="5" s="1"/>
  <c r="AD435" i="1"/>
  <c r="P435" i="5" s="1"/>
  <c r="AD436" i="1"/>
  <c r="P436" i="5" s="1"/>
  <c r="AD437" i="1"/>
  <c r="P437" i="5" s="1"/>
  <c r="AD46" i="1"/>
  <c r="P46" i="5" s="1"/>
  <c r="AD47" i="1"/>
  <c r="P47" i="5" s="1"/>
  <c r="AD48" i="1"/>
  <c r="P48" i="5" s="1"/>
  <c r="AD49" i="1"/>
  <c r="P49" i="5" s="1"/>
  <c r="AD110" i="1"/>
  <c r="P110" i="5" s="1"/>
  <c r="AD111" i="1"/>
  <c r="P111" i="5" s="1"/>
  <c r="AD112" i="1"/>
  <c r="P112" i="5" s="1"/>
  <c r="AD113" i="1"/>
  <c r="P113" i="5" s="1"/>
  <c r="AD114" i="1"/>
  <c r="P114" i="5" s="1"/>
  <c r="AD116" i="1"/>
  <c r="P116" i="5" s="1"/>
  <c r="AD117" i="1"/>
  <c r="P117" i="5" s="1"/>
  <c r="AD118" i="1"/>
  <c r="P118" i="5" s="1"/>
  <c r="AD75" i="1"/>
  <c r="P75" i="5" s="1"/>
  <c r="AD76" i="1"/>
  <c r="P76" i="5" s="1"/>
  <c r="AD77" i="1"/>
  <c r="P77" i="5" s="1"/>
  <c r="AD78" i="1"/>
  <c r="P78" i="5" s="1"/>
  <c r="AD140" i="1"/>
  <c r="P140" i="5" s="1"/>
  <c r="AD141" i="1"/>
  <c r="P141" i="5" s="1"/>
  <c r="AD142" i="1"/>
  <c r="P142" i="5" s="1"/>
  <c r="AD143" i="1"/>
  <c r="P143" i="5" s="1"/>
  <c r="AD144" i="1"/>
  <c r="P144" i="5" s="1"/>
  <c r="AD145" i="1"/>
  <c r="P145" i="5" s="1"/>
  <c r="AD146" i="1"/>
  <c r="P146" i="5" s="1"/>
  <c r="AD147" i="1"/>
  <c r="P147" i="5" s="1"/>
  <c r="AD148" i="1"/>
  <c r="P148" i="5" s="1"/>
  <c r="AD149" i="1"/>
  <c r="P149" i="5" s="1"/>
  <c r="AD150" i="1"/>
  <c r="P150" i="5" s="1"/>
  <c r="AD151" i="1"/>
  <c r="P151" i="5" s="1"/>
  <c r="AD152" i="1"/>
  <c r="P152" i="5" s="1"/>
  <c r="AD153" i="1"/>
  <c r="P153" i="5" s="1"/>
  <c r="AD154" i="1"/>
  <c r="P154" i="5" s="1"/>
  <c r="AD155" i="1"/>
  <c r="P155" i="5" s="1"/>
  <c r="AD156" i="1"/>
  <c r="P156" i="5" s="1"/>
  <c r="AD157" i="1"/>
  <c r="P157" i="5" s="1"/>
  <c r="AD158" i="1"/>
  <c r="P158" i="5" s="1"/>
  <c r="AD159" i="1"/>
  <c r="P159" i="5" s="1"/>
  <c r="AD160" i="1"/>
  <c r="P160" i="5" s="1"/>
  <c r="AD161" i="1"/>
  <c r="P161" i="5" s="1"/>
  <c r="AD162" i="1"/>
  <c r="P162" i="5" s="1"/>
  <c r="AD163" i="1"/>
  <c r="P163" i="5" s="1"/>
  <c r="AD164" i="1"/>
  <c r="P164" i="5" s="1"/>
  <c r="AD165" i="1"/>
  <c r="P165" i="5" s="1"/>
  <c r="AD166" i="1"/>
  <c r="P166" i="5" s="1"/>
  <c r="AD167" i="1"/>
  <c r="P167" i="5" s="1"/>
  <c r="AD168" i="1"/>
  <c r="P168" i="5" s="1"/>
  <c r="AD169" i="1"/>
  <c r="P169" i="5" s="1"/>
  <c r="AD170" i="1"/>
  <c r="P170" i="5" s="1"/>
  <c r="AD171" i="1"/>
  <c r="P171" i="5" s="1"/>
  <c r="AD172" i="1"/>
  <c r="P172" i="5" s="1"/>
  <c r="AD173" i="1"/>
  <c r="P173" i="5" s="1"/>
  <c r="AD174" i="1"/>
  <c r="P174" i="5" s="1"/>
  <c r="AD175" i="1"/>
  <c r="P175" i="5" s="1"/>
  <c r="AD176" i="1"/>
  <c r="P176" i="5" s="1"/>
  <c r="AD177" i="1"/>
  <c r="P177" i="5" s="1"/>
  <c r="AD178" i="1"/>
  <c r="P178" i="5" s="1"/>
  <c r="AD179" i="1"/>
  <c r="P179" i="5" s="1"/>
  <c r="AD180" i="1"/>
  <c r="P180" i="5" s="1"/>
  <c r="AD181" i="1"/>
  <c r="P181" i="5" s="1"/>
  <c r="AD182" i="1"/>
  <c r="P182" i="5" s="1"/>
  <c r="AD183" i="1"/>
  <c r="P183" i="5" s="1"/>
  <c r="AD184" i="1"/>
  <c r="P184" i="5" s="1"/>
  <c r="AD185" i="1"/>
  <c r="P185" i="5" s="1"/>
  <c r="AD186" i="1"/>
  <c r="P186" i="5" s="1"/>
  <c r="AD187" i="1"/>
  <c r="P187" i="5" s="1"/>
  <c r="AD188" i="1"/>
  <c r="P188" i="5" s="1"/>
  <c r="AD189" i="1"/>
  <c r="P189" i="5" s="1"/>
  <c r="AD190" i="1"/>
  <c r="P190" i="5" s="1"/>
  <c r="AD191" i="1"/>
  <c r="P191" i="5" s="1"/>
  <c r="AD192" i="1"/>
  <c r="P192" i="5" s="1"/>
  <c r="AD193" i="1"/>
  <c r="P193" i="5" s="1"/>
  <c r="AD194" i="1"/>
  <c r="P194" i="5" s="1"/>
  <c r="AD195" i="1"/>
  <c r="P195" i="5" s="1"/>
  <c r="AD196" i="1"/>
  <c r="P196" i="5" s="1"/>
  <c r="AD197" i="1"/>
  <c r="P197" i="5" s="1"/>
  <c r="AD198" i="1"/>
  <c r="P198" i="5" s="1"/>
  <c r="AD199" i="1"/>
  <c r="P199" i="5" s="1"/>
  <c r="AD200" i="1"/>
  <c r="P200" i="5" s="1"/>
  <c r="AD201" i="1"/>
  <c r="P201" i="5" s="1"/>
  <c r="AD202" i="1"/>
  <c r="P202" i="5" s="1"/>
  <c r="AD203" i="1"/>
  <c r="P203" i="5" s="1"/>
  <c r="AD204" i="1"/>
  <c r="P204" i="5" s="1"/>
  <c r="AD205" i="1"/>
  <c r="P205" i="5" s="1"/>
  <c r="AD206" i="1"/>
  <c r="P206" i="5" s="1"/>
  <c r="AD207" i="1"/>
  <c r="P207" i="5" s="1"/>
  <c r="AD208" i="1"/>
  <c r="P208" i="5" s="1"/>
  <c r="AD209" i="1"/>
  <c r="P209" i="5" s="1"/>
  <c r="AD210" i="1"/>
  <c r="P210" i="5" s="1"/>
  <c r="AD211" i="1"/>
  <c r="P211" i="5" s="1"/>
  <c r="AD212" i="1"/>
  <c r="P212" i="5" s="1"/>
  <c r="AD213" i="1"/>
  <c r="P213" i="5" s="1"/>
  <c r="AD214" i="1"/>
  <c r="P214" i="5" s="1"/>
  <c r="AD215" i="1"/>
  <c r="P215" i="5" s="1"/>
  <c r="AD216" i="1"/>
  <c r="P216" i="5" s="1"/>
  <c r="AD217" i="1"/>
  <c r="P217" i="5" s="1"/>
  <c r="AD218" i="1"/>
  <c r="P218" i="5" s="1"/>
  <c r="AD219" i="1"/>
  <c r="P219" i="5" s="1"/>
  <c r="AD220" i="1"/>
  <c r="P220" i="5" s="1"/>
  <c r="AD221" i="1"/>
  <c r="P221" i="5" s="1"/>
  <c r="AD222" i="1"/>
  <c r="P222" i="5" s="1"/>
  <c r="AD223" i="1"/>
  <c r="P223" i="5" s="1"/>
  <c r="AD224" i="1"/>
  <c r="P224" i="5" s="1"/>
  <c r="AD225" i="1"/>
  <c r="P225" i="5" s="1"/>
  <c r="AD226" i="1"/>
  <c r="P226" i="5" s="1"/>
  <c r="AD227" i="1"/>
  <c r="P227" i="5" s="1"/>
  <c r="AD228" i="1"/>
  <c r="P228" i="5" s="1"/>
  <c r="AD229" i="1"/>
  <c r="P229" i="5" s="1"/>
  <c r="AD230" i="1"/>
  <c r="P230" i="5" s="1"/>
  <c r="AD231" i="1"/>
  <c r="P231" i="5" s="1"/>
  <c r="AD232" i="1"/>
  <c r="P232" i="5" s="1"/>
  <c r="AD233" i="1"/>
  <c r="P233" i="5" s="1"/>
  <c r="AD234" i="1"/>
  <c r="P234" i="5" s="1"/>
  <c r="AD235" i="1"/>
  <c r="P235" i="5" s="1"/>
  <c r="AD236" i="1"/>
  <c r="P236" i="5" s="1"/>
  <c r="AD237" i="1"/>
  <c r="P237" i="5" s="1"/>
  <c r="AD238" i="1"/>
  <c r="P238" i="5" s="1"/>
  <c r="AD239" i="1"/>
  <c r="P239" i="5" s="1"/>
  <c r="AD240" i="1"/>
  <c r="P240" i="5" s="1"/>
  <c r="AD241" i="1"/>
  <c r="P241" i="5" s="1"/>
  <c r="AD242" i="1"/>
  <c r="P242" i="5" s="1"/>
  <c r="AD243" i="1"/>
  <c r="P243" i="5" s="1"/>
  <c r="AD244" i="1"/>
  <c r="P244" i="5" s="1"/>
  <c r="AD101" i="1"/>
  <c r="P101" i="5" s="1"/>
  <c r="AD102" i="1"/>
  <c r="P102" i="5" s="1"/>
  <c r="AD103" i="1"/>
  <c r="P103" i="5" s="1"/>
  <c r="AD104" i="1"/>
  <c r="P104" i="5" s="1"/>
  <c r="AD263" i="1"/>
  <c r="P263" i="5" s="1"/>
  <c r="AD264" i="1"/>
  <c r="P264" i="5" s="1"/>
  <c r="AD265" i="1"/>
  <c r="P265" i="5" s="1"/>
  <c r="AD266" i="1"/>
  <c r="P266" i="5" s="1"/>
  <c r="AD267" i="1"/>
  <c r="P267" i="5" s="1"/>
  <c r="AD268" i="1"/>
  <c r="P268" i="5" s="1"/>
  <c r="AD269" i="1"/>
  <c r="P269" i="5" s="1"/>
  <c r="AD270" i="1"/>
  <c r="P270" i="5" s="1"/>
  <c r="AD271" i="1"/>
  <c r="P271" i="5" s="1"/>
  <c r="AD272" i="1"/>
  <c r="P272" i="5" s="1"/>
  <c r="AD273" i="1"/>
  <c r="P273" i="5" s="1"/>
  <c r="AD274" i="1"/>
  <c r="P274" i="5" s="1"/>
  <c r="AD275" i="1"/>
  <c r="P275" i="5" s="1"/>
  <c r="AD276" i="1"/>
  <c r="P276" i="5" s="1"/>
  <c r="AD277" i="1"/>
  <c r="P277" i="5" s="1"/>
  <c r="AD278" i="1"/>
  <c r="P278" i="5" s="1"/>
  <c r="AD279" i="1"/>
  <c r="P279" i="5" s="1"/>
  <c r="AD280" i="1"/>
  <c r="P280" i="5" s="1"/>
  <c r="AD281" i="1"/>
  <c r="P281" i="5" s="1"/>
  <c r="AD282" i="1"/>
  <c r="P282" i="5" s="1"/>
  <c r="AD283" i="1"/>
  <c r="P283" i="5" s="1"/>
  <c r="AD284" i="1"/>
  <c r="P284" i="5" s="1"/>
  <c r="AD285" i="1"/>
  <c r="P285" i="5" s="1"/>
  <c r="AD286" i="1"/>
  <c r="P286" i="5" s="1"/>
  <c r="AD287" i="1"/>
  <c r="P287" i="5" s="1"/>
  <c r="AD288" i="1"/>
  <c r="P288" i="5" s="1"/>
  <c r="AD289" i="1"/>
  <c r="P289" i="5" s="1"/>
  <c r="AD290" i="1"/>
  <c r="P290" i="5" s="1"/>
  <c r="AD291" i="1"/>
  <c r="P291" i="5" s="1"/>
  <c r="AD292" i="1"/>
  <c r="P292" i="5" s="1"/>
  <c r="AD293" i="1"/>
  <c r="P293" i="5" s="1"/>
  <c r="AD294" i="1"/>
  <c r="P294" i="5" s="1"/>
  <c r="AD295" i="1"/>
  <c r="P295" i="5" s="1"/>
  <c r="AD296" i="1"/>
  <c r="P296" i="5" s="1"/>
  <c r="AD297" i="1"/>
  <c r="P297" i="5" s="1"/>
  <c r="AD298" i="1"/>
  <c r="P298" i="5" s="1"/>
  <c r="AD343" i="1"/>
  <c r="P343" i="5" s="1"/>
  <c r="AD344" i="1"/>
  <c r="P344" i="5" s="1"/>
  <c r="AD345" i="1"/>
  <c r="P345" i="5" s="1"/>
  <c r="AD346" i="1"/>
  <c r="P346" i="5" s="1"/>
  <c r="AD347" i="1"/>
  <c r="P347" i="5" s="1"/>
  <c r="AD348" i="1"/>
  <c r="P348" i="5" s="1"/>
  <c r="AD349" i="1"/>
  <c r="P349" i="5" s="1"/>
  <c r="AD350" i="1"/>
  <c r="P350" i="5" s="1"/>
  <c r="AD351" i="1"/>
  <c r="P351" i="5" s="1"/>
  <c r="AD352" i="1"/>
  <c r="P352" i="5" s="1"/>
  <c r="AD353" i="1"/>
  <c r="P353" i="5" s="1"/>
  <c r="AD354" i="1"/>
  <c r="P354" i="5" s="1"/>
  <c r="AD355" i="1"/>
  <c r="P355" i="5" s="1"/>
  <c r="AD356" i="1"/>
  <c r="P356" i="5" s="1"/>
  <c r="AD357" i="1"/>
  <c r="P357" i="5" s="1"/>
  <c r="AD358" i="1"/>
  <c r="P358" i="5" s="1"/>
  <c r="AD359" i="1"/>
  <c r="P359" i="5" s="1"/>
  <c r="AD360" i="1"/>
  <c r="P360" i="5" s="1"/>
  <c r="AD361" i="1"/>
  <c r="P361" i="5" s="1"/>
  <c r="AD362" i="1"/>
  <c r="P362" i="5" s="1"/>
  <c r="AD363" i="1"/>
  <c r="P363" i="5" s="1"/>
  <c r="AD364" i="1"/>
  <c r="P364" i="5" s="1"/>
  <c r="AD365" i="1"/>
  <c r="P365" i="5" s="1"/>
  <c r="AD366" i="1"/>
  <c r="P366" i="5" s="1"/>
  <c r="AD367" i="1"/>
  <c r="P367" i="5" s="1"/>
  <c r="AD368" i="1"/>
  <c r="P368" i="5" s="1"/>
  <c r="AD369" i="1"/>
  <c r="P369" i="5" s="1"/>
  <c r="AD370" i="1"/>
  <c r="P370" i="5" s="1"/>
  <c r="AD371" i="1"/>
  <c r="P371" i="5" s="1"/>
  <c r="AD372" i="1"/>
  <c r="P372" i="5" s="1"/>
  <c r="AD373" i="1"/>
  <c r="P373" i="5" s="1"/>
  <c r="AD374" i="1"/>
  <c r="P374" i="5" s="1"/>
  <c r="AD375" i="1"/>
  <c r="P375" i="5" s="1"/>
  <c r="AD376" i="1"/>
  <c r="P376" i="5" s="1"/>
  <c r="AD377" i="1"/>
  <c r="P377" i="5" s="1"/>
  <c r="AD378" i="1"/>
  <c r="P378" i="5" s="1"/>
  <c r="AD379" i="1"/>
  <c r="P379" i="5" s="1"/>
  <c r="AD380" i="1"/>
  <c r="P380" i="5" s="1"/>
  <c r="AD381" i="1"/>
  <c r="P381" i="5" s="1"/>
  <c r="AD382" i="1"/>
  <c r="P382" i="5" s="1"/>
  <c r="AD383" i="1"/>
  <c r="P383" i="5" s="1"/>
  <c r="AD384" i="1"/>
  <c r="P384" i="5" s="1"/>
  <c r="AD385" i="1"/>
  <c r="P385" i="5" s="1"/>
  <c r="AD386" i="1"/>
  <c r="P386" i="5" s="1"/>
  <c r="AD387" i="1"/>
  <c r="P387" i="5" s="1"/>
  <c r="AD388" i="1"/>
  <c r="P388" i="5" s="1"/>
  <c r="AD389" i="1"/>
  <c r="P389" i="5" s="1"/>
  <c r="AD426" i="1"/>
  <c r="P426" i="5" s="1"/>
  <c r="AD396" i="1"/>
  <c r="P396" i="5" s="1"/>
  <c r="AD397" i="1"/>
  <c r="P397" i="5" s="1"/>
  <c r="AD398" i="1"/>
  <c r="P398" i="5" s="1"/>
  <c r="AD399" i="1"/>
  <c r="P399" i="5" s="1"/>
  <c r="AD400" i="1"/>
  <c r="P400" i="5" s="1"/>
  <c r="AD32" i="1"/>
  <c r="P32" i="5" s="1"/>
  <c r="AD33" i="1"/>
  <c r="P33" i="5" s="1"/>
  <c r="AD34" i="1"/>
  <c r="P34" i="5" s="1"/>
  <c r="AD35" i="1"/>
  <c r="P35" i="5" s="1"/>
  <c r="AD36" i="1"/>
  <c r="P36" i="5" s="1"/>
  <c r="AD37" i="1"/>
  <c r="P37" i="5" s="1"/>
  <c r="AD38" i="1"/>
  <c r="P38" i="5" s="1"/>
  <c r="AD39" i="1"/>
  <c r="P39" i="5" s="1"/>
  <c r="AD40" i="1"/>
  <c r="P40" i="5" s="1"/>
  <c r="AD41" i="1"/>
  <c r="P41" i="5" s="1"/>
  <c r="AD43" i="1"/>
  <c r="P43" i="5" s="1"/>
  <c r="AD44" i="1"/>
  <c r="P44" i="5" s="1"/>
  <c r="AD45" i="1"/>
  <c r="P45" i="5" s="1"/>
  <c r="AD56" i="1"/>
  <c r="P56" i="5" s="1"/>
  <c r="AD57" i="1"/>
  <c r="P57" i="5" s="1"/>
  <c r="AD58" i="1"/>
  <c r="P58" i="5" s="1"/>
  <c r="AD59" i="1"/>
  <c r="P59" i="5" s="1"/>
  <c r="AD60" i="1"/>
  <c r="P60" i="5" s="1"/>
  <c r="AD61" i="1"/>
  <c r="P61" i="5" s="1"/>
  <c r="AD62" i="1"/>
  <c r="P62" i="5" s="1"/>
  <c r="AD63" i="1"/>
  <c r="P63" i="5" s="1"/>
  <c r="AD64" i="1"/>
  <c r="P64" i="5" s="1"/>
  <c r="AD65" i="1"/>
  <c r="P65" i="5" s="1"/>
  <c r="AD66" i="1"/>
  <c r="P66" i="5" s="1"/>
  <c r="AD67" i="1"/>
  <c r="P67" i="5" s="1"/>
  <c r="AD68" i="1"/>
  <c r="P68" i="5" s="1"/>
  <c r="AD69" i="1"/>
  <c r="P69" i="5" s="1"/>
  <c r="AD70" i="1"/>
  <c r="P70" i="5" s="1"/>
  <c r="AD71" i="1"/>
  <c r="P71" i="5" s="1"/>
  <c r="AD72" i="1"/>
  <c r="P72" i="5" s="1"/>
  <c r="AD73" i="1"/>
  <c r="P73" i="5" s="1"/>
  <c r="AD74" i="1"/>
  <c r="P74" i="5" s="1"/>
  <c r="AD95" i="1"/>
  <c r="P95" i="5" s="1"/>
  <c r="AD96" i="1"/>
  <c r="P96" i="5" s="1"/>
  <c r="AD97" i="1"/>
  <c r="P97" i="5" s="1"/>
  <c r="AD98" i="1"/>
  <c r="P98" i="5" s="1"/>
  <c r="AD99" i="1"/>
  <c r="P99" i="5" s="1"/>
  <c r="AD100" i="1"/>
  <c r="P100" i="5" s="1"/>
  <c r="AD115" i="1"/>
  <c r="P115" i="5" s="1"/>
  <c r="AD245" i="1"/>
  <c r="P245" i="5" s="1"/>
  <c r="AD246" i="1"/>
  <c r="P246" i="5" s="1"/>
  <c r="AD247" i="1"/>
  <c r="P247" i="5" s="1"/>
  <c r="AD248" i="1"/>
  <c r="P248" i="5" s="1"/>
  <c r="AD249" i="1"/>
  <c r="P249" i="5" s="1"/>
  <c r="AD302" i="1"/>
  <c r="P302" i="5" s="1"/>
  <c r="AD303" i="1"/>
  <c r="P303" i="5" s="1"/>
  <c r="AD304" i="1"/>
  <c r="P304" i="5" s="1"/>
  <c r="AD305" i="1"/>
  <c r="P305" i="5" s="1"/>
  <c r="AD306" i="1"/>
  <c r="P306" i="5" s="1"/>
  <c r="AD307" i="1"/>
  <c r="P307" i="5" s="1"/>
  <c r="AD312" i="1"/>
  <c r="P312" i="5" s="1"/>
  <c r="AD313" i="1"/>
  <c r="P313" i="5" s="1"/>
  <c r="AD314" i="1"/>
  <c r="P314" i="5" s="1"/>
  <c r="AD315" i="1"/>
  <c r="P315" i="5" s="1"/>
  <c r="AD316" i="1"/>
  <c r="P316" i="5" s="1"/>
  <c r="AD317" i="1"/>
  <c r="P317" i="5" s="1"/>
  <c r="AD318" i="1"/>
  <c r="P318" i="5" s="1"/>
  <c r="AD319" i="1"/>
  <c r="P319" i="5" s="1"/>
  <c r="AD320" i="1"/>
  <c r="P320" i="5" s="1"/>
  <c r="AD321" i="1"/>
  <c r="P321" i="5" s="1"/>
  <c r="AD322" i="1"/>
  <c r="P322" i="5" s="1"/>
  <c r="AD323" i="1"/>
  <c r="P323" i="5" s="1"/>
  <c r="AD324" i="1"/>
  <c r="P324" i="5" s="1"/>
  <c r="AD325" i="1"/>
  <c r="P325" i="5" s="1"/>
  <c r="AD326" i="1"/>
  <c r="P326" i="5" s="1"/>
  <c r="AD327" i="1"/>
  <c r="P327" i="5" s="1"/>
  <c r="AD328" i="1"/>
  <c r="P328" i="5" s="1"/>
  <c r="AD329" i="1"/>
  <c r="P329" i="5" s="1"/>
  <c r="AD330" i="1"/>
  <c r="P330" i="5" s="1"/>
  <c r="AD331" i="1"/>
  <c r="P331" i="5" s="1"/>
  <c r="AD332" i="1"/>
  <c r="P332" i="5" s="1"/>
  <c r="AD333" i="1"/>
  <c r="P333" i="5" s="1"/>
  <c r="AD334" i="1"/>
  <c r="P334" i="5" s="1"/>
  <c r="AD335" i="1"/>
  <c r="P335" i="5" s="1"/>
  <c r="AD336" i="1"/>
  <c r="P336" i="5" s="1"/>
  <c r="AD337" i="1"/>
  <c r="P337" i="5" s="1"/>
  <c r="AD338" i="1"/>
  <c r="P338" i="5" s="1"/>
  <c r="AD339" i="1"/>
  <c r="P339" i="5" s="1"/>
  <c r="AD442" i="1"/>
  <c r="P442" i="5" s="1"/>
  <c r="AD443" i="1"/>
  <c r="P443" i="5" s="1"/>
  <c r="AD2" i="1"/>
  <c r="P2" i="5" s="1"/>
  <c r="AD3" i="1"/>
  <c r="P3" i="5" s="1"/>
  <c r="AD4" i="1"/>
  <c r="P4" i="5" s="1"/>
  <c r="AD5" i="1"/>
  <c r="P5" i="5" s="1"/>
  <c r="AD6" i="1"/>
  <c r="P6" i="5" s="1"/>
  <c r="AD7" i="1"/>
  <c r="P7" i="5" s="1"/>
  <c r="AD8" i="1"/>
  <c r="P8" i="5" s="1"/>
  <c r="AD9" i="1"/>
  <c r="P9" i="5" s="1"/>
  <c r="AD10" i="1"/>
  <c r="P10" i="5" s="1"/>
  <c r="AD11" i="1"/>
  <c r="P11" i="5" s="1"/>
  <c r="AD12" i="1"/>
  <c r="P12" i="5" s="1"/>
  <c r="AD13" i="1"/>
  <c r="P13" i="5" s="1"/>
  <c r="AD14" i="1"/>
  <c r="P14" i="5" s="1"/>
  <c r="AD15" i="1"/>
  <c r="P15" i="5" s="1"/>
  <c r="AD16" i="1"/>
  <c r="P16" i="5" s="1"/>
  <c r="AD17" i="1"/>
  <c r="P17" i="5" s="1"/>
  <c r="AD18" i="1"/>
  <c r="P18" i="5" s="1"/>
  <c r="AD19" i="1"/>
  <c r="P19" i="5" s="1"/>
  <c r="AD20" i="1"/>
  <c r="P20" i="5" s="1"/>
  <c r="AD21" i="1"/>
  <c r="P21" i="5" s="1"/>
  <c r="AD22" i="1"/>
  <c r="P22" i="5" s="1"/>
  <c r="AD23" i="1"/>
  <c r="P23" i="5" s="1"/>
  <c r="AD24" i="1"/>
  <c r="P24" i="5" s="1"/>
  <c r="AD25" i="1"/>
  <c r="P25" i="5" s="1"/>
  <c r="AD26" i="1"/>
  <c r="P26" i="5" s="1"/>
  <c r="AD27" i="1"/>
  <c r="P27" i="5" s="1"/>
  <c r="AD28" i="1"/>
  <c r="P28" i="5" s="1"/>
  <c r="AD29" i="1"/>
  <c r="P29" i="5" s="1"/>
  <c r="AD30" i="1"/>
  <c r="P30" i="5" s="1"/>
  <c r="AD31" i="1"/>
  <c r="P31" i="5" s="1"/>
  <c r="AD50" i="1"/>
  <c r="P50" i="5" s="1"/>
  <c r="AD51" i="1"/>
  <c r="P51" i="5" s="1"/>
  <c r="AD52" i="1"/>
  <c r="P52" i="5" s="1"/>
  <c r="AD53" i="1"/>
  <c r="P53" i="5" s="1"/>
  <c r="AD54" i="1"/>
  <c r="P54" i="5" s="1"/>
  <c r="AD55" i="1"/>
  <c r="P55" i="5" s="1"/>
  <c r="AD79" i="1"/>
  <c r="P79" i="5" s="1"/>
  <c r="AD80" i="1"/>
  <c r="P80" i="5" s="1"/>
  <c r="AD81" i="1"/>
  <c r="P81" i="5" s="1"/>
  <c r="AD82" i="1"/>
  <c r="P82" i="5" s="1"/>
  <c r="AD83" i="1"/>
  <c r="P83" i="5" s="1"/>
  <c r="AD84" i="1"/>
  <c r="P84" i="5" s="1"/>
  <c r="AD85" i="1"/>
  <c r="P85" i="5" s="1"/>
  <c r="AD86" i="1"/>
  <c r="P86" i="5" s="1"/>
  <c r="AD87" i="1"/>
  <c r="P87" i="5" s="1"/>
  <c r="AD88" i="1"/>
  <c r="P88" i="5" s="1"/>
  <c r="AD89" i="1"/>
  <c r="P89" i="5" s="1"/>
  <c r="AD90" i="1"/>
  <c r="P90" i="5" s="1"/>
  <c r="AD91" i="1"/>
  <c r="P91" i="5" s="1"/>
  <c r="AD92" i="1"/>
  <c r="P92" i="5" s="1"/>
  <c r="AD93" i="1"/>
  <c r="P93" i="5" s="1"/>
  <c r="AD94" i="1"/>
  <c r="P94" i="5" s="1"/>
  <c r="AD119" i="1"/>
  <c r="P119" i="5" s="1"/>
  <c r="AD120" i="1"/>
  <c r="P120" i="5" s="1"/>
  <c r="AD121" i="1"/>
  <c r="P121" i="5" s="1"/>
  <c r="AD122" i="1"/>
  <c r="P122" i="5" s="1"/>
  <c r="AD123" i="1"/>
  <c r="P123" i="5" s="1"/>
  <c r="AD124" i="1"/>
  <c r="P124" i="5" s="1"/>
  <c r="AD125" i="1"/>
  <c r="P125" i="5" s="1"/>
  <c r="AD126" i="1"/>
  <c r="P126" i="5" s="1"/>
  <c r="AD127" i="1"/>
  <c r="P127" i="5" s="1"/>
  <c r="AD128" i="1"/>
  <c r="P128" i="5" s="1"/>
  <c r="AD129" i="1"/>
  <c r="P129" i="5" s="1"/>
  <c r="AD130" i="1"/>
  <c r="P130" i="5" s="1"/>
  <c r="AD131" i="1"/>
  <c r="P131" i="5" s="1"/>
  <c r="AD132" i="1"/>
  <c r="P132" i="5" s="1"/>
  <c r="AD133" i="1"/>
  <c r="P133" i="5" s="1"/>
  <c r="AD134" i="1"/>
  <c r="P134" i="5" s="1"/>
  <c r="AD135" i="1"/>
  <c r="P135" i="5" s="1"/>
  <c r="AD136" i="1"/>
  <c r="P136" i="5" s="1"/>
  <c r="AD137" i="1"/>
  <c r="P137" i="5" s="1"/>
  <c r="AD138" i="1"/>
  <c r="P138" i="5" s="1"/>
  <c r="AD139" i="1"/>
  <c r="P139" i="5" s="1"/>
  <c r="AD254" i="1"/>
  <c r="P254" i="5" s="1"/>
  <c r="AD255" i="1"/>
  <c r="P255" i="5" s="1"/>
  <c r="AD256" i="1"/>
  <c r="P256" i="5" s="1"/>
  <c r="AD257" i="1"/>
  <c r="P257" i="5" s="1"/>
  <c r="AD258" i="1"/>
  <c r="P258" i="5" s="1"/>
  <c r="AD259" i="1"/>
  <c r="P259" i="5" s="1"/>
  <c r="AD260" i="1"/>
  <c r="P260" i="5" s="1"/>
  <c r="AD261" i="1"/>
  <c r="P261" i="5" s="1"/>
  <c r="AD262" i="1"/>
  <c r="P262" i="5" s="1"/>
  <c r="AD299" i="1"/>
  <c r="P299" i="5" s="1"/>
  <c r="AD300" i="1"/>
  <c r="P300" i="5" s="1"/>
  <c r="AD301" i="1"/>
  <c r="P301" i="5" s="1"/>
  <c r="AD340" i="1"/>
  <c r="P340" i="5" s="1"/>
  <c r="AD341" i="1"/>
  <c r="P341" i="5" s="1"/>
  <c r="AD342" i="1"/>
  <c r="P342" i="5" s="1"/>
  <c r="AD390" i="1"/>
  <c r="P390" i="5" s="1"/>
  <c r="AD391" i="1"/>
  <c r="P391" i="5" s="1"/>
  <c r="AD392" i="1"/>
  <c r="P392" i="5" s="1"/>
  <c r="AD393" i="1"/>
  <c r="P393" i="5" s="1"/>
  <c r="AD394" i="1"/>
  <c r="P394" i="5" s="1"/>
  <c r="AD395" i="1"/>
  <c r="P395" i="5" s="1"/>
  <c r="AD401" i="1"/>
  <c r="P401" i="5" s="1"/>
  <c r="AD402" i="1"/>
  <c r="P402" i="5" s="1"/>
  <c r="AD403" i="1"/>
  <c r="P403" i="5" s="1"/>
  <c r="AD404" i="1"/>
  <c r="P404" i="5" s="1"/>
  <c r="AD405" i="1"/>
  <c r="P405" i="5" s="1"/>
  <c r="AD406" i="1"/>
  <c r="P406" i="5" s="1"/>
  <c r="AD407" i="1"/>
  <c r="P407" i="5" s="1"/>
  <c r="AD408" i="1"/>
  <c r="P408" i="5" s="1"/>
  <c r="AD409" i="1"/>
  <c r="P409" i="5" s="1"/>
  <c r="AD410" i="1"/>
  <c r="P410" i="5" s="1"/>
  <c r="AD411" i="1"/>
  <c r="P411" i="5" s="1"/>
  <c r="AD414" i="1"/>
  <c r="P414" i="5" s="1"/>
  <c r="AD415" i="1"/>
  <c r="P415" i="5" s="1"/>
  <c r="AD416" i="1"/>
  <c r="P416" i="5" s="1"/>
  <c r="AD417" i="1"/>
  <c r="P417" i="5" s="1"/>
  <c r="AD418" i="1"/>
  <c r="P418" i="5" s="1"/>
  <c r="AD419" i="1"/>
  <c r="P419" i="5" s="1"/>
  <c r="AD420" i="1"/>
  <c r="P420" i="5" s="1"/>
  <c r="AD421" i="1"/>
  <c r="P421" i="5" s="1"/>
  <c r="AD422" i="1"/>
  <c r="P422" i="5" s="1"/>
  <c r="AD423" i="1"/>
  <c r="P423" i="5" s="1"/>
  <c r="AD424" i="1"/>
  <c r="P424" i="5" s="1"/>
  <c r="AD425" i="1"/>
  <c r="P425" i="5" s="1"/>
  <c r="AD439" i="1"/>
  <c r="P439" i="5" s="1"/>
  <c r="AD441" i="1"/>
  <c r="P441" i="5" s="1"/>
  <c r="AD412" i="1"/>
  <c r="P412" i="5" s="1"/>
  <c r="AD413" i="1"/>
  <c r="P413" i="5" s="1"/>
  <c r="AD438" i="1"/>
  <c r="P438" i="5" s="1"/>
  <c r="AD250" i="1"/>
  <c r="P250" i="5" s="1"/>
  <c r="AD251" i="1"/>
  <c r="P251" i="5" s="1"/>
  <c r="AD252" i="1"/>
  <c r="P252" i="5" s="1"/>
  <c r="AD253" i="1"/>
  <c r="P253" i="5" s="1"/>
  <c r="AD105" i="1"/>
  <c r="P105" i="5" s="1"/>
  <c r="AI251" i="1"/>
  <c r="A251" i="5" s="1"/>
  <c r="A251" i="12" s="1"/>
  <c r="G251" i="1"/>
  <c r="AI253" i="1"/>
  <c r="A253" i="5" s="1"/>
  <c r="A253" i="12" s="1"/>
  <c r="G253" i="1"/>
  <c r="AI252" i="1"/>
  <c r="A252" i="5" s="1"/>
  <c r="A252" i="12" s="1"/>
  <c r="G252" i="1"/>
  <c r="P410" i="13" l="1"/>
  <c r="P410" i="14" s="1"/>
  <c r="P410" i="12"/>
  <c r="P181" i="13"/>
  <c r="P181" i="14" s="1"/>
  <c r="P181" i="12"/>
  <c r="P105" i="13"/>
  <c r="P105" i="14" s="1"/>
  <c r="P105" i="12"/>
  <c r="P419" i="13"/>
  <c r="P419" i="14" s="1"/>
  <c r="P419" i="12"/>
  <c r="P401" i="13"/>
  <c r="P401" i="14" s="1"/>
  <c r="P401" i="12"/>
  <c r="P259" i="13"/>
  <c r="P259" i="14" s="1"/>
  <c r="P259" i="12"/>
  <c r="P121" i="13"/>
  <c r="P121" i="14" s="1"/>
  <c r="P121" i="12"/>
  <c r="P85" i="13"/>
  <c r="P85" i="14" s="1"/>
  <c r="P85" i="12"/>
  <c r="P54" i="13"/>
  <c r="P54" i="14" s="1"/>
  <c r="P54" i="12"/>
  <c r="P50" i="13"/>
  <c r="P50" i="14" s="1"/>
  <c r="P50" i="12"/>
  <c r="P28" i="13"/>
  <c r="P28" i="14" s="1"/>
  <c r="P28" i="12"/>
  <c r="P24" i="13"/>
  <c r="P24" i="14" s="1"/>
  <c r="P24" i="12"/>
  <c r="P20" i="13"/>
  <c r="P20" i="14" s="1"/>
  <c r="P20" i="12"/>
  <c r="P16" i="13"/>
  <c r="P16" i="14" s="1"/>
  <c r="P16" i="12"/>
  <c r="P12" i="13"/>
  <c r="P12" i="14" s="1"/>
  <c r="P12" i="12"/>
  <c r="P8" i="13"/>
  <c r="P8" i="14" s="1"/>
  <c r="P8" i="12"/>
  <c r="P4" i="13"/>
  <c r="P4" i="14" s="1"/>
  <c r="P4" i="12"/>
  <c r="P442" i="12"/>
  <c r="P336" i="13"/>
  <c r="P336" i="14" s="1"/>
  <c r="P336" i="12"/>
  <c r="P332" i="13"/>
  <c r="P332" i="14" s="1"/>
  <c r="P332" i="12"/>
  <c r="P328" i="13"/>
  <c r="P328" i="14" s="1"/>
  <c r="P328" i="12"/>
  <c r="P324" i="13"/>
  <c r="P324" i="14" s="1"/>
  <c r="P324" i="12"/>
  <c r="P320" i="13"/>
  <c r="P320" i="14" s="1"/>
  <c r="P320" i="12"/>
  <c r="P316" i="13"/>
  <c r="P316" i="14" s="1"/>
  <c r="P316" i="12"/>
  <c r="P312" i="13"/>
  <c r="P312" i="14" s="1"/>
  <c r="P312" i="12"/>
  <c r="P304" i="13"/>
  <c r="P304" i="14" s="1"/>
  <c r="P304" i="12"/>
  <c r="P248" i="13"/>
  <c r="P248" i="14" s="1"/>
  <c r="P248" i="12"/>
  <c r="P115" i="13"/>
  <c r="P115" i="14" s="1"/>
  <c r="P115" i="12"/>
  <c r="P97" i="13"/>
  <c r="P97" i="14" s="1"/>
  <c r="P97" i="12"/>
  <c r="P73" i="13"/>
  <c r="P73" i="14" s="1"/>
  <c r="P73" i="12"/>
  <c r="P69" i="13"/>
  <c r="P69" i="14" s="1"/>
  <c r="P69" i="12"/>
  <c r="P65" i="13"/>
  <c r="P65" i="14" s="1"/>
  <c r="P65" i="12"/>
  <c r="P61" i="13"/>
  <c r="P61" i="14" s="1"/>
  <c r="P61" i="12"/>
  <c r="P57" i="13"/>
  <c r="P57" i="14" s="1"/>
  <c r="P57" i="12"/>
  <c r="P43" i="13"/>
  <c r="P43" i="14" s="1"/>
  <c r="P43" i="12"/>
  <c r="P38" i="13"/>
  <c r="P38" i="14" s="1"/>
  <c r="P38" i="12"/>
  <c r="P34" i="13"/>
  <c r="P34" i="14" s="1"/>
  <c r="P34" i="12"/>
  <c r="P399" i="13"/>
  <c r="P399" i="14" s="1"/>
  <c r="P399" i="12"/>
  <c r="P426" i="13"/>
  <c r="P426" i="14" s="1"/>
  <c r="P426" i="12"/>
  <c r="P386" i="13"/>
  <c r="P386" i="14" s="1"/>
  <c r="P386" i="12"/>
  <c r="P382" i="13"/>
  <c r="P382" i="14" s="1"/>
  <c r="P382" i="12"/>
  <c r="P378" i="13"/>
  <c r="P378" i="14" s="1"/>
  <c r="P378" i="12"/>
  <c r="P374" i="13"/>
  <c r="P374" i="14" s="1"/>
  <c r="P374" i="12"/>
  <c r="P370" i="13"/>
  <c r="P370" i="14" s="1"/>
  <c r="P370" i="12"/>
  <c r="P366" i="13"/>
  <c r="P366" i="14" s="1"/>
  <c r="P366" i="12"/>
  <c r="P362" i="13"/>
  <c r="P362" i="14" s="1"/>
  <c r="P362" i="12"/>
  <c r="P358" i="13"/>
  <c r="P358" i="14" s="1"/>
  <c r="P358" i="12"/>
  <c r="P354" i="13"/>
  <c r="P354" i="14" s="1"/>
  <c r="P354" i="12"/>
  <c r="P350" i="13"/>
  <c r="P350" i="14" s="1"/>
  <c r="P350" i="12"/>
  <c r="P346" i="13"/>
  <c r="P346" i="14" s="1"/>
  <c r="P346" i="12"/>
  <c r="P298" i="13"/>
  <c r="P298" i="14" s="1"/>
  <c r="P298" i="12"/>
  <c r="P294" i="13"/>
  <c r="P294" i="14" s="1"/>
  <c r="P294" i="12"/>
  <c r="P290" i="13"/>
  <c r="P290" i="14" s="1"/>
  <c r="P290" i="12"/>
  <c r="P286" i="13"/>
  <c r="P286" i="14" s="1"/>
  <c r="P286" i="12"/>
  <c r="P282" i="13"/>
  <c r="P282" i="14" s="1"/>
  <c r="P282" i="12"/>
  <c r="P278" i="13"/>
  <c r="P278" i="14" s="1"/>
  <c r="P278" i="12"/>
  <c r="P274" i="13"/>
  <c r="P274" i="14" s="1"/>
  <c r="P274" i="12"/>
  <c r="P270" i="13"/>
  <c r="P270" i="14" s="1"/>
  <c r="P270" i="12"/>
  <c r="P266" i="13"/>
  <c r="P266" i="14" s="1"/>
  <c r="P266" i="12"/>
  <c r="P104" i="13"/>
  <c r="P104" i="14" s="1"/>
  <c r="P104" i="12"/>
  <c r="P244" i="13"/>
  <c r="P244" i="14" s="1"/>
  <c r="P244" i="12"/>
  <c r="P240" i="13"/>
  <c r="P240" i="14" s="1"/>
  <c r="P240" i="12"/>
  <c r="P236" i="13"/>
  <c r="P236" i="14" s="1"/>
  <c r="P236" i="12"/>
  <c r="P232" i="13"/>
  <c r="P232" i="14" s="1"/>
  <c r="P232" i="12"/>
  <c r="P228" i="13"/>
  <c r="P228" i="14" s="1"/>
  <c r="P228" i="12"/>
  <c r="P224" i="13"/>
  <c r="P224" i="14" s="1"/>
  <c r="P224" i="12"/>
  <c r="P220" i="13"/>
  <c r="P220" i="14" s="1"/>
  <c r="P220" i="12"/>
  <c r="P216" i="13"/>
  <c r="P216" i="14" s="1"/>
  <c r="P216" i="12"/>
  <c r="P212" i="13"/>
  <c r="P212" i="14" s="1"/>
  <c r="P212" i="12"/>
  <c r="P208" i="13"/>
  <c r="P208" i="14" s="1"/>
  <c r="P208" i="12"/>
  <c r="P204" i="13"/>
  <c r="P204" i="14" s="1"/>
  <c r="P204" i="12"/>
  <c r="P200" i="13"/>
  <c r="P200" i="14" s="1"/>
  <c r="P200" i="12"/>
  <c r="P196" i="13"/>
  <c r="P196" i="14" s="1"/>
  <c r="P196" i="12"/>
  <c r="P192" i="13"/>
  <c r="P192" i="14" s="1"/>
  <c r="P192" i="12"/>
  <c r="P188" i="13"/>
  <c r="P188" i="14" s="1"/>
  <c r="P188" i="12"/>
  <c r="P184" i="13"/>
  <c r="P184" i="14" s="1"/>
  <c r="P184" i="12"/>
  <c r="P180" i="13"/>
  <c r="P180" i="14" s="1"/>
  <c r="P180" i="12"/>
  <c r="P176" i="12"/>
  <c r="P176" i="13"/>
  <c r="P176" i="14" s="1"/>
  <c r="P172" i="13"/>
  <c r="P172" i="14" s="1"/>
  <c r="P172" i="12"/>
  <c r="P168" i="12"/>
  <c r="P168" i="13"/>
  <c r="P168" i="14" s="1"/>
  <c r="P164" i="13"/>
  <c r="P164" i="14" s="1"/>
  <c r="P164" i="12"/>
  <c r="P160" i="13"/>
  <c r="P160" i="14" s="1"/>
  <c r="P160" i="12"/>
  <c r="P156" i="13"/>
  <c r="P156" i="14" s="1"/>
  <c r="P156" i="12"/>
  <c r="P152" i="12"/>
  <c r="P152" i="13"/>
  <c r="P152" i="14" s="1"/>
  <c r="P148" i="13"/>
  <c r="P148" i="14" s="1"/>
  <c r="P148" i="12"/>
  <c r="P144" i="12"/>
  <c r="P144" i="13"/>
  <c r="P144" i="14" s="1"/>
  <c r="P140" i="13"/>
  <c r="P140" i="14" s="1"/>
  <c r="P140" i="12"/>
  <c r="P75" i="13"/>
  <c r="P75" i="14" s="1"/>
  <c r="P75" i="12"/>
  <c r="P114" i="13"/>
  <c r="P114" i="14" s="1"/>
  <c r="P114" i="12"/>
  <c r="P110" i="13"/>
  <c r="P110" i="14" s="1"/>
  <c r="P110" i="12"/>
  <c r="P46" i="13"/>
  <c r="P46" i="14" s="1"/>
  <c r="P46" i="12"/>
  <c r="P434" i="13"/>
  <c r="P434" i="14" s="1"/>
  <c r="P434" i="12"/>
  <c r="P430" i="13"/>
  <c r="P430" i="14" s="1"/>
  <c r="P430" i="12"/>
  <c r="P109" i="13"/>
  <c r="P109" i="14" s="1"/>
  <c r="P109" i="12"/>
  <c r="P251" i="12"/>
  <c r="P424" i="13"/>
  <c r="P424" i="14" s="1"/>
  <c r="P424" i="12"/>
  <c r="P416" i="13"/>
  <c r="P416" i="14" s="1"/>
  <c r="P416" i="12"/>
  <c r="P406" i="13"/>
  <c r="P406" i="14" s="1"/>
  <c r="P406" i="12"/>
  <c r="P393" i="13"/>
  <c r="P393" i="14" s="1"/>
  <c r="P393" i="12"/>
  <c r="P300" i="13"/>
  <c r="P300" i="14" s="1"/>
  <c r="P300" i="12"/>
  <c r="P256" i="13"/>
  <c r="P256" i="14" s="1"/>
  <c r="P256" i="12"/>
  <c r="P134" i="13"/>
  <c r="P134" i="14" s="1"/>
  <c r="P134" i="12"/>
  <c r="P126" i="13"/>
  <c r="P126" i="14" s="1"/>
  <c r="P126" i="12"/>
  <c r="P94" i="13"/>
  <c r="P94" i="14" s="1"/>
  <c r="P94" i="12"/>
  <c r="P86" i="13"/>
  <c r="P86" i="14" s="1"/>
  <c r="P86" i="12"/>
  <c r="P55" i="13"/>
  <c r="P55" i="14" s="1"/>
  <c r="P55" i="12"/>
  <c r="P29" i="13"/>
  <c r="P29" i="14" s="1"/>
  <c r="P29" i="12"/>
  <c r="P21" i="13"/>
  <c r="P21" i="14" s="1"/>
  <c r="P21" i="12"/>
  <c r="P13" i="13"/>
  <c r="P13" i="14" s="1"/>
  <c r="P13" i="12"/>
  <c r="P443" i="13"/>
  <c r="P443" i="14" s="1"/>
  <c r="P443" i="12"/>
  <c r="P333" i="13"/>
  <c r="P333" i="14" s="1"/>
  <c r="P333" i="12"/>
  <c r="P325" i="13"/>
  <c r="P325" i="14" s="1"/>
  <c r="P325" i="12"/>
  <c r="P317" i="13"/>
  <c r="P317" i="14" s="1"/>
  <c r="P317" i="12"/>
  <c r="P305" i="13"/>
  <c r="P305" i="14" s="1"/>
  <c r="P305" i="12"/>
  <c r="P245" i="13"/>
  <c r="P245" i="14" s="1"/>
  <c r="P245" i="12"/>
  <c r="P74" i="13"/>
  <c r="P74" i="14" s="1"/>
  <c r="P74" i="12"/>
  <c r="P66" i="13"/>
  <c r="P66" i="14" s="1"/>
  <c r="P66" i="12"/>
  <c r="P58" i="13"/>
  <c r="P58" i="14" s="1"/>
  <c r="P58" i="12"/>
  <c r="P39" i="13"/>
  <c r="P39" i="14" s="1"/>
  <c r="P39" i="12"/>
  <c r="P400" i="13"/>
  <c r="P400" i="14" s="1"/>
  <c r="P400" i="12"/>
  <c r="P387" i="13"/>
  <c r="P387" i="14" s="1"/>
  <c r="P387" i="12"/>
  <c r="P379" i="13"/>
  <c r="P379" i="14" s="1"/>
  <c r="P379" i="12"/>
  <c r="P371" i="12"/>
  <c r="P371" i="13"/>
  <c r="P371" i="14" s="1"/>
  <c r="P367" i="13"/>
  <c r="P367" i="14" s="1"/>
  <c r="P367" i="12"/>
  <c r="P359" i="13"/>
  <c r="P359" i="14" s="1"/>
  <c r="P359" i="12"/>
  <c r="P351" i="13"/>
  <c r="P351" i="14" s="1"/>
  <c r="P351" i="12"/>
  <c r="P343" i="13"/>
  <c r="P343" i="14" s="1"/>
  <c r="P343" i="12"/>
  <c r="P287" i="13"/>
  <c r="P287" i="14" s="1"/>
  <c r="P287" i="12"/>
  <c r="P283" i="13"/>
  <c r="P283" i="14" s="1"/>
  <c r="P283" i="12"/>
  <c r="P275" i="12"/>
  <c r="P275" i="13"/>
  <c r="P275" i="14" s="1"/>
  <c r="P267" i="12"/>
  <c r="P267" i="13"/>
  <c r="P267" i="14" s="1"/>
  <c r="P101" i="13"/>
  <c r="P101" i="14" s="1"/>
  <c r="P101" i="12"/>
  <c r="P237" i="13"/>
  <c r="P237" i="14" s="1"/>
  <c r="P237" i="12"/>
  <c r="P229" i="13"/>
  <c r="P229" i="14" s="1"/>
  <c r="P229" i="12"/>
  <c r="P221" i="13"/>
  <c r="P221" i="14" s="1"/>
  <c r="P221" i="12"/>
  <c r="P213" i="13"/>
  <c r="P213" i="14" s="1"/>
  <c r="P213" i="12"/>
  <c r="P205" i="13"/>
  <c r="P205" i="14" s="1"/>
  <c r="P205" i="12"/>
  <c r="P197" i="13"/>
  <c r="P197" i="14" s="1"/>
  <c r="P197" i="12"/>
  <c r="P189" i="13"/>
  <c r="P189" i="14" s="1"/>
  <c r="P189" i="12"/>
  <c r="P173" i="13"/>
  <c r="P173" i="14" s="1"/>
  <c r="P173" i="12"/>
  <c r="P165" i="13"/>
  <c r="P165" i="14" s="1"/>
  <c r="P165" i="12"/>
  <c r="P157" i="13"/>
  <c r="P157" i="14" s="1"/>
  <c r="P157" i="12"/>
  <c r="P149" i="13"/>
  <c r="P149" i="14" s="1"/>
  <c r="P149" i="12"/>
  <c r="P145" i="13"/>
  <c r="P145" i="14" s="1"/>
  <c r="P145" i="12"/>
  <c r="P76" i="13"/>
  <c r="P76" i="14" s="1"/>
  <c r="P76" i="12"/>
  <c r="P111" i="13"/>
  <c r="P111" i="14" s="1"/>
  <c r="P111" i="12"/>
  <c r="P435" i="13"/>
  <c r="P435" i="14" s="1"/>
  <c r="P435" i="12"/>
  <c r="P106" i="13"/>
  <c r="P106" i="14" s="1"/>
  <c r="P106" i="12"/>
  <c r="P441" i="13"/>
  <c r="P441" i="14" s="1"/>
  <c r="P441" i="12"/>
  <c r="P415" i="13"/>
  <c r="P415" i="14" s="1"/>
  <c r="P415" i="12"/>
  <c r="P405" i="13"/>
  <c r="P405" i="14" s="1"/>
  <c r="P405" i="12"/>
  <c r="P341" i="13"/>
  <c r="P341" i="14" s="1"/>
  <c r="P341" i="12"/>
  <c r="P255" i="13"/>
  <c r="P255" i="14" s="1"/>
  <c r="P255" i="12"/>
  <c r="P133" i="13"/>
  <c r="P133" i="14" s="1"/>
  <c r="P133" i="12"/>
  <c r="P125" i="13"/>
  <c r="P125" i="14" s="1"/>
  <c r="P125" i="12"/>
  <c r="P89" i="13"/>
  <c r="P89" i="14" s="1"/>
  <c r="P89" i="12"/>
  <c r="P253" i="12"/>
  <c r="P438" i="13"/>
  <c r="P438" i="14" s="1"/>
  <c r="P438" i="12"/>
  <c r="P439" i="13"/>
  <c r="P439" i="14" s="1"/>
  <c r="P439" i="12"/>
  <c r="P422" i="13"/>
  <c r="P422" i="14" s="1"/>
  <c r="P422" i="12"/>
  <c r="P418" i="13"/>
  <c r="P418" i="14" s="1"/>
  <c r="P418" i="12"/>
  <c r="P414" i="13"/>
  <c r="P414" i="14" s="1"/>
  <c r="P414" i="12"/>
  <c r="P408" i="13"/>
  <c r="P408" i="14" s="1"/>
  <c r="P408" i="12"/>
  <c r="P404" i="13"/>
  <c r="P404" i="14" s="1"/>
  <c r="P404" i="12"/>
  <c r="P395" i="13"/>
  <c r="P395" i="14" s="1"/>
  <c r="P395" i="12"/>
  <c r="P391" i="13"/>
  <c r="P391" i="14" s="1"/>
  <c r="P391" i="12"/>
  <c r="P340" i="13"/>
  <c r="P340" i="14" s="1"/>
  <c r="P340" i="12"/>
  <c r="P262" i="13"/>
  <c r="P262" i="14" s="1"/>
  <c r="P262" i="12"/>
  <c r="P258" i="13"/>
  <c r="P258" i="14" s="1"/>
  <c r="P258" i="12"/>
  <c r="P254" i="13"/>
  <c r="P254" i="14" s="1"/>
  <c r="P254" i="12"/>
  <c r="P136" i="12"/>
  <c r="P136" i="13"/>
  <c r="P136" i="14" s="1"/>
  <c r="P132" i="13"/>
  <c r="P132" i="14" s="1"/>
  <c r="P132" i="12"/>
  <c r="P128" i="13"/>
  <c r="P128" i="14" s="1"/>
  <c r="P128" i="12"/>
  <c r="P124" i="13"/>
  <c r="P124" i="14" s="1"/>
  <c r="P124" i="12"/>
  <c r="P120" i="12"/>
  <c r="P120" i="13"/>
  <c r="P120" i="14" s="1"/>
  <c r="P92" i="13"/>
  <c r="P92" i="14" s="1"/>
  <c r="P92" i="12"/>
  <c r="P88" i="13"/>
  <c r="P88" i="14" s="1"/>
  <c r="P88" i="12"/>
  <c r="P84" i="13"/>
  <c r="P84" i="14" s="1"/>
  <c r="P84" i="12"/>
  <c r="P80" i="13"/>
  <c r="P80" i="14" s="1"/>
  <c r="P80" i="12"/>
  <c r="P53" i="13"/>
  <c r="P53" i="14" s="1"/>
  <c r="P53" i="12"/>
  <c r="P31" i="13"/>
  <c r="P31" i="14" s="1"/>
  <c r="P31" i="12"/>
  <c r="P27" i="13"/>
  <c r="P27" i="14" s="1"/>
  <c r="P27" i="12"/>
  <c r="P23" i="13"/>
  <c r="P23" i="14" s="1"/>
  <c r="P23" i="12"/>
  <c r="P19" i="13"/>
  <c r="P19" i="14" s="1"/>
  <c r="P19" i="12"/>
  <c r="P15" i="13"/>
  <c r="P15" i="14" s="1"/>
  <c r="P15" i="12"/>
  <c r="P11" i="13"/>
  <c r="P11" i="14" s="1"/>
  <c r="P11" i="12"/>
  <c r="P7" i="13"/>
  <c r="P7" i="14" s="1"/>
  <c r="P7" i="12"/>
  <c r="P3" i="13"/>
  <c r="P3" i="14" s="1"/>
  <c r="P3" i="12"/>
  <c r="P339" i="12"/>
  <c r="P339" i="13"/>
  <c r="P339" i="14" s="1"/>
  <c r="P335" i="13"/>
  <c r="P335" i="14" s="1"/>
  <c r="P335" i="12"/>
  <c r="P331" i="12"/>
  <c r="P331" i="13"/>
  <c r="P331" i="14" s="1"/>
  <c r="P327" i="13"/>
  <c r="P327" i="14" s="1"/>
  <c r="P327" i="12"/>
  <c r="P323" i="13"/>
  <c r="P323" i="14" s="1"/>
  <c r="P323" i="12"/>
  <c r="P319" i="13"/>
  <c r="P319" i="14" s="1"/>
  <c r="P319" i="12"/>
  <c r="P315" i="13"/>
  <c r="P315" i="14" s="1"/>
  <c r="P315" i="12"/>
  <c r="P307" i="12"/>
  <c r="P307" i="13"/>
  <c r="P307" i="14" s="1"/>
  <c r="P303" i="13"/>
  <c r="P303" i="14" s="1"/>
  <c r="P303" i="12"/>
  <c r="P247" i="13"/>
  <c r="P247" i="14" s="1"/>
  <c r="P247" i="12"/>
  <c r="P100" i="13"/>
  <c r="P100" i="14" s="1"/>
  <c r="P100" i="12"/>
  <c r="P96" i="13"/>
  <c r="P96" i="14" s="1"/>
  <c r="P96" i="12"/>
  <c r="P72" i="13"/>
  <c r="P72" i="14" s="1"/>
  <c r="P72" i="12"/>
  <c r="P68" i="13"/>
  <c r="P68" i="14" s="1"/>
  <c r="P68" i="12"/>
  <c r="P64" i="13"/>
  <c r="P64" i="14" s="1"/>
  <c r="P64" i="12"/>
  <c r="P60" i="13"/>
  <c r="P60" i="14" s="1"/>
  <c r="P60" i="12"/>
  <c r="P56" i="13"/>
  <c r="P56" i="14" s="1"/>
  <c r="P56" i="12"/>
  <c r="P41" i="13"/>
  <c r="P41" i="14" s="1"/>
  <c r="P41" i="12"/>
  <c r="P37" i="13"/>
  <c r="P37" i="14" s="1"/>
  <c r="P37" i="12"/>
  <c r="P33" i="13"/>
  <c r="P33" i="14" s="1"/>
  <c r="P33" i="12"/>
  <c r="P398" i="13"/>
  <c r="P398" i="14" s="1"/>
  <c r="P398" i="12"/>
  <c r="P389" i="13"/>
  <c r="P389" i="14" s="1"/>
  <c r="P389" i="12"/>
  <c r="P385" i="13"/>
  <c r="P385" i="14" s="1"/>
  <c r="P385" i="12"/>
  <c r="P381" i="13"/>
  <c r="P381" i="14" s="1"/>
  <c r="P381" i="12"/>
  <c r="P377" i="13"/>
  <c r="P377" i="14" s="1"/>
  <c r="P377" i="12"/>
  <c r="P373" i="13"/>
  <c r="P373" i="14" s="1"/>
  <c r="P373" i="12"/>
  <c r="P369" i="13"/>
  <c r="P369" i="14" s="1"/>
  <c r="P369" i="12"/>
  <c r="P365" i="13"/>
  <c r="P365" i="14" s="1"/>
  <c r="P365" i="12"/>
  <c r="P361" i="13"/>
  <c r="P361" i="14" s="1"/>
  <c r="P361" i="12"/>
  <c r="P357" i="13"/>
  <c r="P357" i="14" s="1"/>
  <c r="P357" i="12"/>
  <c r="P353" i="13"/>
  <c r="P353" i="14" s="1"/>
  <c r="P353" i="12"/>
  <c r="P349" i="13"/>
  <c r="P349" i="14" s="1"/>
  <c r="P349" i="12"/>
  <c r="P345" i="13"/>
  <c r="P345" i="14" s="1"/>
  <c r="P345" i="12"/>
  <c r="P297" i="13"/>
  <c r="P297" i="14" s="1"/>
  <c r="P297" i="12"/>
  <c r="P293" i="13"/>
  <c r="P293" i="14" s="1"/>
  <c r="P293" i="12"/>
  <c r="P289" i="13"/>
  <c r="P289" i="14" s="1"/>
  <c r="P289" i="12"/>
  <c r="P285" i="13"/>
  <c r="P285" i="14" s="1"/>
  <c r="P285" i="12"/>
  <c r="P281" i="13"/>
  <c r="P281" i="14" s="1"/>
  <c r="P281" i="12"/>
  <c r="P277" i="13"/>
  <c r="P277" i="14" s="1"/>
  <c r="P277" i="12"/>
  <c r="P273" i="13"/>
  <c r="P273" i="14" s="1"/>
  <c r="P273" i="12"/>
  <c r="P269" i="13"/>
  <c r="P269" i="14" s="1"/>
  <c r="P269" i="12"/>
  <c r="P265" i="13"/>
  <c r="P265" i="14" s="1"/>
  <c r="P265" i="12"/>
  <c r="P103" i="13"/>
  <c r="P103" i="14" s="1"/>
  <c r="P103" i="12"/>
  <c r="P243" i="12"/>
  <c r="P243" i="13"/>
  <c r="P243" i="14" s="1"/>
  <c r="P239" i="13"/>
  <c r="P239" i="14" s="1"/>
  <c r="P239" i="12"/>
  <c r="P235" i="12"/>
  <c r="P235" i="13"/>
  <c r="P235" i="14" s="1"/>
  <c r="P231" i="13"/>
  <c r="P231" i="14" s="1"/>
  <c r="P231" i="12"/>
  <c r="P227" i="13"/>
  <c r="P227" i="14" s="1"/>
  <c r="P227" i="12"/>
  <c r="P223" i="13"/>
  <c r="P223" i="14" s="1"/>
  <c r="P223" i="12"/>
  <c r="P219" i="13"/>
  <c r="P219" i="14" s="1"/>
  <c r="P219" i="12"/>
  <c r="P215" i="13"/>
  <c r="P215" i="14" s="1"/>
  <c r="P215" i="12"/>
  <c r="P211" i="13"/>
  <c r="P211" i="14" s="1"/>
  <c r="P211" i="12"/>
  <c r="P207" i="13"/>
  <c r="P207" i="14" s="1"/>
  <c r="P207" i="12"/>
  <c r="P203" i="13"/>
  <c r="P203" i="14" s="1"/>
  <c r="P203" i="12"/>
  <c r="P199" i="13"/>
  <c r="P199" i="14" s="1"/>
  <c r="P199" i="12"/>
  <c r="P195" i="13"/>
  <c r="P195" i="14" s="1"/>
  <c r="P195" i="12"/>
  <c r="P191" i="13"/>
  <c r="P191" i="14" s="1"/>
  <c r="P191" i="12"/>
  <c r="P187" i="13"/>
  <c r="P187" i="14" s="1"/>
  <c r="P187" i="12"/>
  <c r="P183" i="13"/>
  <c r="P183" i="14" s="1"/>
  <c r="P183" i="12"/>
  <c r="P179" i="13"/>
  <c r="P179" i="14" s="1"/>
  <c r="P179" i="12"/>
  <c r="P175" i="13"/>
  <c r="P175" i="14" s="1"/>
  <c r="P175" i="12"/>
  <c r="P171" i="13"/>
  <c r="P171" i="14" s="1"/>
  <c r="P171" i="12"/>
  <c r="P167" i="13"/>
  <c r="P167" i="14" s="1"/>
  <c r="P167" i="12"/>
  <c r="P163" i="13"/>
  <c r="P163" i="14" s="1"/>
  <c r="P163" i="12"/>
  <c r="P159" i="13"/>
  <c r="P159" i="14" s="1"/>
  <c r="P159" i="12"/>
  <c r="P155" i="13"/>
  <c r="P155" i="14" s="1"/>
  <c r="P155" i="12"/>
  <c r="P151" i="13"/>
  <c r="P151" i="14" s="1"/>
  <c r="P151" i="12"/>
  <c r="P147" i="13"/>
  <c r="P147" i="14" s="1"/>
  <c r="P147" i="12"/>
  <c r="P143" i="13"/>
  <c r="P143" i="14" s="1"/>
  <c r="P143" i="12"/>
  <c r="P78" i="13"/>
  <c r="P78" i="14" s="1"/>
  <c r="P78" i="12"/>
  <c r="P118" i="13"/>
  <c r="P118" i="14" s="1"/>
  <c r="P118" i="12"/>
  <c r="P113" i="13"/>
  <c r="P113" i="14" s="1"/>
  <c r="P113" i="12"/>
  <c r="P49" i="13"/>
  <c r="P49" i="14" s="1"/>
  <c r="P49" i="12"/>
  <c r="P437" i="13"/>
  <c r="P437" i="14" s="1"/>
  <c r="P437" i="12"/>
  <c r="P433" i="13"/>
  <c r="P433" i="14" s="1"/>
  <c r="P433" i="12"/>
  <c r="P429" i="13"/>
  <c r="P429" i="14" s="1"/>
  <c r="P429" i="12"/>
  <c r="P108" i="13"/>
  <c r="P108" i="14" s="1"/>
  <c r="P108" i="12"/>
  <c r="P412" i="13"/>
  <c r="P412" i="14" s="1"/>
  <c r="P412" i="12"/>
  <c r="P420" i="13"/>
  <c r="P420" i="14" s="1"/>
  <c r="P420" i="12"/>
  <c r="P402" i="13"/>
  <c r="P402" i="14" s="1"/>
  <c r="P402" i="12"/>
  <c r="P342" i="13"/>
  <c r="P342" i="14" s="1"/>
  <c r="P342" i="12"/>
  <c r="P260" i="13"/>
  <c r="P260" i="14" s="1"/>
  <c r="P260" i="12"/>
  <c r="P138" i="13"/>
  <c r="P138" i="14" s="1"/>
  <c r="P138" i="12"/>
  <c r="P130" i="13"/>
  <c r="P130" i="14" s="1"/>
  <c r="P130" i="12"/>
  <c r="P122" i="13"/>
  <c r="P122" i="14" s="1"/>
  <c r="P122" i="12"/>
  <c r="P90" i="13"/>
  <c r="P90" i="14" s="1"/>
  <c r="P90" i="12"/>
  <c r="P82" i="13"/>
  <c r="P82" i="14" s="1"/>
  <c r="P82" i="12"/>
  <c r="P51" i="13"/>
  <c r="P51" i="14" s="1"/>
  <c r="P51" i="12"/>
  <c r="P25" i="13"/>
  <c r="P25" i="14" s="1"/>
  <c r="P25" i="12"/>
  <c r="P17" i="13"/>
  <c r="P17" i="14" s="1"/>
  <c r="P17" i="12"/>
  <c r="P9" i="13"/>
  <c r="P9" i="14" s="1"/>
  <c r="P9" i="12"/>
  <c r="P5" i="13"/>
  <c r="P5" i="14" s="1"/>
  <c r="P5" i="12"/>
  <c r="P337" i="13"/>
  <c r="P337" i="14" s="1"/>
  <c r="P337" i="12"/>
  <c r="P329" i="13"/>
  <c r="P329" i="14" s="1"/>
  <c r="P329" i="12"/>
  <c r="P321" i="13"/>
  <c r="P321" i="14" s="1"/>
  <c r="P321" i="12"/>
  <c r="P313" i="13"/>
  <c r="P313" i="14" s="1"/>
  <c r="P313" i="12"/>
  <c r="P249" i="13"/>
  <c r="P249" i="14" s="1"/>
  <c r="P249" i="12"/>
  <c r="P98" i="13"/>
  <c r="P98" i="14" s="1"/>
  <c r="P98" i="12"/>
  <c r="P70" i="13"/>
  <c r="P70" i="14" s="1"/>
  <c r="P70" i="12"/>
  <c r="P62" i="13"/>
  <c r="P62" i="14" s="1"/>
  <c r="P62" i="12"/>
  <c r="P44" i="13"/>
  <c r="P44" i="14" s="1"/>
  <c r="P44" i="12"/>
  <c r="P35" i="13"/>
  <c r="P35" i="14" s="1"/>
  <c r="P35" i="12"/>
  <c r="P396" i="13"/>
  <c r="P396" i="14" s="1"/>
  <c r="P396" i="12"/>
  <c r="P383" i="13"/>
  <c r="P383" i="14" s="1"/>
  <c r="P383" i="12"/>
  <c r="P375" i="13"/>
  <c r="P375" i="14" s="1"/>
  <c r="P375" i="12"/>
  <c r="P363" i="12"/>
  <c r="P363" i="13"/>
  <c r="P363" i="14" s="1"/>
  <c r="P355" i="13"/>
  <c r="P355" i="14" s="1"/>
  <c r="P355" i="12"/>
  <c r="P347" i="13"/>
  <c r="P347" i="14" s="1"/>
  <c r="P347" i="12"/>
  <c r="P295" i="13"/>
  <c r="P295" i="14" s="1"/>
  <c r="P295" i="12"/>
  <c r="P291" i="13"/>
  <c r="P291" i="14" s="1"/>
  <c r="P291" i="12"/>
  <c r="P279" i="13"/>
  <c r="P279" i="14" s="1"/>
  <c r="P279" i="12"/>
  <c r="P271" i="13"/>
  <c r="P271" i="14" s="1"/>
  <c r="P271" i="12"/>
  <c r="P263" i="13"/>
  <c r="P263" i="14" s="1"/>
  <c r="P263" i="12"/>
  <c r="P241" i="13"/>
  <c r="P241" i="14" s="1"/>
  <c r="P241" i="12"/>
  <c r="P233" i="13"/>
  <c r="P233" i="14" s="1"/>
  <c r="P233" i="12"/>
  <c r="P225" i="13"/>
  <c r="P225" i="14" s="1"/>
  <c r="P225" i="12"/>
  <c r="P217" i="13"/>
  <c r="P217" i="14" s="1"/>
  <c r="P217" i="12"/>
  <c r="P209" i="13"/>
  <c r="P209" i="14" s="1"/>
  <c r="P209" i="12"/>
  <c r="P201" i="13"/>
  <c r="P201" i="14" s="1"/>
  <c r="P201" i="12"/>
  <c r="P193" i="13"/>
  <c r="P193" i="14" s="1"/>
  <c r="P193" i="12"/>
  <c r="P185" i="13"/>
  <c r="P185" i="14" s="1"/>
  <c r="P185" i="12"/>
  <c r="P177" i="13"/>
  <c r="P177" i="14" s="1"/>
  <c r="P177" i="12"/>
  <c r="P169" i="13"/>
  <c r="P169" i="14" s="1"/>
  <c r="P169" i="12"/>
  <c r="P161" i="13"/>
  <c r="P161" i="14" s="1"/>
  <c r="P161" i="12"/>
  <c r="P153" i="13"/>
  <c r="P153" i="14" s="1"/>
  <c r="P153" i="12"/>
  <c r="P141" i="13"/>
  <c r="P141" i="14" s="1"/>
  <c r="P141" i="12"/>
  <c r="P116" i="13"/>
  <c r="P116" i="14" s="1"/>
  <c r="P116" i="12"/>
  <c r="P47" i="13"/>
  <c r="P47" i="14" s="1"/>
  <c r="P47" i="12"/>
  <c r="P431" i="13"/>
  <c r="P431" i="14" s="1"/>
  <c r="P431" i="12"/>
  <c r="P427" i="13"/>
  <c r="P427" i="14" s="1"/>
  <c r="P427" i="12"/>
  <c r="P250" i="13"/>
  <c r="P250" i="14" s="1"/>
  <c r="P250" i="12"/>
  <c r="P423" i="13"/>
  <c r="P423" i="14" s="1"/>
  <c r="P423" i="12"/>
  <c r="P409" i="13"/>
  <c r="P409" i="14" s="1"/>
  <c r="P409" i="12"/>
  <c r="P392" i="13"/>
  <c r="P392" i="14" s="1"/>
  <c r="P392" i="12"/>
  <c r="P299" i="12"/>
  <c r="P299" i="13"/>
  <c r="P299" i="14" s="1"/>
  <c r="P137" i="13"/>
  <c r="P137" i="14" s="1"/>
  <c r="P137" i="12"/>
  <c r="P129" i="13"/>
  <c r="P129" i="14" s="1"/>
  <c r="P129" i="12"/>
  <c r="P93" i="13"/>
  <c r="P93" i="14" s="1"/>
  <c r="P93" i="12"/>
  <c r="P81" i="13"/>
  <c r="P81" i="14" s="1"/>
  <c r="P81" i="12"/>
  <c r="P252" i="12"/>
  <c r="P413" i="13"/>
  <c r="P413" i="14" s="1"/>
  <c r="P413" i="12"/>
  <c r="P425" i="13"/>
  <c r="P425" i="14" s="1"/>
  <c r="P425" i="12"/>
  <c r="P421" i="13"/>
  <c r="P421" i="14" s="1"/>
  <c r="P421" i="12"/>
  <c r="P417" i="13"/>
  <c r="P417" i="14" s="1"/>
  <c r="P417" i="12"/>
  <c r="P411" i="13"/>
  <c r="P411" i="14" s="1"/>
  <c r="P411" i="12"/>
  <c r="P407" i="13"/>
  <c r="P407" i="14" s="1"/>
  <c r="P407" i="12"/>
  <c r="P403" i="12"/>
  <c r="P403" i="13"/>
  <c r="P403" i="14" s="1"/>
  <c r="P394" i="13"/>
  <c r="P394" i="14" s="1"/>
  <c r="P394" i="12"/>
  <c r="P390" i="13"/>
  <c r="P390" i="14" s="1"/>
  <c r="P390" i="12"/>
  <c r="P301" i="13"/>
  <c r="P301" i="14" s="1"/>
  <c r="P301" i="12"/>
  <c r="P261" i="13"/>
  <c r="P261" i="14" s="1"/>
  <c r="P261" i="12"/>
  <c r="P257" i="13"/>
  <c r="P257" i="14" s="1"/>
  <c r="P257" i="12"/>
  <c r="P139" i="13"/>
  <c r="P139" i="14" s="1"/>
  <c r="P139" i="12"/>
  <c r="P135" i="13"/>
  <c r="P135" i="14" s="1"/>
  <c r="P135" i="12"/>
  <c r="P131" i="13"/>
  <c r="P131" i="14" s="1"/>
  <c r="P131" i="12"/>
  <c r="P127" i="13"/>
  <c r="P127" i="14" s="1"/>
  <c r="P127" i="12"/>
  <c r="P123" i="13"/>
  <c r="P123" i="14" s="1"/>
  <c r="P123" i="12"/>
  <c r="P119" i="13"/>
  <c r="P119" i="14" s="1"/>
  <c r="P119" i="12"/>
  <c r="P91" i="13"/>
  <c r="P91" i="14" s="1"/>
  <c r="P91" i="12"/>
  <c r="P87" i="13"/>
  <c r="P87" i="14" s="1"/>
  <c r="P87" i="12"/>
  <c r="P83" i="13"/>
  <c r="P83" i="14" s="1"/>
  <c r="P83" i="12"/>
  <c r="P79" i="13"/>
  <c r="P79" i="14" s="1"/>
  <c r="P79" i="12"/>
  <c r="P52" i="13"/>
  <c r="P52" i="14" s="1"/>
  <c r="P52" i="12"/>
  <c r="P30" i="13"/>
  <c r="P30" i="14" s="1"/>
  <c r="P30" i="12"/>
  <c r="P26" i="13"/>
  <c r="P26" i="14" s="1"/>
  <c r="P26" i="12"/>
  <c r="P22" i="13"/>
  <c r="P22" i="14" s="1"/>
  <c r="P22" i="12"/>
  <c r="P18" i="13"/>
  <c r="P18" i="14" s="1"/>
  <c r="P18" i="12"/>
  <c r="P14" i="13"/>
  <c r="P14" i="14" s="1"/>
  <c r="P14" i="12"/>
  <c r="P10" i="13"/>
  <c r="P10" i="14" s="1"/>
  <c r="P10" i="12"/>
  <c r="P6" i="13"/>
  <c r="P6" i="14" s="1"/>
  <c r="P6" i="12"/>
  <c r="P2" i="13"/>
  <c r="P2" i="14" s="1"/>
  <c r="P2" i="12"/>
  <c r="P338" i="13"/>
  <c r="P338" i="14" s="1"/>
  <c r="P338" i="12"/>
  <c r="P334" i="13"/>
  <c r="P334" i="14" s="1"/>
  <c r="P334" i="12"/>
  <c r="P330" i="13"/>
  <c r="P330" i="14" s="1"/>
  <c r="P330" i="12"/>
  <c r="P326" i="13"/>
  <c r="P326" i="14" s="1"/>
  <c r="P326" i="12"/>
  <c r="P322" i="13"/>
  <c r="P322" i="14" s="1"/>
  <c r="P322" i="12"/>
  <c r="P318" i="13"/>
  <c r="P318" i="14" s="1"/>
  <c r="P318" i="12"/>
  <c r="P314" i="13"/>
  <c r="P314" i="14" s="1"/>
  <c r="P314" i="12"/>
  <c r="P306" i="13"/>
  <c r="P306" i="14" s="1"/>
  <c r="P306" i="12"/>
  <c r="P302" i="13"/>
  <c r="P302" i="14" s="1"/>
  <c r="P302" i="12"/>
  <c r="P246" i="13"/>
  <c r="P246" i="14" s="1"/>
  <c r="P246" i="12"/>
  <c r="P99" i="13"/>
  <c r="P99" i="14" s="1"/>
  <c r="P99" i="12"/>
  <c r="P95" i="12"/>
  <c r="P95" i="13"/>
  <c r="P95" i="14" s="1"/>
  <c r="P71" i="13"/>
  <c r="P71" i="14" s="1"/>
  <c r="P71" i="12"/>
  <c r="P67" i="13"/>
  <c r="P67" i="14" s="1"/>
  <c r="P67" i="12"/>
  <c r="P63" i="13"/>
  <c r="P63" i="14" s="1"/>
  <c r="P63" i="12"/>
  <c r="P59" i="13"/>
  <c r="P59" i="14" s="1"/>
  <c r="P59" i="12"/>
  <c r="P45" i="13"/>
  <c r="P45" i="14" s="1"/>
  <c r="P45" i="12"/>
  <c r="P40" i="13"/>
  <c r="P40" i="14" s="1"/>
  <c r="P40" i="12"/>
  <c r="P36" i="13"/>
  <c r="P36" i="14" s="1"/>
  <c r="P36" i="12"/>
  <c r="P32" i="13"/>
  <c r="P32" i="14" s="1"/>
  <c r="P32" i="12"/>
  <c r="P397" i="13"/>
  <c r="P397" i="14" s="1"/>
  <c r="P397" i="12"/>
  <c r="P388" i="13"/>
  <c r="P388" i="14" s="1"/>
  <c r="P388" i="12"/>
  <c r="P384" i="13"/>
  <c r="P384" i="14" s="1"/>
  <c r="P384" i="12"/>
  <c r="P380" i="13"/>
  <c r="P380" i="14" s="1"/>
  <c r="P380" i="12"/>
  <c r="P376" i="13"/>
  <c r="P376" i="14" s="1"/>
  <c r="P376" i="12"/>
  <c r="P372" i="13"/>
  <c r="P372" i="14" s="1"/>
  <c r="P372" i="12"/>
  <c r="P368" i="13"/>
  <c r="P368" i="14" s="1"/>
  <c r="P368" i="12"/>
  <c r="P364" i="13"/>
  <c r="P364" i="14" s="1"/>
  <c r="P364" i="12"/>
  <c r="P360" i="13"/>
  <c r="P360" i="14" s="1"/>
  <c r="P360" i="12"/>
  <c r="P356" i="13"/>
  <c r="P356" i="14" s="1"/>
  <c r="P356" i="12"/>
  <c r="P352" i="13"/>
  <c r="P352" i="14" s="1"/>
  <c r="P352" i="12"/>
  <c r="P348" i="13"/>
  <c r="P348" i="14" s="1"/>
  <c r="P348" i="12"/>
  <c r="P344" i="13"/>
  <c r="P344" i="14" s="1"/>
  <c r="P344" i="12"/>
  <c r="P296" i="13"/>
  <c r="P296" i="14" s="1"/>
  <c r="P296" i="12"/>
  <c r="P292" i="13"/>
  <c r="P292" i="14" s="1"/>
  <c r="P292" i="12"/>
  <c r="P288" i="13"/>
  <c r="P288" i="14" s="1"/>
  <c r="P288" i="12"/>
  <c r="P284" i="13"/>
  <c r="P284" i="14" s="1"/>
  <c r="P284" i="12"/>
  <c r="P280" i="13"/>
  <c r="P280" i="14" s="1"/>
  <c r="P280" i="12"/>
  <c r="P276" i="13"/>
  <c r="P276" i="14" s="1"/>
  <c r="P276" i="12"/>
  <c r="P272" i="13"/>
  <c r="P272" i="14" s="1"/>
  <c r="P272" i="12"/>
  <c r="P268" i="13"/>
  <c r="P268" i="14" s="1"/>
  <c r="P268" i="12"/>
  <c r="P264" i="13"/>
  <c r="P264" i="14" s="1"/>
  <c r="P264" i="12"/>
  <c r="P102" i="13"/>
  <c r="P102" i="14" s="1"/>
  <c r="P102" i="12"/>
  <c r="P242" i="13"/>
  <c r="P242" i="14" s="1"/>
  <c r="P242" i="12"/>
  <c r="P238" i="13"/>
  <c r="P238" i="14" s="1"/>
  <c r="P238" i="12"/>
  <c r="P234" i="13"/>
  <c r="P234" i="14" s="1"/>
  <c r="P234" i="12"/>
  <c r="P230" i="13"/>
  <c r="P230" i="14" s="1"/>
  <c r="P230" i="12"/>
  <c r="P226" i="13"/>
  <c r="P226" i="14" s="1"/>
  <c r="P226" i="12"/>
  <c r="P222" i="13"/>
  <c r="P222" i="14" s="1"/>
  <c r="P222" i="12"/>
  <c r="P218" i="13"/>
  <c r="P218" i="14" s="1"/>
  <c r="P218" i="12"/>
  <c r="P214" i="13"/>
  <c r="P214" i="14" s="1"/>
  <c r="P214" i="12"/>
  <c r="P210" i="13"/>
  <c r="P210" i="14" s="1"/>
  <c r="P210" i="12"/>
  <c r="P206" i="13"/>
  <c r="P206" i="14" s="1"/>
  <c r="P206" i="12"/>
  <c r="P202" i="13"/>
  <c r="P202" i="14" s="1"/>
  <c r="P202" i="12"/>
  <c r="P198" i="13"/>
  <c r="P198" i="14" s="1"/>
  <c r="P198" i="12"/>
  <c r="P194" i="13"/>
  <c r="P194" i="14" s="1"/>
  <c r="P194" i="12"/>
  <c r="P190" i="13"/>
  <c r="P190" i="14" s="1"/>
  <c r="P190" i="12"/>
  <c r="P186" i="13"/>
  <c r="P186" i="14" s="1"/>
  <c r="P186" i="12"/>
  <c r="P182" i="13"/>
  <c r="P182" i="14" s="1"/>
  <c r="P182" i="12"/>
  <c r="P178" i="13"/>
  <c r="P178" i="14" s="1"/>
  <c r="P178" i="12"/>
  <c r="P174" i="13"/>
  <c r="P174" i="14" s="1"/>
  <c r="P174" i="12"/>
  <c r="P170" i="13"/>
  <c r="P170" i="14" s="1"/>
  <c r="P170" i="12"/>
  <c r="P166" i="13"/>
  <c r="P166" i="14" s="1"/>
  <c r="P166" i="12"/>
  <c r="P162" i="13"/>
  <c r="P162" i="14" s="1"/>
  <c r="P162" i="12"/>
  <c r="P158" i="13"/>
  <c r="P158" i="14" s="1"/>
  <c r="P158" i="12"/>
  <c r="P154" i="13"/>
  <c r="P154" i="14" s="1"/>
  <c r="P154" i="12"/>
  <c r="P150" i="13"/>
  <c r="P150" i="14" s="1"/>
  <c r="P150" i="12"/>
  <c r="P146" i="13"/>
  <c r="P146" i="14" s="1"/>
  <c r="P146" i="12"/>
  <c r="P142" i="13"/>
  <c r="P142" i="14" s="1"/>
  <c r="P142" i="12"/>
  <c r="P77" i="13"/>
  <c r="P77" i="14" s="1"/>
  <c r="P77" i="12"/>
  <c r="P117" i="13"/>
  <c r="P117" i="14" s="1"/>
  <c r="P117" i="12"/>
  <c r="P112" i="13"/>
  <c r="P112" i="14" s="1"/>
  <c r="P112" i="12"/>
  <c r="P48" i="13"/>
  <c r="P48" i="14" s="1"/>
  <c r="P48" i="12"/>
  <c r="P436" i="13"/>
  <c r="P436" i="14" s="1"/>
  <c r="P436" i="12"/>
  <c r="P432" i="13"/>
  <c r="P432" i="14" s="1"/>
  <c r="P432" i="12"/>
  <c r="P428" i="13"/>
  <c r="P428" i="14" s="1"/>
  <c r="P428" i="12"/>
  <c r="P107" i="13"/>
  <c r="P107" i="14" s="1"/>
  <c r="P107" i="12"/>
  <c r="AJ252" i="1"/>
  <c r="AJ251" i="1"/>
  <c r="AJ253" i="1"/>
  <c r="AK252" i="1" l="1"/>
  <c r="D252" i="13"/>
  <c r="D252" i="14" s="1"/>
  <c r="S252" i="13"/>
  <c r="S252" i="14" s="1"/>
  <c r="G252" i="13"/>
  <c r="G252" i="14" s="1"/>
  <c r="J252" i="13"/>
  <c r="J252" i="14" s="1"/>
  <c r="N252" i="13"/>
  <c r="N252" i="14" s="1"/>
  <c r="H252" i="13"/>
  <c r="H252" i="14" s="1"/>
  <c r="O252" i="13"/>
  <c r="O252" i="14" s="1"/>
  <c r="M252" i="13"/>
  <c r="M252" i="14" s="1"/>
  <c r="K252" i="13"/>
  <c r="K252" i="14" s="1"/>
  <c r="L252" i="13"/>
  <c r="L252" i="14" s="1"/>
  <c r="R252" i="13"/>
  <c r="R252" i="14" s="1"/>
  <c r="I252" i="13"/>
  <c r="I252" i="14" s="1"/>
  <c r="F252" i="13"/>
  <c r="F252" i="14" s="1"/>
  <c r="Q252" i="13"/>
  <c r="Q252" i="14" s="1"/>
  <c r="C252" i="13"/>
  <c r="C252" i="14" s="1"/>
  <c r="E252" i="13"/>
  <c r="E252" i="14" s="1"/>
  <c r="P252" i="13"/>
  <c r="P252" i="14" s="1"/>
  <c r="R251" i="13"/>
  <c r="R251" i="14" s="1"/>
  <c r="F251" i="13"/>
  <c r="F251" i="14" s="1"/>
  <c r="Q251" i="13"/>
  <c r="Q251" i="14" s="1"/>
  <c r="I251" i="13"/>
  <c r="I251" i="14" s="1"/>
  <c r="L251" i="13"/>
  <c r="L251" i="14" s="1"/>
  <c r="K251" i="13"/>
  <c r="K251" i="14" s="1"/>
  <c r="M251" i="13"/>
  <c r="M251" i="14" s="1"/>
  <c r="O251" i="13"/>
  <c r="O251" i="14" s="1"/>
  <c r="N251" i="13"/>
  <c r="N251" i="14" s="1"/>
  <c r="D251" i="13"/>
  <c r="D251" i="14" s="1"/>
  <c r="S251" i="13"/>
  <c r="S251" i="14" s="1"/>
  <c r="G251" i="13"/>
  <c r="G251" i="14" s="1"/>
  <c r="H251" i="13"/>
  <c r="H251" i="14" s="1"/>
  <c r="J251" i="13"/>
  <c r="J251" i="14" s="1"/>
  <c r="C251" i="13"/>
  <c r="C251" i="14" s="1"/>
  <c r="E251" i="13"/>
  <c r="E251" i="14" s="1"/>
  <c r="K253" i="13"/>
  <c r="K253" i="14" s="1"/>
  <c r="M253" i="13"/>
  <c r="M253" i="14" s="1"/>
  <c r="L253" i="13"/>
  <c r="L253" i="14" s="1"/>
  <c r="I253" i="13"/>
  <c r="I253" i="14" s="1"/>
  <c r="F253" i="13"/>
  <c r="F253" i="14" s="1"/>
  <c r="D253" i="13"/>
  <c r="D253" i="14" s="1"/>
  <c r="G253" i="13"/>
  <c r="G253" i="14" s="1"/>
  <c r="R253" i="13"/>
  <c r="R253" i="14" s="1"/>
  <c r="O253" i="13"/>
  <c r="O253" i="14" s="1"/>
  <c r="N253" i="13"/>
  <c r="N253" i="14" s="1"/>
  <c r="J253" i="13"/>
  <c r="J253" i="14" s="1"/>
  <c r="S253" i="13"/>
  <c r="S253" i="14" s="1"/>
  <c r="H253" i="13"/>
  <c r="H253" i="14" s="1"/>
  <c r="Q253" i="13"/>
  <c r="Q253" i="14" s="1"/>
  <c r="C253" i="13"/>
  <c r="C253" i="14" s="1"/>
  <c r="E253" i="13"/>
  <c r="E253" i="14" s="1"/>
  <c r="P253" i="13"/>
  <c r="P253" i="14" s="1"/>
  <c r="P251" i="13"/>
  <c r="P251" i="14" s="1"/>
  <c r="AL252" i="1"/>
  <c r="B252" i="13" s="1"/>
  <c r="B252" i="14" s="1"/>
  <c r="B253" i="5"/>
  <c r="B253" i="12" s="1"/>
  <c r="B252" i="5"/>
  <c r="B252" i="12" s="1"/>
  <c r="B251" i="5"/>
  <c r="B251" i="12" s="1"/>
  <c r="AK251" i="1"/>
  <c r="AL251" i="1"/>
  <c r="B251" i="13" s="1"/>
  <c r="B251" i="14" s="1"/>
  <c r="AL253" i="1"/>
  <c r="B253" i="13" s="1"/>
  <c r="B253" i="14" s="1"/>
  <c r="AK253" i="1"/>
  <c r="AI442" i="1"/>
  <c r="A442" i="5" s="1"/>
  <c r="A442" i="12" s="1"/>
  <c r="G442" i="1"/>
  <c r="AJ442" i="1" l="1"/>
  <c r="AK442" i="1" l="1"/>
  <c r="D442" i="13"/>
  <c r="D442" i="14" s="1"/>
  <c r="H442" i="13"/>
  <c r="H442" i="14" s="1"/>
  <c r="N442" i="13"/>
  <c r="N442" i="14" s="1"/>
  <c r="J442" i="13"/>
  <c r="J442" i="14" s="1"/>
  <c r="S442" i="13"/>
  <c r="S442" i="14" s="1"/>
  <c r="G442" i="13"/>
  <c r="G442" i="14" s="1"/>
  <c r="M442" i="13"/>
  <c r="M442" i="14" s="1"/>
  <c r="K442" i="13"/>
  <c r="K442" i="14" s="1"/>
  <c r="R442" i="13"/>
  <c r="R442" i="14" s="1"/>
  <c r="Q442" i="13"/>
  <c r="Q442" i="14" s="1"/>
  <c r="I442" i="13"/>
  <c r="I442" i="14" s="1"/>
  <c r="L442" i="13"/>
  <c r="L442" i="14" s="1"/>
  <c r="O442" i="13"/>
  <c r="O442" i="14" s="1"/>
  <c r="F442" i="13"/>
  <c r="F442" i="14" s="1"/>
  <c r="C442" i="13"/>
  <c r="C442" i="14" s="1"/>
  <c r="E442" i="13"/>
  <c r="E442" i="14" s="1"/>
  <c r="P442" i="13"/>
  <c r="P442" i="14" s="1"/>
  <c r="AL442" i="1"/>
  <c r="B442" i="13" s="1"/>
  <c r="B442" i="14" s="1"/>
  <c r="B442" i="5"/>
  <c r="B442" i="12" s="1"/>
</calcChain>
</file>

<file path=xl/comments1.xml><?xml version="1.0" encoding="utf-8"?>
<comments xmlns="http://schemas.openxmlformats.org/spreadsheetml/2006/main">
  <authors>
    <author>Zuzana</author>
  </authors>
  <commentList>
    <comment ref="AI1" authorId="0" shapeId="0">
      <text>
        <r>
          <rPr>
            <b/>
            <sz val="9"/>
            <color indexed="81"/>
            <rFont val="Tahoma"/>
            <charset val="1"/>
          </rPr>
          <t>tstat/sqrt(tstat^2+no_df)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J1" authorId="0" shapeId="0">
      <text>
        <r>
          <rPr>
            <b/>
            <sz val="9"/>
            <color indexed="81"/>
            <rFont val="Tahoma"/>
            <charset val="1"/>
          </rPr>
          <t>pcc/tstat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K1" authorId="0" shapeId="0">
      <text>
        <r>
          <rPr>
            <sz val="9"/>
            <color indexed="81"/>
            <rFont val="Tahoma"/>
            <charset val="1"/>
          </rPr>
          <t xml:space="preserve">1/pcc_se^2
</t>
        </r>
      </text>
    </comment>
    <comment ref="AL1" authorId="0" shapeId="0">
      <text>
        <r>
          <rPr>
            <sz val="9"/>
            <color indexed="81"/>
            <rFont val="Tahoma"/>
            <charset val="1"/>
          </rPr>
          <t xml:space="preserve">1/pcc_se
</t>
        </r>
      </text>
    </comment>
    <comment ref="AP1" authorId="0" shapeId="0">
      <text>
        <r>
          <rPr>
            <b/>
            <sz val="9"/>
            <color indexed="81"/>
            <rFont val="Tahoma"/>
            <charset val="1"/>
          </rPr>
          <t>1/sqrt(no_df)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W1" authorId="0" shapeId="0">
      <text>
        <r>
          <rPr>
            <sz val="9"/>
            <color indexed="81"/>
            <rFont val="Tahoma"/>
            <charset val="1"/>
          </rPr>
          <t xml:space="preserve">inverse of the number of estimates per study
</t>
        </r>
      </text>
    </comment>
    <comment ref="AX1" authorId="0" shapeId="0">
      <text>
        <r>
          <rPr>
            <sz val="9"/>
            <color indexed="81"/>
            <rFont val="Tahoma"/>
            <charset val="1"/>
          </rPr>
          <t xml:space="preserve">inverse of the number of estimates per study squared
</t>
        </r>
      </text>
    </comment>
    <comment ref="A427" authorId="0" shapeId="0">
      <text>
        <r>
          <rPr>
            <b/>
            <sz val="9"/>
            <color indexed="81"/>
            <rFont val="Tahoma"/>
            <charset val="1"/>
          </rPr>
          <t>one observation lost due to zero sterr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<sst xmlns="http://schemas.openxmlformats.org/spreadsheetml/2006/main" count="2261" uniqueCount="112">
  <si>
    <t>author</t>
  </si>
  <si>
    <t>pub_year</t>
  </si>
  <si>
    <t>dep_var</t>
  </si>
  <si>
    <t>exp_var</t>
  </si>
  <si>
    <t>no_exp_var</t>
  </si>
  <si>
    <t>no_obs</t>
  </si>
  <si>
    <t>model</t>
  </si>
  <si>
    <t>endogeneity</t>
  </si>
  <si>
    <t>unemployment</t>
  </si>
  <si>
    <t>income</t>
  </si>
  <si>
    <t>no_df</t>
  </si>
  <si>
    <t>ln_pub_year</t>
  </si>
  <si>
    <t>ln_google</t>
  </si>
  <si>
    <t>tseries</t>
  </si>
  <si>
    <t>panel</t>
  </si>
  <si>
    <t>cross</t>
  </si>
  <si>
    <t>instrument</t>
  </si>
  <si>
    <t>ols</t>
  </si>
  <si>
    <t>fe</t>
  </si>
  <si>
    <t>male</t>
  </si>
  <si>
    <t>female</t>
  </si>
  <si>
    <t>private</t>
  </si>
  <si>
    <t>public</t>
  </si>
  <si>
    <t>invperst</t>
  </si>
  <si>
    <t>enrollment</t>
  </si>
  <si>
    <t>tuition</t>
  </si>
  <si>
    <t>OLS</t>
  </si>
  <si>
    <t>FE</t>
  </si>
  <si>
    <t>3SLS</t>
  </si>
  <si>
    <t>Coelli (2009)</t>
  </si>
  <si>
    <t>Kane (2007)</t>
  </si>
  <si>
    <t>Savoca (1990)</t>
  </si>
  <si>
    <t>cost/inc</t>
  </si>
  <si>
    <t>Ordovensky (1995)</t>
  </si>
  <si>
    <t>prob enrol</t>
  </si>
  <si>
    <t>Logit</t>
  </si>
  <si>
    <t>2SLS</t>
  </si>
  <si>
    <t>Chressanthis (1986)</t>
  </si>
  <si>
    <t>Hight (1975)</t>
  </si>
  <si>
    <t>Tuckman (1970)</t>
  </si>
  <si>
    <t>Cheslock (2001)</t>
  </si>
  <si>
    <t>Grubb (1988)</t>
  </si>
  <si>
    <t>Zenner estimates</t>
  </si>
  <si>
    <t>MLE</t>
  </si>
  <si>
    <t>King (1993)</t>
  </si>
  <si>
    <t>GLS</t>
  </si>
  <si>
    <t>Tannen (1978)</t>
  </si>
  <si>
    <t>Sulock (1982)</t>
  </si>
  <si>
    <t>Craft et al. (2012)</t>
  </si>
  <si>
    <t>Bruckmeier et al. (2013)</t>
  </si>
  <si>
    <t>Dearden et al. (2011)</t>
  </si>
  <si>
    <t>Koshal et al. (1976)</t>
  </si>
  <si>
    <t>Buss et al. (2004)</t>
  </si>
  <si>
    <t>Huijsman et al. (1986)</t>
  </si>
  <si>
    <t>Shin &amp; Milton (2008)</t>
  </si>
  <si>
    <t>Elliott &amp; Soo (2013)</t>
  </si>
  <si>
    <t>Hemelt &amp; Marcotte (2011)</t>
  </si>
  <si>
    <t>Mueller &amp; Rockerbie (2005)</t>
  </si>
  <si>
    <t>Alexander &amp; Frey (1984)</t>
  </si>
  <si>
    <t>Allen &amp; Shen (1999)</t>
  </si>
  <si>
    <t>Berger &amp; Kostal (2002)</t>
  </si>
  <si>
    <t>Bezmen &amp; Depken (1998)</t>
  </si>
  <si>
    <t>Campbell &amp; Siegel (1967)</t>
  </si>
  <si>
    <t>Canton &amp; de Jong (2002)</t>
  </si>
  <si>
    <t>Doyle &amp; Cicarelli (1980)</t>
  </si>
  <si>
    <t>Hoenack &amp; Pierro (1990)</t>
  </si>
  <si>
    <t>Knudsen &amp; Servelle (1978)</t>
  </si>
  <si>
    <t>Agarwal &amp; Winkler (1985)</t>
  </si>
  <si>
    <t>Hsing &amp; Chang (1996)</t>
  </si>
  <si>
    <t>Murphy &amp; Trandel (1994)</t>
  </si>
  <si>
    <t>Noorbakhsh &amp; Culp (2002)</t>
  </si>
  <si>
    <t>Parker &amp; Summers (1993)</t>
  </si>
  <si>
    <t>Paulsen &amp; Pogue (1988)</t>
  </si>
  <si>
    <t>Quinn &amp; Price (1998)</t>
  </si>
  <si>
    <t>Toutkoushian &amp; Hollis (1998)</t>
  </si>
  <si>
    <t>Quigley &amp; Rubinfeld (1993)</t>
  </si>
  <si>
    <t>tuition_se</t>
  </si>
  <si>
    <t>cit_google</t>
  </si>
  <si>
    <t>cit_repec</t>
  </si>
  <si>
    <t>tstat</t>
  </si>
  <si>
    <t>pcc</t>
  </si>
  <si>
    <t>invperstsq</t>
  </si>
  <si>
    <t>Chen (2016)</t>
  </si>
  <si>
    <t>shortrun</t>
  </si>
  <si>
    <t>country</t>
  </si>
  <si>
    <t>USA</t>
  </si>
  <si>
    <t>Germany</t>
  </si>
  <si>
    <t>UK</t>
  </si>
  <si>
    <t>Canada</t>
  </si>
  <si>
    <t>Netherlands</t>
  </si>
  <si>
    <t>usa</t>
  </si>
  <si>
    <t>idstudy</t>
  </si>
  <si>
    <t>published</t>
  </si>
  <si>
    <t>est_per_study</t>
  </si>
  <si>
    <t>idcountry</t>
  </si>
  <si>
    <t>linear</t>
  </si>
  <si>
    <t>doublelog</t>
  </si>
  <si>
    <t>semilog</t>
  </si>
  <si>
    <t>boxcox</t>
  </si>
  <si>
    <t>ECM (OLS)</t>
  </si>
  <si>
    <t>ECM (SUR)</t>
  </si>
  <si>
    <t>startyear</t>
  </si>
  <si>
    <t>endyear</t>
  </si>
  <si>
    <t>Hoenack &amp; Weiler (1975)</t>
  </si>
  <si>
    <t>timespan</t>
  </si>
  <si>
    <t>Multinational</t>
  </si>
  <si>
    <t>pcc_se</t>
  </si>
  <si>
    <t>pcc_precsq</t>
  </si>
  <si>
    <t>pcc_prec</t>
  </si>
  <si>
    <t>ln_timespan</t>
  </si>
  <si>
    <t>midyear</t>
  </si>
  <si>
    <t>McPherson &amp; Schapiro (1991)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</si>
</sst>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0000"/>
    <numFmt numFmtId="165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0" fontId="0" fillId="0" borderId="0" xfId="0" applyFill="1"/>
    <xf numFmtId="164" fontId="0" fillId="0" borderId="0" xfId="0" applyNumberFormat="1" applyFill="1"/>
    <xf numFmtId="165" fontId="0" fillId="0" borderId="0" xfId="1" applyNumberFormat="1" applyFont="1" applyFill="1"/>
    <xf numFmtId="0" fontId="5" fillId="0" borderId="0" xfId="0" applyFont="1" applyFill="1"/>
    <xf numFmtId="0" fontId="0" fillId="0" borderId="0" xfId="0" applyFill="1" applyAlignment="1">
      <alignment wrapText="1"/>
    </xf>
    <xf numFmtId="0" fontId="6" fillId="2" borderId="0" xfId="0" applyFont="1" applyFill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X44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28.140625" style="1" customWidth="1"/>
    <col min="2" max="4" width="9.140625" style="1" customWidth="1"/>
    <col min="5" max="6" width="8.42578125" style="1" bestFit="1" customWidth="1"/>
    <col min="7" max="7" width="10.5703125" style="1" bestFit="1" customWidth="1"/>
    <col min="8" max="8" width="11.42578125" style="1" bestFit="1" customWidth="1"/>
    <col min="9" max="9" width="7.85546875" style="1" bestFit="1" customWidth="1"/>
    <col min="10" max="10" width="6.42578125" style="1" bestFit="1" customWidth="1"/>
    <col min="11" max="11" width="14.140625" style="1" bestFit="1" customWidth="1"/>
    <col min="12" max="12" width="9.28515625" style="1" bestFit="1" customWidth="1"/>
    <col min="13" max="13" width="8.5703125" style="1" bestFit="1" customWidth="1"/>
    <col min="14" max="14" width="8.5703125" style="1" customWidth="1"/>
    <col min="15" max="15" width="9.85546875" style="1" bestFit="1" customWidth="1"/>
    <col min="16" max="16" width="12.7109375" style="1" bestFit="1" customWidth="1"/>
    <col min="17" max="17" width="10.5703125" style="1" bestFit="1" customWidth="1"/>
    <col min="18" max="18" width="9.42578125" style="1" bestFit="1" customWidth="1"/>
    <col min="19" max="19" width="6.85546875" style="1" customWidth="1"/>
    <col min="20" max="20" width="12.5703125" style="1" bestFit="1" customWidth="1"/>
    <col min="21" max="21" width="15.140625" style="1" bestFit="1" customWidth="1"/>
    <col min="22" max="22" width="7.85546875" style="1" bestFit="1" customWidth="1"/>
    <col min="23" max="23" width="8.85546875" style="4" bestFit="1" customWidth="1"/>
    <col min="24" max="24" width="6.85546875" style="4" customWidth="1"/>
    <col min="25" max="25" width="10.5703125" style="4" bestFit="1" customWidth="1"/>
    <col min="26" max="26" width="8.5703125" style="4" bestFit="1" customWidth="1"/>
    <col min="27" max="27" width="7.28515625" style="4" bestFit="1" customWidth="1"/>
    <col min="28" max="28" width="7.7109375" style="1" customWidth="1"/>
    <col min="29" max="29" width="9.5703125" style="1" bestFit="1" customWidth="1"/>
    <col min="30" max="30" width="4.5703125" style="1" bestFit="1" customWidth="1"/>
    <col min="31" max="31" width="10.5703125" style="1" bestFit="1" customWidth="1"/>
    <col min="32" max="32" width="12.42578125" style="1" bestFit="1" customWidth="1"/>
    <col min="33" max="33" width="10.28515625" style="1" bestFit="1" customWidth="1"/>
    <col min="34" max="34" width="6" style="1" customWidth="1"/>
    <col min="35" max="35" width="5.140625" style="1" customWidth="1"/>
    <col min="36" max="36" width="8.140625" style="1" customWidth="1"/>
    <col min="37" max="37" width="12.28515625" style="1" bestFit="1" customWidth="1"/>
    <col min="38" max="38" width="9.5703125" style="1" customWidth="1"/>
    <col min="39" max="39" width="7.5703125" style="1" bestFit="1" customWidth="1"/>
    <col min="40" max="40" width="6.5703125" style="1" bestFit="1" customWidth="1"/>
    <col min="41" max="41" width="5.85546875" style="1" bestFit="1" customWidth="1"/>
    <col min="42" max="42" width="12.42578125" style="1" customWidth="1"/>
    <col min="43" max="43" width="4" style="1" bestFit="1" customWidth="1"/>
    <col min="44" max="44" width="3" style="1" bestFit="1" customWidth="1"/>
    <col min="45" max="45" width="5.85546875" style="1" bestFit="1" customWidth="1"/>
    <col min="46" max="46" width="7.7109375" style="1" bestFit="1" customWidth="1"/>
    <col min="47" max="47" width="7.5703125" style="4" bestFit="1" customWidth="1"/>
    <col min="48" max="48" width="6.85546875" style="4" bestFit="1" customWidth="1"/>
    <col min="49" max="49" width="9.140625" style="1"/>
    <col min="50" max="50" width="11" style="1" bestFit="1" customWidth="1"/>
    <col min="51" max="16384" width="9.140625" style="1"/>
  </cols>
  <sheetData>
    <row r="1" spans="1:50" s="6" customFormat="1" x14ac:dyDescent="0.25">
      <c r="A1" s="6" t="s">
        <v>0</v>
      </c>
      <c r="B1" s="6" t="s">
        <v>1</v>
      </c>
      <c r="C1" s="6" t="s">
        <v>91</v>
      </c>
      <c r="D1" s="6" t="s">
        <v>2</v>
      </c>
      <c r="E1" s="6" t="s">
        <v>3</v>
      </c>
      <c r="F1" s="6" t="s">
        <v>25</v>
      </c>
      <c r="G1" s="6" t="s">
        <v>76</v>
      </c>
      <c r="H1" s="6" t="s">
        <v>4</v>
      </c>
      <c r="I1" s="6" t="s">
        <v>5</v>
      </c>
      <c r="J1" s="6" t="s">
        <v>10</v>
      </c>
      <c r="K1" s="6" t="s">
        <v>93</v>
      </c>
      <c r="L1" s="6" t="s">
        <v>101</v>
      </c>
      <c r="M1" s="6" t="s">
        <v>102</v>
      </c>
      <c r="N1" s="6" t="s">
        <v>110</v>
      </c>
      <c r="O1" s="6" t="s">
        <v>104</v>
      </c>
      <c r="P1" s="6" t="s">
        <v>109</v>
      </c>
      <c r="Q1" s="6" t="s">
        <v>77</v>
      </c>
      <c r="R1" s="6" t="s">
        <v>78</v>
      </c>
      <c r="S1" s="6" t="s">
        <v>6</v>
      </c>
      <c r="T1" s="6" t="s">
        <v>7</v>
      </c>
      <c r="U1" s="6" t="s">
        <v>8</v>
      </c>
      <c r="V1" s="6" t="s">
        <v>9</v>
      </c>
      <c r="W1" s="6" t="s">
        <v>83</v>
      </c>
      <c r="X1" s="6" t="s">
        <v>95</v>
      </c>
      <c r="Y1" s="6" t="s">
        <v>96</v>
      </c>
      <c r="Z1" s="6" t="s">
        <v>97</v>
      </c>
      <c r="AA1" s="6" t="s">
        <v>98</v>
      </c>
      <c r="AB1" s="6" t="s">
        <v>84</v>
      </c>
      <c r="AC1" s="6" t="s">
        <v>94</v>
      </c>
      <c r="AD1" s="6" t="s">
        <v>90</v>
      </c>
      <c r="AE1" s="6" t="s">
        <v>92</v>
      </c>
      <c r="AF1" s="6" t="s">
        <v>11</v>
      </c>
      <c r="AG1" s="6" t="s">
        <v>12</v>
      </c>
      <c r="AH1" s="6" t="s">
        <v>79</v>
      </c>
      <c r="AI1" s="6" t="s">
        <v>80</v>
      </c>
      <c r="AJ1" s="6" t="s">
        <v>106</v>
      </c>
      <c r="AK1" s="6" t="s">
        <v>107</v>
      </c>
      <c r="AL1" s="6" t="s">
        <v>108</v>
      </c>
      <c r="AM1" s="6" t="s">
        <v>13</v>
      </c>
      <c r="AN1" s="6" t="s">
        <v>14</v>
      </c>
      <c r="AO1" s="6" t="s">
        <v>15</v>
      </c>
      <c r="AP1" s="6" t="s">
        <v>16</v>
      </c>
      <c r="AQ1" s="6" t="s">
        <v>17</v>
      </c>
      <c r="AR1" s="6" t="s">
        <v>18</v>
      </c>
      <c r="AS1" s="6" t="s">
        <v>19</v>
      </c>
      <c r="AT1" s="6" t="s">
        <v>20</v>
      </c>
      <c r="AU1" s="6" t="s">
        <v>21</v>
      </c>
      <c r="AV1" s="6" t="s">
        <v>22</v>
      </c>
      <c r="AW1" s="6" t="s">
        <v>23</v>
      </c>
      <c r="AX1" s="6" t="s">
        <v>81</v>
      </c>
    </row>
    <row r="2" spans="1:50" x14ac:dyDescent="0.25">
      <c r="A2" s="1" t="s">
        <v>67</v>
      </c>
      <c r="B2" s="1">
        <v>1985</v>
      </c>
      <c r="C2" s="1">
        <v>1</v>
      </c>
      <c r="D2" s="1" t="s">
        <v>24</v>
      </c>
      <c r="E2" s="1" t="s">
        <v>25</v>
      </c>
      <c r="F2" s="2">
        <v>0.123</v>
      </c>
      <c r="G2" s="3">
        <v>0.35199999999999998</v>
      </c>
      <c r="H2" s="1">
        <v>3</v>
      </c>
      <c r="I2" s="1">
        <v>17</v>
      </c>
      <c r="J2" s="1">
        <f t="shared" ref="J2:J66" si="0">+I2-H2</f>
        <v>14</v>
      </c>
      <c r="K2" s="1">
        <v>30</v>
      </c>
      <c r="L2" s="1">
        <v>1954</v>
      </c>
      <c r="M2" s="1">
        <v>1973</v>
      </c>
      <c r="N2" s="1">
        <f>+L2+(M2-L2)/2</f>
        <v>1963.5</v>
      </c>
      <c r="O2" s="1">
        <f>+M2-L2+1</f>
        <v>20</v>
      </c>
      <c r="P2" s="1">
        <f>+LN(O1:O2)</f>
        <v>2.9957322735539909</v>
      </c>
      <c r="Q2" s="1">
        <v>105</v>
      </c>
      <c r="R2" s="1">
        <v>0</v>
      </c>
      <c r="S2" s="1" t="s">
        <v>26</v>
      </c>
      <c r="T2" s="1">
        <f t="shared" ref="T2:T33" si="1">IF(S2="OLS",0,IF(S2="FE",0,IF(S2="Probit model",0,IF(S2="3SLS",1,IF(S2="Logit",0,IF(S2="2SLS",1,IF(S2="SUR method",1,IF(S2="Modified LS",0,IF(S2="Zenner estimates",1,IF(S2="MLE",0,IF(S2="GLS",0,0)))))))))))</f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0</v>
      </c>
      <c r="AA2" s="1">
        <v>0</v>
      </c>
      <c r="AB2" s="1" t="s">
        <v>85</v>
      </c>
      <c r="AC2" s="1">
        <f>IF(AB2="USA",1,IF(AB2="UK",2,IF(AB2="Canada",3,IF(AB2="Germany",4,IF(AB2="Netherlands",5,IF(AB2="India",20,IF(AB2="Indonesia",7,IF(AB2="Korea",8,IF(AB2="Philippines",9,IF(AB2="Taiwan",10,IF(AB2="Greece",11,IF(AB2="Iran",12,IF(AB2="Israel",13,IF(AB2="Kuwait",14,IF(AB2="Lebanon",15,IF(AB2="Saudi Arabia",16,IF(AB2="Turkey",17,IF(AB2="Ethiopia",18,IF(AB2="Kenya",19,IF(AB2="Nigeria",20,IF(AB2="Multinational",6,"")))))))))))))))))))))</f>
        <v>1</v>
      </c>
      <c r="AD2" s="1">
        <f t="shared" ref="AD2:AD63" si="2">IF(AB2="USA",1,0)</f>
        <v>1</v>
      </c>
      <c r="AE2" s="1">
        <v>1</v>
      </c>
      <c r="AF2" s="1">
        <v>7.5933739999999998</v>
      </c>
      <c r="AG2" s="1">
        <v>4.6634390000000003</v>
      </c>
      <c r="AH2" s="1">
        <f t="shared" ref="AH2:AH65" si="3">+F2/G2</f>
        <v>0.34943181818181818</v>
      </c>
      <c r="AI2" s="1">
        <f t="shared" ref="AI2:AI65" si="4">AH2/SQRT(AH2^2+J2)</f>
        <v>9.2984972469741786E-2</v>
      </c>
      <c r="AJ2" s="1">
        <f t="shared" ref="AJ2:AJ66" si="5">+AI2/AH2</f>
        <v>0.26610333584836676</v>
      </c>
      <c r="AK2" s="1">
        <f t="shared" ref="AK2:AK66" si="6">1/AJ2^2</f>
        <v>14.122102595557848</v>
      </c>
      <c r="AL2" s="1">
        <f t="shared" ref="AL2:AL66" si="7">1/AJ2</f>
        <v>3.7579386098708225</v>
      </c>
      <c r="AM2" s="1">
        <v>1</v>
      </c>
      <c r="AN2" s="1">
        <v>0</v>
      </c>
      <c r="AO2" s="1">
        <v>0</v>
      </c>
      <c r="AP2" s="1">
        <f t="shared" ref="AP2:AP65" si="8">1/SQRT(J2)</f>
        <v>0.2672612419124244</v>
      </c>
      <c r="AQ2" s="1">
        <v>1</v>
      </c>
      <c r="AR2" s="1">
        <v>0</v>
      </c>
      <c r="AS2" s="1">
        <v>0</v>
      </c>
      <c r="AT2" s="1">
        <v>0</v>
      </c>
      <c r="AU2" s="4">
        <v>0</v>
      </c>
      <c r="AV2" s="4">
        <v>0</v>
      </c>
      <c r="AW2" s="1">
        <f t="shared" ref="AW2:AW65" si="9">1/K2</f>
        <v>3.3333333333333333E-2</v>
      </c>
      <c r="AX2" s="1">
        <f t="shared" ref="AX2:AX65" si="10">1/(K2*K2)</f>
        <v>1.1111111111111111E-3</v>
      </c>
    </row>
    <row r="3" spans="1:50" x14ac:dyDescent="0.25">
      <c r="A3" s="1" t="s">
        <v>67</v>
      </c>
      <c r="B3" s="1">
        <v>1985</v>
      </c>
      <c r="C3" s="1">
        <f>+IF(A3=A2,C2,C2+1)</f>
        <v>1</v>
      </c>
      <c r="D3" s="1" t="s">
        <v>24</v>
      </c>
      <c r="E3" s="1" t="s">
        <v>25</v>
      </c>
      <c r="F3" s="2">
        <v>-0.89500000000000002</v>
      </c>
      <c r="G3" s="3">
        <v>0.97399999999999998</v>
      </c>
      <c r="H3" s="1">
        <v>3</v>
      </c>
      <c r="I3" s="1">
        <v>17</v>
      </c>
      <c r="J3" s="1">
        <f t="shared" si="0"/>
        <v>14</v>
      </c>
      <c r="K3" s="1">
        <v>30</v>
      </c>
      <c r="L3" s="1">
        <v>1954</v>
      </c>
      <c r="M3" s="1">
        <v>1973</v>
      </c>
      <c r="N3" s="1">
        <f t="shared" ref="N3:N67" si="11">+L3+(M3-L3)/2</f>
        <v>1963.5</v>
      </c>
      <c r="O3" s="1">
        <f t="shared" ref="O3:O32" si="12">+M3-L3+1</f>
        <v>20</v>
      </c>
      <c r="P3" s="1">
        <f t="shared" ref="P3:P66" si="13">+LN(O2:O3)</f>
        <v>2.9957322735539909</v>
      </c>
      <c r="Q3" s="1">
        <v>105</v>
      </c>
      <c r="R3" s="1">
        <v>0</v>
      </c>
      <c r="S3" s="1" t="s">
        <v>26</v>
      </c>
      <c r="T3" s="1">
        <f t="shared" si="1"/>
        <v>0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 t="s">
        <v>85</v>
      </c>
      <c r="AC3" s="1">
        <f t="shared" ref="AC3:AC67" si="14">IF(AB3="USA",1,IF(AB3="UK",2,IF(AB3="Canada",3,IF(AB3="Germany",4,IF(AB3="Netherlands",5,IF(AB3="India",20,IF(AB3="Indonesia",7,IF(AB3="Korea",8,IF(AB3="Philippines",9,IF(AB3="Taiwan",10,IF(AB3="Greece",11,IF(AB3="Iran",12,IF(AB3="Israel",13,IF(AB3="Kuwait",14,IF(AB3="Lebanon",15,IF(AB3="Saudi Arabia",16,IF(AB3="Turkey",17,IF(AB3="Ethiopia",18,IF(AB3="Kenya",19,IF(AB3="Nigeria",20,IF(AB3="Multinational",6,"")))))))))))))))))))))</f>
        <v>1</v>
      </c>
      <c r="AD3" s="1">
        <f t="shared" si="2"/>
        <v>1</v>
      </c>
      <c r="AE3" s="1">
        <v>1</v>
      </c>
      <c r="AF3" s="1">
        <v>7.5933739999999998</v>
      </c>
      <c r="AG3" s="1">
        <v>4.6634390000000003</v>
      </c>
      <c r="AH3" s="1">
        <f t="shared" si="3"/>
        <v>-0.91889117043121149</v>
      </c>
      <c r="AI3" s="1">
        <f t="shared" si="4"/>
        <v>-0.23849722211340027</v>
      </c>
      <c r="AJ3" s="1">
        <f t="shared" si="5"/>
        <v>0.25954893222173392</v>
      </c>
      <c r="AK3" s="1">
        <f t="shared" si="6"/>
        <v>14.844360983096445</v>
      </c>
      <c r="AL3" s="1">
        <f t="shared" si="7"/>
        <v>3.8528380426766509</v>
      </c>
      <c r="AM3" s="1">
        <v>1</v>
      </c>
      <c r="AN3" s="1">
        <v>0</v>
      </c>
      <c r="AO3" s="1">
        <v>0</v>
      </c>
      <c r="AP3" s="1">
        <f t="shared" si="8"/>
        <v>0.2672612419124244</v>
      </c>
      <c r="AQ3" s="1">
        <v>1</v>
      </c>
      <c r="AR3" s="1">
        <v>0</v>
      </c>
      <c r="AS3" s="1">
        <v>0</v>
      </c>
      <c r="AT3" s="1">
        <v>0</v>
      </c>
      <c r="AU3" s="4">
        <v>0</v>
      </c>
      <c r="AV3" s="4">
        <v>0</v>
      </c>
      <c r="AW3" s="1">
        <f t="shared" si="9"/>
        <v>3.3333333333333333E-2</v>
      </c>
      <c r="AX3" s="1">
        <f t="shared" si="10"/>
        <v>1.1111111111111111E-3</v>
      </c>
    </row>
    <row r="4" spans="1:50" x14ac:dyDescent="0.25">
      <c r="A4" s="1" t="s">
        <v>67</v>
      </c>
      <c r="B4" s="1">
        <v>1985</v>
      </c>
      <c r="C4" s="1">
        <f t="shared" ref="C4:C67" si="15">+IF(A4=A3,C3,C3+1)</f>
        <v>1</v>
      </c>
      <c r="D4" s="1" t="s">
        <v>24</v>
      </c>
      <c r="E4" s="1" t="s">
        <v>25</v>
      </c>
      <c r="F4" s="2">
        <v>-1.21</v>
      </c>
      <c r="G4" s="3">
        <v>0.29799999999999999</v>
      </c>
      <c r="H4" s="1">
        <v>3</v>
      </c>
      <c r="I4" s="1">
        <v>17</v>
      </c>
      <c r="J4" s="1">
        <f t="shared" si="0"/>
        <v>14</v>
      </c>
      <c r="K4" s="1">
        <v>30</v>
      </c>
      <c r="L4" s="1">
        <v>1954</v>
      </c>
      <c r="M4" s="1">
        <v>1973</v>
      </c>
      <c r="N4" s="1">
        <f t="shared" si="11"/>
        <v>1963.5</v>
      </c>
      <c r="O4" s="1">
        <f t="shared" si="12"/>
        <v>20</v>
      </c>
      <c r="P4" s="1">
        <f t="shared" si="13"/>
        <v>2.9957322735539909</v>
      </c>
      <c r="Q4" s="1">
        <v>105</v>
      </c>
      <c r="R4" s="1">
        <v>0</v>
      </c>
      <c r="S4" s="1" t="s">
        <v>26</v>
      </c>
      <c r="T4" s="1">
        <f t="shared" si="1"/>
        <v>0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 t="s">
        <v>85</v>
      </c>
      <c r="AC4" s="1">
        <f t="shared" si="14"/>
        <v>1</v>
      </c>
      <c r="AD4" s="1">
        <f t="shared" si="2"/>
        <v>1</v>
      </c>
      <c r="AE4" s="1">
        <v>1</v>
      </c>
      <c r="AF4" s="1">
        <v>7.5933739999999998</v>
      </c>
      <c r="AG4" s="1">
        <v>4.6634390000000003</v>
      </c>
      <c r="AH4" s="1">
        <f t="shared" si="3"/>
        <v>-4.0604026845637584</v>
      </c>
      <c r="AI4" s="1">
        <f t="shared" si="4"/>
        <v>-0.73538147792091002</v>
      </c>
      <c r="AJ4" s="1">
        <f t="shared" si="5"/>
        <v>0.18111047968630675</v>
      </c>
      <c r="AK4" s="1">
        <f t="shared" si="6"/>
        <v>30.486869960812591</v>
      </c>
      <c r="AL4" s="1">
        <f t="shared" si="7"/>
        <v>5.5214916427368239</v>
      </c>
      <c r="AM4" s="1">
        <v>1</v>
      </c>
      <c r="AN4" s="1">
        <v>0</v>
      </c>
      <c r="AO4" s="1">
        <v>0</v>
      </c>
      <c r="AP4" s="1">
        <f t="shared" si="8"/>
        <v>0.2672612419124244</v>
      </c>
      <c r="AQ4" s="1">
        <v>1</v>
      </c>
      <c r="AR4" s="1">
        <v>0</v>
      </c>
      <c r="AS4" s="1">
        <v>0</v>
      </c>
      <c r="AT4" s="1">
        <v>0</v>
      </c>
      <c r="AU4" s="4">
        <v>0</v>
      </c>
      <c r="AV4" s="4">
        <v>0</v>
      </c>
      <c r="AW4" s="1">
        <f t="shared" si="9"/>
        <v>3.3333333333333333E-2</v>
      </c>
      <c r="AX4" s="1">
        <f t="shared" si="10"/>
        <v>1.1111111111111111E-3</v>
      </c>
    </row>
    <row r="5" spans="1:50" x14ac:dyDescent="0.25">
      <c r="A5" s="1" t="s">
        <v>67</v>
      </c>
      <c r="B5" s="1">
        <v>1985</v>
      </c>
      <c r="C5" s="1">
        <f t="shared" si="15"/>
        <v>1</v>
      </c>
      <c r="D5" s="1" t="s">
        <v>24</v>
      </c>
      <c r="E5" s="1" t="s">
        <v>25</v>
      </c>
      <c r="F5" s="2">
        <v>-0.46800000000000003</v>
      </c>
      <c r="G5" s="3">
        <v>0.222</v>
      </c>
      <c r="H5" s="1">
        <v>3</v>
      </c>
      <c r="I5" s="1">
        <v>17</v>
      </c>
      <c r="J5" s="1">
        <f t="shared" si="0"/>
        <v>14</v>
      </c>
      <c r="K5" s="1">
        <v>30</v>
      </c>
      <c r="L5" s="1">
        <v>1954</v>
      </c>
      <c r="M5" s="1">
        <v>1973</v>
      </c>
      <c r="N5" s="1">
        <f t="shared" si="11"/>
        <v>1963.5</v>
      </c>
      <c r="O5" s="1">
        <f t="shared" si="12"/>
        <v>20</v>
      </c>
      <c r="P5" s="1">
        <f t="shared" si="13"/>
        <v>2.9957322735539909</v>
      </c>
      <c r="Q5" s="1">
        <v>105</v>
      </c>
      <c r="R5" s="1">
        <v>0</v>
      </c>
      <c r="S5" s="1" t="s">
        <v>26</v>
      </c>
      <c r="T5" s="1">
        <f t="shared" si="1"/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 t="s">
        <v>85</v>
      </c>
      <c r="AC5" s="1">
        <f t="shared" si="14"/>
        <v>1</v>
      </c>
      <c r="AD5" s="1">
        <f t="shared" si="2"/>
        <v>1</v>
      </c>
      <c r="AE5" s="1">
        <v>1</v>
      </c>
      <c r="AF5" s="1">
        <v>7.5933739999999998</v>
      </c>
      <c r="AG5" s="1">
        <v>4.6634390000000003</v>
      </c>
      <c r="AH5" s="1">
        <f t="shared" si="3"/>
        <v>-2.1081081081081083</v>
      </c>
      <c r="AI5" s="1">
        <f t="shared" si="4"/>
        <v>-0.49086708491149106</v>
      </c>
      <c r="AJ5" s="1">
        <f t="shared" si="5"/>
        <v>0.23284720694519445</v>
      </c>
      <c r="AK5" s="1">
        <f t="shared" si="6"/>
        <v>18.444119795471149</v>
      </c>
      <c r="AL5" s="1">
        <f t="shared" si="7"/>
        <v>4.2946617789380284</v>
      </c>
      <c r="AM5" s="1">
        <v>1</v>
      </c>
      <c r="AN5" s="1">
        <v>0</v>
      </c>
      <c r="AO5" s="1">
        <v>0</v>
      </c>
      <c r="AP5" s="1">
        <f t="shared" si="8"/>
        <v>0.2672612419124244</v>
      </c>
      <c r="AQ5" s="1">
        <v>1</v>
      </c>
      <c r="AR5" s="1">
        <v>0</v>
      </c>
      <c r="AS5" s="1">
        <v>0</v>
      </c>
      <c r="AT5" s="1">
        <v>0</v>
      </c>
      <c r="AU5" s="4">
        <v>0</v>
      </c>
      <c r="AV5" s="4">
        <v>0</v>
      </c>
      <c r="AW5" s="1">
        <f t="shared" si="9"/>
        <v>3.3333333333333333E-2</v>
      </c>
      <c r="AX5" s="1">
        <f t="shared" si="10"/>
        <v>1.1111111111111111E-3</v>
      </c>
    </row>
    <row r="6" spans="1:50" x14ac:dyDescent="0.25">
      <c r="A6" s="1" t="s">
        <v>67</v>
      </c>
      <c r="B6" s="1">
        <v>1985</v>
      </c>
      <c r="C6" s="1">
        <f t="shared" si="15"/>
        <v>1</v>
      </c>
      <c r="D6" s="1" t="s">
        <v>24</v>
      </c>
      <c r="E6" s="1" t="s">
        <v>25</v>
      </c>
      <c r="F6" s="2">
        <v>-1.5229999999999999</v>
      </c>
      <c r="G6" s="3">
        <v>1.304</v>
      </c>
      <c r="H6" s="1">
        <v>3</v>
      </c>
      <c r="I6" s="1">
        <v>17</v>
      </c>
      <c r="J6" s="1">
        <f t="shared" si="0"/>
        <v>14</v>
      </c>
      <c r="K6" s="1">
        <v>30</v>
      </c>
      <c r="L6" s="1">
        <v>1954</v>
      </c>
      <c r="M6" s="1">
        <v>1973</v>
      </c>
      <c r="N6" s="1">
        <f t="shared" si="11"/>
        <v>1963.5</v>
      </c>
      <c r="O6" s="1">
        <f t="shared" si="12"/>
        <v>20</v>
      </c>
      <c r="P6" s="1">
        <f t="shared" si="13"/>
        <v>2.9957322735539909</v>
      </c>
      <c r="Q6" s="1">
        <v>105</v>
      </c>
      <c r="R6" s="1">
        <v>0</v>
      </c>
      <c r="S6" s="1" t="s">
        <v>26</v>
      </c>
      <c r="T6" s="1">
        <f t="shared" si="1"/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 t="s">
        <v>85</v>
      </c>
      <c r="AC6" s="1">
        <f t="shared" si="14"/>
        <v>1</v>
      </c>
      <c r="AD6" s="1">
        <f t="shared" si="2"/>
        <v>1</v>
      </c>
      <c r="AE6" s="1">
        <v>1</v>
      </c>
      <c r="AF6" s="1">
        <v>7.5933739999999998</v>
      </c>
      <c r="AG6" s="1">
        <v>4.6634390000000003</v>
      </c>
      <c r="AH6" s="1">
        <f t="shared" si="3"/>
        <v>-1.1679447852760736</v>
      </c>
      <c r="AI6" s="1">
        <f t="shared" si="4"/>
        <v>-0.29796744686115245</v>
      </c>
      <c r="AJ6" s="1">
        <f t="shared" si="5"/>
        <v>0.25512117577606225</v>
      </c>
      <c r="AK6" s="1">
        <f t="shared" si="6"/>
        <v>15.364095021453574</v>
      </c>
      <c r="AL6" s="1">
        <f t="shared" si="7"/>
        <v>3.9197059866083799</v>
      </c>
      <c r="AM6" s="1">
        <v>1</v>
      </c>
      <c r="AN6" s="1">
        <v>0</v>
      </c>
      <c r="AO6" s="1">
        <v>0</v>
      </c>
      <c r="AP6" s="1">
        <f t="shared" si="8"/>
        <v>0.2672612419124244</v>
      </c>
      <c r="AQ6" s="1">
        <v>1</v>
      </c>
      <c r="AR6" s="1">
        <v>0</v>
      </c>
      <c r="AS6" s="1">
        <v>0</v>
      </c>
      <c r="AT6" s="1">
        <v>0</v>
      </c>
      <c r="AU6" s="4">
        <v>0</v>
      </c>
      <c r="AV6" s="4">
        <v>0</v>
      </c>
      <c r="AW6" s="1">
        <f t="shared" si="9"/>
        <v>3.3333333333333333E-2</v>
      </c>
      <c r="AX6" s="1">
        <f t="shared" si="10"/>
        <v>1.1111111111111111E-3</v>
      </c>
    </row>
    <row r="7" spans="1:50" x14ac:dyDescent="0.25">
      <c r="A7" s="1" t="s">
        <v>67</v>
      </c>
      <c r="B7" s="1">
        <v>1985</v>
      </c>
      <c r="C7" s="1">
        <f t="shared" si="15"/>
        <v>1</v>
      </c>
      <c r="D7" s="1" t="s">
        <v>24</v>
      </c>
      <c r="E7" s="1" t="s">
        <v>25</v>
      </c>
      <c r="F7" s="2">
        <v>-0.87</v>
      </c>
      <c r="G7" s="3">
        <v>0.20399999999999999</v>
      </c>
      <c r="H7" s="1">
        <v>3</v>
      </c>
      <c r="I7" s="1">
        <v>17</v>
      </c>
      <c r="J7" s="1">
        <f t="shared" si="0"/>
        <v>14</v>
      </c>
      <c r="K7" s="1">
        <v>30</v>
      </c>
      <c r="L7" s="1">
        <v>1954</v>
      </c>
      <c r="M7" s="1">
        <v>1973</v>
      </c>
      <c r="N7" s="1">
        <f t="shared" si="11"/>
        <v>1963.5</v>
      </c>
      <c r="O7" s="1">
        <f t="shared" si="12"/>
        <v>20</v>
      </c>
      <c r="P7" s="1">
        <f t="shared" si="13"/>
        <v>2.9957322735539909</v>
      </c>
      <c r="Q7" s="1">
        <v>105</v>
      </c>
      <c r="R7" s="1">
        <v>0</v>
      </c>
      <c r="S7" s="1" t="s">
        <v>26</v>
      </c>
      <c r="T7" s="1">
        <f t="shared" si="1"/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 t="s">
        <v>85</v>
      </c>
      <c r="AC7" s="1">
        <f t="shared" si="14"/>
        <v>1</v>
      </c>
      <c r="AD7" s="1">
        <f t="shared" si="2"/>
        <v>1</v>
      </c>
      <c r="AE7" s="1">
        <v>1</v>
      </c>
      <c r="AF7" s="1">
        <v>7.5933739999999998</v>
      </c>
      <c r="AG7" s="1">
        <v>4.6634390000000003</v>
      </c>
      <c r="AH7" s="1">
        <f t="shared" si="3"/>
        <v>-4.2647058823529411</v>
      </c>
      <c r="AI7" s="1">
        <f t="shared" si="4"/>
        <v>-0.75169905284173499</v>
      </c>
      <c r="AJ7" s="1">
        <f t="shared" si="5"/>
        <v>0.1762604675628896</v>
      </c>
      <c r="AK7" s="1">
        <f t="shared" si="6"/>
        <v>32.187716262975776</v>
      </c>
      <c r="AL7" s="1">
        <f t="shared" si="7"/>
        <v>5.6734219182937364</v>
      </c>
      <c r="AM7" s="1">
        <v>1</v>
      </c>
      <c r="AN7" s="1">
        <v>0</v>
      </c>
      <c r="AO7" s="1">
        <v>0</v>
      </c>
      <c r="AP7" s="1">
        <f t="shared" si="8"/>
        <v>0.2672612419124244</v>
      </c>
      <c r="AQ7" s="1">
        <v>1</v>
      </c>
      <c r="AR7" s="1">
        <v>0</v>
      </c>
      <c r="AS7" s="1">
        <v>0</v>
      </c>
      <c r="AT7" s="1">
        <v>0</v>
      </c>
      <c r="AU7" s="4">
        <v>0</v>
      </c>
      <c r="AV7" s="4">
        <v>0</v>
      </c>
      <c r="AW7" s="1">
        <f t="shared" si="9"/>
        <v>3.3333333333333333E-2</v>
      </c>
      <c r="AX7" s="1">
        <f t="shared" si="10"/>
        <v>1.1111111111111111E-3</v>
      </c>
    </row>
    <row r="8" spans="1:50" x14ac:dyDescent="0.25">
      <c r="A8" s="1" t="s">
        <v>67</v>
      </c>
      <c r="B8" s="1">
        <v>1985</v>
      </c>
      <c r="C8" s="1">
        <f t="shared" si="15"/>
        <v>1</v>
      </c>
      <c r="D8" s="1" t="s">
        <v>24</v>
      </c>
      <c r="E8" s="1" t="s">
        <v>25</v>
      </c>
      <c r="F8" s="2">
        <v>-1.1970000000000001</v>
      </c>
      <c r="G8" s="3">
        <v>0.25600000000000001</v>
      </c>
      <c r="H8" s="1">
        <v>3</v>
      </c>
      <c r="I8" s="1">
        <v>17</v>
      </c>
      <c r="J8" s="1">
        <f t="shared" si="0"/>
        <v>14</v>
      </c>
      <c r="K8" s="1">
        <v>30</v>
      </c>
      <c r="L8" s="1">
        <v>1954</v>
      </c>
      <c r="M8" s="1">
        <v>1973</v>
      </c>
      <c r="N8" s="1">
        <f t="shared" si="11"/>
        <v>1963.5</v>
      </c>
      <c r="O8" s="1">
        <f t="shared" si="12"/>
        <v>20</v>
      </c>
      <c r="P8" s="1">
        <f t="shared" si="13"/>
        <v>2.9957322735539909</v>
      </c>
      <c r="Q8" s="1">
        <v>105</v>
      </c>
      <c r="R8" s="1">
        <v>0</v>
      </c>
      <c r="S8" s="1" t="s">
        <v>26</v>
      </c>
      <c r="T8" s="1">
        <f t="shared" si="1"/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 t="s">
        <v>85</v>
      </c>
      <c r="AC8" s="1">
        <f t="shared" si="14"/>
        <v>1</v>
      </c>
      <c r="AD8" s="1">
        <f t="shared" si="2"/>
        <v>1</v>
      </c>
      <c r="AE8" s="1">
        <v>1</v>
      </c>
      <c r="AF8" s="1">
        <v>7.5933739999999998</v>
      </c>
      <c r="AG8" s="1">
        <v>4.6634390000000003</v>
      </c>
      <c r="AH8" s="1">
        <f t="shared" si="3"/>
        <v>-4.67578125</v>
      </c>
      <c r="AI8" s="1">
        <f t="shared" si="4"/>
        <v>-0.78078470823716195</v>
      </c>
      <c r="AJ8" s="1">
        <f t="shared" si="5"/>
        <v>0.1669848665904039</v>
      </c>
      <c r="AK8" s="1">
        <f t="shared" si="6"/>
        <v>35.862930297851563</v>
      </c>
      <c r="AL8" s="1">
        <f t="shared" si="7"/>
        <v>5.9885666313276973</v>
      </c>
      <c r="AM8" s="1">
        <v>1</v>
      </c>
      <c r="AN8" s="1">
        <v>0</v>
      </c>
      <c r="AO8" s="1">
        <v>0</v>
      </c>
      <c r="AP8" s="1">
        <f t="shared" si="8"/>
        <v>0.2672612419124244</v>
      </c>
      <c r="AQ8" s="1">
        <v>1</v>
      </c>
      <c r="AR8" s="1">
        <v>0</v>
      </c>
      <c r="AS8" s="1">
        <v>0</v>
      </c>
      <c r="AT8" s="1">
        <v>0</v>
      </c>
      <c r="AU8" s="4">
        <v>0</v>
      </c>
      <c r="AV8" s="4">
        <v>0</v>
      </c>
      <c r="AW8" s="1">
        <f t="shared" si="9"/>
        <v>3.3333333333333333E-2</v>
      </c>
      <c r="AX8" s="1">
        <f t="shared" si="10"/>
        <v>1.1111111111111111E-3</v>
      </c>
    </row>
    <row r="9" spans="1:50" x14ac:dyDescent="0.25">
      <c r="A9" s="1" t="s">
        <v>67</v>
      </c>
      <c r="B9" s="1">
        <v>1985</v>
      </c>
      <c r="C9" s="1">
        <f t="shared" si="15"/>
        <v>1</v>
      </c>
      <c r="D9" s="1" t="s">
        <v>24</v>
      </c>
      <c r="E9" s="1" t="s">
        <v>25</v>
      </c>
      <c r="F9" s="2">
        <v>-1.357</v>
      </c>
      <c r="G9" s="3">
        <v>0.60099999999999998</v>
      </c>
      <c r="H9" s="1">
        <v>3</v>
      </c>
      <c r="I9" s="1">
        <v>17</v>
      </c>
      <c r="J9" s="1">
        <f t="shared" si="0"/>
        <v>14</v>
      </c>
      <c r="K9" s="1">
        <v>30</v>
      </c>
      <c r="L9" s="1">
        <v>1954</v>
      </c>
      <c r="M9" s="1">
        <v>1973</v>
      </c>
      <c r="N9" s="1">
        <f t="shared" si="11"/>
        <v>1963.5</v>
      </c>
      <c r="O9" s="1">
        <f t="shared" si="12"/>
        <v>20</v>
      </c>
      <c r="P9" s="1">
        <f t="shared" si="13"/>
        <v>2.9957322735539909</v>
      </c>
      <c r="Q9" s="1">
        <v>105</v>
      </c>
      <c r="R9" s="1">
        <v>0</v>
      </c>
      <c r="S9" s="1" t="s">
        <v>26</v>
      </c>
      <c r="T9" s="1">
        <f t="shared" si="1"/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 t="s">
        <v>85</v>
      </c>
      <c r="AC9" s="1">
        <f t="shared" si="14"/>
        <v>1</v>
      </c>
      <c r="AD9" s="1">
        <f t="shared" si="2"/>
        <v>1</v>
      </c>
      <c r="AE9" s="1">
        <v>1</v>
      </c>
      <c r="AF9" s="1">
        <v>7.5933739999999998</v>
      </c>
      <c r="AG9" s="1">
        <v>4.6634390000000003</v>
      </c>
      <c r="AH9" s="1">
        <f t="shared" si="3"/>
        <v>-2.2579034941763729</v>
      </c>
      <c r="AI9" s="1">
        <f t="shared" si="4"/>
        <v>-0.51666610773650601</v>
      </c>
      <c r="AJ9" s="1">
        <f t="shared" si="5"/>
        <v>0.22882559377276351</v>
      </c>
      <c r="AK9" s="1">
        <f t="shared" si="6"/>
        <v>19.098128189013877</v>
      </c>
      <c r="AL9" s="1">
        <f t="shared" si="7"/>
        <v>4.3701405227994528</v>
      </c>
      <c r="AM9" s="1">
        <v>1</v>
      </c>
      <c r="AN9" s="1">
        <v>0</v>
      </c>
      <c r="AO9" s="1">
        <v>0</v>
      </c>
      <c r="AP9" s="1">
        <f t="shared" si="8"/>
        <v>0.2672612419124244</v>
      </c>
      <c r="AQ9" s="1">
        <v>1</v>
      </c>
      <c r="AR9" s="1">
        <v>0</v>
      </c>
      <c r="AS9" s="1">
        <v>0</v>
      </c>
      <c r="AT9" s="1">
        <v>0</v>
      </c>
      <c r="AU9" s="4">
        <v>0</v>
      </c>
      <c r="AV9" s="4">
        <v>0</v>
      </c>
      <c r="AW9" s="1">
        <f t="shared" si="9"/>
        <v>3.3333333333333333E-2</v>
      </c>
      <c r="AX9" s="1">
        <f t="shared" si="10"/>
        <v>1.1111111111111111E-3</v>
      </c>
    </row>
    <row r="10" spans="1:50" x14ac:dyDescent="0.25">
      <c r="A10" s="1" t="s">
        <v>67</v>
      </c>
      <c r="B10" s="1">
        <v>1985</v>
      </c>
      <c r="C10" s="1">
        <f t="shared" si="15"/>
        <v>1</v>
      </c>
      <c r="D10" s="1" t="s">
        <v>24</v>
      </c>
      <c r="E10" s="1" t="s">
        <v>25</v>
      </c>
      <c r="F10" s="2">
        <v>-0.223</v>
      </c>
      <c r="G10" s="3">
        <v>1.2290000000000001</v>
      </c>
      <c r="H10" s="1">
        <v>3</v>
      </c>
      <c r="I10" s="1">
        <v>17</v>
      </c>
      <c r="J10" s="1">
        <f t="shared" si="0"/>
        <v>14</v>
      </c>
      <c r="K10" s="1">
        <v>30</v>
      </c>
      <c r="L10" s="1">
        <v>1954</v>
      </c>
      <c r="M10" s="1">
        <v>1973</v>
      </c>
      <c r="N10" s="1">
        <f t="shared" si="11"/>
        <v>1963.5</v>
      </c>
      <c r="O10" s="1">
        <f t="shared" si="12"/>
        <v>20</v>
      </c>
      <c r="P10" s="1">
        <f t="shared" si="13"/>
        <v>2.9957322735539909</v>
      </c>
      <c r="Q10" s="1">
        <v>105</v>
      </c>
      <c r="R10" s="1">
        <v>0</v>
      </c>
      <c r="S10" s="1" t="s">
        <v>26</v>
      </c>
      <c r="T10" s="1">
        <f t="shared" si="1"/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 t="s">
        <v>85</v>
      </c>
      <c r="AC10" s="1">
        <f t="shared" si="14"/>
        <v>1</v>
      </c>
      <c r="AD10" s="1">
        <f t="shared" si="2"/>
        <v>1</v>
      </c>
      <c r="AE10" s="1">
        <v>1</v>
      </c>
      <c r="AF10" s="1">
        <v>7.5933739999999998</v>
      </c>
      <c r="AG10" s="1">
        <v>4.6634390000000003</v>
      </c>
      <c r="AH10" s="1">
        <f t="shared" si="3"/>
        <v>-0.18144833197721724</v>
      </c>
      <c r="AI10" s="1">
        <f t="shared" si="4"/>
        <v>-4.8437185651531586E-2</v>
      </c>
      <c r="AJ10" s="1">
        <f t="shared" si="5"/>
        <v>0.26694753885978617</v>
      </c>
      <c r="AK10" s="1">
        <f t="shared" si="6"/>
        <v>14.032923497177318</v>
      </c>
      <c r="AL10" s="1">
        <f t="shared" si="7"/>
        <v>3.746054390579149</v>
      </c>
      <c r="AM10" s="1">
        <v>1</v>
      </c>
      <c r="AN10" s="1">
        <v>0</v>
      </c>
      <c r="AO10" s="1">
        <v>0</v>
      </c>
      <c r="AP10" s="1">
        <f t="shared" si="8"/>
        <v>0.2672612419124244</v>
      </c>
      <c r="AQ10" s="1">
        <v>1</v>
      </c>
      <c r="AR10" s="1">
        <v>0</v>
      </c>
      <c r="AS10" s="1">
        <v>0</v>
      </c>
      <c r="AT10" s="1">
        <v>0</v>
      </c>
      <c r="AU10" s="4">
        <v>0</v>
      </c>
      <c r="AV10" s="4">
        <v>0</v>
      </c>
      <c r="AW10" s="1">
        <f t="shared" si="9"/>
        <v>3.3333333333333333E-2</v>
      </c>
      <c r="AX10" s="1">
        <f t="shared" si="10"/>
        <v>1.1111111111111111E-3</v>
      </c>
    </row>
    <row r="11" spans="1:50" x14ac:dyDescent="0.25">
      <c r="A11" s="1" t="s">
        <v>67</v>
      </c>
      <c r="B11" s="1">
        <v>1985</v>
      </c>
      <c r="C11" s="1">
        <f t="shared" si="15"/>
        <v>1</v>
      </c>
      <c r="D11" s="1" t="s">
        <v>24</v>
      </c>
      <c r="E11" s="1" t="s">
        <v>25</v>
      </c>
      <c r="F11" s="2">
        <v>-1.165</v>
      </c>
      <c r="G11" s="3">
        <v>0.255</v>
      </c>
      <c r="H11" s="1">
        <v>3</v>
      </c>
      <c r="I11" s="1">
        <v>17</v>
      </c>
      <c r="J11" s="1">
        <f t="shared" si="0"/>
        <v>14</v>
      </c>
      <c r="K11" s="1">
        <v>30</v>
      </c>
      <c r="L11" s="1">
        <v>1954</v>
      </c>
      <c r="M11" s="1">
        <v>1973</v>
      </c>
      <c r="N11" s="1">
        <f t="shared" si="11"/>
        <v>1963.5</v>
      </c>
      <c r="O11" s="1">
        <f t="shared" si="12"/>
        <v>20</v>
      </c>
      <c r="P11" s="1">
        <f t="shared" si="13"/>
        <v>2.9957322735539909</v>
      </c>
      <c r="Q11" s="1">
        <v>105</v>
      </c>
      <c r="R11" s="1">
        <v>0</v>
      </c>
      <c r="S11" s="1" t="s">
        <v>26</v>
      </c>
      <c r="T11" s="1">
        <f t="shared" si="1"/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 t="s">
        <v>85</v>
      </c>
      <c r="AC11" s="1">
        <f t="shared" si="14"/>
        <v>1</v>
      </c>
      <c r="AD11" s="1">
        <f t="shared" si="2"/>
        <v>1</v>
      </c>
      <c r="AE11" s="1">
        <v>1</v>
      </c>
      <c r="AF11" s="1">
        <v>7.5933739999999998</v>
      </c>
      <c r="AG11" s="1">
        <v>4.6634390000000003</v>
      </c>
      <c r="AH11" s="1">
        <f t="shared" si="3"/>
        <v>-4.5686274509803919</v>
      </c>
      <c r="AI11" s="1">
        <f t="shared" si="4"/>
        <v>-0.77365100713556145</v>
      </c>
      <c r="AJ11" s="1">
        <f t="shared" si="5"/>
        <v>0.16933992001679674</v>
      </c>
      <c r="AK11" s="1">
        <f t="shared" si="6"/>
        <v>34.872356785851579</v>
      </c>
      <c r="AL11" s="1">
        <f t="shared" si="7"/>
        <v>5.9052821089133065</v>
      </c>
      <c r="AM11" s="1">
        <v>1</v>
      </c>
      <c r="AN11" s="1">
        <v>0</v>
      </c>
      <c r="AO11" s="1">
        <v>0</v>
      </c>
      <c r="AP11" s="1">
        <f t="shared" si="8"/>
        <v>0.2672612419124244</v>
      </c>
      <c r="AQ11" s="1">
        <v>1</v>
      </c>
      <c r="AR11" s="1">
        <v>0</v>
      </c>
      <c r="AS11" s="1">
        <v>0</v>
      </c>
      <c r="AT11" s="1">
        <v>0</v>
      </c>
      <c r="AU11" s="4">
        <v>0</v>
      </c>
      <c r="AV11" s="4">
        <v>0</v>
      </c>
      <c r="AW11" s="1">
        <f t="shared" si="9"/>
        <v>3.3333333333333333E-2</v>
      </c>
      <c r="AX11" s="1">
        <f t="shared" si="10"/>
        <v>1.1111111111111111E-3</v>
      </c>
    </row>
    <row r="12" spans="1:50" x14ac:dyDescent="0.25">
      <c r="A12" s="1" t="s">
        <v>67</v>
      </c>
      <c r="B12" s="1">
        <v>1985</v>
      </c>
      <c r="C12" s="1">
        <f t="shared" si="15"/>
        <v>1</v>
      </c>
      <c r="D12" s="1" t="s">
        <v>24</v>
      </c>
      <c r="E12" s="1" t="s">
        <v>25</v>
      </c>
      <c r="F12" s="2">
        <v>-2.8359999999999999</v>
      </c>
      <c r="G12" s="3">
        <v>0.35199999999999998</v>
      </c>
      <c r="H12" s="1">
        <v>3</v>
      </c>
      <c r="I12" s="1">
        <v>17</v>
      </c>
      <c r="J12" s="1">
        <f t="shared" si="0"/>
        <v>14</v>
      </c>
      <c r="K12" s="1">
        <v>30</v>
      </c>
      <c r="L12" s="1">
        <v>1954</v>
      </c>
      <c r="M12" s="1">
        <v>1973</v>
      </c>
      <c r="N12" s="1">
        <f t="shared" si="11"/>
        <v>1963.5</v>
      </c>
      <c r="O12" s="1">
        <f t="shared" si="12"/>
        <v>20</v>
      </c>
      <c r="P12" s="1">
        <f t="shared" si="13"/>
        <v>2.9957322735539909</v>
      </c>
      <c r="Q12" s="1">
        <v>105</v>
      </c>
      <c r="R12" s="1">
        <v>0</v>
      </c>
      <c r="S12" s="1" t="s">
        <v>26</v>
      </c>
      <c r="T12" s="1">
        <f t="shared" si="1"/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 t="s">
        <v>85</v>
      </c>
      <c r="AC12" s="1">
        <f t="shared" si="14"/>
        <v>1</v>
      </c>
      <c r="AD12" s="1">
        <f t="shared" si="2"/>
        <v>1</v>
      </c>
      <c r="AE12" s="1">
        <v>1</v>
      </c>
      <c r="AF12" s="1">
        <v>7.5933739999999998</v>
      </c>
      <c r="AG12" s="1">
        <v>4.6634390000000003</v>
      </c>
      <c r="AH12" s="1">
        <f t="shared" si="3"/>
        <v>-8.0568181818181817</v>
      </c>
      <c r="AI12" s="1">
        <f t="shared" si="4"/>
        <v>-0.90696631877562328</v>
      </c>
      <c r="AJ12" s="1">
        <f t="shared" si="5"/>
        <v>0.11257127792983759</v>
      </c>
      <c r="AK12" s="1">
        <f t="shared" si="6"/>
        <v>78.912319214876035</v>
      </c>
      <c r="AL12" s="1">
        <f t="shared" si="7"/>
        <v>8.883260618425874</v>
      </c>
      <c r="AM12" s="1">
        <v>1</v>
      </c>
      <c r="AN12" s="1">
        <v>0</v>
      </c>
      <c r="AO12" s="1">
        <v>0</v>
      </c>
      <c r="AP12" s="1">
        <f t="shared" si="8"/>
        <v>0.2672612419124244</v>
      </c>
      <c r="AQ12" s="1">
        <v>1</v>
      </c>
      <c r="AR12" s="1">
        <v>0</v>
      </c>
      <c r="AS12" s="1">
        <v>0</v>
      </c>
      <c r="AT12" s="1">
        <v>0</v>
      </c>
      <c r="AU12" s="4">
        <v>0</v>
      </c>
      <c r="AV12" s="4">
        <v>0</v>
      </c>
      <c r="AW12" s="1">
        <f t="shared" si="9"/>
        <v>3.3333333333333333E-2</v>
      </c>
      <c r="AX12" s="1">
        <f t="shared" si="10"/>
        <v>1.1111111111111111E-3</v>
      </c>
    </row>
    <row r="13" spans="1:50" x14ac:dyDescent="0.25">
      <c r="A13" s="1" t="s">
        <v>67</v>
      </c>
      <c r="B13" s="1">
        <v>1985</v>
      </c>
      <c r="C13" s="1">
        <f t="shared" si="15"/>
        <v>1</v>
      </c>
      <c r="D13" s="1" t="s">
        <v>24</v>
      </c>
      <c r="E13" s="1" t="s">
        <v>25</v>
      </c>
      <c r="F13" s="2">
        <v>-2.278</v>
      </c>
      <c r="G13" s="3">
        <v>0.27900000000000003</v>
      </c>
      <c r="H13" s="1">
        <v>3</v>
      </c>
      <c r="I13" s="1">
        <v>17</v>
      </c>
      <c r="J13" s="1">
        <f t="shared" si="0"/>
        <v>14</v>
      </c>
      <c r="K13" s="1">
        <v>30</v>
      </c>
      <c r="L13" s="1">
        <v>1954</v>
      </c>
      <c r="M13" s="1">
        <v>1973</v>
      </c>
      <c r="N13" s="1">
        <f t="shared" si="11"/>
        <v>1963.5</v>
      </c>
      <c r="O13" s="1">
        <f t="shared" si="12"/>
        <v>20</v>
      </c>
      <c r="P13" s="1">
        <f t="shared" si="13"/>
        <v>2.9957322735539909</v>
      </c>
      <c r="Q13" s="1">
        <v>105</v>
      </c>
      <c r="R13" s="1">
        <v>0</v>
      </c>
      <c r="S13" s="1" t="s">
        <v>26</v>
      </c>
      <c r="T13" s="1">
        <f t="shared" si="1"/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 t="s">
        <v>85</v>
      </c>
      <c r="AC13" s="1">
        <f t="shared" si="14"/>
        <v>1</v>
      </c>
      <c r="AD13" s="1">
        <f t="shared" si="2"/>
        <v>1</v>
      </c>
      <c r="AE13" s="1">
        <v>1</v>
      </c>
      <c r="AF13" s="1">
        <v>7.5933739999999998</v>
      </c>
      <c r="AG13" s="1">
        <v>4.6634390000000003</v>
      </c>
      <c r="AH13" s="1">
        <f t="shared" si="3"/>
        <v>-8.1648745519713248</v>
      </c>
      <c r="AI13" s="1">
        <f t="shared" si="4"/>
        <v>-0.90908914565155052</v>
      </c>
      <c r="AJ13" s="1">
        <f t="shared" si="5"/>
        <v>0.11134147130675269</v>
      </c>
      <c r="AK13" s="1">
        <f t="shared" si="6"/>
        <v>80.665176449428941</v>
      </c>
      <c r="AL13" s="1">
        <f t="shared" si="7"/>
        <v>8.9813794290982347</v>
      </c>
      <c r="AM13" s="1">
        <v>1</v>
      </c>
      <c r="AN13" s="1">
        <v>0</v>
      </c>
      <c r="AO13" s="1">
        <v>0</v>
      </c>
      <c r="AP13" s="1">
        <f t="shared" si="8"/>
        <v>0.2672612419124244</v>
      </c>
      <c r="AQ13" s="1">
        <v>1</v>
      </c>
      <c r="AR13" s="1">
        <v>0</v>
      </c>
      <c r="AS13" s="1">
        <v>0</v>
      </c>
      <c r="AT13" s="1">
        <v>0</v>
      </c>
      <c r="AU13" s="4">
        <v>0</v>
      </c>
      <c r="AV13" s="4">
        <v>0</v>
      </c>
      <c r="AW13" s="1">
        <f t="shared" si="9"/>
        <v>3.3333333333333333E-2</v>
      </c>
      <c r="AX13" s="1">
        <f t="shared" si="10"/>
        <v>1.1111111111111111E-3</v>
      </c>
    </row>
    <row r="14" spans="1:50" x14ac:dyDescent="0.25">
      <c r="A14" s="1" t="s">
        <v>67</v>
      </c>
      <c r="B14" s="1">
        <v>1985</v>
      </c>
      <c r="C14" s="1">
        <f t="shared" si="15"/>
        <v>1</v>
      </c>
      <c r="D14" s="1" t="s">
        <v>24</v>
      </c>
      <c r="E14" s="1" t="s">
        <v>25</v>
      </c>
      <c r="F14" s="2">
        <v>0.72499999999999998</v>
      </c>
      <c r="G14" s="3">
        <v>0.47499999999999998</v>
      </c>
      <c r="H14" s="1">
        <v>3</v>
      </c>
      <c r="I14" s="1">
        <v>17</v>
      </c>
      <c r="J14" s="1">
        <f t="shared" si="0"/>
        <v>14</v>
      </c>
      <c r="K14" s="1">
        <v>30</v>
      </c>
      <c r="L14" s="1">
        <v>1954</v>
      </c>
      <c r="M14" s="1">
        <v>1973</v>
      </c>
      <c r="N14" s="1">
        <f t="shared" si="11"/>
        <v>1963.5</v>
      </c>
      <c r="O14" s="1">
        <f t="shared" si="12"/>
        <v>20</v>
      </c>
      <c r="P14" s="1">
        <f t="shared" si="13"/>
        <v>2.9957322735539909</v>
      </c>
      <c r="Q14" s="1">
        <v>105</v>
      </c>
      <c r="R14" s="1">
        <v>0</v>
      </c>
      <c r="S14" s="1" t="s">
        <v>26</v>
      </c>
      <c r="T14" s="1">
        <f t="shared" si="1"/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 t="s">
        <v>85</v>
      </c>
      <c r="AC14" s="1">
        <f t="shared" si="14"/>
        <v>1</v>
      </c>
      <c r="AD14" s="1">
        <f t="shared" si="2"/>
        <v>1</v>
      </c>
      <c r="AE14" s="1">
        <v>1</v>
      </c>
      <c r="AF14" s="1">
        <v>7.5933739999999998</v>
      </c>
      <c r="AG14" s="1">
        <v>4.6634390000000003</v>
      </c>
      <c r="AH14" s="1">
        <f t="shared" si="3"/>
        <v>1.5263157894736843</v>
      </c>
      <c r="AI14" s="1">
        <f t="shared" si="4"/>
        <v>0.37770792149620563</v>
      </c>
      <c r="AJ14" s="1">
        <f t="shared" si="5"/>
        <v>0.24746381063544506</v>
      </c>
      <c r="AK14" s="1">
        <f t="shared" si="6"/>
        <v>16.329639889196681</v>
      </c>
      <c r="AL14" s="1">
        <f t="shared" si="7"/>
        <v>4.0409949132851777</v>
      </c>
      <c r="AM14" s="1">
        <v>1</v>
      </c>
      <c r="AN14" s="1">
        <v>0</v>
      </c>
      <c r="AO14" s="1">
        <v>0</v>
      </c>
      <c r="AP14" s="1">
        <f t="shared" si="8"/>
        <v>0.2672612419124244</v>
      </c>
      <c r="AQ14" s="1">
        <v>1</v>
      </c>
      <c r="AR14" s="1">
        <v>0</v>
      </c>
      <c r="AS14" s="1">
        <v>0</v>
      </c>
      <c r="AT14" s="1">
        <v>0</v>
      </c>
      <c r="AU14" s="4">
        <v>0</v>
      </c>
      <c r="AV14" s="4">
        <v>0</v>
      </c>
      <c r="AW14" s="1">
        <f t="shared" si="9"/>
        <v>3.3333333333333333E-2</v>
      </c>
      <c r="AX14" s="1">
        <f t="shared" si="10"/>
        <v>1.1111111111111111E-3</v>
      </c>
    </row>
    <row r="15" spans="1:50" x14ac:dyDescent="0.25">
      <c r="A15" s="1" t="s">
        <v>67</v>
      </c>
      <c r="B15" s="1">
        <v>1985</v>
      </c>
      <c r="C15" s="1">
        <f t="shared" si="15"/>
        <v>1</v>
      </c>
      <c r="D15" s="1" t="s">
        <v>24</v>
      </c>
      <c r="E15" s="1" t="s">
        <v>25</v>
      </c>
      <c r="F15" s="2">
        <v>-2.9969999999999999</v>
      </c>
      <c r="G15" s="3">
        <v>1.238</v>
      </c>
      <c r="H15" s="1">
        <v>3</v>
      </c>
      <c r="I15" s="1">
        <v>17</v>
      </c>
      <c r="J15" s="1">
        <f t="shared" si="0"/>
        <v>14</v>
      </c>
      <c r="K15" s="1">
        <v>30</v>
      </c>
      <c r="L15" s="1">
        <v>1954</v>
      </c>
      <c r="M15" s="1">
        <v>1973</v>
      </c>
      <c r="N15" s="1">
        <f t="shared" si="11"/>
        <v>1963.5</v>
      </c>
      <c r="O15" s="1">
        <f t="shared" si="12"/>
        <v>20</v>
      </c>
      <c r="P15" s="1">
        <f t="shared" si="13"/>
        <v>2.9957322735539909</v>
      </c>
      <c r="Q15" s="1">
        <v>105</v>
      </c>
      <c r="R15" s="1">
        <v>0</v>
      </c>
      <c r="S15" s="1" t="s">
        <v>26</v>
      </c>
      <c r="T15" s="1">
        <f t="shared" si="1"/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0</v>
      </c>
      <c r="AB15" s="1" t="s">
        <v>85</v>
      </c>
      <c r="AC15" s="1">
        <f t="shared" si="14"/>
        <v>1</v>
      </c>
      <c r="AD15" s="1">
        <f t="shared" si="2"/>
        <v>1</v>
      </c>
      <c r="AE15" s="1">
        <v>1</v>
      </c>
      <c r="AF15" s="1">
        <v>7.5933739999999998</v>
      </c>
      <c r="AG15" s="1">
        <v>4.6634390000000003</v>
      </c>
      <c r="AH15" s="1">
        <f t="shared" si="3"/>
        <v>-2.4208400646203554</v>
      </c>
      <c r="AI15" s="1">
        <f t="shared" si="4"/>
        <v>-0.5432145253315761</v>
      </c>
      <c r="AJ15" s="1">
        <f t="shared" si="5"/>
        <v>0.22439091837186895</v>
      </c>
      <c r="AK15" s="1">
        <f t="shared" si="6"/>
        <v>19.860466618471087</v>
      </c>
      <c r="AL15" s="1">
        <f t="shared" si="7"/>
        <v>4.4565083438125734</v>
      </c>
      <c r="AM15" s="1">
        <v>1</v>
      </c>
      <c r="AN15" s="1">
        <v>0</v>
      </c>
      <c r="AO15" s="1">
        <v>0</v>
      </c>
      <c r="AP15" s="1">
        <f t="shared" si="8"/>
        <v>0.2672612419124244</v>
      </c>
      <c r="AQ15" s="1">
        <v>1</v>
      </c>
      <c r="AR15" s="1">
        <v>0</v>
      </c>
      <c r="AS15" s="1">
        <v>0</v>
      </c>
      <c r="AT15" s="1">
        <v>0</v>
      </c>
      <c r="AU15" s="4">
        <v>0</v>
      </c>
      <c r="AV15" s="4">
        <v>0</v>
      </c>
      <c r="AW15" s="1">
        <f t="shared" si="9"/>
        <v>3.3333333333333333E-2</v>
      </c>
      <c r="AX15" s="1">
        <f t="shared" si="10"/>
        <v>1.1111111111111111E-3</v>
      </c>
    </row>
    <row r="16" spans="1:50" x14ac:dyDescent="0.25">
      <c r="A16" s="1" t="s">
        <v>67</v>
      </c>
      <c r="B16" s="1">
        <v>1985</v>
      </c>
      <c r="C16" s="1">
        <f t="shared" si="15"/>
        <v>1</v>
      </c>
      <c r="D16" s="1" t="s">
        <v>24</v>
      </c>
      <c r="E16" s="1" t="s">
        <v>25</v>
      </c>
      <c r="F16" s="2">
        <v>0.54700000000000004</v>
      </c>
      <c r="G16" s="3">
        <v>0.53700000000000003</v>
      </c>
      <c r="H16" s="1">
        <v>3</v>
      </c>
      <c r="I16" s="1">
        <v>17</v>
      </c>
      <c r="J16" s="1">
        <f t="shared" si="0"/>
        <v>14</v>
      </c>
      <c r="K16" s="1">
        <v>30</v>
      </c>
      <c r="L16" s="1">
        <v>1954</v>
      </c>
      <c r="M16" s="1">
        <v>1973</v>
      </c>
      <c r="N16" s="1">
        <f t="shared" si="11"/>
        <v>1963.5</v>
      </c>
      <c r="O16" s="1">
        <f t="shared" si="12"/>
        <v>20</v>
      </c>
      <c r="P16" s="1">
        <f t="shared" si="13"/>
        <v>2.9957322735539909</v>
      </c>
      <c r="Q16" s="1">
        <v>105</v>
      </c>
      <c r="R16" s="1">
        <v>0</v>
      </c>
      <c r="S16" s="1" t="s">
        <v>26</v>
      </c>
      <c r="T16" s="1">
        <f t="shared" si="1"/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 t="s">
        <v>85</v>
      </c>
      <c r="AC16" s="1">
        <f t="shared" si="14"/>
        <v>1</v>
      </c>
      <c r="AD16" s="1">
        <f t="shared" si="2"/>
        <v>1</v>
      </c>
      <c r="AE16" s="1">
        <v>1</v>
      </c>
      <c r="AF16" s="1">
        <v>7.5933739999999998</v>
      </c>
      <c r="AG16" s="1">
        <v>4.6634390000000003</v>
      </c>
      <c r="AH16" s="1">
        <f t="shared" si="3"/>
        <v>1.0186219739292366</v>
      </c>
      <c r="AI16" s="1">
        <f t="shared" si="4"/>
        <v>0.26267812664658269</v>
      </c>
      <c r="AJ16" s="1">
        <f t="shared" si="5"/>
        <v>0.25787596711008209</v>
      </c>
      <c r="AK16" s="1">
        <f t="shared" si="6"/>
        <v>15.037590725771491</v>
      </c>
      <c r="AL16" s="1">
        <f t="shared" si="7"/>
        <v>3.8778332514139251</v>
      </c>
      <c r="AM16" s="1">
        <v>1</v>
      </c>
      <c r="AN16" s="1">
        <v>0</v>
      </c>
      <c r="AO16" s="1">
        <v>0</v>
      </c>
      <c r="AP16" s="1">
        <f t="shared" si="8"/>
        <v>0.2672612419124244</v>
      </c>
      <c r="AQ16" s="1">
        <v>1</v>
      </c>
      <c r="AR16" s="1">
        <v>0</v>
      </c>
      <c r="AS16" s="1">
        <v>0</v>
      </c>
      <c r="AT16" s="1">
        <v>0</v>
      </c>
      <c r="AU16" s="4">
        <v>0</v>
      </c>
      <c r="AV16" s="4">
        <v>0</v>
      </c>
      <c r="AW16" s="1">
        <f t="shared" si="9"/>
        <v>3.3333333333333333E-2</v>
      </c>
      <c r="AX16" s="1">
        <f t="shared" si="10"/>
        <v>1.1111111111111111E-3</v>
      </c>
    </row>
    <row r="17" spans="1:50" x14ac:dyDescent="0.25">
      <c r="A17" s="1" t="s">
        <v>67</v>
      </c>
      <c r="B17" s="1">
        <v>1985</v>
      </c>
      <c r="C17" s="1">
        <f t="shared" si="15"/>
        <v>1</v>
      </c>
      <c r="D17" s="1" t="s">
        <v>24</v>
      </c>
      <c r="E17" s="1" t="s">
        <v>25</v>
      </c>
      <c r="F17" s="2">
        <v>-0.749</v>
      </c>
      <c r="G17" s="3">
        <v>0.217</v>
      </c>
      <c r="H17" s="1">
        <v>2</v>
      </c>
      <c r="I17" s="1">
        <v>17</v>
      </c>
      <c r="J17" s="1">
        <f t="shared" si="0"/>
        <v>15</v>
      </c>
      <c r="K17" s="1">
        <v>30</v>
      </c>
      <c r="L17" s="1">
        <v>1954</v>
      </c>
      <c r="M17" s="1">
        <v>1973</v>
      </c>
      <c r="N17" s="1">
        <f t="shared" si="11"/>
        <v>1963.5</v>
      </c>
      <c r="O17" s="1">
        <f t="shared" si="12"/>
        <v>20</v>
      </c>
      <c r="P17" s="1">
        <f t="shared" si="13"/>
        <v>2.9957322735539909</v>
      </c>
      <c r="Q17" s="1">
        <v>105</v>
      </c>
      <c r="R17" s="1">
        <v>0</v>
      </c>
      <c r="S17" s="1" t="s">
        <v>26</v>
      </c>
      <c r="T17" s="1">
        <f t="shared" si="1"/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 t="s">
        <v>85</v>
      </c>
      <c r="AC17" s="1">
        <f t="shared" si="14"/>
        <v>1</v>
      </c>
      <c r="AD17" s="1">
        <f t="shared" si="2"/>
        <v>1</v>
      </c>
      <c r="AE17" s="1">
        <v>1</v>
      </c>
      <c r="AF17" s="1">
        <v>7.5933739999999998</v>
      </c>
      <c r="AG17" s="1">
        <v>4.6634390000000003</v>
      </c>
      <c r="AH17" s="1">
        <f t="shared" si="3"/>
        <v>-3.4516129032258065</v>
      </c>
      <c r="AI17" s="1">
        <f t="shared" si="4"/>
        <v>-0.6653282006644865</v>
      </c>
      <c r="AJ17" s="1">
        <f t="shared" si="5"/>
        <v>0.19275863757569234</v>
      </c>
      <c r="AK17" s="1">
        <f t="shared" si="6"/>
        <v>26.913631633714889</v>
      </c>
      <c r="AL17" s="1">
        <f t="shared" si="7"/>
        <v>5.1878349659289364</v>
      </c>
      <c r="AM17" s="1">
        <v>1</v>
      </c>
      <c r="AN17" s="1">
        <v>0</v>
      </c>
      <c r="AO17" s="1">
        <v>0</v>
      </c>
      <c r="AP17" s="1">
        <f t="shared" si="8"/>
        <v>0.2581988897471611</v>
      </c>
      <c r="AQ17" s="1">
        <v>1</v>
      </c>
      <c r="AR17" s="1">
        <v>0</v>
      </c>
      <c r="AS17" s="1">
        <v>0</v>
      </c>
      <c r="AT17" s="1">
        <v>0</v>
      </c>
      <c r="AU17" s="4">
        <v>0</v>
      </c>
      <c r="AV17" s="4">
        <v>0</v>
      </c>
      <c r="AW17" s="1">
        <f t="shared" si="9"/>
        <v>3.3333333333333333E-2</v>
      </c>
      <c r="AX17" s="1">
        <f t="shared" si="10"/>
        <v>1.1111111111111111E-3</v>
      </c>
    </row>
    <row r="18" spans="1:50" x14ac:dyDescent="0.25">
      <c r="A18" s="1" t="s">
        <v>67</v>
      </c>
      <c r="B18" s="1">
        <v>1985</v>
      </c>
      <c r="C18" s="1">
        <f t="shared" si="15"/>
        <v>1</v>
      </c>
      <c r="D18" s="1" t="s">
        <v>24</v>
      </c>
      <c r="E18" s="1" t="s">
        <v>25</v>
      </c>
      <c r="F18" s="2">
        <v>-2.206</v>
      </c>
      <c r="G18" s="3">
        <v>0.92400000000000004</v>
      </c>
      <c r="H18" s="1">
        <v>2</v>
      </c>
      <c r="I18" s="1">
        <v>17</v>
      </c>
      <c r="J18" s="1">
        <f t="shared" si="0"/>
        <v>15</v>
      </c>
      <c r="K18" s="1">
        <v>30</v>
      </c>
      <c r="L18" s="1">
        <v>1954</v>
      </c>
      <c r="M18" s="1">
        <v>1973</v>
      </c>
      <c r="N18" s="1">
        <f t="shared" si="11"/>
        <v>1963.5</v>
      </c>
      <c r="O18" s="1">
        <f t="shared" si="12"/>
        <v>20</v>
      </c>
      <c r="P18" s="1">
        <f t="shared" si="13"/>
        <v>2.9957322735539909</v>
      </c>
      <c r="Q18" s="1">
        <v>105</v>
      </c>
      <c r="R18" s="1">
        <v>0</v>
      </c>
      <c r="S18" s="1" t="s">
        <v>26</v>
      </c>
      <c r="T18" s="1">
        <f t="shared" si="1"/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0</v>
      </c>
      <c r="AA18" s="1">
        <v>0</v>
      </c>
      <c r="AB18" s="1" t="s">
        <v>85</v>
      </c>
      <c r="AC18" s="1">
        <f t="shared" si="14"/>
        <v>1</v>
      </c>
      <c r="AD18" s="1">
        <f t="shared" si="2"/>
        <v>1</v>
      </c>
      <c r="AE18" s="1">
        <v>1</v>
      </c>
      <c r="AF18" s="1">
        <v>7.5933739999999998</v>
      </c>
      <c r="AG18" s="1">
        <v>4.6634390000000003</v>
      </c>
      <c r="AH18" s="1">
        <f t="shared" si="3"/>
        <v>-2.3874458874458875</v>
      </c>
      <c r="AI18" s="1">
        <f t="shared" si="4"/>
        <v>-0.52474636105026473</v>
      </c>
      <c r="AJ18" s="1">
        <f t="shared" si="5"/>
        <v>0.21979403336828857</v>
      </c>
      <c r="AK18" s="1">
        <f t="shared" si="6"/>
        <v>20.699897865482281</v>
      </c>
      <c r="AL18" s="1">
        <f t="shared" si="7"/>
        <v>4.5497140421659781</v>
      </c>
      <c r="AM18" s="1">
        <v>1</v>
      </c>
      <c r="AN18" s="1">
        <v>0</v>
      </c>
      <c r="AO18" s="1">
        <v>0</v>
      </c>
      <c r="AP18" s="1">
        <f t="shared" si="8"/>
        <v>0.2581988897471611</v>
      </c>
      <c r="AQ18" s="1">
        <v>1</v>
      </c>
      <c r="AR18" s="1">
        <v>0</v>
      </c>
      <c r="AS18" s="1">
        <v>0</v>
      </c>
      <c r="AT18" s="1">
        <v>0</v>
      </c>
      <c r="AU18" s="4">
        <v>0</v>
      </c>
      <c r="AV18" s="4">
        <v>0</v>
      </c>
      <c r="AW18" s="1">
        <f t="shared" si="9"/>
        <v>3.3333333333333333E-2</v>
      </c>
      <c r="AX18" s="1">
        <f t="shared" si="10"/>
        <v>1.1111111111111111E-3</v>
      </c>
    </row>
    <row r="19" spans="1:50" x14ac:dyDescent="0.25">
      <c r="A19" s="1" t="s">
        <v>67</v>
      </c>
      <c r="B19" s="1">
        <v>1985</v>
      </c>
      <c r="C19" s="1">
        <f t="shared" si="15"/>
        <v>1</v>
      </c>
      <c r="D19" s="1" t="s">
        <v>24</v>
      </c>
      <c r="E19" s="1" t="s">
        <v>25</v>
      </c>
      <c r="F19" s="2">
        <v>-0.42699999999999999</v>
      </c>
      <c r="G19" s="3">
        <v>0.16700000000000001</v>
      </c>
      <c r="H19" s="1">
        <v>2</v>
      </c>
      <c r="I19" s="1">
        <v>17</v>
      </c>
      <c r="J19" s="1">
        <f t="shared" si="0"/>
        <v>15</v>
      </c>
      <c r="K19" s="1">
        <v>30</v>
      </c>
      <c r="L19" s="1">
        <v>1954</v>
      </c>
      <c r="M19" s="1">
        <v>1973</v>
      </c>
      <c r="N19" s="1">
        <f t="shared" si="11"/>
        <v>1963.5</v>
      </c>
      <c r="O19" s="1">
        <f t="shared" si="12"/>
        <v>20</v>
      </c>
      <c r="P19" s="1">
        <f t="shared" si="13"/>
        <v>2.9957322735539909</v>
      </c>
      <c r="Q19" s="1">
        <v>105</v>
      </c>
      <c r="R19" s="1">
        <v>0</v>
      </c>
      <c r="S19" s="1" t="s">
        <v>26</v>
      </c>
      <c r="T19" s="1">
        <f t="shared" si="1"/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 t="s">
        <v>85</v>
      </c>
      <c r="AC19" s="1">
        <f t="shared" si="14"/>
        <v>1</v>
      </c>
      <c r="AD19" s="1">
        <f t="shared" si="2"/>
        <v>1</v>
      </c>
      <c r="AE19" s="1">
        <v>1</v>
      </c>
      <c r="AF19" s="1">
        <v>7.5933739999999998</v>
      </c>
      <c r="AG19" s="1">
        <v>4.6634390000000003</v>
      </c>
      <c r="AH19" s="1">
        <f t="shared" si="3"/>
        <v>-2.55688622754491</v>
      </c>
      <c r="AI19" s="1">
        <f t="shared" si="4"/>
        <v>-0.55094985498809179</v>
      </c>
      <c r="AJ19" s="1">
        <f t="shared" si="5"/>
        <v>0.21547687537004998</v>
      </c>
      <c r="AK19" s="1">
        <f t="shared" si="6"/>
        <v>21.537667180608839</v>
      </c>
      <c r="AL19" s="1">
        <f t="shared" si="7"/>
        <v>4.6408692268376663</v>
      </c>
      <c r="AM19" s="1">
        <v>1</v>
      </c>
      <c r="AN19" s="1">
        <v>0</v>
      </c>
      <c r="AO19" s="1">
        <v>0</v>
      </c>
      <c r="AP19" s="1">
        <f t="shared" si="8"/>
        <v>0.2581988897471611</v>
      </c>
      <c r="AQ19" s="1">
        <v>1</v>
      </c>
      <c r="AR19" s="1">
        <v>0</v>
      </c>
      <c r="AS19" s="1">
        <v>0</v>
      </c>
      <c r="AT19" s="1">
        <v>0</v>
      </c>
      <c r="AU19" s="4">
        <v>0</v>
      </c>
      <c r="AV19" s="4">
        <v>0</v>
      </c>
      <c r="AW19" s="1">
        <f t="shared" si="9"/>
        <v>3.3333333333333333E-2</v>
      </c>
      <c r="AX19" s="1">
        <f t="shared" si="10"/>
        <v>1.1111111111111111E-3</v>
      </c>
    </row>
    <row r="20" spans="1:50" x14ac:dyDescent="0.25">
      <c r="A20" s="1" t="s">
        <v>67</v>
      </c>
      <c r="B20" s="1">
        <v>1985</v>
      </c>
      <c r="C20" s="1">
        <f t="shared" si="15"/>
        <v>1</v>
      </c>
      <c r="D20" s="1" t="s">
        <v>24</v>
      </c>
      <c r="E20" s="1" t="s">
        <v>25</v>
      </c>
      <c r="F20" s="2">
        <v>-1.0820000000000001</v>
      </c>
      <c r="G20" s="3">
        <v>0.15</v>
      </c>
      <c r="H20" s="1">
        <v>2</v>
      </c>
      <c r="I20" s="1">
        <v>17</v>
      </c>
      <c r="J20" s="1">
        <f t="shared" si="0"/>
        <v>15</v>
      </c>
      <c r="K20" s="1">
        <v>30</v>
      </c>
      <c r="L20" s="1">
        <v>1954</v>
      </c>
      <c r="M20" s="1">
        <v>1973</v>
      </c>
      <c r="N20" s="1">
        <f t="shared" si="11"/>
        <v>1963.5</v>
      </c>
      <c r="O20" s="1">
        <f t="shared" si="12"/>
        <v>20</v>
      </c>
      <c r="P20" s="1">
        <f t="shared" si="13"/>
        <v>2.9957322735539909</v>
      </c>
      <c r="Q20" s="1">
        <v>105</v>
      </c>
      <c r="R20" s="1">
        <v>0</v>
      </c>
      <c r="S20" s="1" t="s">
        <v>26</v>
      </c>
      <c r="T20" s="1">
        <f t="shared" si="1"/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 t="s">
        <v>85</v>
      </c>
      <c r="AC20" s="1">
        <f t="shared" si="14"/>
        <v>1</v>
      </c>
      <c r="AD20" s="1">
        <f t="shared" si="2"/>
        <v>1</v>
      </c>
      <c r="AE20" s="1">
        <v>1</v>
      </c>
      <c r="AF20" s="1">
        <v>7.5933739999999998</v>
      </c>
      <c r="AG20" s="1">
        <v>4.6634390000000003</v>
      </c>
      <c r="AH20" s="1">
        <f t="shared" si="3"/>
        <v>-7.2133333333333338</v>
      </c>
      <c r="AI20" s="1">
        <f t="shared" si="4"/>
        <v>-0.88103738482641414</v>
      </c>
      <c r="AJ20" s="1">
        <f t="shared" si="5"/>
        <v>0.12214011804432727</v>
      </c>
      <c r="AK20" s="1">
        <f t="shared" si="6"/>
        <v>67.03217777777779</v>
      </c>
      <c r="AL20" s="1">
        <f t="shared" si="7"/>
        <v>8.18731810654611</v>
      </c>
      <c r="AM20" s="1">
        <v>1</v>
      </c>
      <c r="AN20" s="1">
        <v>0</v>
      </c>
      <c r="AO20" s="1">
        <v>0</v>
      </c>
      <c r="AP20" s="1">
        <f t="shared" si="8"/>
        <v>0.2581988897471611</v>
      </c>
      <c r="AQ20" s="1">
        <v>1</v>
      </c>
      <c r="AR20" s="1">
        <v>0</v>
      </c>
      <c r="AS20" s="1">
        <v>0</v>
      </c>
      <c r="AT20" s="1">
        <v>0</v>
      </c>
      <c r="AU20" s="4">
        <v>0</v>
      </c>
      <c r="AV20" s="4">
        <v>0</v>
      </c>
      <c r="AW20" s="1">
        <f t="shared" si="9"/>
        <v>3.3333333333333333E-2</v>
      </c>
      <c r="AX20" s="1">
        <f t="shared" si="10"/>
        <v>1.1111111111111111E-3</v>
      </c>
    </row>
    <row r="21" spans="1:50" x14ac:dyDescent="0.25">
      <c r="A21" s="1" t="s">
        <v>67</v>
      </c>
      <c r="B21" s="1">
        <v>1985</v>
      </c>
      <c r="C21" s="1">
        <f t="shared" si="15"/>
        <v>1</v>
      </c>
      <c r="D21" s="1" t="s">
        <v>24</v>
      </c>
      <c r="E21" s="1" t="s">
        <v>25</v>
      </c>
      <c r="F21" s="2">
        <v>-1.516</v>
      </c>
      <c r="G21" s="3">
        <v>0.19400000000000001</v>
      </c>
      <c r="H21" s="1">
        <v>2</v>
      </c>
      <c r="I21" s="1">
        <v>17</v>
      </c>
      <c r="J21" s="1">
        <f t="shared" si="0"/>
        <v>15</v>
      </c>
      <c r="K21" s="1">
        <v>30</v>
      </c>
      <c r="L21" s="1">
        <v>1954</v>
      </c>
      <c r="M21" s="1">
        <v>1973</v>
      </c>
      <c r="N21" s="1">
        <f t="shared" si="11"/>
        <v>1963.5</v>
      </c>
      <c r="O21" s="1">
        <f t="shared" si="12"/>
        <v>20</v>
      </c>
      <c r="P21" s="1">
        <f t="shared" si="13"/>
        <v>2.9957322735539909</v>
      </c>
      <c r="Q21" s="1">
        <v>105</v>
      </c>
      <c r="R21" s="1">
        <v>0</v>
      </c>
      <c r="S21" s="1" t="s">
        <v>26</v>
      </c>
      <c r="T21" s="1">
        <f t="shared" si="1"/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0</v>
      </c>
      <c r="AA21" s="1">
        <v>0</v>
      </c>
      <c r="AB21" s="1" t="s">
        <v>85</v>
      </c>
      <c r="AC21" s="1">
        <f t="shared" si="14"/>
        <v>1</v>
      </c>
      <c r="AD21" s="1">
        <f t="shared" si="2"/>
        <v>1</v>
      </c>
      <c r="AE21" s="1">
        <v>1</v>
      </c>
      <c r="AF21" s="1">
        <v>7.5933739999999998</v>
      </c>
      <c r="AG21" s="1">
        <v>4.6634390000000003</v>
      </c>
      <c r="AH21" s="1">
        <f t="shared" si="3"/>
        <v>-7.8144329896907214</v>
      </c>
      <c r="AI21" s="1">
        <f t="shared" si="4"/>
        <v>-0.89599172852768016</v>
      </c>
      <c r="AJ21" s="1">
        <f t="shared" si="5"/>
        <v>0.1146585721202968</v>
      </c>
      <c r="AK21" s="1">
        <f t="shared" si="6"/>
        <v>76.065362950366691</v>
      </c>
      <c r="AL21" s="1">
        <f t="shared" si="7"/>
        <v>8.7215459037011716</v>
      </c>
      <c r="AM21" s="1">
        <v>1</v>
      </c>
      <c r="AN21" s="1">
        <v>0</v>
      </c>
      <c r="AO21" s="1">
        <v>0</v>
      </c>
      <c r="AP21" s="1">
        <f t="shared" si="8"/>
        <v>0.2581988897471611</v>
      </c>
      <c r="AQ21" s="1">
        <v>1</v>
      </c>
      <c r="AR21" s="1">
        <v>0</v>
      </c>
      <c r="AS21" s="1">
        <v>0</v>
      </c>
      <c r="AT21" s="1">
        <v>0</v>
      </c>
      <c r="AU21" s="4">
        <v>0</v>
      </c>
      <c r="AV21" s="4">
        <v>0</v>
      </c>
      <c r="AW21" s="1">
        <f t="shared" si="9"/>
        <v>3.3333333333333333E-2</v>
      </c>
      <c r="AX21" s="1">
        <f t="shared" si="10"/>
        <v>1.1111111111111111E-3</v>
      </c>
    </row>
    <row r="22" spans="1:50" x14ac:dyDescent="0.25">
      <c r="A22" s="1" t="s">
        <v>67</v>
      </c>
      <c r="B22" s="1">
        <v>1985</v>
      </c>
      <c r="C22" s="1">
        <f t="shared" si="15"/>
        <v>1</v>
      </c>
      <c r="D22" s="1" t="s">
        <v>24</v>
      </c>
      <c r="E22" s="1" t="s">
        <v>25</v>
      </c>
      <c r="F22" s="2">
        <v>-0.65400000000000003</v>
      </c>
      <c r="G22" s="3">
        <v>0.123</v>
      </c>
      <c r="H22" s="1">
        <v>2</v>
      </c>
      <c r="I22" s="1">
        <v>17</v>
      </c>
      <c r="J22" s="1">
        <f t="shared" si="0"/>
        <v>15</v>
      </c>
      <c r="K22" s="1">
        <v>30</v>
      </c>
      <c r="L22" s="1">
        <v>1954</v>
      </c>
      <c r="M22" s="1">
        <v>1973</v>
      </c>
      <c r="N22" s="1">
        <f t="shared" si="11"/>
        <v>1963.5</v>
      </c>
      <c r="O22" s="1">
        <f t="shared" si="12"/>
        <v>20</v>
      </c>
      <c r="P22" s="1">
        <f t="shared" si="13"/>
        <v>2.9957322735539909</v>
      </c>
      <c r="Q22" s="1">
        <v>105</v>
      </c>
      <c r="R22" s="1">
        <v>0</v>
      </c>
      <c r="S22" s="1" t="s">
        <v>26</v>
      </c>
      <c r="T22" s="1">
        <f t="shared" si="1"/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 t="s">
        <v>85</v>
      </c>
      <c r="AC22" s="1">
        <f t="shared" si="14"/>
        <v>1</v>
      </c>
      <c r="AD22" s="1">
        <f t="shared" si="2"/>
        <v>1</v>
      </c>
      <c r="AE22" s="1">
        <v>1</v>
      </c>
      <c r="AF22" s="1">
        <v>7.5933739999999998</v>
      </c>
      <c r="AG22" s="1">
        <v>4.6634390000000003</v>
      </c>
      <c r="AH22" s="1">
        <f t="shared" si="3"/>
        <v>-5.3170731707317076</v>
      </c>
      <c r="AI22" s="1">
        <f t="shared" si="4"/>
        <v>-0.80830046849507742</v>
      </c>
      <c r="AJ22" s="1">
        <f t="shared" si="5"/>
        <v>0.1520198128821017</v>
      </c>
      <c r="AK22" s="1">
        <f t="shared" si="6"/>
        <v>43.27126710291494</v>
      </c>
      <c r="AL22" s="1">
        <f t="shared" si="7"/>
        <v>6.5780899281565723</v>
      </c>
      <c r="AM22" s="1">
        <v>1</v>
      </c>
      <c r="AN22" s="1">
        <v>0</v>
      </c>
      <c r="AO22" s="1">
        <v>0</v>
      </c>
      <c r="AP22" s="1">
        <f t="shared" si="8"/>
        <v>0.2581988897471611</v>
      </c>
      <c r="AQ22" s="1">
        <v>1</v>
      </c>
      <c r="AR22" s="1">
        <v>0</v>
      </c>
      <c r="AS22" s="1">
        <v>0</v>
      </c>
      <c r="AT22" s="1">
        <v>0</v>
      </c>
      <c r="AU22" s="4">
        <v>0</v>
      </c>
      <c r="AV22" s="4">
        <v>0</v>
      </c>
      <c r="AW22" s="1">
        <f t="shared" si="9"/>
        <v>3.3333333333333333E-2</v>
      </c>
      <c r="AX22" s="1">
        <f t="shared" si="10"/>
        <v>1.1111111111111111E-3</v>
      </c>
    </row>
    <row r="23" spans="1:50" x14ac:dyDescent="0.25">
      <c r="A23" s="1" t="s">
        <v>67</v>
      </c>
      <c r="B23" s="1">
        <v>1985</v>
      </c>
      <c r="C23" s="1">
        <f t="shared" si="15"/>
        <v>1</v>
      </c>
      <c r="D23" s="1" t="s">
        <v>24</v>
      </c>
      <c r="E23" s="1" t="s">
        <v>25</v>
      </c>
      <c r="F23" s="2">
        <v>-0.52400000000000002</v>
      </c>
      <c r="G23" s="3">
        <v>0.35299999999999998</v>
      </c>
      <c r="H23" s="1">
        <v>2</v>
      </c>
      <c r="I23" s="1">
        <v>17</v>
      </c>
      <c r="J23" s="1">
        <f t="shared" si="0"/>
        <v>15</v>
      </c>
      <c r="K23" s="1">
        <v>30</v>
      </c>
      <c r="L23" s="1">
        <v>1954</v>
      </c>
      <c r="M23" s="1">
        <v>1973</v>
      </c>
      <c r="N23" s="1">
        <f t="shared" si="11"/>
        <v>1963.5</v>
      </c>
      <c r="O23" s="1">
        <f t="shared" si="12"/>
        <v>20</v>
      </c>
      <c r="P23" s="1">
        <f t="shared" si="13"/>
        <v>2.9957322735539909</v>
      </c>
      <c r="Q23" s="1">
        <v>105</v>
      </c>
      <c r="R23" s="1">
        <v>0</v>
      </c>
      <c r="S23" s="1" t="s">
        <v>26</v>
      </c>
      <c r="T23" s="1">
        <f t="shared" si="1"/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0</v>
      </c>
      <c r="AA23" s="1">
        <v>0</v>
      </c>
      <c r="AB23" s="1" t="s">
        <v>85</v>
      </c>
      <c r="AC23" s="1">
        <f t="shared" si="14"/>
        <v>1</v>
      </c>
      <c r="AD23" s="1">
        <f t="shared" si="2"/>
        <v>1</v>
      </c>
      <c r="AE23" s="1">
        <v>1</v>
      </c>
      <c r="AF23" s="1">
        <v>7.5933739999999998</v>
      </c>
      <c r="AG23" s="1">
        <v>4.6634390000000003</v>
      </c>
      <c r="AH23" s="1">
        <f t="shared" si="3"/>
        <v>-1.4844192634560909</v>
      </c>
      <c r="AI23" s="1">
        <f t="shared" si="4"/>
        <v>-0.35788885047047109</v>
      </c>
      <c r="AJ23" s="1">
        <f t="shared" si="5"/>
        <v>0.24109687827495471</v>
      </c>
      <c r="AK23" s="1">
        <f t="shared" si="6"/>
        <v>17.203500549719521</v>
      </c>
      <c r="AL23" s="1">
        <f t="shared" si="7"/>
        <v>4.1477102779388435</v>
      </c>
      <c r="AM23" s="1">
        <v>1</v>
      </c>
      <c r="AN23" s="1">
        <v>0</v>
      </c>
      <c r="AO23" s="1">
        <v>0</v>
      </c>
      <c r="AP23" s="1">
        <f t="shared" si="8"/>
        <v>0.2581988897471611</v>
      </c>
      <c r="AQ23" s="1">
        <v>1</v>
      </c>
      <c r="AR23" s="1">
        <v>0</v>
      </c>
      <c r="AS23" s="1">
        <v>0</v>
      </c>
      <c r="AT23" s="1">
        <v>0</v>
      </c>
      <c r="AU23" s="4">
        <v>0</v>
      </c>
      <c r="AV23" s="4">
        <v>0</v>
      </c>
      <c r="AW23" s="1">
        <f t="shared" si="9"/>
        <v>3.3333333333333333E-2</v>
      </c>
      <c r="AX23" s="1">
        <f t="shared" si="10"/>
        <v>1.1111111111111111E-3</v>
      </c>
    </row>
    <row r="24" spans="1:50" x14ac:dyDescent="0.25">
      <c r="A24" s="1" t="s">
        <v>67</v>
      </c>
      <c r="B24" s="1">
        <v>1985</v>
      </c>
      <c r="C24" s="1">
        <f t="shared" si="15"/>
        <v>1</v>
      </c>
      <c r="D24" s="1" t="s">
        <v>24</v>
      </c>
      <c r="E24" s="1" t="s">
        <v>25</v>
      </c>
      <c r="F24" s="2">
        <v>-0.69899999999999995</v>
      </c>
      <c r="G24" s="3">
        <v>0.11</v>
      </c>
      <c r="H24" s="1">
        <v>2</v>
      </c>
      <c r="I24" s="1">
        <v>17</v>
      </c>
      <c r="J24" s="1">
        <f t="shared" si="0"/>
        <v>15</v>
      </c>
      <c r="K24" s="1">
        <v>30</v>
      </c>
      <c r="L24" s="1">
        <v>1954</v>
      </c>
      <c r="M24" s="1">
        <v>1973</v>
      </c>
      <c r="N24" s="1">
        <f t="shared" si="11"/>
        <v>1963.5</v>
      </c>
      <c r="O24" s="1">
        <f t="shared" si="12"/>
        <v>20</v>
      </c>
      <c r="P24" s="1">
        <f t="shared" si="13"/>
        <v>2.9957322735539909</v>
      </c>
      <c r="Q24" s="1">
        <v>105</v>
      </c>
      <c r="R24" s="1">
        <v>0</v>
      </c>
      <c r="S24" s="1" t="s">
        <v>26</v>
      </c>
      <c r="T24" s="1">
        <f t="shared" si="1"/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 t="s">
        <v>85</v>
      </c>
      <c r="AC24" s="1">
        <f t="shared" si="14"/>
        <v>1</v>
      </c>
      <c r="AD24" s="1">
        <f t="shared" si="2"/>
        <v>1</v>
      </c>
      <c r="AE24" s="1">
        <v>1</v>
      </c>
      <c r="AF24" s="1">
        <v>7.5933739999999998</v>
      </c>
      <c r="AG24" s="1">
        <v>4.6634390000000003</v>
      </c>
      <c r="AH24" s="1">
        <f t="shared" si="3"/>
        <v>-6.3545454545454545</v>
      </c>
      <c r="AI24" s="1">
        <f t="shared" si="4"/>
        <v>-0.85390005735221464</v>
      </c>
      <c r="AJ24" s="1">
        <f t="shared" si="5"/>
        <v>0.13437626081365323</v>
      </c>
      <c r="AK24" s="1">
        <f t="shared" si="6"/>
        <v>55.38024793388432</v>
      </c>
      <c r="AL24" s="1">
        <f t="shared" si="7"/>
        <v>7.4417906402884189</v>
      </c>
      <c r="AM24" s="1">
        <v>1</v>
      </c>
      <c r="AN24" s="1">
        <v>0</v>
      </c>
      <c r="AO24" s="1">
        <v>0</v>
      </c>
      <c r="AP24" s="1">
        <f t="shared" si="8"/>
        <v>0.2581988897471611</v>
      </c>
      <c r="AQ24" s="1">
        <v>1</v>
      </c>
      <c r="AR24" s="1">
        <v>0</v>
      </c>
      <c r="AS24" s="1">
        <v>0</v>
      </c>
      <c r="AT24" s="1">
        <v>0</v>
      </c>
      <c r="AU24" s="4">
        <v>0</v>
      </c>
      <c r="AV24" s="4">
        <v>0</v>
      </c>
      <c r="AW24" s="1">
        <f t="shared" si="9"/>
        <v>3.3333333333333333E-2</v>
      </c>
      <c r="AX24" s="1">
        <f t="shared" si="10"/>
        <v>1.1111111111111111E-3</v>
      </c>
    </row>
    <row r="25" spans="1:50" x14ac:dyDescent="0.25">
      <c r="A25" s="1" t="s">
        <v>67</v>
      </c>
      <c r="B25" s="1">
        <v>1985</v>
      </c>
      <c r="C25" s="1">
        <f t="shared" si="15"/>
        <v>1</v>
      </c>
      <c r="D25" s="1" t="s">
        <v>24</v>
      </c>
      <c r="E25" s="1" t="s">
        <v>25</v>
      </c>
      <c r="F25" s="2">
        <v>-5.3380000000000001</v>
      </c>
      <c r="G25" s="3">
        <v>1.1910000000000001</v>
      </c>
      <c r="H25" s="1">
        <v>2</v>
      </c>
      <c r="I25" s="1">
        <v>17</v>
      </c>
      <c r="J25" s="1">
        <f t="shared" si="0"/>
        <v>15</v>
      </c>
      <c r="K25" s="1">
        <v>30</v>
      </c>
      <c r="L25" s="1">
        <v>1954</v>
      </c>
      <c r="M25" s="1">
        <v>1973</v>
      </c>
      <c r="N25" s="1">
        <f t="shared" si="11"/>
        <v>1963.5</v>
      </c>
      <c r="O25" s="1">
        <f t="shared" si="12"/>
        <v>20</v>
      </c>
      <c r="P25" s="1">
        <f t="shared" si="13"/>
        <v>2.9957322735539909</v>
      </c>
      <c r="Q25" s="1">
        <v>105</v>
      </c>
      <c r="R25" s="1">
        <v>0</v>
      </c>
      <c r="S25" s="1" t="s">
        <v>26</v>
      </c>
      <c r="T25" s="1">
        <f t="shared" si="1"/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 t="s">
        <v>85</v>
      </c>
      <c r="AC25" s="1">
        <f t="shared" si="14"/>
        <v>1</v>
      </c>
      <c r="AD25" s="1">
        <f t="shared" si="2"/>
        <v>1</v>
      </c>
      <c r="AE25" s="1">
        <v>1</v>
      </c>
      <c r="AF25" s="1">
        <v>7.5933739999999998</v>
      </c>
      <c r="AG25" s="1">
        <v>4.6634390000000003</v>
      </c>
      <c r="AH25" s="1">
        <f t="shared" si="3"/>
        <v>-4.4819479429051219</v>
      </c>
      <c r="AI25" s="1">
        <f t="shared" si="4"/>
        <v>-0.75663840910883817</v>
      </c>
      <c r="AJ25" s="1">
        <f t="shared" si="5"/>
        <v>0.16881909802334699</v>
      </c>
      <c r="AK25" s="1">
        <f t="shared" si="6"/>
        <v>35.087857362911443</v>
      </c>
      <c r="AL25" s="1">
        <f t="shared" si="7"/>
        <v>5.9235004315785655</v>
      </c>
      <c r="AM25" s="1">
        <v>1</v>
      </c>
      <c r="AN25" s="1">
        <v>0</v>
      </c>
      <c r="AO25" s="1">
        <v>0</v>
      </c>
      <c r="AP25" s="1">
        <f t="shared" si="8"/>
        <v>0.2581988897471611</v>
      </c>
      <c r="AQ25" s="1">
        <v>1</v>
      </c>
      <c r="AR25" s="1">
        <v>0</v>
      </c>
      <c r="AS25" s="1">
        <v>0</v>
      </c>
      <c r="AT25" s="1">
        <v>0</v>
      </c>
      <c r="AU25" s="4">
        <v>0</v>
      </c>
      <c r="AV25" s="4">
        <v>0</v>
      </c>
      <c r="AW25" s="1">
        <f t="shared" si="9"/>
        <v>3.3333333333333333E-2</v>
      </c>
      <c r="AX25" s="1">
        <f t="shared" si="10"/>
        <v>1.1111111111111111E-3</v>
      </c>
    </row>
    <row r="26" spans="1:50" x14ac:dyDescent="0.25">
      <c r="A26" s="1" t="s">
        <v>67</v>
      </c>
      <c r="B26" s="1">
        <v>1985</v>
      </c>
      <c r="C26" s="1">
        <f t="shared" si="15"/>
        <v>1</v>
      </c>
      <c r="D26" s="1" t="s">
        <v>24</v>
      </c>
      <c r="E26" s="1" t="s">
        <v>25</v>
      </c>
      <c r="F26" s="2">
        <v>-1.85</v>
      </c>
      <c r="G26" s="3">
        <v>0.17100000000000001</v>
      </c>
      <c r="H26" s="1">
        <v>2</v>
      </c>
      <c r="I26" s="1">
        <v>17</v>
      </c>
      <c r="J26" s="1">
        <f t="shared" si="0"/>
        <v>15</v>
      </c>
      <c r="K26" s="1">
        <v>30</v>
      </c>
      <c r="L26" s="1">
        <v>1954</v>
      </c>
      <c r="M26" s="1">
        <v>1973</v>
      </c>
      <c r="N26" s="1">
        <f t="shared" si="11"/>
        <v>1963.5</v>
      </c>
      <c r="O26" s="1">
        <f t="shared" si="12"/>
        <v>20</v>
      </c>
      <c r="P26" s="1">
        <f t="shared" si="13"/>
        <v>2.9957322735539909</v>
      </c>
      <c r="Q26" s="1">
        <v>105</v>
      </c>
      <c r="R26" s="1">
        <v>0</v>
      </c>
      <c r="S26" s="1" t="s">
        <v>26</v>
      </c>
      <c r="T26" s="1">
        <f t="shared" si="1"/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 t="s">
        <v>85</v>
      </c>
      <c r="AC26" s="1">
        <f t="shared" si="14"/>
        <v>1</v>
      </c>
      <c r="AD26" s="1">
        <f t="shared" si="2"/>
        <v>1</v>
      </c>
      <c r="AE26" s="1">
        <v>1</v>
      </c>
      <c r="AF26" s="1">
        <v>7.5933739999999998</v>
      </c>
      <c r="AG26" s="1">
        <v>4.6634390000000003</v>
      </c>
      <c r="AH26" s="1">
        <f t="shared" si="3"/>
        <v>-10.818713450292398</v>
      </c>
      <c r="AI26" s="1">
        <f t="shared" si="4"/>
        <v>-0.94148923781361626</v>
      </c>
      <c r="AJ26" s="1">
        <f t="shared" si="5"/>
        <v>8.7024140360069391E-2</v>
      </c>
      <c r="AK26" s="1">
        <f t="shared" si="6"/>
        <v>132.04456071953766</v>
      </c>
      <c r="AL26" s="1">
        <f t="shared" si="7"/>
        <v>11.491064385840749</v>
      </c>
      <c r="AM26" s="1">
        <v>1</v>
      </c>
      <c r="AN26" s="1">
        <v>0</v>
      </c>
      <c r="AO26" s="1">
        <v>0</v>
      </c>
      <c r="AP26" s="1">
        <f t="shared" si="8"/>
        <v>0.2581988897471611</v>
      </c>
      <c r="AQ26" s="1">
        <v>1</v>
      </c>
      <c r="AR26" s="1">
        <v>0</v>
      </c>
      <c r="AS26" s="1">
        <v>0</v>
      </c>
      <c r="AT26" s="1">
        <v>0</v>
      </c>
      <c r="AU26" s="4">
        <v>0</v>
      </c>
      <c r="AV26" s="4">
        <v>0</v>
      </c>
      <c r="AW26" s="1">
        <f t="shared" si="9"/>
        <v>3.3333333333333333E-2</v>
      </c>
      <c r="AX26" s="1">
        <f t="shared" si="10"/>
        <v>1.1111111111111111E-3</v>
      </c>
    </row>
    <row r="27" spans="1:50" x14ac:dyDescent="0.25">
      <c r="A27" s="1" t="s">
        <v>67</v>
      </c>
      <c r="B27" s="1">
        <v>1985</v>
      </c>
      <c r="C27" s="1">
        <f t="shared" si="15"/>
        <v>1</v>
      </c>
      <c r="D27" s="1" t="s">
        <v>24</v>
      </c>
      <c r="E27" s="1" t="s">
        <v>25</v>
      </c>
      <c r="F27" s="2">
        <v>0.152</v>
      </c>
      <c r="G27" s="3">
        <v>0.36699999999999999</v>
      </c>
      <c r="H27" s="1">
        <v>2</v>
      </c>
      <c r="I27" s="1">
        <v>17</v>
      </c>
      <c r="J27" s="1">
        <f t="shared" si="0"/>
        <v>15</v>
      </c>
      <c r="K27" s="1">
        <v>30</v>
      </c>
      <c r="L27" s="1">
        <v>1954</v>
      </c>
      <c r="M27" s="1">
        <v>1973</v>
      </c>
      <c r="N27" s="1">
        <f t="shared" si="11"/>
        <v>1963.5</v>
      </c>
      <c r="O27" s="1">
        <f t="shared" si="12"/>
        <v>20</v>
      </c>
      <c r="P27" s="1">
        <f t="shared" si="13"/>
        <v>2.9957322735539909</v>
      </c>
      <c r="Q27" s="1">
        <v>105</v>
      </c>
      <c r="R27" s="1">
        <v>0</v>
      </c>
      <c r="S27" s="1" t="s">
        <v>26</v>
      </c>
      <c r="T27" s="1">
        <f t="shared" si="1"/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 t="s">
        <v>85</v>
      </c>
      <c r="AC27" s="1">
        <f t="shared" si="14"/>
        <v>1</v>
      </c>
      <c r="AD27" s="1">
        <f t="shared" si="2"/>
        <v>1</v>
      </c>
      <c r="AE27" s="1">
        <v>1</v>
      </c>
      <c r="AF27" s="1">
        <v>7.5933739999999998</v>
      </c>
      <c r="AG27" s="1">
        <v>4.6634390000000003</v>
      </c>
      <c r="AH27" s="1">
        <f t="shared" si="3"/>
        <v>0.41416893732970028</v>
      </c>
      <c r="AI27" s="1">
        <f t="shared" si="4"/>
        <v>0.1063316979726682</v>
      </c>
      <c r="AJ27" s="1">
        <f t="shared" si="5"/>
        <v>0.25673508655242916</v>
      </c>
      <c r="AK27" s="1">
        <f t="shared" si="6"/>
        <v>15.171535908648814</v>
      </c>
      <c r="AL27" s="1">
        <f t="shared" si="7"/>
        <v>3.8950655846402396</v>
      </c>
      <c r="AM27" s="1">
        <v>1</v>
      </c>
      <c r="AN27" s="1">
        <v>0</v>
      </c>
      <c r="AO27" s="1">
        <v>0</v>
      </c>
      <c r="AP27" s="1">
        <f t="shared" si="8"/>
        <v>0.2581988897471611</v>
      </c>
      <c r="AQ27" s="1">
        <v>1</v>
      </c>
      <c r="AR27" s="1">
        <v>0</v>
      </c>
      <c r="AS27" s="1">
        <v>0</v>
      </c>
      <c r="AT27" s="1">
        <v>0</v>
      </c>
      <c r="AU27" s="4">
        <v>0</v>
      </c>
      <c r="AV27" s="4">
        <v>0</v>
      </c>
      <c r="AW27" s="1">
        <f t="shared" si="9"/>
        <v>3.3333333333333333E-2</v>
      </c>
      <c r="AX27" s="1">
        <f t="shared" si="10"/>
        <v>1.1111111111111111E-3</v>
      </c>
    </row>
    <row r="28" spans="1:50" x14ac:dyDescent="0.25">
      <c r="A28" s="1" t="s">
        <v>67</v>
      </c>
      <c r="B28" s="1">
        <v>1985</v>
      </c>
      <c r="C28" s="1">
        <f t="shared" si="15"/>
        <v>1</v>
      </c>
      <c r="D28" s="1" t="s">
        <v>24</v>
      </c>
      <c r="E28" s="1" t="s">
        <v>25</v>
      </c>
      <c r="F28" s="2">
        <v>-0.27600000000000002</v>
      </c>
      <c r="G28" s="3">
        <v>0.10199999999999999</v>
      </c>
      <c r="H28" s="1">
        <v>2</v>
      </c>
      <c r="I28" s="1">
        <v>17</v>
      </c>
      <c r="J28" s="1">
        <f t="shared" si="0"/>
        <v>15</v>
      </c>
      <c r="K28" s="1">
        <v>30</v>
      </c>
      <c r="L28" s="1">
        <v>1954</v>
      </c>
      <c r="M28" s="1">
        <v>1973</v>
      </c>
      <c r="N28" s="1">
        <f t="shared" si="11"/>
        <v>1963.5</v>
      </c>
      <c r="O28" s="1">
        <f t="shared" si="12"/>
        <v>20</v>
      </c>
      <c r="P28" s="1">
        <f t="shared" si="13"/>
        <v>2.9957322735539909</v>
      </c>
      <c r="Q28" s="1">
        <v>105</v>
      </c>
      <c r="R28" s="1">
        <v>0</v>
      </c>
      <c r="S28" s="1" t="s">
        <v>26</v>
      </c>
      <c r="T28" s="1">
        <f t="shared" si="1"/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 t="s">
        <v>85</v>
      </c>
      <c r="AC28" s="1">
        <f t="shared" si="14"/>
        <v>1</v>
      </c>
      <c r="AD28" s="1">
        <f t="shared" si="2"/>
        <v>1</v>
      </c>
      <c r="AE28" s="1">
        <v>1</v>
      </c>
      <c r="AF28" s="1">
        <v>7.5933739999999998</v>
      </c>
      <c r="AG28" s="1">
        <v>4.6634390000000003</v>
      </c>
      <c r="AH28" s="1">
        <f t="shared" si="3"/>
        <v>-2.7058823529411771</v>
      </c>
      <c r="AI28" s="1">
        <f t="shared" si="4"/>
        <v>-0.57272258647647278</v>
      </c>
      <c r="AJ28" s="1">
        <f t="shared" si="5"/>
        <v>0.21165834717608772</v>
      </c>
      <c r="AK28" s="1">
        <f t="shared" si="6"/>
        <v>22.321799307958479</v>
      </c>
      <c r="AL28" s="1">
        <f t="shared" si="7"/>
        <v>4.7245951475188308</v>
      </c>
      <c r="AM28" s="1">
        <v>1</v>
      </c>
      <c r="AN28" s="1">
        <v>0</v>
      </c>
      <c r="AO28" s="1">
        <v>0</v>
      </c>
      <c r="AP28" s="1">
        <f t="shared" si="8"/>
        <v>0.2581988897471611</v>
      </c>
      <c r="AQ28" s="1">
        <v>1</v>
      </c>
      <c r="AR28" s="1">
        <v>0</v>
      </c>
      <c r="AS28" s="1">
        <v>0</v>
      </c>
      <c r="AT28" s="1">
        <v>0</v>
      </c>
      <c r="AU28" s="4">
        <v>0</v>
      </c>
      <c r="AV28" s="4">
        <v>0</v>
      </c>
      <c r="AW28" s="1">
        <f t="shared" si="9"/>
        <v>3.3333333333333333E-2</v>
      </c>
      <c r="AX28" s="1">
        <f t="shared" si="10"/>
        <v>1.1111111111111111E-3</v>
      </c>
    </row>
    <row r="29" spans="1:50" x14ac:dyDescent="0.25">
      <c r="A29" s="1" t="s">
        <v>67</v>
      </c>
      <c r="B29" s="1">
        <v>1985</v>
      </c>
      <c r="C29" s="1">
        <f t="shared" si="15"/>
        <v>1</v>
      </c>
      <c r="D29" s="1" t="s">
        <v>24</v>
      </c>
      <c r="E29" s="1" t="s">
        <v>25</v>
      </c>
      <c r="F29" s="2">
        <v>-0.69899999999999995</v>
      </c>
      <c r="G29" s="3">
        <v>0.13700000000000001</v>
      </c>
      <c r="H29" s="1">
        <v>2</v>
      </c>
      <c r="I29" s="1">
        <v>17</v>
      </c>
      <c r="J29" s="1">
        <f t="shared" si="0"/>
        <v>15</v>
      </c>
      <c r="K29" s="1">
        <v>30</v>
      </c>
      <c r="L29" s="1">
        <v>1954</v>
      </c>
      <c r="M29" s="1">
        <v>1973</v>
      </c>
      <c r="N29" s="1">
        <f t="shared" si="11"/>
        <v>1963.5</v>
      </c>
      <c r="O29" s="1">
        <f t="shared" si="12"/>
        <v>20</v>
      </c>
      <c r="P29" s="1">
        <f t="shared" si="13"/>
        <v>2.9957322735539909</v>
      </c>
      <c r="Q29" s="1">
        <v>105</v>
      </c>
      <c r="R29" s="1">
        <v>0</v>
      </c>
      <c r="S29" s="1" t="s">
        <v>26</v>
      </c>
      <c r="T29" s="1">
        <f t="shared" si="1"/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 t="s">
        <v>85</v>
      </c>
      <c r="AC29" s="1">
        <f t="shared" si="14"/>
        <v>1</v>
      </c>
      <c r="AD29" s="1">
        <f t="shared" si="2"/>
        <v>1</v>
      </c>
      <c r="AE29" s="1">
        <v>1</v>
      </c>
      <c r="AF29" s="1">
        <v>7.5933739999999998</v>
      </c>
      <c r="AG29" s="1">
        <v>4.6634390000000003</v>
      </c>
      <c r="AH29" s="1">
        <f t="shared" si="3"/>
        <v>-5.102189781021897</v>
      </c>
      <c r="AI29" s="1">
        <f t="shared" si="4"/>
        <v>-0.79651409105443838</v>
      </c>
      <c r="AJ29" s="1">
        <f t="shared" si="5"/>
        <v>0.15611220382612029</v>
      </c>
      <c r="AK29" s="1">
        <f t="shared" si="6"/>
        <v>41.032340561564268</v>
      </c>
      <c r="AL29" s="1">
        <f t="shared" si="7"/>
        <v>6.4056491132097042</v>
      </c>
      <c r="AM29" s="1">
        <v>1</v>
      </c>
      <c r="AN29" s="1">
        <v>0</v>
      </c>
      <c r="AO29" s="1">
        <v>0</v>
      </c>
      <c r="AP29" s="1">
        <f t="shared" si="8"/>
        <v>0.2581988897471611</v>
      </c>
      <c r="AQ29" s="1">
        <v>1</v>
      </c>
      <c r="AR29" s="1">
        <v>0</v>
      </c>
      <c r="AS29" s="1">
        <v>0</v>
      </c>
      <c r="AT29" s="1">
        <v>0</v>
      </c>
      <c r="AU29" s="4">
        <v>0</v>
      </c>
      <c r="AV29" s="4">
        <v>0</v>
      </c>
      <c r="AW29" s="1">
        <f t="shared" si="9"/>
        <v>3.3333333333333333E-2</v>
      </c>
      <c r="AX29" s="1">
        <f t="shared" si="10"/>
        <v>1.1111111111111111E-3</v>
      </c>
    </row>
    <row r="30" spans="1:50" x14ac:dyDescent="0.25">
      <c r="A30" s="1" t="s">
        <v>67</v>
      </c>
      <c r="B30" s="1">
        <v>1985</v>
      </c>
      <c r="C30" s="1">
        <f t="shared" si="15"/>
        <v>1</v>
      </c>
      <c r="D30" s="1" t="s">
        <v>24</v>
      </c>
      <c r="E30" s="1" t="s">
        <v>25</v>
      </c>
      <c r="F30" s="2">
        <v>-1.8640000000000001</v>
      </c>
      <c r="G30" s="3">
        <v>0.76900000000000002</v>
      </c>
      <c r="H30" s="1">
        <v>2</v>
      </c>
      <c r="I30" s="1">
        <v>17</v>
      </c>
      <c r="J30" s="1">
        <f t="shared" si="0"/>
        <v>15</v>
      </c>
      <c r="K30" s="1">
        <v>30</v>
      </c>
      <c r="L30" s="1">
        <v>1954</v>
      </c>
      <c r="M30" s="1">
        <v>1973</v>
      </c>
      <c r="N30" s="1">
        <f t="shared" si="11"/>
        <v>1963.5</v>
      </c>
      <c r="O30" s="1">
        <f t="shared" si="12"/>
        <v>20</v>
      </c>
      <c r="P30" s="1">
        <f t="shared" si="13"/>
        <v>2.9957322735539909</v>
      </c>
      <c r="Q30" s="1">
        <v>105</v>
      </c>
      <c r="R30" s="1">
        <v>0</v>
      </c>
      <c r="S30" s="1" t="s">
        <v>26</v>
      </c>
      <c r="T30" s="1">
        <f t="shared" si="1"/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  <c r="Z30" s="1">
        <v>0</v>
      </c>
      <c r="AA30" s="1">
        <v>0</v>
      </c>
      <c r="AB30" s="1" t="s">
        <v>85</v>
      </c>
      <c r="AC30" s="1">
        <f t="shared" si="14"/>
        <v>1</v>
      </c>
      <c r="AD30" s="1">
        <f t="shared" si="2"/>
        <v>1</v>
      </c>
      <c r="AE30" s="1">
        <v>1</v>
      </c>
      <c r="AF30" s="1">
        <v>7.5933739999999998</v>
      </c>
      <c r="AG30" s="1">
        <v>4.6634390000000003</v>
      </c>
      <c r="AH30" s="1">
        <f t="shared" si="3"/>
        <v>-2.4239271781534462</v>
      </c>
      <c r="AI30" s="1">
        <f t="shared" si="4"/>
        <v>-0.53052020209211781</v>
      </c>
      <c r="AJ30" s="1">
        <f t="shared" si="5"/>
        <v>0.21886804474723098</v>
      </c>
      <c r="AK30" s="1">
        <f t="shared" si="6"/>
        <v>20.875422964990925</v>
      </c>
      <c r="AL30" s="1">
        <f t="shared" si="7"/>
        <v>4.5689630076190078</v>
      </c>
      <c r="AM30" s="1">
        <v>1</v>
      </c>
      <c r="AN30" s="1">
        <v>0</v>
      </c>
      <c r="AO30" s="1">
        <v>0</v>
      </c>
      <c r="AP30" s="1">
        <f t="shared" si="8"/>
        <v>0.2581988897471611</v>
      </c>
      <c r="AQ30" s="1">
        <v>1</v>
      </c>
      <c r="AR30" s="1">
        <v>0</v>
      </c>
      <c r="AS30" s="1">
        <v>0</v>
      </c>
      <c r="AT30" s="1">
        <v>0</v>
      </c>
      <c r="AU30" s="4">
        <v>0</v>
      </c>
      <c r="AV30" s="4">
        <v>0</v>
      </c>
      <c r="AW30" s="1">
        <f t="shared" si="9"/>
        <v>3.3333333333333333E-2</v>
      </c>
      <c r="AX30" s="1">
        <f t="shared" si="10"/>
        <v>1.1111111111111111E-3</v>
      </c>
    </row>
    <row r="31" spans="1:50" x14ac:dyDescent="0.25">
      <c r="A31" s="1" t="s">
        <v>67</v>
      </c>
      <c r="B31" s="1">
        <v>1985</v>
      </c>
      <c r="C31" s="1">
        <f t="shared" si="15"/>
        <v>1</v>
      </c>
      <c r="D31" s="1" t="s">
        <v>24</v>
      </c>
      <c r="E31" s="1" t="s">
        <v>25</v>
      </c>
      <c r="F31" s="2">
        <v>-0.16700000000000001</v>
      </c>
      <c r="G31" s="3">
        <v>0.21299999999999999</v>
      </c>
      <c r="H31" s="1">
        <v>2</v>
      </c>
      <c r="I31" s="1">
        <v>17</v>
      </c>
      <c r="J31" s="1">
        <f t="shared" si="0"/>
        <v>15</v>
      </c>
      <c r="K31" s="1">
        <v>30</v>
      </c>
      <c r="L31" s="1">
        <v>1954</v>
      </c>
      <c r="M31" s="1">
        <v>1973</v>
      </c>
      <c r="N31" s="1">
        <f t="shared" si="11"/>
        <v>1963.5</v>
      </c>
      <c r="O31" s="1">
        <f t="shared" si="12"/>
        <v>20</v>
      </c>
      <c r="P31" s="1">
        <f t="shared" si="13"/>
        <v>2.9957322735539909</v>
      </c>
      <c r="Q31" s="1">
        <v>105</v>
      </c>
      <c r="R31" s="1">
        <v>0</v>
      </c>
      <c r="S31" s="1" t="s">
        <v>26</v>
      </c>
      <c r="T31" s="1">
        <f t="shared" si="1"/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 t="s">
        <v>85</v>
      </c>
      <c r="AC31" s="1">
        <f t="shared" si="14"/>
        <v>1</v>
      </c>
      <c r="AD31" s="1">
        <f t="shared" si="2"/>
        <v>1</v>
      </c>
      <c r="AE31" s="1">
        <v>1</v>
      </c>
      <c r="AF31" s="1">
        <v>7.5933739999999998</v>
      </c>
      <c r="AG31" s="1">
        <v>4.6634390000000003</v>
      </c>
      <c r="AH31" s="1">
        <f t="shared" si="3"/>
        <v>-0.78403755868544611</v>
      </c>
      <c r="AI31" s="1">
        <f t="shared" si="4"/>
        <v>-0.198412869595195</v>
      </c>
      <c r="AJ31" s="1">
        <f t="shared" si="5"/>
        <v>0.2530655163100391</v>
      </c>
      <c r="AK31" s="1">
        <f t="shared" si="6"/>
        <v>15.614714893429436</v>
      </c>
      <c r="AL31" s="1">
        <f t="shared" si="7"/>
        <v>3.9515458865397775</v>
      </c>
      <c r="AM31" s="1">
        <v>1</v>
      </c>
      <c r="AN31" s="1">
        <v>0</v>
      </c>
      <c r="AO31" s="1">
        <v>0</v>
      </c>
      <c r="AP31" s="1">
        <f t="shared" si="8"/>
        <v>0.2581988897471611</v>
      </c>
      <c r="AQ31" s="1">
        <v>1</v>
      </c>
      <c r="AR31" s="1">
        <v>0</v>
      </c>
      <c r="AS31" s="1">
        <v>0</v>
      </c>
      <c r="AT31" s="1">
        <v>0</v>
      </c>
      <c r="AU31" s="4">
        <v>0</v>
      </c>
      <c r="AV31" s="4">
        <v>0</v>
      </c>
      <c r="AW31" s="1">
        <f t="shared" si="9"/>
        <v>3.3333333333333333E-2</v>
      </c>
      <c r="AX31" s="1">
        <f t="shared" si="10"/>
        <v>1.1111111111111111E-3</v>
      </c>
    </row>
    <row r="32" spans="1:50" x14ac:dyDescent="0.25">
      <c r="A32" s="1" t="s">
        <v>58</v>
      </c>
      <c r="B32" s="1">
        <v>1984</v>
      </c>
      <c r="C32" s="1">
        <f t="shared" si="15"/>
        <v>2</v>
      </c>
      <c r="D32" s="1" t="s">
        <v>24</v>
      </c>
      <c r="E32" s="1" t="s">
        <v>25</v>
      </c>
      <c r="F32" s="2">
        <v>-0.64</v>
      </c>
      <c r="G32" s="3">
        <v>0.296296296296296</v>
      </c>
      <c r="H32" s="1">
        <v>3</v>
      </c>
      <c r="I32" s="1">
        <v>13</v>
      </c>
      <c r="J32" s="1">
        <f t="shared" si="0"/>
        <v>10</v>
      </c>
      <c r="K32" s="1">
        <v>4</v>
      </c>
      <c r="L32" s="1">
        <v>1964</v>
      </c>
      <c r="M32" s="1">
        <v>1976</v>
      </c>
      <c r="N32" s="1">
        <f t="shared" si="11"/>
        <v>1970</v>
      </c>
      <c r="O32" s="1">
        <f t="shared" si="12"/>
        <v>13</v>
      </c>
      <c r="P32" s="1">
        <f t="shared" si="13"/>
        <v>2.5649493574615367</v>
      </c>
      <c r="Q32" s="1">
        <v>12</v>
      </c>
      <c r="R32" s="1">
        <v>0</v>
      </c>
      <c r="S32" s="1" t="s">
        <v>26</v>
      </c>
      <c r="T32" s="1">
        <f t="shared" si="1"/>
        <v>0</v>
      </c>
      <c r="U32" s="1">
        <v>1</v>
      </c>
      <c r="V32" s="1">
        <v>1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 t="s">
        <v>85</v>
      </c>
      <c r="AC32" s="1">
        <f t="shared" si="14"/>
        <v>1</v>
      </c>
      <c r="AD32" s="1">
        <f t="shared" si="2"/>
        <v>1</v>
      </c>
      <c r="AE32" s="1">
        <v>1</v>
      </c>
      <c r="AF32" s="1">
        <v>7.5928699999999996</v>
      </c>
      <c r="AG32" s="1">
        <v>2.5649489999999999</v>
      </c>
      <c r="AH32" s="1">
        <f t="shared" si="3"/>
        <v>-2.1600000000000024</v>
      </c>
      <c r="AI32" s="1">
        <f t="shared" si="4"/>
        <v>-0.56403211592814984</v>
      </c>
      <c r="AJ32" s="1">
        <f t="shared" si="5"/>
        <v>0.26112597959636535</v>
      </c>
      <c r="AK32" s="1">
        <f t="shared" si="6"/>
        <v>14.66560000000001</v>
      </c>
      <c r="AL32" s="1">
        <f t="shared" si="7"/>
        <v>3.8295691663684588</v>
      </c>
      <c r="AM32" s="1">
        <v>0</v>
      </c>
      <c r="AN32" s="1">
        <v>1</v>
      </c>
      <c r="AO32" s="1">
        <v>0</v>
      </c>
      <c r="AP32" s="1">
        <f t="shared" si="8"/>
        <v>0.31622776601683794</v>
      </c>
      <c r="AQ32" s="1">
        <v>1</v>
      </c>
      <c r="AR32" s="1">
        <v>0</v>
      </c>
      <c r="AS32" s="1">
        <v>0</v>
      </c>
      <c r="AT32" s="1">
        <v>0</v>
      </c>
      <c r="AU32" s="4">
        <v>0</v>
      </c>
      <c r="AV32" s="4">
        <v>0</v>
      </c>
      <c r="AW32" s="1">
        <f t="shared" si="9"/>
        <v>0.25</v>
      </c>
      <c r="AX32" s="1">
        <f t="shared" si="10"/>
        <v>6.25E-2</v>
      </c>
    </row>
    <row r="33" spans="1:50" x14ac:dyDescent="0.25">
      <c r="A33" s="1" t="s">
        <v>58</v>
      </c>
      <c r="B33" s="1">
        <v>1984</v>
      </c>
      <c r="C33" s="1">
        <f t="shared" si="15"/>
        <v>2</v>
      </c>
      <c r="D33" s="1" t="s">
        <v>24</v>
      </c>
      <c r="E33" s="1" t="s">
        <v>25</v>
      </c>
      <c r="F33" s="2">
        <v>-0.22</v>
      </c>
      <c r="G33" s="3">
        <v>0.13496932515337401</v>
      </c>
      <c r="H33" s="1">
        <v>3</v>
      </c>
      <c r="I33" s="1">
        <v>13</v>
      </c>
      <c r="J33" s="1">
        <f t="shared" si="0"/>
        <v>10</v>
      </c>
      <c r="K33" s="1">
        <v>4</v>
      </c>
      <c r="L33" s="1">
        <v>1964</v>
      </c>
      <c r="M33" s="1">
        <v>1976</v>
      </c>
      <c r="N33" s="1">
        <f t="shared" si="11"/>
        <v>1970</v>
      </c>
      <c r="O33" s="1">
        <f t="shared" ref="O33:O55" si="16">+M33-L33+1</f>
        <v>13</v>
      </c>
      <c r="P33" s="1">
        <f t="shared" si="13"/>
        <v>2.5649493574615367</v>
      </c>
      <c r="Q33" s="1">
        <v>12</v>
      </c>
      <c r="R33" s="1">
        <v>0</v>
      </c>
      <c r="S33" s="1" t="s">
        <v>26</v>
      </c>
      <c r="T33" s="1">
        <f t="shared" si="1"/>
        <v>0</v>
      </c>
      <c r="U33" s="1">
        <v>1</v>
      </c>
      <c r="V33" s="1">
        <v>1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 t="s">
        <v>85</v>
      </c>
      <c r="AC33" s="1">
        <f t="shared" si="14"/>
        <v>1</v>
      </c>
      <c r="AD33" s="1">
        <f t="shared" si="2"/>
        <v>1</v>
      </c>
      <c r="AE33" s="1">
        <v>1</v>
      </c>
      <c r="AF33" s="1">
        <v>7.5928699999999996</v>
      </c>
      <c r="AG33" s="1">
        <v>2.5649489999999999</v>
      </c>
      <c r="AH33" s="1">
        <f t="shared" si="3"/>
        <v>-1.6300000000000028</v>
      </c>
      <c r="AI33" s="1">
        <f t="shared" si="4"/>
        <v>-0.45816713141158505</v>
      </c>
      <c r="AJ33" s="1">
        <f t="shared" si="5"/>
        <v>0.28108412970035845</v>
      </c>
      <c r="AK33" s="1">
        <f t="shared" si="6"/>
        <v>12.656900000000009</v>
      </c>
      <c r="AL33" s="1">
        <f t="shared" si="7"/>
        <v>3.5576537212044697</v>
      </c>
      <c r="AM33" s="1">
        <v>0</v>
      </c>
      <c r="AN33" s="1">
        <v>1</v>
      </c>
      <c r="AO33" s="1">
        <v>0</v>
      </c>
      <c r="AP33" s="1">
        <f t="shared" si="8"/>
        <v>0.31622776601683794</v>
      </c>
      <c r="AQ33" s="1">
        <v>1</v>
      </c>
      <c r="AR33" s="1">
        <v>0</v>
      </c>
      <c r="AS33" s="1">
        <v>0</v>
      </c>
      <c r="AT33" s="1">
        <v>0</v>
      </c>
      <c r="AU33" s="4">
        <v>0</v>
      </c>
      <c r="AV33" s="4">
        <v>0</v>
      </c>
      <c r="AW33" s="1">
        <f t="shared" si="9"/>
        <v>0.25</v>
      </c>
      <c r="AX33" s="1">
        <f t="shared" si="10"/>
        <v>6.25E-2</v>
      </c>
    </row>
    <row r="34" spans="1:50" x14ac:dyDescent="0.25">
      <c r="A34" s="1" t="s">
        <v>58</v>
      </c>
      <c r="B34" s="1">
        <v>1984</v>
      </c>
      <c r="C34" s="1">
        <f t="shared" si="15"/>
        <v>2</v>
      </c>
      <c r="D34" s="1" t="s">
        <v>24</v>
      </c>
      <c r="E34" s="1" t="s">
        <v>25</v>
      </c>
      <c r="F34" s="2">
        <v>-0.33</v>
      </c>
      <c r="G34" s="3">
        <v>0.27731092436974802</v>
      </c>
      <c r="H34" s="1">
        <v>3</v>
      </c>
      <c r="I34" s="1">
        <v>13</v>
      </c>
      <c r="J34" s="1">
        <f t="shared" si="0"/>
        <v>10</v>
      </c>
      <c r="K34" s="1">
        <v>4</v>
      </c>
      <c r="L34" s="1">
        <v>1964</v>
      </c>
      <c r="M34" s="1">
        <v>1976</v>
      </c>
      <c r="N34" s="1">
        <f t="shared" si="11"/>
        <v>1970</v>
      </c>
      <c r="O34" s="1">
        <f t="shared" si="16"/>
        <v>13</v>
      </c>
      <c r="P34" s="1">
        <f t="shared" si="13"/>
        <v>2.5649493574615367</v>
      </c>
      <c r="Q34" s="1">
        <v>12</v>
      </c>
      <c r="R34" s="1">
        <v>0</v>
      </c>
      <c r="S34" s="1" t="s">
        <v>26</v>
      </c>
      <c r="T34" s="1">
        <f t="shared" ref="T34:T66" si="17">IF(S34="OLS",0,IF(S34="FE",0,IF(S34="Probit model",0,IF(S34="3SLS",1,IF(S34="Logit",0,IF(S34="2SLS",1,IF(S34="SUR method",1,IF(S34="Modified LS",0,IF(S34="Zenner estimates",1,IF(S34="MLE",0,IF(S34="GLS",0,0)))))))))))</f>
        <v>0</v>
      </c>
      <c r="U34" s="1">
        <v>1</v>
      </c>
      <c r="V34" s="1">
        <v>1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 t="s">
        <v>85</v>
      </c>
      <c r="AC34" s="1">
        <f t="shared" si="14"/>
        <v>1</v>
      </c>
      <c r="AD34" s="1">
        <f t="shared" si="2"/>
        <v>1</v>
      </c>
      <c r="AE34" s="1">
        <v>1</v>
      </c>
      <c r="AF34" s="1">
        <v>7.5928699999999996</v>
      </c>
      <c r="AG34" s="1">
        <v>2.5649489999999999</v>
      </c>
      <c r="AH34" s="1">
        <f t="shared" si="3"/>
        <v>-1.1899999999999995</v>
      </c>
      <c r="AI34" s="1">
        <f t="shared" si="4"/>
        <v>-0.35219896811101287</v>
      </c>
      <c r="AJ34" s="1">
        <f t="shared" si="5"/>
        <v>0.29596551942101934</v>
      </c>
      <c r="AK34" s="1">
        <f t="shared" si="6"/>
        <v>11.416099999999998</v>
      </c>
      <c r="AL34" s="1">
        <f t="shared" si="7"/>
        <v>3.3787719662622986</v>
      </c>
      <c r="AM34" s="1">
        <v>0</v>
      </c>
      <c r="AN34" s="1">
        <v>1</v>
      </c>
      <c r="AO34" s="1">
        <v>0</v>
      </c>
      <c r="AP34" s="1">
        <f t="shared" si="8"/>
        <v>0.31622776601683794</v>
      </c>
      <c r="AQ34" s="1">
        <v>1</v>
      </c>
      <c r="AR34" s="1">
        <v>0</v>
      </c>
      <c r="AS34" s="1">
        <v>0</v>
      </c>
      <c r="AT34" s="1">
        <v>0</v>
      </c>
      <c r="AU34" s="4">
        <v>0</v>
      </c>
      <c r="AV34" s="4">
        <v>0</v>
      </c>
      <c r="AW34" s="1">
        <f t="shared" si="9"/>
        <v>0.25</v>
      </c>
      <c r="AX34" s="1">
        <f t="shared" si="10"/>
        <v>6.25E-2</v>
      </c>
    </row>
    <row r="35" spans="1:50" x14ac:dyDescent="0.25">
      <c r="A35" s="1" t="s">
        <v>58</v>
      </c>
      <c r="B35" s="1">
        <v>1984</v>
      </c>
      <c r="C35" s="1">
        <f t="shared" si="15"/>
        <v>2</v>
      </c>
      <c r="D35" s="1" t="s">
        <v>24</v>
      </c>
      <c r="E35" s="1" t="s">
        <v>25</v>
      </c>
      <c r="F35" s="2">
        <v>-0.48</v>
      </c>
      <c r="G35" s="3">
        <v>0.296296296296296</v>
      </c>
      <c r="H35" s="1">
        <v>3</v>
      </c>
      <c r="I35" s="1">
        <v>13</v>
      </c>
      <c r="J35" s="1">
        <f t="shared" si="0"/>
        <v>10</v>
      </c>
      <c r="K35" s="1">
        <v>4</v>
      </c>
      <c r="L35" s="1">
        <v>1964</v>
      </c>
      <c r="M35" s="1">
        <v>1976</v>
      </c>
      <c r="N35" s="1">
        <f t="shared" si="11"/>
        <v>1970</v>
      </c>
      <c r="O35" s="1">
        <f t="shared" si="16"/>
        <v>13</v>
      </c>
      <c r="P35" s="1">
        <f t="shared" si="13"/>
        <v>2.5649493574615367</v>
      </c>
      <c r="Q35" s="1">
        <v>12</v>
      </c>
      <c r="R35" s="1">
        <v>0</v>
      </c>
      <c r="S35" s="1" t="s">
        <v>26</v>
      </c>
      <c r="T35" s="1">
        <f t="shared" si="17"/>
        <v>0</v>
      </c>
      <c r="U35" s="1">
        <v>1</v>
      </c>
      <c r="V35" s="1">
        <v>1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 t="s">
        <v>85</v>
      </c>
      <c r="AC35" s="1">
        <f t="shared" si="14"/>
        <v>1</v>
      </c>
      <c r="AD35" s="1">
        <f t="shared" si="2"/>
        <v>1</v>
      </c>
      <c r="AE35" s="1">
        <v>1</v>
      </c>
      <c r="AF35" s="1">
        <v>7.5928699999999996</v>
      </c>
      <c r="AG35" s="1">
        <v>2.5649489999999999</v>
      </c>
      <c r="AH35" s="1">
        <f t="shared" si="3"/>
        <v>-1.6200000000000014</v>
      </c>
      <c r="AI35" s="1">
        <f t="shared" si="4"/>
        <v>-0.45594204338033384</v>
      </c>
      <c r="AJ35" s="1">
        <f t="shared" si="5"/>
        <v>0.28144570579032929</v>
      </c>
      <c r="AK35" s="1">
        <f t="shared" si="6"/>
        <v>12.624400000000001</v>
      </c>
      <c r="AL35" s="1">
        <f t="shared" si="7"/>
        <v>3.5530831681794339</v>
      </c>
      <c r="AM35" s="1">
        <v>0</v>
      </c>
      <c r="AN35" s="1">
        <v>1</v>
      </c>
      <c r="AO35" s="1">
        <v>0</v>
      </c>
      <c r="AP35" s="1">
        <f t="shared" si="8"/>
        <v>0.31622776601683794</v>
      </c>
      <c r="AQ35" s="1">
        <v>1</v>
      </c>
      <c r="AR35" s="1">
        <v>0</v>
      </c>
      <c r="AS35" s="1">
        <v>0</v>
      </c>
      <c r="AT35" s="1">
        <v>0</v>
      </c>
      <c r="AU35" s="4">
        <v>0</v>
      </c>
      <c r="AV35" s="4">
        <v>0</v>
      </c>
      <c r="AW35" s="1">
        <f t="shared" si="9"/>
        <v>0.25</v>
      </c>
      <c r="AX35" s="1">
        <f t="shared" si="10"/>
        <v>6.25E-2</v>
      </c>
    </row>
    <row r="36" spans="1:50" x14ac:dyDescent="0.25">
      <c r="A36" s="1" t="s">
        <v>59</v>
      </c>
      <c r="B36" s="1">
        <v>1999</v>
      </c>
      <c r="C36" s="1">
        <f t="shared" si="15"/>
        <v>3</v>
      </c>
      <c r="D36" s="1" t="s">
        <v>24</v>
      </c>
      <c r="E36" s="1" t="s">
        <v>25</v>
      </c>
      <c r="F36" s="2">
        <v>-0.63600000000000001</v>
      </c>
      <c r="G36" s="3">
        <v>0.310243902439024</v>
      </c>
      <c r="H36" s="1">
        <v>4</v>
      </c>
      <c r="I36" s="1">
        <v>1802</v>
      </c>
      <c r="J36" s="1">
        <f t="shared" si="0"/>
        <v>1798</v>
      </c>
      <c r="K36" s="1">
        <v>5</v>
      </c>
      <c r="L36" s="1">
        <v>1959</v>
      </c>
      <c r="M36" s="1">
        <v>1993</v>
      </c>
      <c r="N36" s="1">
        <f t="shared" si="11"/>
        <v>1976</v>
      </c>
      <c r="O36" s="1">
        <f t="shared" si="16"/>
        <v>35</v>
      </c>
      <c r="P36" s="1">
        <f t="shared" si="13"/>
        <v>3.5553480614894135</v>
      </c>
      <c r="Q36" s="1">
        <v>59</v>
      </c>
      <c r="R36" s="1">
        <v>7</v>
      </c>
      <c r="S36" s="1" t="s">
        <v>36</v>
      </c>
      <c r="T36" s="1">
        <f t="shared" si="17"/>
        <v>1</v>
      </c>
      <c r="U36" s="1">
        <v>1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 t="s">
        <v>85</v>
      </c>
      <c r="AC36" s="1">
        <f t="shared" si="14"/>
        <v>1</v>
      </c>
      <c r="AD36" s="1">
        <f t="shared" si="2"/>
        <v>1</v>
      </c>
      <c r="AE36" s="1">
        <v>1</v>
      </c>
      <c r="AF36" s="1">
        <v>7.6004019999999999</v>
      </c>
      <c r="AG36" s="1">
        <v>4.0943449999999997</v>
      </c>
      <c r="AH36" s="1">
        <f t="shared" si="3"/>
        <v>-2.0500000000000025</v>
      </c>
      <c r="AI36" s="1">
        <f t="shared" si="4"/>
        <v>-4.8289428672331852E-2</v>
      </c>
      <c r="AJ36" s="1">
        <f t="shared" si="5"/>
        <v>2.3555818864552096E-2</v>
      </c>
      <c r="AK36" s="1">
        <f t="shared" si="6"/>
        <v>1802.2024999999996</v>
      </c>
      <c r="AL36" s="1">
        <f t="shared" si="7"/>
        <v>42.452355647242939</v>
      </c>
      <c r="AM36" s="1">
        <v>0</v>
      </c>
      <c r="AN36" s="1">
        <v>1</v>
      </c>
      <c r="AO36" s="1">
        <v>0</v>
      </c>
      <c r="AP36" s="1">
        <f t="shared" si="8"/>
        <v>2.3583331531828913E-2</v>
      </c>
      <c r="AQ36" s="1">
        <v>0</v>
      </c>
      <c r="AR36" s="1">
        <v>0</v>
      </c>
      <c r="AS36" s="1">
        <v>0</v>
      </c>
      <c r="AT36" s="1">
        <v>0</v>
      </c>
      <c r="AU36" s="4">
        <v>1</v>
      </c>
      <c r="AV36" s="4">
        <v>0</v>
      </c>
      <c r="AW36" s="1">
        <f t="shared" si="9"/>
        <v>0.2</v>
      </c>
      <c r="AX36" s="1">
        <f t="shared" si="10"/>
        <v>0.04</v>
      </c>
    </row>
    <row r="37" spans="1:50" x14ac:dyDescent="0.25">
      <c r="A37" s="1" t="s">
        <v>59</v>
      </c>
      <c r="B37" s="1">
        <v>1999</v>
      </c>
      <c r="C37" s="1">
        <f t="shared" si="15"/>
        <v>3</v>
      </c>
      <c r="D37" s="1" t="s">
        <v>24</v>
      </c>
      <c r="E37" s="1" t="s">
        <v>25</v>
      </c>
      <c r="F37" s="2">
        <v>-1.0820000000000001</v>
      </c>
      <c r="G37" s="3">
        <v>0.351298701298701</v>
      </c>
      <c r="H37" s="1">
        <v>6</v>
      </c>
      <c r="I37" s="1">
        <v>1802</v>
      </c>
      <c r="J37" s="1">
        <f t="shared" si="0"/>
        <v>1796</v>
      </c>
      <c r="K37" s="1">
        <v>5</v>
      </c>
      <c r="L37" s="1">
        <v>1959</v>
      </c>
      <c r="M37" s="1">
        <v>1993</v>
      </c>
      <c r="N37" s="1">
        <f t="shared" si="11"/>
        <v>1976</v>
      </c>
      <c r="O37" s="1">
        <f t="shared" si="16"/>
        <v>35</v>
      </c>
      <c r="P37" s="1">
        <f t="shared" si="13"/>
        <v>3.5553480614894135</v>
      </c>
      <c r="Q37" s="1">
        <v>59</v>
      </c>
      <c r="R37" s="1">
        <v>7</v>
      </c>
      <c r="S37" s="1" t="s">
        <v>36</v>
      </c>
      <c r="T37" s="1">
        <f t="shared" si="17"/>
        <v>1</v>
      </c>
      <c r="U37" s="1">
        <v>1</v>
      </c>
      <c r="V37" s="1">
        <v>1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 t="s">
        <v>85</v>
      </c>
      <c r="AC37" s="1">
        <f t="shared" si="14"/>
        <v>1</v>
      </c>
      <c r="AD37" s="1">
        <f t="shared" si="2"/>
        <v>1</v>
      </c>
      <c r="AE37" s="1">
        <v>1</v>
      </c>
      <c r="AF37" s="1">
        <v>7.6004019999999999</v>
      </c>
      <c r="AG37" s="1">
        <v>4.0943449999999997</v>
      </c>
      <c r="AH37" s="1">
        <f t="shared" si="3"/>
        <v>-3.0800000000000027</v>
      </c>
      <c r="AI37" s="1">
        <f t="shared" si="4"/>
        <v>-7.2485911721333174E-2</v>
      </c>
      <c r="AJ37" s="1">
        <f t="shared" si="5"/>
        <v>2.3534386922510749E-2</v>
      </c>
      <c r="AK37" s="1">
        <f t="shared" si="6"/>
        <v>1805.4864</v>
      </c>
      <c r="AL37" s="1">
        <f t="shared" si="7"/>
        <v>42.491015520931008</v>
      </c>
      <c r="AM37" s="1">
        <v>0</v>
      </c>
      <c r="AN37" s="1">
        <v>1</v>
      </c>
      <c r="AO37" s="1">
        <v>0</v>
      </c>
      <c r="AP37" s="1">
        <f t="shared" si="8"/>
        <v>2.3596458909150436E-2</v>
      </c>
      <c r="AQ37" s="1">
        <v>0</v>
      </c>
      <c r="AR37" s="1">
        <v>0</v>
      </c>
      <c r="AS37" s="1">
        <v>0</v>
      </c>
      <c r="AT37" s="1">
        <v>0</v>
      </c>
      <c r="AU37" s="4">
        <v>1</v>
      </c>
      <c r="AV37" s="4">
        <v>0</v>
      </c>
      <c r="AW37" s="1">
        <f t="shared" si="9"/>
        <v>0.2</v>
      </c>
      <c r="AX37" s="1">
        <f t="shared" si="10"/>
        <v>0.04</v>
      </c>
    </row>
    <row r="38" spans="1:50" x14ac:dyDescent="0.25">
      <c r="A38" s="1" t="s">
        <v>59</v>
      </c>
      <c r="B38" s="1">
        <v>1999</v>
      </c>
      <c r="C38" s="1">
        <f t="shared" si="15"/>
        <v>3</v>
      </c>
      <c r="D38" s="1" t="s">
        <v>24</v>
      </c>
      <c r="E38" s="1" t="s">
        <v>25</v>
      </c>
      <c r="F38" s="2">
        <v>-1.0860000000000001</v>
      </c>
      <c r="G38" s="3">
        <v>0.310285714285714</v>
      </c>
      <c r="H38" s="1">
        <v>5</v>
      </c>
      <c r="I38" s="1">
        <v>1802</v>
      </c>
      <c r="J38" s="1">
        <f t="shared" si="0"/>
        <v>1797</v>
      </c>
      <c r="K38" s="1">
        <v>5</v>
      </c>
      <c r="L38" s="1">
        <v>1959</v>
      </c>
      <c r="M38" s="1">
        <v>1993</v>
      </c>
      <c r="N38" s="1">
        <f t="shared" si="11"/>
        <v>1976</v>
      </c>
      <c r="O38" s="1">
        <f t="shared" si="16"/>
        <v>35</v>
      </c>
      <c r="P38" s="1">
        <f t="shared" si="13"/>
        <v>3.5553480614894135</v>
      </c>
      <c r="Q38" s="1">
        <v>59</v>
      </c>
      <c r="R38" s="1">
        <v>7</v>
      </c>
      <c r="S38" s="1" t="s">
        <v>36</v>
      </c>
      <c r="T38" s="1">
        <f t="shared" si="17"/>
        <v>1</v>
      </c>
      <c r="U38" s="1">
        <v>1</v>
      </c>
      <c r="V38" s="1">
        <v>1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 t="s">
        <v>85</v>
      </c>
      <c r="AC38" s="1">
        <f t="shared" si="14"/>
        <v>1</v>
      </c>
      <c r="AD38" s="1">
        <f t="shared" si="2"/>
        <v>1</v>
      </c>
      <c r="AE38" s="1">
        <v>1</v>
      </c>
      <c r="AF38" s="1">
        <v>7.6004019999999999</v>
      </c>
      <c r="AG38" s="1">
        <v>4.0943449999999997</v>
      </c>
      <c r="AH38" s="1">
        <f t="shared" si="3"/>
        <v>-3.5000000000000036</v>
      </c>
      <c r="AI38" s="1">
        <f t="shared" si="4"/>
        <v>-8.2284636264655098E-2</v>
      </c>
      <c r="AJ38" s="1">
        <f t="shared" si="5"/>
        <v>2.3509896075615717E-2</v>
      </c>
      <c r="AK38" s="1">
        <f t="shared" si="6"/>
        <v>1809.2499999999998</v>
      </c>
      <c r="AL38" s="1">
        <f t="shared" si="7"/>
        <v>42.53527947480773</v>
      </c>
      <c r="AM38" s="1">
        <v>0</v>
      </c>
      <c r="AN38" s="1">
        <v>1</v>
      </c>
      <c r="AO38" s="1">
        <v>0</v>
      </c>
      <c r="AP38" s="1">
        <f t="shared" si="8"/>
        <v>2.3589892481053584E-2</v>
      </c>
      <c r="AQ38" s="1">
        <v>0</v>
      </c>
      <c r="AR38" s="1">
        <v>0</v>
      </c>
      <c r="AS38" s="1">
        <v>0</v>
      </c>
      <c r="AT38" s="1">
        <v>0</v>
      </c>
      <c r="AU38" s="4">
        <v>1</v>
      </c>
      <c r="AV38" s="4">
        <v>0</v>
      </c>
      <c r="AW38" s="1">
        <f t="shared" si="9"/>
        <v>0.2</v>
      </c>
      <c r="AX38" s="1">
        <f t="shared" si="10"/>
        <v>0.04</v>
      </c>
    </row>
    <row r="39" spans="1:50" x14ac:dyDescent="0.25">
      <c r="A39" s="1" t="s">
        <v>59</v>
      </c>
      <c r="B39" s="1">
        <v>1999</v>
      </c>
      <c r="C39" s="1">
        <f t="shared" si="15"/>
        <v>3</v>
      </c>
      <c r="D39" s="1" t="s">
        <v>24</v>
      </c>
      <c r="E39" s="1" t="s">
        <v>25</v>
      </c>
      <c r="F39" s="2">
        <v>-1.054</v>
      </c>
      <c r="G39" s="3">
        <v>0.32732919254658399</v>
      </c>
      <c r="H39" s="1">
        <v>5</v>
      </c>
      <c r="I39" s="1">
        <v>954</v>
      </c>
      <c r="J39" s="1">
        <f t="shared" si="0"/>
        <v>949</v>
      </c>
      <c r="K39" s="1">
        <v>5</v>
      </c>
      <c r="L39" s="1">
        <v>1975</v>
      </c>
      <c r="M39" s="1">
        <v>1993</v>
      </c>
      <c r="N39" s="1">
        <f t="shared" si="11"/>
        <v>1984</v>
      </c>
      <c r="O39" s="1">
        <f t="shared" si="16"/>
        <v>19</v>
      </c>
      <c r="P39" s="1">
        <f t="shared" si="13"/>
        <v>2.9444389791664403</v>
      </c>
      <c r="Q39" s="1">
        <v>59</v>
      </c>
      <c r="R39" s="1">
        <v>7</v>
      </c>
      <c r="S39" s="1" t="s">
        <v>36</v>
      </c>
      <c r="T39" s="1">
        <f t="shared" si="17"/>
        <v>1</v>
      </c>
      <c r="U39" s="1">
        <v>1</v>
      </c>
      <c r="V39" s="1">
        <v>1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 t="s">
        <v>85</v>
      </c>
      <c r="AC39" s="1">
        <f t="shared" si="14"/>
        <v>1</v>
      </c>
      <c r="AD39" s="1">
        <f t="shared" si="2"/>
        <v>1</v>
      </c>
      <c r="AE39" s="1">
        <v>1</v>
      </c>
      <c r="AF39" s="1">
        <v>7.6004019999999999</v>
      </c>
      <c r="AG39" s="1">
        <v>4.0943449999999997</v>
      </c>
      <c r="AH39" s="1">
        <f t="shared" si="3"/>
        <v>-3.2199999999999989</v>
      </c>
      <c r="AI39" s="1">
        <f t="shared" si="4"/>
        <v>-0.10395925701390725</v>
      </c>
      <c r="AJ39" s="1">
        <f t="shared" si="5"/>
        <v>3.2285483544691705E-2</v>
      </c>
      <c r="AK39" s="1">
        <f t="shared" si="6"/>
        <v>959.36839999999995</v>
      </c>
      <c r="AL39" s="1">
        <f t="shared" si="7"/>
        <v>30.97367269149721</v>
      </c>
      <c r="AM39" s="1">
        <v>0</v>
      </c>
      <c r="AN39" s="1">
        <v>1</v>
      </c>
      <c r="AO39" s="1">
        <v>0</v>
      </c>
      <c r="AP39" s="1">
        <f t="shared" si="8"/>
        <v>3.2461373658059775E-2</v>
      </c>
      <c r="AQ39" s="1">
        <v>0</v>
      </c>
      <c r="AR39" s="1">
        <v>0</v>
      </c>
      <c r="AS39" s="1">
        <v>0</v>
      </c>
      <c r="AT39" s="1">
        <v>0</v>
      </c>
      <c r="AU39" s="4">
        <v>1</v>
      </c>
      <c r="AV39" s="4">
        <v>0</v>
      </c>
      <c r="AW39" s="1">
        <f t="shared" si="9"/>
        <v>0.2</v>
      </c>
      <c r="AX39" s="1">
        <f t="shared" si="10"/>
        <v>0.04</v>
      </c>
    </row>
    <row r="40" spans="1:50" x14ac:dyDescent="0.25">
      <c r="A40" s="1" t="s">
        <v>59</v>
      </c>
      <c r="B40" s="1">
        <v>1999</v>
      </c>
      <c r="C40" s="1">
        <f t="shared" si="15"/>
        <v>3</v>
      </c>
      <c r="D40" s="1" t="s">
        <v>24</v>
      </c>
      <c r="E40" s="1" t="s">
        <v>25</v>
      </c>
      <c r="F40" s="2">
        <v>-1.53</v>
      </c>
      <c r="G40" s="3">
        <v>0.47515527950310599</v>
      </c>
      <c r="H40" s="1">
        <v>5</v>
      </c>
      <c r="I40" s="1">
        <v>954</v>
      </c>
      <c r="J40" s="1">
        <f t="shared" si="0"/>
        <v>949</v>
      </c>
      <c r="K40" s="1">
        <v>5</v>
      </c>
      <c r="L40" s="1">
        <v>1975</v>
      </c>
      <c r="M40" s="1">
        <v>1993</v>
      </c>
      <c r="N40" s="1">
        <f t="shared" si="11"/>
        <v>1984</v>
      </c>
      <c r="O40" s="1">
        <f t="shared" si="16"/>
        <v>19</v>
      </c>
      <c r="P40" s="1">
        <f t="shared" si="13"/>
        <v>2.9444389791664403</v>
      </c>
      <c r="Q40" s="1">
        <v>59</v>
      </c>
      <c r="R40" s="1">
        <v>7</v>
      </c>
      <c r="S40" s="1" t="s">
        <v>36</v>
      </c>
      <c r="T40" s="1">
        <f t="shared" si="17"/>
        <v>1</v>
      </c>
      <c r="U40" s="1">
        <v>1</v>
      </c>
      <c r="V40" s="1">
        <v>1</v>
      </c>
      <c r="W40" s="1">
        <v>0</v>
      </c>
      <c r="X40" s="1">
        <v>0</v>
      </c>
      <c r="Y40" s="1">
        <v>1</v>
      </c>
      <c r="Z40" s="1">
        <v>0</v>
      </c>
      <c r="AA40" s="1">
        <v>0</v>
      </c>
      <c r="AB40" s="1" t="s">
        <v>85</v>
      </c>
      <c r="AC40" s="1">
        <f t="shared" si="14"/>
        <v>1</v>
      </c>
      <c r="AD40" s="1">
        <f t="shared" si="2"/>
        <v>1</v>
      </c>
      <c r="AE40" s="1">
        <v>1</v>
      </c>
      <c r="AF40" s="1">
        <v>7.6004019999999999</v>
      </c>
      <c r="AG40" s="1">
        <v>4.0943449999999997</v>
      </c>
      <c r="AH40" s="1">
        <f t="shared" si="3"/>
        <v>-3.2199999999999975</v>
      </c>
      <c r="AI40" s="1">
        <f t="shared" si="4"/>
        <v>-0.10395925701390721</v>
      </c>
      <c r="AJ40" s="1">
        <f t="shared" si="5"/>
        <v>3.2285483544691705E-2</v>
      </c>
      <c r="AK40" s="1">
        <f t="shared" si="6"/>
        <v>959.36839999999995</v>
      </c>
      <c r="AL40" s="1">
        <f t="shared" si="7"/>
        <v>30.97367269149721</v>
      </c>
      <c r="AM40" s="1">
        <v>0</v>
      </c>
      <c r="AN40" s="1">
        <v>1</v>
      </c>
      <c r="AO40" s="1">
        <v>0</v>
      </c>
      <c r="AP40" s="1">
        <f t="shared" si="8"/>
        <v>3.2461373658059775E-2</v>
      </c>
      <c r="AQ40" s="1">
        <v>0</v>
      </c>
      <c r="AR40" s="1">
        <v>0</v>
      </c>
      <c r="AS40" s="1">
        <v>0</v>
      </c>
      <c r="AT40" s="1">
        <v>0</v>
      </c>
      <c r="AU40" s="4">
        <v>1</v>
      </c>
      <c r="AV40" s="4">
        <v>0</v>
      </c>
      <c r="AW40" s="1">
        <f t="shared" si="9"/>
        <v>0.2</v>
      </c>
      <c r="AX40" s="1">
        <f t="shared" si="10"/>
        <v>0.04</v>
      </c>
    </row>
    <row r="41" spans="1:50" x14ac:dyDescent="0.25">
      <c r="A41" s="1" t="s">
        <v>60</v>
      </c>
      <c r="B41" s="1">
        <v>2002</v>
      </c>
      <c r="C41" s="1">
        <f t="shared" si="15"/>
        <v>4</v>
      </c>
      <c r="D41" s="1" t="s">
        <v>24</v>
      </c>
      <c r="E41" s="1" t="s">
        <v>25</v>
      </c>
      <c r="F41" s="2">
        <v>-6.3099999999999996E-3</v>
      </c>
      <c r="G41" s="3">
        <v>1.09E-3</v>
      </c>
      <c r="H41" s="1">
        <v>10</v>
      </c>
      <c r="I41" s="1">
        <v>288</v>
      </c>
      <c r="J41" s="1">
        <f t="shared" si="0"/>
        <v>278</v>
      </c>
      <c r="K41" s="1">
        <v>2</v>
      </c>
      <c r="L41" s="1">
        <v>1990</v>
      </c>
      <c r="M41" s="1">
        <v>1995</v>
      </c>
      <c r="N41" s="1">
        <f t="shared" si="11"/>
        <v>1992.5</v>
      </c>
      <c r="O41" s="1">
        <f t="shared" si="16"/>
        <v>6</v>
      </c>
      <c r="P41" s="1">
        <f t="shared" si="13"/>
        <v>1.791759469228055</v>
      </c>
      <c r="Q41" s="1">
        <v>0</v>
      </c>
      <c r="R41" s="1">
        <v>0</v>
      </c>
      <c r="S41" s="1" t="s">
        <v>36</v>
      </c>
      <c r="T41" s="1">
        <f t="shared" si="17"/>
        <v>1</v>
      </c>
      <c r="U41" s="1">
        <v>1</v>
      </c>
      <c r="V41" s="1">
        <v>1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 t="s">
        <v>85</v>
      </c>
      <c r="AC41" s="1">
        <f t="shared" si="14"/>
        <v>1</v>
      </c>
      <c r="AD41" s="1">
        <f t="shared" si="2"/>
        <v>1</v>
      </c>
      <c r="AE41" s="1">
        <v>1</v>
      </c>
      <c r="AF41" s="1">
        <v>7.6019019999999999</v>
      </c>
      <c r="AG41" s="1">
        <v>0</v>
      </c>
      <c r="AH41" s="1">
        <f t="shared" si="3"/>
        <v>-5.7889908256880727</v>
      </c>
      <c r="AI41" s="1">
        <f t="shared" si="4"/>
        <v>-0.32799345803236873</v>
      </c>
      <c r="AJ41" s="1">
        <f t="shared" si="5"/>
        <v>5.6658140927936917E-2</v>
      </c>
      <c r="AK41" s="1">
        <f t="shared" si="6"/>
        <v>311.51241477990061</v>
      </c>
      <c r="AL41" s="1">
        <f t="shared" si="7"/>
        <v>17.649714297401548</v>
      </c>
      <c r="AM41" s="1">
        <v>0</v>
      </c>
      <c r="AN41" s="1">
        <v>1</v>
      </c>
      <c r="AO41" s="1">
        <v>0</v>
      </c>
      <c r="AP41" s="1">
        <f t="shared" si="8"/>
        <v>5.9976014390406722E-2</v>
      </c>
      <c r="AQ41" s="1">
        <v>0</v>
      </c>
      <c r="AR41" s="1">
        <v>0</v>
      </c>
      <c r="AS41" s="1">
        <v>0</v>
      </c>
      <c r="AT41" s="1">
        <v>0</v>
      </c>
      <c r="AU41" s="4">
        <v>1</v>
      </c>
      <c r="AV41" s="4">
        <v>0</v>
      </c>
      <c r="AW41" s="1">
        <f t="shared" si="9"/>
        <v>0.5</v>
      </c>
      <c r="AX41" s="1">
        <f t="shared" si="10"/>
        <v>0.25</v>
      </c>
    </row>
    <row r="42" spans="1:50" x14ac:dyDescent="0.25">
      <c r="A42" s="1" t="s">
        <v>60</v>
      </c>
      <c r="B42" s="1">
        <v>2003</v>
      </c>
      <c r="C42" s="1">
        <f t="shared" si="15"/>
        <v>4</v>
      </c>
      <c r="D42" s="1" t="s">
        <v>24</v>
      </c>
      <c r="E42" s="1" t="s">
        <v>25</v>
      </c>
      <c r="F42" s="2">
        <v>-2.9999999999999997E-4</v>
      </c>
      <c r="G42" s="3">
        <v>2.2000000000000001E-4</v>
      </c>
      <c r="H42" s="1">
        <v>10</v>
      </c>
      <c r="I42" s="1">
        <v>288</v>
      </c>
      <c r="J42" s="1">
        <f t="shared" si="0"/>
        <v>278</v>
      </c>
      <c r="K42" s="1">
        <v>2</v>
      </c>
      <c r="L42" s="1">
        <v>1990</v>
      </c>
      <c r="M42" s="1">
        <v>1995</v>
      </c>
      <c r="N42" s="1">
        <f t="shared" ref="N42" si="18">+L42+(M42-L42)/2</f>
        <v>1992.5</v>
      </c>
      <c r="O42" s="1">
        <f t="shared" si="16"/>
        <v>6</v>
      </c>
      <c r="P42" s="1">
        <f t="shared" si="13"/>
        <v>1.791759469228055</v>
      </c>
      <c r="Q42" s="1">
        <v>0</v>
      </c>
      <c r="R42" s="1">
        <v>0</v>
      </c>
      <c r="S42" s="1" t="s">
        <v>36</v>
      </c>
      <c r="T42" s="1">
        <f t="shared" ref="T42" si="19">IF(S42="OLS",0,IF(S42="FE",0,IF(S42="Probit model",0,IF(S42="3SLS",1,IF(S42="Logit",0,IF(S42="2SLS",1,IF(S42="SUR method",1,IF(S42="Modified LS",0,IF(S42="Zenner estimates",1,IF(S42="MLE",0,IF(S42="GLS",0,0)))))))))))</f>
        <v>1</v>
      </c>
      <c r="U42" s="1">
        <v>1</v>
      </c>
      <c r="V42" s="1">
        <v>1</v>
      </c>
      <c r="W42" s="1">
        <v>1</v>
      </c>
      <c r="X42" s="1">
        <v>1</v>
      </c>
      <c r="Y42" s="1">
        <v>0</v>
      </c>
      <c r="Z42" s="1">
        <v>0</v>
      </c>
      <c r="AA42" s="1">
        <v>0</v>
      </c>
      <c r="AB42" s="1" t="s">
        <v>85</v>
      </c>
      <c r="AC42" s="1">
        <f t="shared" si="14"/>
        <v>1</v>
      </c>
      <c r="AD42" s="1">
        <f t="shared" ref="AD42" si="20">IF(AB42="USA",1,0)</f>
        <v>1</v>
      </c>
      <c r="AE42" s="1">
        <v>1</v>
      </c>
      <c r="AF42" s="1">
        <v>7.6019019999999999</v>
      </c>
      <c r="AG42" s="1">
        <v>0</v>
      </c>
      <c r="AH42" s="1">
        <f t="shared" si="3"/>
        <v>-1.3636363636363635</v>
      </c>
      <c r="AI42" s="1">
        <f t="shared" si="4"/>
        <v>-8.1513312799814414E-2</v>
      </c>
      <c r="AJ42" s="1">
        <f t="shared" si="5"/>
        <v>5.9776429386530577E-2</v>
      </c>
      <c r="AK42" s="1">
        <f t="shared" si="6"/>
        <v>279.85950413223139</v>
      </c>
      <c r="AL42" s="1">
        <f t="shared" si="7"/>
        <v>16.729001886909792</v>
      </c>
      <c r="AM42" s="1">
        <v>0</v>
      </c>
      <c r="AN42" s="1">
        <v>1</v>
      </c>
      <c r="AO42" s="1">
        <v>0</v>
      </c>
      <c r="AP42" s="1">
        <f t="shared" si="8"/>
        <v>5.9976014390406722E-2</v>
      </c>
      <c r="AQ42" s="1">
        <v>0</v>
      </c>
      <c r="AR42" s="1">
        <v>0</v>
      </c>
      <c r="AS42" s="1">
        <v>0</v>
      </c>
      <c r="AT42" s="1">
        <v>0</v>
      </c>
      <c r="AU42" s="4">
        <v>0</v>
      </c>
      <c r="AV42" s="4">
        <v>1</v>
      </c>
      <c r="AW42" s="1">
        <f t="shared" si="9"/>
        <v>0.5</v>
      </c>
      <c r="AX42" s="1">
        <f t="shared" si="10"/>
        <v>0.25</v>
      </c>
    </row>
    <row r="43" spans="1:50" x14ac:dyDescent="0.25">
      <c r="A43" s="1" t="s">
        <v>61</v>
      </c>
      <c r="B43" s="1">
        <v>1998</v>
      </c>
      <c r="C43" s="1">
        <f t="shared" si="15"/>
        <v>5</v>
      </c>
      <c r="D43" s="1" t="s">
        <v>24</v>
      </c>
      <c r="E43" s="1" t="s">
        <v>25</v>
      </c>
      <c r="F43" s="2">
        <v>-0.217</v>
      </c>
      <c r="G43" s="3">
        <v>3.4853838740764503E-2</v>
      </c>
      <c r="H43" s="1">
        <v>13</v>
      </c>
      <c r="I43" s="1">
        <v>1134</v>
      </c>
      <c r="J43" s="1">
        <f t="shared" si="0"/>
        <v>1121</v>
      </c>
      <c r="K43" s="1">
        <v>3</v>
      </c>
      <c r="L43" s="1">
        <v>1994</v>
      </c>
      <c r="M43" s="1">
        <v>1994</v>
      </c>
      <c r="N43" s="1">
        <f t="shared" si="11"/>
        <v>1994</v>
      </c>
      <c r="O43" s="1">
        <f t="shared" si="16"/>
        <v>1</v>
      </c>
      <c r="P43" s="1">
        <f t="shared" si="13"/>
        <v>0</v>
      </c>
      <c r="Q43" s="1">
        <v>25</v>
      </c>
      <c r="R43" s="1">
        <v>5</v>
      </c>
      <c r="S43" s="1" t="s">
        <v>26</v>
      </c>
      <c r="T43" s="1">
        <f t="shared" si="17"/>
        <v>0</v>
      </c>
      <c r="U43" s="1">
        <v>0</v>
      </c>
      <c r="V43" s="1">
        <v>1</v>
      </c>
      <c r="W43" s="1">
        <v>1</v>
      </c>
      <c r="X43" s="1">
        <v>0</v>
      </c>
      <c r="Y43" s="1">
        <v>1</v>
      </c>
      <c r="Z43" s="1">
        <v>0</v>
      </c>
      <c r="AA43" s="1">
        <v>0</v>
      </c>
      <c r="AB43" s="1" t="s">
        <v>85</v>
      </c>
      <c r="AC43" s="1">
        <f t="shared" si="14"/>
        <v>1</v>
      </c>
      <c r="AD43" s="1">
        <f t="shared" si="2"/>
        <v>1</v>
      </c>
      <c r="AE43" s="1">
        <v>1</v>
      </c>
      <c r="AF43" s="1">
        <v>7.5999020000000002</v>
      </c>
      <c r="AG43" s="1">
        <v>3.2580960000000001</v>
      </c>
      <c r="AH43" s="1">
        <f t="shared" si="3"/>
        <v>-6.2260000000000053</v>
      </c>
      <c r="AI43" s="1">
        <f t="shared" si="4"/>
        <v>-0.18282032534125445</v>
      </c>
      <c r="AJ43" s="1">
        <f t="shared" si="5"/>
        <v>2.9364009852434033E-2</v>
      </c>
      <c r="AK43" s="1">
        <f t="shared" si="6"/>
        <v>1159.763076</v>
      </c>
      <c r="AL43" s="1">
        <f t="shared" si="7"/>
        <v>34.0552943901532</v>
      </c>
      <c r="AM43" s="1">
        <v>0</v>
      </c>
      <c r="AN43" s="1">
        <v>0</v>
      </c>
      <c r="AO43" s="1">
        <v>1</v>
      </c>
      <c r="AP43" s="1">
        <f t="shared" si="8"/>
        <v>2.9867384554474945E-2</v>
      </c>
      <c r="AQ43" s="1">
        <v>1</v>
      </c>
      <c r="AR43" s="1">
        <v>0</v>
      </c>
      <c r="AS43" s="1">
        <v>0</v>
      </c>
      <c r="AT43" s="1">
        <v>0</v>
      </c>
      <c r="AU43" s="4">
        <v>0</v>
      </c>
      <c r="AV43" s="4">
        <v>0</v>
      </c>
      <c r="AW43" s="1">
        <f t="shared" si="9"/>
        <v>0.33333333333333331</v>
      </c>
      <c r="AX43" s="1">
        <f t="shared" si="10"/>
        <v>0.1111111111111111</v>
      </c>
    </row>
    <row r="44" spans="1:50" x14ac:dyDescent="0.25">
      <c r="A44" s="1" t="s">
        <v>61</v>
      </c>
      <c r="B44" s="1">
        <v>1998</v>
      </c>
      <c r="C44" s="1">
        <f t="shared" si="15"/>
        <v>5</v>
      </c>
      <c r="D44" s="1" t="s">
        <v>24</v>
      </c>
      <c r="E44" s="1" t="s">
        <v>25</v>
      </c>
      <c r="F44" s="2">
        <v>0.21079999999999999</v>
      </c>
      <c r="G44" s="3">
        <v>4.1131707317073198E-2</v>
      </c>
      <c r="H44" s="1">
        <v>12</v>
      </c>
      <c r="I44" s="1">
        <v>1134</v>
      </c>
      <c r="J44" s="1">
        <f t="shared" si="0"/>
        <v>1122</v>
      </c>
      <c r="K44" s="1">
        <v>3</v>
      </c>
      <c r="L44" s="1">
        <v>1994</v>
      </c>
      <c r="M44" s="1">
        <v>1994</v>
      </c>
      <c r="N44" s="1">
        <f t="shared" si="11"/>
        <v>1994</v>
      </c>
      <c r="O44" s="1">
        <f t="shared" si="16"/>
        <v>1</v>
      </c>
      <c r="P44" s="1">
        <f t="shared" si="13"/>
        <v>0</v>
      </c>
      <c r="Q44" s="1">
        <v>25</v>
      </c>
      <c r="R44" s="1">
        <v>5</v>
      </c>
      <c r="S44" s="1" t="s">
        <v>26</v>
      </c>
      <c r="T44" s="1">
        <f t="shared" si="17"/>
        <v>0</v>
      </c>
      <c r="U44" s="1">
        <v>0</v>
      </c>
      <c r="V44" s="1">
        <v>1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 t="s">
        <v>85</v>
      </c>
      <c r="AC44" s="1">
        <f t="shared" si="14"/>
        <v>1</v>
      </c>
      <c r="AD44" s="1">
        <f t="shared" si="2"/>
        <v>1</v>
      </c>
      <c r="AE44" s="1">
        <v>1</v>
      </c>
      <c r="AF44" s="1">
        <v>7.5999020000000002</v>
      </c>
      <c r="AG44" s="1">
        <v>3.2580960000000001</v>
      </c>
      <c r="AH44" s="1">
        <f t="shared" si="3"/>
        <v>5.1249999999999964</v>
      </c>
      <c r="AI44" s="1">
        <f t="shared" si="4"/>
        <v>0.1512420961397187</v>
      </c>
      <c r="AJ44" s="1">
        <f t="shared" si="5"/>
        <v>2.9510652905310988E-2</v>
      </c>
      <c r="AK44" s="1">
        <f t="shared" si="6"/>
        <v>1148.265625</v>
      </c>
      <c r="AL44" s="1">
        <f t="shared" si="7"/>
        <v>33.886068302474989</v>
      </c>
      <c r="AM44" s="1">
        <v>0</v>
      </c>
      <c r="AN44" s="1">
        <v>0</v>
      </c>
      <c r="AO44" s="1">
        <v>1</v>
      </c>
      <c r="AP44" s="1">
        <f t="shared" si="8"/>
        <v>2.9854071701326607E-2</v>
      </c>
      <c r="AQ44" s="1">
        <v>1</v>
      </c>
      <c r="AR44" s="1">
        <v>0</v>
      </c>
      <c r="AS44" s="1">
        <v>0</v>
      </c>
      <c r="AT44" s="1">
        <v>0</v>
      </c>
      <c r="AU44" s="4">
        <v>1</v>
      </c>
      <c r="AV44" s="4">
        <v>0</v>
      </c>
      <c r="AW44" s="1">
        <f t="shared" si="9"/>
        <v>0.33333333333333331</v>
      </c>
      <c r="AX44" s="1">
        <f t="shared" si="10"/>
        <v>0.1111111111111111</v>
      </c>
    </row>
    <row r="45" spans="1:50" x14ac:dyDescent="0.25">
      <c r="A45" s="1" t="s">
        <v>61</v>
      </c>
      <c r="B45" s="1">
        <v>1998</v>
      </c>
      <c r="C45" s="1">
        <f t="shared" si="15"/>
        <v>5</v>
      </c>
      <c r="D45" s="1" t="s">
        <v>24</v>
      </c>
      <c r="E45" s="1" t="s">
        <v>25</v>
      </c>
      <c r="F45" s="2">
        <v>-4.19E-2</v>
      </c>
      <c r="G45" s="3">
        <v>4.6247240618101502E-2</v>
      </c>
      <c r="H45" s="1">
        <v>13</v>
      </c>
      <c r="I45" s="1">
        <v>1134</v>
      </c>
      <c r="J45" s="1">
        <f t="shared" si="0"/>
        <v>1121</v>
      </c>
      <c r="K45" s="1">
        <v>3</v>
      </c>
      <c r="L45" s="1">
        <v>1994</v>
      </c>
      <c r="M45" s="1">
        <v>1994</v>
      </c>
      <c r="N45" s="1">
        <f t="shared" si="11"/>
        <v>1994</v>
      </c>
      <c r="O45" s="1">
        <f t="shared" si="16"/>
        <v>1</v>
      </c>
      <c r="P45" s="1">
        <f t="shared" si="13"/>
        <v>0</v>
      </c>
      <c r="Q45" s="1">
        <v>25</v>
      </c>
      <c r="R45" s="1">
        <v>5</v>
      </c>
      <c r="S45" s="1" t="s">
        <v>26</v>
      </c>
      <c r="T45" s="1">
        <f t="shared" si="17"/>
        <v>0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0</v>
      </c>
      <c r="AA45" s="1">
        <v>0</v>
      </c>
      <c r="AB45" s="1" t="s">
        <v>85</v>
      </c>
      <c r="AC45" s="1">
        <f t="shared" si="14"/>
        <v>1</v>
      </c>
      <c r="AD45" s="1">
        <f t="shared" si="2"/>
        <v>1</v>
      </c>
      <c r="AE45" s="1">
        <v>1</v>
      </c>
      <c r="AF45" s="1">
        <v>7.5999020000000002</v>
      </c>
      <c r="AG45" s="1">
        <v>3.2580960000000001</v>
      </c>
      <c r="AH45" s="1">
        <f t="shared" si="3"/>
        <v>-0.9060000000000008</v>
      </c>
      <c r="AI45" s="1">
        <f t="shared" si="4"/>
        <v>-2.7049948752179264E-2</v>
      </c>
      <c r="AJ45" s="1">
        <f t="shared" si="5"/>
        <v>2.9856455576356779E-2</v>
      </c>
      <c r="AK45" s="1">
        <f t="shared" si="6"/>
        <v>1121.8208359999999</v>
      </c>
      <c r="AL45" s="1">
        <f t="shared" si="7"/>
        <v>33.493593954665414</v>
      </c>
      <c r="AM45" s="1">
        <v>0</v>
      </c>
      <c r="AN45" s="1">
        <v>0</v>
      </c>
      <c r="AO45" s="1">
        <v>1</v>
      </c>
      <c r="AP45" s="1">
        <f t="shared" si="8"/>
        <v>2.9867384554474945E-2</v>
      </c>
      <c r="AQ45" s="1">
        <v>1</v>
      </c>
      <c r="AR45" s="1">
        <v>0</v>
      </c>
      <c r="AS45" s="1">
        <v>0</v>
      </c>
      <c r="AT45" s="1">
        <v>0</v>
      </c>
      <c r="AU45" s="4">
        <v>0</v>
      </c>
      <c r="AV45" s="4">
        <v>1</v>
      </c>
      <c r="AW45" s="1">
        <f t="shared" si="9"/>
        <v>0.33333333333333331</v>
      </c>
      <c r="AX45" s="1">
        <f t="shared" si="10"/>
        <v>0.1111111111111111</v>
      </c>
    </row>
    <row r="46" spans="1:50" x14ac:dyDescent="0.25">
      <c r="A46" s="1" t="s">
        <v>49</v>
      </c>
      <c r="B46" s="1">
        <v>2013</v>
      </c>
      <c r="C46" s="1">
        <f t="shared" si="15"/>
        <v>6</v>
      </c>
      <c r="D46" s="1" t="s">
        <v>24</v>
      </c>
      <c r="E46" s="1" t="s">
        <v>25</v>
      </c>
      <c r="F46" s="2">
        <v>-0.56000000000000005</v>
      </c>
      <c r="G46" s="3">
        <v>0.17899999999999999</v>
      </c>
      <c r="H46" s="1">
        <v>10</v>
      </c>
      <c r="I46" s="1">
        <v>344</v>
      </c>
      <c r="J46" s="1">
        <f t="shared" si="0"/>
        <v>334</v>
      </c>
      <c r="K46" s="1">
        <v>4</v>
      </c>
      <c r="L46" s="1">
        <v>2003</v>
      </c>
      <c r="M46" s="1">
        <v>2010</v>
      </c>
      <c r="N46" s="1">
        <f t="shared" si="11"/>
        <v>2006.5</v>
      </c>
      <c r="O46" s="1">
        <f t="shared" si="16"/>
        <v>8</v>
      </c>
      <c r="P46" s="1">
        <f t="shared" si="13"/>
        <v>2.0794415416798357</v>
      </c>
      <c r="Q46" s="1">
        <v>2</v>
      </c>
      <c r="R46" s="1">
        <v>0</v>
      </c>
      <c r="S46" s="1" t="s">
        <v>26</v>
      </c>
      <c r="T46" s="1">
        <f t="shared" si="17"/>
        <v>0</v>
      </c>
      <c r="U46" s="1">
        <v>1</v>
      </c>
      <c r="V46" s="1">
        <v>1</v>
      </c>
      <c r="W46" s="1">
        <v>1</v>
      </c>
      <c r="X46" s="1">
        <v>1</v>
      </c>
      <c r="Y46" s="1">
        <v>0</v>
      </c>
      <c r="Z46" s="1">
        <v>0</v>
      </c>
      <c r="AA46" s="1">
        <v>0</v>
      </c>
      <c r="AB46" s="1" t="s">
        <v>86</v>
      </c>
      <c r="AC46" s="1">
        <f t="shared" si="14"/>
        <v>4</v>
      </c>
      <c r="AD46" s="1">
        <f t="shared" si="2"/>
        <v>0</v>
      </c>
      <c r="AE46" s="1">
        <v>1</v>
      </c>
      <c r="AF46" s="1">
        <v>7.6073810000000002</v>
      </c>
      <c r="AG46" s="1">
        <v>1.0986119999999999</v>
      </c>
      <c r="AH46" s="1">
        <f t="shared" si="3"/>
        <v>-3.1284916201117321</v>
      </c>
      <c r="AI46" s="1">
        <f t="shared" si="4"/>
        <v>-0.16872909630678778</v>
      </c>
      <c r="AJ46" s="1">
        <f t="shared" si="5"/>
        <v>5.3933050426633947E-2</v>
      </c>
      <c r="AK46" s="1">
        <f t="shared" si="6"/>
        <v>343.78745981710938</v>
      </c>
      <c r="AL46" s="1">
        <f t="shared" si="7"/>
        <v>18.541506406360551</v>
      </c>
      <c r="AM46" s="1">
        <v>0</v>
      </c>
      <c r="AN46" s="1">
        <v>1</v>
      </c>
      <c r="AO46" s="1">
        <v>0</v>
      </c>
      <c r="AP46" s="1">
        <f t="shared" si="8"/>
        <v>5.4717565516458275E-2</v>
      </c>
      <c r="AQ46" s="1">
        <v>1</v>
      </c>
      <c r="AR46" s="1">
        <v>0</v>
      </c>
      <c r="AS46" s="1">
        <v>1</v>
      </c>
      <c r="AT46" s="1">
        <v>0</v>
      </c>
      <c r="AU46" s="4">
        <v>0</v>
      </c>
      <c r="AV46" s="4">
        <v>1</v>
      </c>
      <c r="AW46" s="1">
        <f t="shared" si="9"/>
        <v>0.25</v>
      </c>
      <c r="AX46" s="1">
        <f t="shared" si="10"/>
        <v>6.25E-2</v>
      </c>
    </row>
    <row r="47" spans="1:50" x14ac:dyDescent="0.25">
      <c r="A47" s="1" t="s">
        <v>49</v>
      </c>
      <c r="B47" s="1">
        <v>2013</v>
      </c>
      <c r="C47" s="1">
        <f t="shared" si="15"/>
        <v>6</v>
      </c>
      <c r="D47" s="1" t="s">
        <v>24</v>
      </c>
      <c r="E47" s="1" t="s">
        <v>25</v>
      </c>
      <c r="F47" s="2">
        <v>-0.29599999999999999</v>
      </c>
      <c r="G47" s="3">
        <v>0.10199999999999999</v>
      </c>
      <c r="H47" s="1">
        <v>8</v>
      </c>
      <c r="I47" s="1">
        <v>344</v>
      </c>
      <c r="J47" s="1">
        <f t="shared" si="0"/>
        <v>336</v>
      </c>
      <c r="K47" s="1">
        <v>4</v>
      </c>
      <c r="L47" s="1">
        <v>2003</v>
      </c>
      <c r="M47" s="1">
        <v>2010</v>
      </c>
      <c r="N47" s="1">
        <f t="shared" si="11"/>
        <v>2006.5</v>
      </c>
      <c r="O47" s="1">
        <f t="shared" si="16"/>
        <v>8</v>
      </c>
      <c r="P47" s="1">
        <f t="shared" si="13"/>
        <v>2.0794415416798357</v>
      </c>
      <c r="Q47" s="1">
        <v>2</v>
      </c>
      <c r="R47" s="1">
        <v>0</v>
      </c>
      <c r="S47" s="1" t="s">
        <v>27</v>
      </c>
      <c r="T47" s="1">
        <f t="shared" si="17"/>
        <v>0</v>
      </c>
      <c r="U47" s="1">
        <v>1</v>
      </c>
      <c r="V47" s="1">
        <v>1</v>
      </c>
      <c r="W47" s="1">
        <v>1</v>
      </c>
      <c r="X47" s="1">
        <v>1</v>
      </c>
      <c r="Y47" s="1">
        <v>0</v>
      </c>
      <c r="Z47" s="1">
        <v>0</v>
      </c>
      <c r="AA47" s="1">
        <v>0</v>
      </c>
      <c r="AB47" s="1" t="s">
        <v>86</v>
      </c>
      <c r="AC47" s="1">
        <f t="shared" si="14"/>
        <v>4</v>
      </c>
      <c r="AD47" s="1">
        <f t="shared" si="2"/>
        <v>0</v>
      </c>
      <c r="AE47" s="1">
        <v>1</v>
      </c>
      <c r="AF47" s="1">
        <v>7.6073810000000002</v>
      </c>
      <c r="AG47" s="1">
        <v>1.0986119999999999</v>
      </c>
      <c r="AH47" s="1">
        <f t="shared" si="3"/>
        <v>-2.9019607843137254</v>
      </c>
      <c r="AI47" s="1">
        <f t="shared" si="4"/>
        <v>-0.15636749913195835</v>
      </c>
      <c r="AJ47" s="1">
        <f t="shared" si="5"/>
        <v>5.3883394971147816E-2</v>
      </c>
      <c r="AK47" s="1">
        <f t="shared" si="6"/>
        <v>344.42137639369469</v>
      </c>
      <c r="AL47" s="1">
        <f t="shared" si="7"/>
        <v>18.558593060727816</v>
      </c>
      <c r="AM47" s="1">
        <v>0</v>
      </c>
      <c r="AN47" s="1">
        <v>1</v>
      </c>
      <c r="AO47" s="1">
        <v>0</v>
      </c>
      <c r="AP47" s="1">
        <f t="shared" si="8"/>
        <v>5.4554472558998097E-2</v>
      </c>
      <c r="AQ47" s="1">
        <v>0</v>
      </c>
      <c r="AR47" s="1">
        <v>1</v>
      </c>
      <c r="AS47" s="1">
        <v>1</v>
      </c>
      <c r="AT47" s="1">
        <v>0</v>
      </c>
      <c r="AU47" s="4">
        <v>0</v>
      </c>
      <c r="AV47" s="4">
        <v>1</v>
      </c>
      <c r="AW47" s="1">
        <f t="shared" si="9"/>
        <v>0.25</v>
      </c>
      <c r="AX47" s="1">
        <f t="shared" si="10"/>
        <v>6.25E-2</v>
      </c>
    </row>
    <row r="48" spans="1:50" x14ac:dyDescent="0.25">
      <c r="A48" s="1" t="s">
        <v>49</v>
      </c>
      <c r="B48" s="1">
        <v>2013</v>
      </c>
      <c r="C48" s="1">
        <f t="shared" si="15"/>
        <v>6</v>
      </c>
      <c r="D48" s="1" t="s">
        <v>24</v>
      </c>
      <c r="E48" s="1" t="s">
        <v>25</v>
      </c>
      <c r="F48" s="2">
        <v>-0.63400000000000001</v>
      </c>
      <c r="G48" s="3">
        <v>0.26200000000000001</v>
      </c>
      <c r="H48" s="1">
        <v>10</v>
      </c>
      <c r="I48" s="1">
        <v>344</v>
      </c>
      <c r="J48" s="1">
        <f t="shared" si="0"/>
        <v>334</v>
      </c>
      <c r="K48" s="1">
        <v>4</v>
      </c>
      <c r="L48" s="1">
        <v>2003</v>
      </c>
      <c r="M48" s="1">
        <v>2010</v>
      </c>
      <c r="N48" s="1">
        <f t="shared" si="11"/>
        <v>2006.5</v>
      </c>
      <c r="O48" s="1">
        <f t="shared" si="16"/>
        <v>8</v>
      </c>
      <c r="P48" s="1">
        <f t="shared" si="13"/>
        <v>2.0794415416798357</v>
      </c>
      <c r="Q48" s="1">
        <v>2</v>
      </c>
      <c r="R48" s="1">
        <v>0</v>
      </c>
      <c r="S48" s="1" t="s">
        <v>26</v>
      </c>
      <c r="T48" s="1">
        <f t="shared" si="17"/>
        <v>0</v>
      </c>
      <c r="U48" s="1">
        <v>1</v>
      </c>
      <c r="V48" s="1">
        <v>1</v>
      </c>
      <c r="W48" s="1">
        <v>1</v>
      </c>
      <c r="X48" s="1">
        <v>1</v>
      </c>
      <c r="Y48" s="1">
        <v>0</v>
      </c>
      <c r="Z48" s="1">
        <v>0</v>
      </c>
      <c r="AA48" s="1">
        <v>0</v>
      </c>
      <c r="AB48" s="1" t="s">
        <v>86</v>
      </c>
      <c r="AC48" s="1">
        <f t="shared" si="14"/>
        <v>4</v>
      </c>
      <c r="AD48" s="1">
        <f t="shared" si="2"/>
        <v>0</v>
      </c>
      <c r="AE48" s="1">
        <v>1</v>
      </c>
      <c r="AF48" s="1">
        <v>7.6073810000000002</v>
      </c>
      <c r="AG48" s="1">
        <v>1.0986119999999999</v>
      </c>
      <c r="AH48" s="1">
        <f t="shared" si="3"/>
        <v>-2.4198473282442747</v>
      </c>
      <c r="AI48" s="1">
        <f t="shared" si="4"/>
        <v>-0.13126251233728603</v>
      </c>
      <c r="AJ48" s="1">
        <f t="shared" si="5"/>
        <v>5.4244129704051958E-2</v>
      </c>
      <c r="AK48" s="1">
        <f t="shared" si="6"/>
        <v>339.85566109201091</v>
      </c>
      <c r="AL48" s="1">
        <f t="shared" si="7"/>
        <v>18.435174560931365</v>
      </c>
      <c r="AM48" s="1">
        <v>0</v>
      </c>
      <c r="AN48" s="1">
        <v>1</v>
      </c>
      <c r="AO48" s="1">
        <v>0</v>
      </c>
      <c r="AP48" s="1">
        <f t="shared" si="8"/>
        <v>5.4717565516458275E-2</v>
      </c>
      <c r="AQ48" s="1">
        <v>1</v>
      </c>
      <c r="AR48" s="1">
        <v>0</v>
      </c>
      <c r="AS48" s="1">
        <v>0</v>
      </c>
      <c r="AT48" s="1">
        <v>1</v>
      </c>
      <c r="AU48" s="4">
        <v>0</v>
      </c>
      <c r="AV48" s="4">
        <v>1</v>
      </c>
      <c r="AW48" s="1">
        <f t="shared" si="9"/>
        <v>0.25</v>
      </c>
      <c r="AX48" s="1">
        <f t="shared" si="10"/>
        <v>6.25E-2</v>
      </c>
    </row>
    <row r="49" spans="1:50" x14ac:dyDescent="0.25">
      <c r="A49" s="1" t="s">
        <v>49</v>
      </c>
      <c r="B49" s="1">
        <v>2013</v>
      </c>
      <c r="C49" s="1">
        <f t="shared" si="15"/>
        <v>6</v>
      </c>
      <c r="D49" s="1" t="s">
        <v>24</v>
      </c>
      <c r="E49" s="1" t="s">
        <v>25</v>
      </c>
      <c r="F49" s="2">
        <v>-0.27</v>
      </c>
      <c r="G49" s="3">
        <v>8.8700000000000001E-2</v>
      </c>
      <c r="H49" s="1">
        <v>8</v>
      </c>
      <c r="I49" s="1">
        <v>344</v>
      </c>
      <c r="J49" s="1">
        <f t="shared" si="0"/>
        <v>336</v>
      </c>
      <c r="K49" s="1">
        <v>4</v>
      </c>
      <c r="L49" s="1">
        <v>2003</v>
      </c>
      <c r="M49" s="1">
        <v>2010</v>
      </c>
      <c r="N49" s="1">
        <f t="shared" si="11"/>
        <v>2006.5</v>
      </c>
      <c r="O49" s="1">
        <f t="shared" si="16"/>
        <v>8</v>
      </c>
      <c r="P49" s="1">
        <f t="shared" si="13"/>
        <v>2.0794415416798357</v>
      </c>
      <c r="Q49" s="1">
        <v>2</v>
      </c>
      <c r="R49" s="1">
        <v>0</v>
      </c>
      <c r="S49" s="1" t="s">
        <v>27</v>
      </c>
      <c r="T49" s="1">
        <f t="shared" si="17"/>
        <v>0</v>
      </c>
      <c r="U49" s="1">
        <v>1</v>
      </c>
      <c r="V49" s="1">
        <v>1</v>
      </c>
      <c r="W49" s="1">
        <v>1</v>
      </c>
      <c r="X49" s="1">
        <v>1</v>
      </c>
      <c r="Y49" s="1">
        <v>0</v>
      </c>
      <c r="Z49" s="1">
        <v>0</v>
      </c>
      <c r="AA49" s="1">
        <v>0</v>
      </c>
      <c r="AB49" s="1" t="s">
        <v>86</v>
      </c>
      <c r="AC49" s="1">
        <f t="shared" si="14"/>
        <v>4</v>
      </c>
      <c r="AD49" s="1">
        <f t="shared" si="2"/>
        <v>0</v>
      </c>
      <c r="AE49" s="1">
        <v>1</v>
      </c>
      <c r="AF49" s="1">
        <v>7.6073810000000002</v>
      </c>
      <c r="AG49" s="1">
        <v>1.0986119999999999</v>
      </c>
      <c r="AH49" s="1">
        <f t="shared" si="3"/>
        <v>-3.043968432919955</v>
      </c>
      <c r="AI49" s="1">
        <f t="shared" si="4"/>
        <v>-0.16381867115382673</v>
      </c>
      <c r="AJ49" s="1">
        <f t="shared" si="5"/>
        <v>5.3817467153127518E-2</v>
      </c>
      <c r="AK49" s="1">
        <f t="shared" si="6"/>
        <v>345.26574382061318</v>
      </c>
      <c r="AL49" s="1">
        <f t="shared" si="7"/>
        <v>18.581327827165989</v>
      </c>
      <c r="AM49" s="1">
        <v>0</v>
      </c>
      <c r="AN49" s="1">
        <v>1</v>
      </c>
      <c r="AO49" s="1">
        <v>0</v>
      </c>
      <c r="AP49" s="1">
        <f t="shared" si="8"/>
        <v>5.4554472558998097E-2</v>
      </c>
      <c r="AQ49" s="1">
        <v>0</v>
      </c>
      <c r="AR49" s="1">
        <v>1</v>
      </c>
      <c r="AS49" s="1">
        <v>0</v>
      </c>
      <c r="AT49" s="1">
        <v>1</v>
      </c>
      <c r="AU49" s="4">
        <v>0</v>
      </c>
      <c r="AV49" s="4">
        <v>1</v>
      </c>
      <c r="AW49" s="1">
        <f t="shared" si="9"/>
        <v>0.25</v>
      </c>
      <c r="AX49" s="1">
        <f t="shared" si="10"/>
        <v>6.25E-2</v>
      </c>
    </row>
    <row r="50" spans="1:50" x14ac:dyDescent="0.25">
      <c r="A50" s="1" t="s">
        <v>52</v>
      </c>
      <c r="B50" s="1">
        <v>2004</v>
      </c>
      <c r="C50" s="1">
        <f t="shared" si="15"/>
        <v>7</v>
      </c>
      <c r="D50" s="1" t="s">
        <v>24</v>
      </c>
      <c r="E50" s="1" t="s">
        <v>25</v>
      </c>
      <c r="F50" s="2">
        <v>-0.6</v>
      </c>
      <c r="G50" s="3">
        <v>0.36099999999999999</v>
      </c>
      <c r="H50" s="1">
        <v>18</v>
      </c>
      <c r="I50" s="1">
        <v>138</v>
      </c>
      <c r="J50" s="1">
        <f t="shared" si="0"/>
        <v>120</v>
      </c>
      <c r="K50" s="1">
        <v>6</v>
      </c>
      <c r="L50" s="1">
        <v>1988</v>
      </c>
      <c r="M50" s="1">
        <v>1998</v>
      </c>
      <c r="N50" s="1">
        <f t="shared" si="11"/>
        <v>1993</v>
      </c>
      <c r="O50" s="1">
        <f t="shared" si="16"/>
        <v>11</v>
      </c>
      <c r="P50" s="1">
        <f t="shared" si="13"/>
        <v>2.3978952727983707</v>
      </c>
      <c r="Q50" s="1">
        <v>42</v>
      </c>
      <c r="R50" s="1">
        <v>3</v>
      </c>
      <c r="S50" s="1" t="s">
        <v>26</v>
      </c>
      <c r="T50" s="1">
        <f t="shared" si="17"/>
        <v>0</v>
      </c>
      <c r="U50" s="1">
        <v>0</v>
      </c>
      <c r="V50" s="1">
        <v>1</v>
      </c>
      <c r="W50" s="1">
        <v>0</v>
      </c>
      <c r="X50" s="1">
        <v>0</v>
      </c>
      <c r="Y50" s="1">
        <v>1</v>
      </c>
      <c r="Z50" s="1">
        <v>0</v>
      </c>
      <c r="AA50" s="1">
        <v>0</v>
      </c>
      <c r="AB50" s="1" t="s">
        <v>85</v>
      </c>
      <c r="AC50" s="1">
        <f t="shared" si="14"/>
        <v>1</v>
      </c>
      <c r="AD50" s="1">
        <f t="shared" si="2"/>
        <v>1</v>
      </c>
      <c r="AE50" s="1">
        <v>1</v>
      </c>
      <c r="AF50" s="1">
        <v>7.6029010000000001</v>
      </c>
      <c r="AG50" s="1">
        <v>3.7612000000000001</v>
      </c>
      <c r="AH50" s="1">
        <f t="shared" si="3"/>
        <v>-1.6620498614958448</v>
      </c>
      <c r="AI50" s="1">
        <f t="shared" si="4"/>
        <v>-0.15000693798132614</v>
      </c>
      <c r="AJ50" s="1">
        <f t="shared" si="5"/>
        <v>9.0254174352097899E-2</v>
      </c>
      <c r="AK50" s="1">
        <f t="shared" si="6"/>
        <v>122.76240974209837</v>
      </c>
      <c r="AL50" s="1">
        <f t="shared" si="7"/>
        <v>11.079819932747029</v>
      </c>
      <c r="AM50" s="1">
        <v>1</v>
      </c>
      <c r="AN50" s="1">
        <v>0</v>
      </c>
      <c r="AO50" s="1">
        <v>0</v>
      </c>
      <c r="AP50" s="1">
        <f t="shared" si="8"/>
        <v>9.1287092917527679E-2</v>
      </c>
      <c r="AQ50" s="1">
        <v>1</v>
      </c>
      <c r="AR50" s="1">
        <v>0</v>
      </c>
      <c r="AS50" s="1">
        <v>0</v>
      </c>
      <c r="AT50" s="1">
        <v>0</v>
      </c>
      <c r="AU50" s="4">
        <v>1</v>
      </c>
      <c r="AV50" s="4">
        <v>0</v>
      </c>
      <c r="AW50" s="1">
        <f t="shared" si="9"/>
        <v>0.16666666666666666</v>
      </c>
      <c r="AX50" s="1">
        <f t="shared" si="10"/>
        <v>2.7777777777777776E-2</v>
      </c>
    </row>
    <row r="51" spans="1:50" x14ac:dyDescent="0.25">
      <c r="A51" s="1" t="s">
        <v>52</v>
      </c>
      <c r="B51" s="1">
        <v>2004</v>
      </c>
      <c r="C51" s="1">
        <f t="shared" si="15"/>
        <v>7</v>
      </c>
      <c r="D51" s="1" t="s">
        <v>24</v>
      </c>
      <c r="E51" s="1" t="s">
        <v>25</v>
      </c>
      <c r="F51" s="2">
        <v>-0.76100000000000001</v>
      </c>
      <c r="G51" s="3">
        <v>0.157</v>
      </c>
      <c r="H51" s="1">
        <v>7</v>
      </c>
      <c r="I51" s="1">
        <v>333</v>
      </c>
      <c r="J51" s="1">
        <f t="shared" si="0"/>
        <v>326</v>
      </c>
      <c r="K51" s="1">
        <v>6</v>
      </c>
      <c r="L51" s="1">
        <v>1988</v>
      </c>
      <c r="M51" s="1">
        <v>1998</v>
      </c>
      <c r="N51" s="1">
        <f t="shared" si="11"/>
        <v>1993</v>
      </c>
      <c r="O51" s="1">
        <f t="shared" si="16"/>
        <v>11</v>
      </c>
      <c r="P51" s="1">
        <f t="shared" si="13"/>
        <v>2.3978952727983707</v>
      </c>
      <c r="Q51" s="1">
        <v>42</v>
      </c>
      <c r="R51" s="1">
        <v>3</v>
      </c>
      <c r="S51" s="1" t="s">
        <v>26</v>
      </c>
      <c r="T51" s="1">
        <f t="shared" si="17"/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 t="s">
        <v>85</v>
      </c>
      <c r="AC51" s="1">
        <f t="shared" si="14"/>
        <v>1</v>
      </c>
      <c r="AD51" s="1">
        <f t="shared" si="2"/>
        <v>1</v>
      </c>
      <c r="AE51" s="1">
        <v>1</v>
      </c>
      <c r="AF51" s="1">
        <v>7.6029010000000001</v>
      </c>
      <c r="AG51" s="1">
        <v>3.7612000000000001</v>
      </c>
      <c r="AH51" s="1">
        <f t="shared" si="3"/>
        <v>-4.8471337579617835</v>
      </c>
      <c r="AI51" s="1">
        <f t="shared" si="4"/>
        <v>-0.25927742433432616</v>
      </c>
      <c r="AJ51" s="1">
        <f t="shared" si="5"/>
        <v>5.3490874665557429E-2</v>
      </c>
      <c r="AK51" s="1">
        <f t="shared" si="6"/>
        <v>349.4947056675727</v>
      </c>
      <c r="AL51" s="1">
        <f t="shared" si="7"/>
        <v>18.694777497140016</v>
      </c>
      <c r="AM51" s="1">
        <v>1</v>
      </c>
      <c r="AN51" s="1">
        <v>0</v>
      </c>
      <c r="AO51" s="1">
        <v>0</v>
      </c>
      <c r="AP51" s="1">
        <f t="shared" si="8"/>
        <v>5.5384877562171128E-2</v>
      </c>
      <c r="AQ51" s="1">
        <v>1</v>
      </c>
      <c r="AR51" s="1">
        <v>0</v>
      </c>
      <c r="AS51" s="1">
        <v>0</v>
      </c>
      <c r="AT51" s="1">
        <v>0</v>
      </c>
      <c r="AU51" s="4">
        <v>1</v>
      </c>
      <c r="AV51" s="4">
        <v>0</v>
      </c>
      <c r="AW51" s="1">
        <f t="shared" si="9"/>
        <v>0.16666666666666666</v>
      </c>
      <c r="AX51" s="1">
        <f t="shared" si="10"/>
        <v>2.7777777777777776E-2</v>
      </c>
    </row>
    <row r="52" spans="1:50" x14ac:dyDescent="0.25">
      <c r="A52" s="1" t="s">
        <v>52</v>
      </c>
      <c r="B52" s="1">
        <v>2004</v>
      </c>
      <c r="C52" s="1">
        <f t="shared" si="15"/>
        <v>7</v>
      </c>
      <c r="D52" s="1" t="s">
        <v>24</v>
      </c>
      <c r="E52" s="1" t="s">
        <v>25</v>
      </c>
      <c r="F52" s="2">
        <v>-0.6</v>
      </c>
      <c r="G52" s="3">
        <v>0.36099999999999999</v>
      </c>
      <c r="H52" s="1">
        <v>16</v>
      </c>
      <c r="I52" s="1">
        <v>138</v>
      </c>
      <c r="J52" s="1">
        <f t="shared" si="0"/>
        <v>122</v>
      </c>
      <c r="K52" s="1">
        <v>6</v>
      </c>
      <c r="L52" s="1">
        <v>1988</v>
      </c>
      <c r="M52" s="1">
        <v>1998</v>
      </c>
      <c r="N52" s="1">
        <f t="shared" si="11"/>
        <v>1993</v>
      </c>
      <c r="O52" s="1">
        <f t="shared" si="16"/>
        <v>11</v>
      </c>
      <c r="P52" s="1">
        <f t="shared" si="13"/>
        <v>2.3978952727983707</v>
      </c>
      <c r="Q52" s="1">
        <v>42</v>
      </c>
      <c r="R52" s="1">
        <v>3</v>
      </c>
      <c r="S52" s="1" t="s">
        <v>26</v>
      </c>
      <c r="T52" s="1">
        <f t="shared" si="17"/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 t="s">
        <v>85</v>
      </c>
      <c r="AC52" s="1">
        <f t="shared" si="14"/>
        <v>1</v>
      </c>
      <c r="AD52" s="1">
        <f t="shared" si="2"/>
        <v>1</v>
      </c>
      <c r="AE52" s="1">
        <v>1</v>
      </c>
      <c r="AF52" s="1">
        <v>7.6029010000000001</v>
      </c>
      <c r="AG52" s="1">
        <v>3.7612000000000001</v>
      </c>
      <c r="AH52" s="1">
        <f t="shared" si="3"/>
        <v>-1.6620498614958448</v>
      </c>
      <c r="AI52" s="1">
        <f t="shared" si="4"/>
        <v>-0.14879973962687221</v>
      </c>
      <c r="AJ52" s="1">
        <f t="shared" si="5"/>
        <v>8.9527843342168123E-2</v>
      </c>
      <c r="AK52" s="1">
        <f t="shared" si="6"/>
        <v>124.76240974209833</v>
      </c>
      <c r="AL52" s="1">
        <f t="shared" si="7"/>
        <v>11.169709474381969</v>
      </c>
      <c r="AM52" s="1">
        <v>1</v>
      </c>
      <c r="AN52" s="1">
        <v>0</v>
      </c>
      <c r="AO52" s="1">
        <v>0</v>
      </c>
      <c r="AP52" s="1">
        <f t="shared" si="8"/>
        <v>9.0535746042518531E-2</v>
      </c>
      <c r="AQ52" s="1">
        <v>1</v>
      </c>
      <c r="AR52" s="1">
        <v>0</v>
      </c>
      <c r="AS52" s="1">
        <v>0</v>
      </c>
      <c r="AT52" s="1">
        <v>0</v>
      </c>
      <c r="AU52" s="4">
        <v>1</v>
      </c>
      <c r="AV52" s="4">
        <v>0</v>
      </c>
      <c r="AW52" s="1">
        <f t="shared" si="9"/>
        <v>0.16666666666666666</v>
      </c>
      <c r="AX52" s="1">
        <f t="shared" si="10"/>
        <v>2.7777777777777776E-2</v>
      </c>
    </row>
    <row r="53" spans="1:50" x14ac:dyDescent="0.25">
      <c r="A53" s="1" t="s">
        <v>52</v>
      </c>
      <c r="B53" s="1">
        <v>2004</v>
      </c>
      <c r="C53" s="1">
        <f t="shared" si="15"/>
        <v>7</v>
      </c>
      <c r="D53" s="1" t="s">
        <v>24</v>
      </c>
      <c r="E53" s="1" t="s">
        <v>25</v>
      </c>
      <c r="F53" s="2">
        <v>-1.27</v>
      </c>
      <c r="G53" s="3">
        <v>0.22800000000000001</v>
      </c>
      <c r="H53" s="1">
        <v>20</v>
      </c>
      <c r="I53" s="1">
        <v>168</v>
      </c>
      <c r="J53" s="1">
        <f t="shared" si="0"/>
        <v>148</v>
      </c>
      <c r="K53" s="1">
        <v>6</v>
      </c>
      <c r="L53" s="1">
        <v>1988</v>
      </c>
      <c r="M53" s="1">
        <v>1998</v>
      </c>
      <c r="N53" s="1">
        <f t="shared" si="11"/>
        <v>1993</v>
      </c>
      <c r="O53" s="1">
        <f t="shared" si="16"/>
        <v>11</v>
      </c>
      <c r="P53" s="1">
        <f t="shared" si="13"/>
        <v>2.3978952727983707</v>
      </c>
      <c r="Q53" s="1">
        <v>42</v>
      </c>
      <c r="R53" s="1">
        <v>3</v>
      </c>
      <c r="S53" s="1" t="s">
        <v>26</v>
      </c>
      <c r="T53" s="1">
        <f t="shared" si="17"/>
        <v>0</v>
      </c>
      <c r="U53" s="1">
        <v>0</v>
      </c>
      <c r="V53" s="1">
        <v>1</v>
      </c>
      <c r="W53" s="1">
        <v>0</v>
      </c>
      <c r="X53" s="1">
        <v>0</v>
      </c>
      <c r="Y53" s="1">
        <v>1</v>
      </c>
      <c r="Z53" s="1">
        <v>0</v>
      </c>
      <c r="AA53" s="1">
        <v>0</v>
      </c>
      <c r="AB53" s="1" t="s">
        <v>85</v>
      </c>
      <c r="AC53" s="1">
        <f t="shared" si="14"/>
        <v>1</v>
      </c>
      <c r="AD53" s="1">
        <f t="shared" si="2"/>
        <v>1</v>
      </c>
      <c r="AE53" s="1">
        <v>1</v>
      </c>
      <c r="AF53" s="1">
        <v>7.6029010000000001</v>
      </c>
      <c r="AG53" s="1">
        <v>3.7612000000000001</v>
      </c>
      <c r="AH53" s="1">
        <f t="shared" si="3"/>
        <v>-5.5701754385964914</v>
      </c>
      <c r="AI53" s="1">
        <f t="shared" si="4"/>
        <v>-0.41630323285183224</v>
      </c>
      <c r="AJ53" s="1">
        <f t="shared" si="5"/>
        <v>7.47379032206439E-2</v>
      </c>
      <c r="AK53" s="1">
        <f t="shared" si="6"/>
        <v>179.02685441674356</v>
      </c>
      <c r="AL53" s="1">
        <f t="shared" si="7"/>
        <v>13.380091719294885</v>
      </c>
      <c r="AM53" s="1">
        <v>1</v>
      </c>
      <c r="AN53" s="1">
        <v>0</v>
      </c>
      <c r="AO53" s="1">
        <v>0</v>
      </c>
      <c r="AP53" s="1">
        <f t="shared" si="8"/>
        <v>8.2199493652678646E-2</v>
      </c>
      <c r="AQ53" s="1">
        <v>1</v>
      </c>
      <c r="AR53" s="1">
        <v>0</v>
      </c>
      <c r="AS53" s="1">
        <v>0</v>
      </c>
      <c r="AT53" s="1">
        <v>0</v>
      </c>
      <c r="AU53" s="4">
        <v>1</v>
      </c>
      <c r="AV53" s="4">
        <v>0</v>
      </c>
      <c r="AW53" s="1">
        <f t="shared" si="9"/>
        <v>0.16666666666666666</v>
      </c>
      <c r="AX53" s="1">
        <f t="shared" si="10"/>
        <v>2.7777777777777776E-2</v>
      </c>
    </row>
    <row r="54" spans="1:50" x14ac:dyDescent="0.25">
      <c r="A54" s="1" t="s">
        <v>52</v>
      </c>
      <c r="B54" s="1">
        <v>2004</v>
      </c>
      <c r="C54" s="1">
        <f t="shared" si="15"/>
        <v>7</v>
      </c>
      <c r="D54" s="1" t="s">
        <v>24</v>
      </c>
      <c r="E54" s="1" t="s">
        <v>25</v>
      </c>
      <c r="F54" s="2">
        <v>-1.18</v>
      </c>
      <c r="G54" s="3">
        <v>0.127</v>
      </c>
      <c r="H54" s="1">
        <v>10</v>
      </c>
      <c r="I54" s="1">
        <v>356</v>
      </c>
      <c r="J54" s="1">
        <f t="shared" si="0"/>
        <v>346</v>
      </c>
      <c r="K54" s="1">
        <v>6</v>
      </c>
      <c r="L54" s="1">
        <v>1988</v>
      </c>
      <c r="M54" s="1">
        <v>1998</v>
      </c>
      <c r="N54" s="1">
        <f t="shared" si="11"/>
        <v>1993</v>
      </c>
      <c r="O54" s="1">
        <f t="shared" si="16"/>
        <v>11</v>
      </c>
      <c r="P54" s="1">
        <f t="shared" si="13"/>
        <v>2.3978952727983707</v>
      </c>
      <c r="Q54" s="1">
        <v>42</v>
      </c>
      <c r="R54" s="1">
        <v>3</v>
      </c>
      <c r="S54" s="1" t="s">
        <v>26</v>
      </c>
      <c r="T54" s="1">
        <f t="shared" si="17"/>
        <v>0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 t="s">
        <v>85</v>
      </c>
      <c r="AC54" s="1">
        <f t="shared" si="14"/>
        <v>1</v>
      </c>
      <c r="AD54" s="1">
        <f t="shared" si="2"/>
        <v>1</v>
      </c>
      <c r="AE54" s="1">
        <v>1</v>
      </c>
      <c r="AF54" s="1">
        <v>7.6029010000000001</v>
      </c>
      <c r="AG54" s="1">
        <v>3.7612000000000001</v>
      </c>
      <c r="AH54" s="1">
        <f t="shared" si="3"/>
        <v>-9.2913385826771648</v>
      </c>
      <c r="AI54" s="1">
        <f t="shared" si="4"/>
        <v>-0.44685962415507341</v>
      </c>
      <c r="AJ54" s="1">
        <f t="shared" si="5"/>
        <v>4.809421378618163E-2</v>
      </c>
      <c r="AK54" s="1">
        <f t="shared" si="6"/>
        <v>432.32897265794537</v>
      </c>
      <c r="AL54" s="1">
        <f t="shared" si="7"/>
        <v>20.792522036971498</v>
      </c>
      <c r="AM54" s="1">
        <v>1</v>
      </c>
      <c r="AN54" s="1">
        <v>0</v>
      </c>
      <c r="AO54" s="1">
        <v>0</v>
      </c>
      <c r="AP54" s="1">
        <f t="shared" si="8"/>
        <v>5.3760333057047034E-2</v>
      </c>
      <c r="AQ54" s="1">
        <v>1</v>
      </c>
      <c r="AR54" s="1">
        <v>0</v>
      </c>
      <c r="AS54" s="1">
        <v>0</v>
      </c>
      <c r="AT54" s="1">
        <v>0</v>
      </c>
      <c r="AU54" s="4">
        <v>1</v>
      </c>
      <c r="AV54" s="4">
        <v>0</v>
      </c>
      <c r="AW54" s="1">
        <f t="shared" si="9"/>
        <v>0.16666666666666666</v>
      </c>
      <c r="AX54" s="1">
        <f t="shared" si="10"/>
        <v>2.7777777777777776E-2</v>
      </c>
    </row>
    <row r="55" spans="1:50" x14ac:dyDescent="0.25">
      <c r="A55" s="1" t="s">
        <v>52</v>
      </c>
      <c r="B55" s="1">
        <v>2004</v>
      </c>
      <c r="C55" s="1">
        <f t="shared" si="15"/>
        <v>7</v>
      </c>
      <c r="D55" s="1" t="s">
        <v>24</v>
      </c>
      <c r="E55" s="1" t="s">
        <v>25</v>
      </c>
      <c r="F55" s="2">
        <v>-6.9000000000000006E-2</v>
      </c>
      <c r="G55" s="3">
        <v>8.2000000000000007E-3</v>
      </c>
      <c r="H55" s="1">
        <v>10</v>
      </c>
      <c r="I55" s="1">
        <v>356</v>
      </c>
      <c r="J55" s="1">
        <f t="shared" si="0"/>
        <v>346</v>
      </c>
      <c r="K55" s="1">
        <v>6</v>
      </c>
      <c r="L55" s="1">
        <v>1988</v>
      </c>
      <c r="M55" s="1">
        <v>1998</v>
      </c>
      <c r="N55" s="1">
        <f t="shared" si="11"/>
        <v>1993</v>
      </c>
      <c r="O55" s="1">
        <f t="shared" si="16"/>
        <v>11</v>
      </c>
      <c r="P55" s="1">
        <f t="shared" si="13"/>
        <v>2.3978952727983707</v>
      </c>
      <c r="Q55" s="1">
        <v>42</v>
      </c>
      <c r="R55" s="1">
        <v>3</v>
      </c>
      <c r="S55" s="1" t="s">
        <v>26</v>
      </c>
      <c r="T55" s="1">
        <f t="shared" si="17"/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 t="s">
        <v>85</v>
      </c>
      <c r="AC55" s="1">
        <f t="shared" si="14"/>
        <v>1</v>
      </c>
      <c r="AD55" s="1">
        <f t="shared" si="2"/>
        <v>1</v>
      </c>
      <c r="AE55" s="1">
        <v>1</v>
      </c>
      <c r="AF55" s="1">
        <v>7.6029010000000001</v>
      </c>
      <c r="AG55" s="1">
        <v>3.7612000000000001</v>
      </c>
      <c r="AH55" s="1">
        <f t="shared" si="3"/>
        <v>-8.4146341463414629</v>
      </c>
      <c r="AI55" s="1">
        <f t="shared" si="4"/>
        <v>-0.4121622593089711</v>
      </c>
      <c r="AJ55" s="1">
        <f t="shared" si="5"/>
        <v>4.8981601830921206E-2</v>
      </c>
      <c r="AK55" s="1">
        <f t="shared" si="6"/>
        <v>416.80606781677562</v>
      </c>
      <c r="AL55" s="1">
        <f t="shared" si="7"/>
        <v>20.415828854513247</v>
      </c>
      <c r="AM55" s="1">
        <v>1</v>
      </c>
      <c r="AN55" s="1">
        <v>0</v>
      </c>
      <c r="AO55" s="1">
        <v>0</v>
      </c>
      <c r="AP55" s="1">
        <f t="shared" si="8"/>
        <v>5.3760333057047034E-2</v>
      </c>
      <c r="AQ55" s="1">
        <v>1</v>
      </c>
      <c r="AR55" s="1">
        <v>0</v>
      </c>
      <c r="AS55" s="1">
        <v>0</v>
      </c>
      <c r="AT55" s="1">
        <v>0</v>
      </c>
      <c r="AU55" s="4">
        <v>1</v>
      </c>
      <c r="AV55" s="4">
        <v>0</v>
      </c>
      <c r="AW55" s="1">
        <f t="shared" si="9"/>
        <v>0.16666666666666666</v>
      </c>
      <c r="AX55" s="1">
        <f t="shared" si="10"/>
        <v>2.7777777777777776E-2</v>
      </c>
    </row>
    <row r="56" spans="1:50" x14ac:dyDescent="0.25">
      <c r="A56" s="1" t="s">
        <v>62</v>
      </c>
      <c r="B56" s="1">
        <v>1967</v>
      </c>
      <c r="C56" s="1">
        <f t="shared" si="15"/>
        <v>8</v>
      </c>
      <c r="D56" s="1" t="s">
        <v>24</v>
      </c>
      <c r="E56" s="1" t="s">
        <v>25</v>
      </c>
      <c r="F56" s="2">
        <v>-0.44</v>
      </c>
      <c r="G56" s="3">
        <v>0.15060000000000001</v>
      </c>
      <c r="H56" s="1">
        <v>2</v>
      </c>
      <c r="I56" s="1">
        <v>450</v>
      </c>
      <c r="J56" s="1">
        <f t="shared" si="0"/>
        <v>448</v>
      </c>
      <c r="K56" s="1">
        <v>1</v>
      </c>
      <c r="L56" s="1">
        <v>1927</v>
      </c>
      <c r="M56" s="1">
        <v>1963</v>
      </c>
      <c r="N56" s="1">
        <f>(1927+1931+1935+1939+1947+1951+1955+1959+1963)/O56</f>
        <v>1945.2222222222222</v>
      </c>
      <c r="O56" s="1">
        <v>9</v>
      </c>
      <c r="P56" s="1">
        <f t="shared" si="13"/>
        <v>2.1972245773362196</v>
      </c>
      <c r="Q56" s="1">
        <v>293</v>
      </c>
      <c r="R56" s="1">
        <v>0</v>
      </c>
      <c r="S56" s="1" t="s">
        <v>26</v>
      </c>
      <c r="T56" s="1">
        <f t="shared" si="17"/>
        <v>0</v>
      </c>
      <c r="U56" s="1">
        <v>0</v>
      </c>
      <c r="V56" s="1">
        <v>1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 t="s">
        <v>85</v>
      </c>
      <c r="AC56" s="1">
        <f t="shared" si="14"/>
        <v>1</v>
      </c>
      <c r="AD56" s="1">
        <f t="shared" si="2"/>
        <v>1</v>
      </c>
      <c r="AE56" s="1">
        <v>1</v>
      </c>
      <c r="AF56" s="1">
        <v>7.5842650000000003</v>
      </c>
      <c r="AG56" s="1">
        <v>5.6835800000000001</v>
      </c>
      <c r="AH56" s="1">
        <f t="shared" si="3"/>
        <v>-2.9216467463479412</v>
      </c>
      <c r="AI56" s="1">
        <f t="shared" si="4"/>
        <v>-0.13673830136393697</v>
      </c>
      <c r="AJ56" s="1">
        <f t="shared" si="5"/>
        <v>4.6801791330474796E-2</v>
      </c>
      <c r="AK56" s="1">
        <f t="shared" si="6"/>
        <v>456.53601971044554</v>
      </c>
      <c r="AL56" s="1">
        <f t="shared" si="7"/>
        <v>21.366703529333805</v>
      </c>
      <c r="AM56" s="1">
        <v>0</v>
      </c>
      <c r="AN56" s="1">
        <v>1</v>
      </c>
      <c r="AO56" s="1">
        <v>0</v>
      </c>
      <c r="AP56" s="1">
        <f t="shared" si="8"/>
        <v>4.72455591261534E-2</v>
      </c>
      <c r="AQ56" s="1">
        <v>1</v>
      </c>
      <c r="AR56" s="1">
        <v>0</v>
      </c>
      <c r="AS56" s="1">
        <v>0</v>
      </c>
      <c r="AT56" s="1">
        <v>0</v>
      </c>
      <c r="AU56" s="4">
        <v>0</v>
      </c>
      <c r="AV56" s="4">
        <v>1</v>
      </c>
      <c r="AW56" s="1">
        <f t="shared" si="9"/>
        <v>1</v>
      </c>
      <c r="AX56" s="1">
        <f t="shared" si="10"/>
        <v>1</v>
      </c>
    </row>
    <row r="57" spans="1:50" x14ac:dyDescent="0.25">
      <c r="A57" s="1" t="s">
        <v>63</v>
      </c>
      <c r="B57" s="1">
        <v>2002</v>
      </c>
      <c r="C57" s="1">
        <f t="shared" si="15"/>
        <v>9</v>
      </c>
      <c r="D57" s="1" t="s">
        <v>24</v>
      </c>
      <c r="E57" s="1" t="s">
        <v>25</v>
      </c>
      <c r="F57" s="2">
        <v>-0.14299999999999999</v>
      </c>
      <c r="G57" s="3">
        <v>0.192</v>
      </c>
      <c r="H57" s="1">
        <v>6</v>
      </c>
      <c r="I57" s="1">
        <v>48</v>
      </c>
      <c r="J57" s="1">
        <f t="shared" si="0"/>
        <v>42</v>
      </c>
      <c r="K57" s="1">
        <v>20</v>
      </c>
      <c r="L57" s="1">
        <v>1950</v>
      </c>
      <c r="M57" s="1">
        <v>1999</v>
      </c>
      <c r="N57" s="1">
        <f t="shared" si="11"/>
        <v>1974.5</v>
      </c>
      <c r="O57" s="1">
        <f>+M57-L57+1</f>
        <v>50</v>
      </c>
      <c r="P57" s="1">
        <f t="shared" si="13"/>
        <v>3.912023005428146</v>
      </c>
      <c r="Q57" s="1">
        <v>20</v>
      </c>
      <c r="R57" s="1">
        <v>4</v>
      </c>
      <c r="S57" s="1" t="s">
        <v>99</v>
      </c>
      <c r="T57" s="1">
        <f t="shared" si="17"/>
        <v>0</v>
      </c>
      <c r="U57" s="1">
        <v>1</v>
      </c>
      <c r="V57" s="1">
        <v>1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 t="s">
        <v>89</v>
      </c>
      <c r="AC57" s="1">
        <f t="shared" si="14"/>
        <v>5</v>
      </c>
      <c r="AD57" s="1">
        <f t="shared" si="2"/>
        <v>0</v>
      </c>
      <c r="AE57" s="1">
        <v>0</v>
      </c>
      <c r="AF57" s="1">
        <v>7.6019019999999999</v>
      </c>
      <c r="AG57" s="1">
        <v>3.0445229999999999</v>
      </c>
      <c r="AH57" s="1">
        <f t="shared" si="3"/>
        <v>-0.74479166666666663</v>
      </c>
      <c r="AI57" s="1">
        <f t="shared" si="4"/>
        <v>-0.11417235718570623</v>
      </c>
      <c r="AJ57" s="1">
        <f t="shared" si="5"/>
        <v>0.15329435370388531</v>
      </c>
      <c r="AK57" s="1">
        <f t="shared" si="6"/>
        <v>42.554714626736107</v>
      </c>
      <c r="AL57" s="1">
        <f t="shared" si="7"/>
        <v>6.5233974757587863</v>
      </c>
      <c r="AM57" s="1">
        <v>0</v>
      </c>
      <c r="AN57" s="1">
        <v>1</v>
      </c>
      <c r="AO57" s="1">
        <v>0</v>
      </c>
      <c r="AP57" s="1">
        <f t="shared" si="8"/>
        <v>0.15430334996209191</v>
      </c>
      <c r="AQ57" s="1">
        <v>1</v>
      </c>
      <c r="AR57" s="1">
        <v>0</v>
      </c>
      <c r="AS57" s="1">
        <v>1</v>
      </c>
      <c r="AT57" s="1">
        <v>0</v>
      </c>
      <c r="AU57" s="4">
        <v>0</v>
      </c>
      <c r="AV57" s="4">
        <v>0</v>
      </c>
      <c r="AW57" s="1">
        <f t="shared" si="9"/>
        <v>0.05</v>
      </c>
      <c r="AX57" s="1">
        <f t="shared" si="10"/>
        <v>2.5000000000000001E-3</v>
      </c>
    </row>
    <row r="58" spans="1:50" x14ac:dyDescent="0.25">
      <c r="A58" s="1" t="s">
        <v>63</v>
      </c>
      <c r="B58" s="1">
        <v>2002</v>
      </c>
      <c r="C58" s="1">
        <f t="shared" si="15"/>
        <v>9</v>
      </c>
      <c r="D58" s="1" t="s">
        <v>24</v>
      </c>
      <c r="E58" s="1" t="s">
        <v>25</v>
      </c>
      <c r="F58" s="2">
        <v>-0.377</v>
      </c>
      <c r="G58" s="3">
        <v>0.29199999999999998</v>
      </c>
      <c r="H58" s="1">
        <v>6</v>
      </c>
      <c r="I58" s="1">
        <v>47</v>
      </c>
      <c r="J58" s="1">
        <f t="shared" si="0"/>
        <v>41</v>
      </c>
      <c r="K58" s="1">
        <v>20</v>
      </c>
      <c r="L58" s="1">
        <v>1950</v>
      </c>
      <c r="M58" s="1">
        <v>1999</v>
      </c>
      <c r="N58" s="1">
        <f t="shared" si="11"/>
        <v>1974.5</v>
      </c>
      <c r="O58" s="1">
        <f t="shared" ref="O58:O75" si="21">+M58-L58+1</f>
        <v>50</v>
      </c>
      <c r="P58" s="1">
        <f t="shared" si="13"/>
        <v>3.912023005428146</v>
      </c>
      <c r="Q58" s="1">
        <v>20</v>
      </c>
      <c r="R58" s="1">
        <v>4</v>
      </c>
      <c r="S58" s="1" t="s">
        <v>99</v>
      </c>
      <c r="T58" s="1">
        <f t="shared" si="17"/>
        <v>0</v>
      </c>
      <c r="U58" s="1">
        <v>1</v>
      </c>
      <c r="V58" s="1">
        <v>1</v>
      </c>
      <c r="W58" s="1">
        <v>0</v>
      </c>
      <c r="X58" s="1">
        <v>0</v>
      </c>
      <c r="Y58" s="1">
        <v>1</v>
      </c>
      <c r="Z58" s="1">
        <v>0</v>
      </c>
      <c r="AA58" s="1">
        <v>0</v>
      </c>
      <c r="AB58" s="1" t="s">
        <v>89</v>
      </c>
      <c r="AC58" s="1">
        <f t="shared" si="14"/>
        <v>5</v>
      </c>
      <c r="AD58" s="1">
        <f t="shared" si="2"/>
        <v>0</v>
      </c>
      <c r="AE58" s="1">
        <v>0</v>
      </c>
      <c r="AF58" s="1">
        <v>7.6019019999999999</v>
      </c>
      <c r="AG58" s="1">
        <v>3.0445229999999999</v>
      </c>
      <c r="AH58" s="1">
        <f t="shared" si="3"/>
        <v>-1.2910958904109591</v>
      </c>
      <c r="AI58" s="1">
        <f t="shared" si="4"/>
        <v>-0.19765727707177558</v>
      </c>
      <c r="AJ58" s="1">
        <f t="shared" si="5"/>
        <v>0.15309263900519485</v>
      </c>
      <c r="AK58" s="1">
        <f t="shared" si="6"/>
        <v>42.666928598236076</v>
      </c>
      <c r="AL58" s="1">
        <f t="shared" si="7"/>
        <v>6.5319926973501792</v>
      </c>
      <c r="AM58" s="1">
        <v>0</v>
      </c>
      <c r="AN58" s="1">
        <v>1</v>
      </c>
      <c r="AO58" s="1">
        <v>0</v>
      </c>
      <c r="AP58" s="1">
        <f t="shared" si="8"/>
        <v>0.15617376188860607</v>
      </c>
      <c r="AQ58" s="1">
        <v>1</v>
      </c>
      <c r="AR58" s="1">
        <v>0</v>
      </c>
      <c r="AS58" s="1">
        <v>1</v>
      </c>
      <c r="AT58" s="1">
        <v>0</v>
      </c>
      <c r="AU58" s="4">
        <v>0</v>
      </c>
      <c r="AV58" s="4">
        <v>0</v>
      </c>
      <c r="AW58" s="1">
        <f t="shared" si="9"/>
        <v>0.05</v>
      </c>
      <c r="AX58" s="1">
        <f t="shared" si="10"/>
        <v>2.5000000000000001E-3</v>
      </c>
    </row>
    <row r="59" spans="1:50" x14ac:dyDescent="0.25">
      <c r="A59" s="1" t="s">
        <v>63</v>
      </c>
      <c r="B59" s="1">
        <v>2002</v>
      </c>
      <c r="C59" s="1">
        <f t="shared" si="15"/>
        <v>9</v>
      </c>
      <c r="D59" s="1" t="s">
        <v>24</v>
      </c>
      <c r="E59" s="1" t="s">
        <v>25</v>
      </c>
      <c r="F59" s="2">
        <v>-0.22800000000000001</v>
      </c>
      <c r="G59" s="3">
        <v>0.13100000000000001</v>
      </c>
      <c r="H59" s="1">
        <v>7</v>
      </c>
      <c r="I59" s="1">
        <v>48</v>
      </c>
      <c r="J59" s="1">
        <f t="shared" si="0"/>
        <v>41</v>
      </c>
      <c r="K59" s="1">
        <v>20</v>
      </c>
      <c r="L59" s="1">
        <v>1950</v>
      </c>
      <c r="M59" s="1">
        <v>1999</v>
      </c>
      <c r="N59" s="1">
        <f t="shared" si="11"/>
        <v>1974.5</v>
      </c>
      <c r="O59" s="1">
        <f t="shared" si="21"/>
        <v>50</v>
      </c>
      <c r="P59" s="1">
        <f t="shared" si="13"/>
        <v>3.912023005428146</v>
      </c>
      <c r="Q59" s="1">
        <v>20</v>
      </c>
      <c r="R59" s="1">
        <v>4</v>
      </c>
      <c r="S59" s="1" t="s">
        <v>99</v>
      </c>
      <c r="T59" s="1">
        <f t="shared" si="17"/>
        <v>0</v>
      </c>
      <c r="U59" s="1">
        <v>1</v>
      </c>
      <c r="V59" s="1">
        <v>1</v>
      </c>
      <c r="W59" s="1">
        <v>1</v>
      </c>
      <c r="X59" s="1">
        <v>0</v>
      </c>
      <c r="Y59" s="1">
        <v>1</v>
      </c>
      <c r="Z59" s="1">
        <v>0</v>
      </c>
      <c r="AA59" s="1">
        <v>0</v>
      </c>
      <c r="AB59" s="1" t="s">
        <v>89</v>
      </c>
      <c r="AC59" s="1">
        <f t="shared" si="14"/>
        <v>5</v>
      </c>
      <c r="AD59" s="1">
        <f t="shared" si="2"/>
        <v>0</v>
      </c>
      <c r="AE59" s="1">
        <v>0</v>
      </c>
      <c r="AF59" s="1">
        <v>7.6019019999999999</v>
      </c>
      <c r="AG59" s="1">
        <v>3.0445229999999999</v>
      </c>
      <c r="AH59" s="1">
        <f t="shared" si="3"/>
        <v>-1.7404580152671756</v>
      </c>
      <c r="AI59" s="1">
        <f t="shared" si="4"/>
        <v>-0.26229691530305288</v>
      </c>
      <c r="AJ59" s="1">
        <f t="shared" si="5"/>
        <v>0.15070568379254354</v>
      </c>
      <c r="AK59" s="1">
        <f t="shared" si="6"/>
        <v>44.029194102907766</v>
      </c>
      <c r="AL59" s="1">
        <f t="shared" si="7"/>
        <v>6.6354498041133398</v>
      </c>
      <c r="AM59" s="1">
        <v>0</v>
      </c>
      <c r="AN59" s="1">
        <v>1</v>
      </c>
      <c r="AO59" s="1">
        <v>0</v>
      </c>
      <c r="AP59" s="1">
        <f t="shared" si="8"/>
        <v>0.15617376188860607</v>
      </c>
      <c r="AQ59" s="1">
        <v>1</v>
      </c>
      <c r="AR59" s="1">
        <v>0</v>
      </c>
      <c r="AS59" s="1">
        <v>1</v>
      </c>
      <c r="AT59" s="1">
        <v>0</v>
      </c>
      <c r="AU59" s="4">
        <v>0</v>
      </c>
      <c r="AV59" s="4">
        <v>0</v>
      </c>
      <c r="AW59" s="1">
        <f t="shared" si="9"/>
        <v>0.05</v>
      </c>
      <c r="AX59" s="1">
        <f t="shared" si="10"/>
        <v>2.5000000000000001E-3</v>
      </c>
    </row>
    <row r="60" spans="1:50" x14ac:dyDescent="0.25">
      <c r="A60" s="1" t="s">
        <v>63</v>
      </c>
      <c r="B60" s="1">
        <v>2002</v>
      </c>
      <c r="C60" s="1">
        <f t="shared" si="15"/>
        <v>9</v>
      </c>
      <c r="D60" s="1" t="s">
        <v>24</v>
      </c>
      <c r="E60" s="1" t="s">
        <v>25</v>
      </c>
      <c r="F60" s="2">
        <v>-0.318</v>
      </c>
      <c r="G60" s="3">
        <v>0.154</v>
      </c>
      <c r="H60" s="1">
        <v>7</v>
      </c>
      <c r="I60" s="1">
        <v>47</v>
      </c>
      <c r="J60" s="1">
        <f t="shared" si="0"/>
        <v>40</v>
      </c>
      <c r="K60" s="1">
        <v>20</v>
      </c>
      <c r="L60" s="1">
        <v>1950</v>
      </c>
      <c r="M60" s="1">
        <v>1999</v>
      </c>
      <c r="N60" s="1">
        <f t="shared" si="11"/>
        <v>1974.5</v>
      </c>
      <c r="O60" s="1">
        <f t="shared" si="21"/>
        <v>50</v>
      </c>
      <c r="P60" s="1">
        <f t="shared" si="13"/>
        <v>3.912023005428146</v>
      </c>
      <c r="Q60" s="1">
        <v>20</v>
      </c>
      <c r="R60" s="1">
        <v>4</v>
      </c>
      <c r="S60" s="1" t="s">
        <v>99</v>
      </c>
      <c r="T60" s="1">
        <f t="shared" si="17"/>
        <v>0</v>
      </c>
      <c r="U60" s="1">
        <v>1</v>
      </c>
      <c r="V60" s="1">
        <v>1</v>
      </c>
      <c r="W60" s="1">
        <v>1</v>
      </c>
      <c r="X60" s="1">
        <v>0</v>
      </c>
      <c r="Y60" s="1">
        <v>1</v>
      </c>
      <c r="Z60" s="1">
        <v>0</v>
      </c>
      <c r="AA60" s="1">
        <v>0</v>
      </c>
      <c r="AB60" s="1" t="s">
        <v>89</v>
      </c>
      <c r="AC60" s="1">
        <f t="shared" si="14"/>
        <v>5</v>
      </c>
      <c r="AD60" s="1">
        <f t="shared" si="2"/>
        <v>0</v>
      </c>
      <c r="AE60" s="1">
        <v>0</v>
      </c>
      <c r="AF60" s="1">
        <v>7.6019019999999999</v>
      </c>
      <c r="AG60" s="1">
        <v>3.0445229999999999</v>
      </c>
      <c r="AH60" s="1">
        <f t="shared" si="3"/>
        <v>-2.0649350649350651</v>
      </c>
      <c r="AI60" s="1">
        <f t="shared" si="4"/>
        <v>-0.31037110495813319</v>
      </c>
      <c r="AJ60" s="1">
        <f t="shared" si="5"/>
        <v>0.15030550365897016</v>
      </c>
      <c r="AK60" s="1">
        <f t="shared" si="6"/>
        <v>44.26395682239837</v>
      </c>
      <c r="AL60" s="1">
        <f t="shared" si="7"/>
        <v>6.6531163241294955</v>
      </c>
      <c r="AM60" s="1">
        <v>0</v>
      </c>
      <c r="AN60" s="1">
        <v>1</v>
      </c>
      <c r="AO60" s="1">
        <v>0</v>
      </c>
      <c r="AP60" s="1">
        <f t="shared" si="8"/>
        <v>0.15811388300841897</v>
      </c>
      <c r="AQ60" s="1">
        <v>1</v>
      </c>
      <c r="AR60" s="1">
        <v>0</v>
      </c>
      <c r="AS60" s="1">
        <v>1</v>
      </c>
      <c r="AT60" s="1">
        <v>0</v>
      </c>
      <c r="AU60" s="4">
        <v>0</v>
      </c>
      <c r="AV60" s="4">
        <v>0</v>
      </c>
      <c r="AW60" s="1">
        <f t="shared" si="9"/>
        <v>0.05</v>
      </c>
      <c r="AX60" s="1">
        <f t="shared" si="10"/>
        <v>2.5000000000000001E-3</v>
      </c>
    </row>
    <row r="61" spans="1:50" x14ac:dyDescent="0.25">
      <c r="A61" s="1" t="s">
        <v>63</v>
      </c>
      <c r="B61" s="1">
        <v>2002</v>
      </c>
      <c r="C61" s="1">
        <f t="shared" si="15"/>
        <v>9</v>
      </c>
      <c r="D61" s="1" t="s">
        <v>24</v>
      </c>
      <c r="E61" s="1" t="s">
        <v>25</v>
      </c>
      <c r="F61" s="2">
        <v>-4.3999999999999997E-2</v>
      </c>
      <c r="G61" s="3">
        <v>0.13</v>
      </c>
      <c r="H61" s="1">
        <v>7</v>
      </c>
      <c r="I61" s="1">
        <v>47</v>
      </c>
      <c r="J61" s="1">
        <f t="shared" si="0"/>
        <v>40</v>
      </c>
      <c r="K61" s="1">
        <v>20</v>
      </c>
      <c r="L61" s="1">
        <v>1950</v>
      </c>
      <c r="M61" s="1">
        <v>1999</v>
      </c>
      <c r="N61" s="1">
        <f t="shared" si="11"/>
        <v>1974.5</v>
      </c>
      <c r="O61" s="1">
        <f t="shared" si="21"/>
        <v>50</v>
      </c>
      <c r="P61" s="1">
        <f t="shared" si="13"/>
        <v>3.912023005428146</v>
      </c>
      <c r="Q61" s="1">
        <v>20</v>
      </c>
      <c r="R61" s="1">
        <v>4</v>
      </c>
      <c r="S61" s="1" t="s">
        <v>99</v>
      </c>
      <c r="T61" s="1">
        <f t="shared" si="17"/>
        <v>0</v>
      </c>
      <c r="U61" s="1">
        <v>1</v>
      </c>
      <c r="V61" s="1">
        <v>1</v>
      </c>
      <c r="W61" s="1">
        <v>1</v>
      </c>
      <c r="X61" s="1">
        <v>0</v>
      </c>
      <c r="Y61" s="1">
        <v>1</v>
      </c>
      <c r="Z61" s="1">
        <v>0</v>
      </c>
      <c r="AA61" s="1">
        <v>0</v>
      </c>
      <c r="AB61" s="1" t="s">
        <v>89</v>
      </c>
      <c r="AC61" s="1">
        <f t="shared" si="14"/>
        <v>5</v>
      </c>
      <c r="AD61" s="1">
        <f t="shared" si="2"/>
        <v>0</v>
      </c>
      <c r="AE61" s="1">
        <v>0</v>
      </c>
      <c r="AF61" s="1">
        <v>7.6019019999999999</v>
      </c>
      <c r="AG61" s="1">
        <v>3.0445229999999999</v>
      </c>
      <c r="AH61" s="1">
        <f t="shared" si="3"/>
        <v>-0.33846153846153842</v>
      </c>
      <c r="AI61" s="1">
        <f t="shared" si="4"/>
        <v>-5.3439000685544871E-2</v>
      </c>
      <c r="AJ61" s="1">
        <f t="shared" si="5"/>
        <v>0.15788795657092805</v>
      </c>
      <c r="AK61" s="1">
        <f t="shared" si="6"/>
        <v>40.114556213017742</v>
      </c>
      <c r="AL61" s="1">
        <f t="shared" si="7"/>
        <v>6.3336053092229978</v>
      </c>
      <c r="AM61" s="1">
        <v>0</v>
      </c>
      <c r="AN61" s="1">
        <v>1</v>
      </c>
      <c r="AO61" s="1">
        <v>0</v>
      </c>
      <c r="AP61" s="1">
        <f t="shared" si="8"/>
        <v>0.15811388300841897</v>
      </c>
      <c r="AQ61" s="1">
        <v>1</v>
      </c>
      <c r="AR61" s="1">
        <v>0</v>
      </c>
      <c r="AS61" s="1">
        <v>1</v>
      </c>
      <c r="AT61" s="1">
        <v>0</v>
      </c>
      <c r="AU61" s="4">
        <v>0</v>
      </c>
      <c r="AV61" s="4">
        <v>0</v>
      </c>
      <c r="AW61" s="1">
        <f t="shared" si="9"/>
        <v>0.05</v>
      </c>
      <c r="AX61" s="1">
        <f t="shared" si="10"/>
        <v>2.5000000000000001E-3</v>
      </c>
    </row>
    <row r="62" spans="1:50" x14ac:dyDescent="0.25">
      <c r="A62" s="1" t="s">
        <v>63</v>
      </c>
      <c r="B62" s="1">
        <v>2002</v>
      </c>
      <c r="C62" s="1">
        <f t="shared" si="15"/>
        <v>9</v>
      </c>
      <c r="D62" s="1" t="s">
        <v>24</v>
      </c>
      <c r="E62" s="1" t="s">
        <v>25</v>
      </c>
      <c r="F62" s="2">
        <v>-0.01</v>
      </c>
      <c r="G62" s="3">
        <v>0.13600000000000001</v>
      </c>
      <c r="H62" s="1">
        <v>6</v>
      </c>
      <c r="I62" s="1">
        <v>48</v>
      </c>
      <c r="J62" s="1">
        <f t="shared" si="0"/>
        <v>42</v>
      </c>
      <c r="K62" s="1">
        <v>20</v>
      </c>
      <c r="L62" s="1">
        <v>1950</v>
      </c>
      <c r="M62" s="1">
        <v>1999</v>
      </c>
      <c r="N62" s="1">
        <f t="shared" si="11"/>
        <v>1974.5</v>
      </c>
      <c r="O62" s="1">
        <f t="shared" si="21"/>
        <v>50</v>
      </c>
      <c r="P62" s="1">
        <f t="shared" si="13"/>
        <v>3.912023005428146</v>
      </c>
      <c r="Q62" s="1">
        <v>20</v>
      </c>
      <c r="R62" s="1">
        <v>4</v>
      </c>
      <c r="S62" s="1" t="s">
        <v>99</v>
      </c>
      <c r="T62" s="1">
        <f t="shared" si="17"/>
        <v>0</v>
      </c>
      <c r="U62" s="1">
        <v>1</v>
      </c>
      <c r="V62" s="1">
        <v>1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 t="s">
        <v>89</v>
      </c>
      <c r="AC62" s="1">
        <f t="shared" si="14"/>
        <v>5</v>
      </c>
      <c r="AD62" s="1">
        <f t="shared" si="2"/>
        <v>0</v>
      </c>
      <c r="AE62" s="1">
        <v>0</v>
      </c>
      <c r="AF62" s="1">
        <v>7.6019019999999999</v>
      </c>
      <c r="AG62" s="1">
        <v>3.0445229999999999</v>
      </c>
      <c r="AH62" s="1">
        <f t="shared" si="3"/>
        <v>-7.3529411764705885E-2</v>
      </c>
      <c r="AI62" s="1">
        <f t="shared" si="4"/>
        <v>-1.134510436345406E-2</v>
      </c>
      <c r="AJ62" s="1">
        <f t="shared" si="5"/>
        <v>0.15429341934297522</v>
      </c>
      <c r="AK62" s="1">
        <f t="shared" si="6"/>
        <v>42.005406574394463</v>
      </c>
      <c r="AL62" s="1">
        <f t="shared" si="7"/>
        <v>6.4811578112552128</v>
      </c>
      <c r="AM62" s="1">
        <v>0</v>
      </c>
      <c r="AN62" s="1">
        <v>1</v>
      </c>
      <c r="AO62" s="1">
        <v>0</v>
      </c>
      <c r="AP62" s="1">
        <f t="shared" si="8"/>
        <v>0.15430334996209191</v>
      </c>
      <c r="AQ62" s="1">
        <v>1</v>
      </c>
      <c r="AR62" s="1">
        <v>0</v>
      </c>
      <c r="AS62" s="1">
        <v>0</v>
      </c>
      <c r="AT62" s="1">
        <v>1</v>
      </c>
      <c r="AU62" s="4">
        <v>0</v>
      </c>
      <c r="AV62" s="4">
        <v>0</v>
      </c>
      <c r="AW62" s="1">
        <f t="shared" si="9"/>
        <v>0.05</v>
      </c>
      <c r="AX62" s="1">
        <f t="shared" si="10"/>
        <v>2.5000000000000001E-3</v>
      </c>
    </row>
    <row r="63" spans="1:50" x14ac:dyDescent="0.25">
      <c r="A63" s="1" t="s">
        <v>63</v>
      </c>
      <c r="B63" s="1">
        <v>2002</v>
      </c>
      <c r="C63" s="1">
        <f t="shared" si="15"/>
        <v>9</v>
      </c>
      <c r="D63" s="1" t="s">
        <v>24</v>
      </c>
      <c r="E63" s="1" t="s">
        <v>25</v>
      </c>
      <c r="F63" s="2">
        <v>-7.5999999999999998E-2</v>
      </c>
      <c r="G63" s="3">
        <v>0.159</v>
      </c>
      <c r="H63" s="1">
        <v>6</v>
      </c>
      <c r="I63" s="1">
        <v>47</v>
      </c>
      <c r="J63" s="1">
        <f t="shared" si="0"/>
        <v>41</v>
      </c>
      <c r="K63" s="1">
        <v>20</v>
      </c>
      <c r="L63" s="1">
        <v>1950</v>
      </c>
      <c r="M63" s="1">
        <v>1999</v>
      </c>
      <c r="N63" s="1">
        <f t="shared" si="11"/>
        <v>1974.5</v>
      </c>
      <c r="O63" s="1">
        <f t="shared" si="21"/>
        <v>50</v>
      </c>
      <c r="P63" s="1">
        <f t="shared" si="13"/>
        <v>3.912023005428146</v>
      </c>
      <c r="Q63" s="1">
        <v>20</v>
      </c>
      <c r="R63" s="1">
        <v>4</v>
      </c>
      <c r="S63" s="1" t="s">
        <v>99</v>
      </c>
      <c r="T63" s="1">
        <f t="shared" si="17"/>
        <v>0</v>
      </c>
      <c r="U63" s="1">
        <v>1</v>
      </c>
      <c r="V63" s="1">
        <v>1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 t="s">
        <v>89</v>
      </c>
      <c r="AC63" s="1">
        <f t="shared" si="14"/>
        <v>5</v>
      </c>
      <c r="AD63" s="1">
        <f t="shared" si="2"/>
        <v>0</v>
      </c>
      <c r="AE63" s="1">
        <v>0</v>
      </c>
      <c r="AF63" s="1">
        <v>7.6019019999999999</v>
      </c>
      <c r="AG63" s="1">
        <v>3.0445229999999999</v>
      </c>
      <c r="AH63" s="1">
        <f t="shared" si="3"/>
        <v>-0.4779874213836478</v>
      </c>
      <c r="AI63" s="1">
        <f t="shared" si="4"/>
        <v>-7.4441968424915392E-2</v>
      </c>
      <c r="AJ63" s="1">
        <f t="shared" si="5"/>
        <v>0.15574043394159931</v>
      </c>
      <c r="AK63" s="1">
        <f t="shared" si="6"/>
        <v>41.228471975000986</v>
      </c>
      <c r="AL63" s="1">
        <f t="shared" si="7"/>
        <v>6.4209401161357196</v>
      </c>
      <c r="AM63" s="1">
        <v>0</v>
      </c>
      <c r="AN63" s="1">
        <v>1</v>
      </c>
      <c r="AO63" s="1">
        <v>0</v>
      </c>
      <c r="AP63" s="1">
        <f t="shared" si="8"/>
        <v>0.15617376188860607</v>
      </c>
      <c r="AQ63" s="1">
        <v>1</v>
      </c>
      <c r="AR63" s="1">
        <v>0</v>
      </c>
      <c r="AS63" s="1">
        <v>0</v>
      </c>
      <c r="AT63" s="1">
        <v>1</v>
      </c>
      <c r="AU63" s="4">
        <v>0</v>
      </c>
      <c r="AV63" s="4">
        <v>0</v>
      </c>
      <c r="AW63" s="1">
        <f t="shared" si="9"/>
        <v>0.05</v>
      </c>
      <c r="AX63" s="1">
        <f t="shared" si="10"/>
        <v>2.5000000000000001E-3</v>
      </c>
    </row>
    <row r="64" spans="1:50" x14ac:dyDescent="0.25">
      <c r="A64" s="1" t="s">
        <v>63</v>
      </c>
      <c r="B64" s="1">
        <v>2002</v>
      </c>
      <c r="C64" s="1">
        <f t="shared" si="15"/>
        <v>9</v>
      </c>
      <c r="D64" s="1" t="s">
        <v>24</v>
      </c>
      <c r="E64" s="1" t="s">
        <v>25</v>
      </c>
      <c r="F64" s="2">
        <v>-0.14899999999999999</v>
      </c>
      <c r="G64" s="3">
        <v>0.14199999999999999</v>
      </c>
      <c r="H64" s="1">
        <v>7</v>
      </c>
      <c r="I64" s="1">
        <v>48</v>
      </c>
      <c r="J64" s="1">
        <f t="shared" si="0"/>
        <v>41</v>
      </c>
      <c r="K64" s="1">
        <v>20</v>
      </c>
      <c r="L64" s="1">
        <v>1950</v>
      </c>
      <c r="M64" s="1">
        <v>1999</v>
      </c>
      <c r="N64" s="1">
        <f t="shared" si="11"/>
        <v>1974.5</v>
      </c>
      <c r="O64" s="1">
        <f t="shared" si="21"/>
        <v>50</v>
      </c>
      <c r="P64" s="1">
        <f t="shared" si="13"/>
        <v>3.912023005428146</v>
      </c>
      <c r="Q64" s="1">
        <v>20</v>
      </c>
      <c r="R64" s="1">
        <v>4</v>
      </c>
      <c r="S64" s="1" t="s">
        <v>99</v>
      </c>
      <c r="T64" s="1">
        <f t="shared" si="17"/>
        <v>0</v>
      </c>
      <c r="U64" s="1">
        <v>1</v>
      </c>
      <c r="V64" s="1">
        <v>1</v>
      </c>
      <c r="W64" s="1">
        <v>1</v>
      </c>
      <c r="X64" s="1">
        <v>0</v>
      </c>
      <c r="Y64" s="1">
        <v>1</v>
      </c>
      <c r="Z64" s="1">
        <v>0</v>
      </c>
      <c r="AA64" s="1">
        <v>0</v>
      </c>
      <c r="AB64" s="1" t="s">
        <v>89</v>
      </c>
      <c r="AC64" s="1">
        <f t="shared" si="14"/>
        <v>5</v>
      </c>
      <c r="AD64" s="1">
        <f>IF(AB64="USA",1,0)</f>
        <v>0</v>
      </c>
      <c r="AE64" s="1">
        <v>0</v>
      </c>
      <c r="AF64" s="1">
        <v>7.6019019999999999</v>
      </c>
      <c r="AG64" s="1">
        <v>3.0445229999999999</v>
      </c>
      <c r="AH64" s="1">
        <f t="shared" si="3"/>
        <v>-1.0492957746478875</v>
      </c>
      <c r="AI64" s="1">
        <f t="shared" si="4"/>
        <v>-0.16171548469034339</v>
      </c>
      <c r="AJ64" s="1">
        <f t="shared" si="5"/>
        <v>0.15411811292636751</v>
      </c>
      <c r="AK64" s="1">
        <f t="shared" si="6"/>
        <v>42.101021622693914</v>
      </c>
      <c r="AL64" s="1">
        <f t="shared" si="7"/>
        <v>6.4885300047617802</v>
      </c>
      <c r="AM64" s="1">
        <v>0</v>
      </c>
      <c r="AN64" s="1">
        <v>1</v>
      </c>
      <c r="AO64" s="1">
        <v>0</v>
      </c>
      <c r="AP64" s="1">
        <f t="shared" si="8"/>
        <v>0.15617376188860607</v>
      </c>
      <c r="AQ64" s="1">
        <v>1</v>
      </c>
      <c r="AR64" s="1">
        <v>0</v>
      </c>
      <c r="AS64" s="1">
        <v>0</v>
      </c>
      <c r="AT64" s="1">
        <v>1</v>
      </c>
      <c r="AU64" s="4">
        <v>0</v>
      </c>
      <c r="AV64" s="4">
        <v>0</v>
      </c>
      <c r="AW64" s="1">
        <f t="shared" si="9"/>
        <v>0.05</v>
      </c>
      <c r="AX64" s="1">
        <f t="shared" si="10"/>
        <v>2.5000000000000001E-3</v>
      </c>
    </row>
    <row r="65" spans="1:50" x14ac:dyDescent="0.25">
      <c r="A65" s="1" t="s">
        <v>63</v>
      </c>
      <c r="B65" s="1">
        <v>2002</v>
      </c>
      <c r="C65" s="1">
        <f t="shared" si="15"/>
        <v>9</v>
      </c>
      <c r="D65" s="1" t="s">
        <v>24</v>
      </c>
      <c r="E65" s="1" t="s">
        <v>25</v>
      </c>
      <c r="F65" s="2">
        <v>-0.185</v>
      </c>
      <c r="G65" s="3">
        <v>0.14299999999999999</v>
      </c>
      <c r="H65" s="1">
        <v>7</v>
      </c>
      <c r="I65" s="1">
        <v>47</v>
      </c>
      <c r="J65" s="1">
        <f t="shared" si="0"/>
        <v>40</v>
      </c>
      <c r="K65" s="1">
        <v>20</v>
      </c>
      <c r="L65" s="1">
        <v>1950</v>
      </c>
      <c r="M65" s="1">
        <v>1999</v>
      </c>
      <c r="N65" s="1">
        <f t="shared" si="11"/>
        <v>1974.5</v>
      </c>
      <c r="O65" s="1">
        <f t="shared" si="21"/>
        <v>50</v>
      </c>
      <c r="P65" s="1">
        <f t="shared" si="13"/>
        <v>3.912023005428146</v>
      </c>
      <c r="Q65" s="1">
        <v>20</v>
      </c>
      <c r="R65" s="1">
        <v>4</v>
      </c>
      <c r="S65" s="1" t="s">
        <v>99</v>
      </c>
      <c r="T65" s="1">
        <f t="shared" si="17"/>
        <v>0</v>
      </c>
      <c r="U65" s="1">
        <v>1</v>
      </c>
      <c r="V65" s="1">
        <v>1</v>
      </c>
      <c r="W65" s="1">
        <v>1</v>
      </c>
      <c r="X65" s="1">
        <v>0</v>
      </c>
      <c r="Y65" s="1">
        <v>1</v>
      </c>
      <c r="Z65" s="1">
        <v>0</v>
      </c>
      <c r="AA65" s="1">
        <v>0</v>
      </c>
      <c r="AB65" s="1" t="s">
        <v>89</v>
      </c>
      <c r="AC65" s="1">
        <f t="shared" si="14"/>
        <v>5</v>
      </c>
      <c r="AD65" s="1">
        <f>IF(AB65="USA",1,0)</f>
        <v>0</v>
      </c>
      <c r="AE65" s="1">
        <v>0</v>
      </c>
      <c r="AF65" s="1">
        <v>7.6019019999999999</v>
      </c>
      <c r="AG65" s="1">
        <v>3.0445229999999999</v>
      </c>
      <c r="AH65" s="1">
        <f t="shared" si="3"/>
        <v>-1.2937062937062938</v>
      </c>
      <c r="AI65" s="1">
        <f t="shared" si="4"/>
        <v>-0.20040326166765035</v>
      </c>
      <c r="AJ65" s="1">
        <f t="shared" si="5"/>
        <v>0.15490630496472432</v>
      </c>
      <c r="AK65" s="1">
        <f t="shared" si="6"/>
        <v>41.673675974375286</v>
      </c>
      <c r="AL65" s="1">
        <f t="shared" si="7"/>
        <v>6.4555151594876827</v>
      </c>
      <c r="AM65" s="1">
        <v>0</v>
      </c>
      <c r="AN65" s="1">
        <v>1</v>
      </c>
      <c r="AO65" s="1">
        <v>0</v>
      </c>
      <c r="AP65" s="1">
        <f t="shared" si="8"/>
        <v>0.15811388300841897</v>
      </c>
      <c r="AQ65" s="1">
        <v>1</v>
      </c>
      <c r="AR65" s="1">
        <v>0</v>
      </c>
      <c r="AS65" s="1">
        <v>0</v>
      </c>
      <c r="AT65" s="1">
        <v>1</v>
      </c>
      <c r="AU65" s="4">
        <v>0</v>
      </c>
      <c r="AV65" s="4">
        <v>0</v>
      </c>
      <c r="AW65" s="1">
        <f t="shared" si="9"/>
        <v>0.05</v>
      </c>
      <c r="AX65" s="1">
        <f t="shared" si="10"/>
        <v>2.5000000000000001E-3</v>
      </c>
    </row>
    <row r="66" spans="1:50" x14ac:dyDescent="0.25">
      <c r="A66" s="1" t="s">
        <v>63</v>
      </c>
      <c r="B66" s="1">
        <v>2002</v>
      </c>
      <c r="C66" s="1">
        <f t="shared" si="15"/>
        <v>9</v>
      </c>
      <c r="D66" s="1" t="s">
        <v>24</v>
      </c>
      <c r="E66" s="1" t="s">
        <v>25</v>
      </c>
      <c r="F66" s="2">
        <v>2.5999999999999999E-2</v>
      </c>
      <c r="G66" s="3">
        <v>0.121</v>
      </c>
      <c r="H66" s="1">
        <v>7</v>
      </c>
      <c r="I66" s="1">
        <v>47</v>
      </c>
      <c r="J66" s="1">
        <f t="shared" si="0"/>
        <v>40</v>
      </c>
      <c r="K66" s="1">
        <v>20</v>
      </c>
      <c r="L66" s="1">
        <v>1950</v>
      </c>
      <c r="M66" s="1">
        <v>1999</v>
      </c>
      <c r="N66" s="1">
        <f t="shared" si="11"/>
        <v>1974.5</v>
      </c>
      <c r="O66" s="1">
        <f t="shared" si="21"/>
        <v>50</v>
      </c>
      <c r="P66" s="1">
        <f t="shared" si="13"/>
        <v>3.912023005428146</v>
      </c>
      <c r="Q66" s="1">
        <v>20</v>
      </c>
      <c r="R66" s="1">
        <v>4</v>
      </c>
      <c r="S66" s="1" t="s">
        <v>99</v>
      </c>
      <c r="T66" s="1">
        <f t="shared" si="17"/>
        <v>0</v>
      </c>
      <c r="U66" s="1">
        <v>1</v>
      </c>
      <c r="V66" s="1">
        <v>1</v>
      </c>
      <c r="W66" s="1">
        <v>1</v>
      </c>
      <c r="X66" s="1">
        <v>0</v>
      </c>
      <c r="Y66" s="1">
        <v>1</v>
      </c>
      <c r="Z66" s="1">
        <v>0</v>
      </c>
      <c r="AA66" s="1">
        <v>0</v>
      </c>
      <c r="AB66" s="1" t="s">
        <v>89</v>
      </c>
      <c r="AC66" s="1">
        <f t="shared" si="14"/>
        <v>5</v>
      </c>
      <c r="AD66" s="1">
        <f>IF(AB66="USA",1,0)</f>
        <v>0</v>
      </c>
      <c r="AE66" s="1">
        <v>0</v>
      </c>
      <c r="AF66" s="1">
        <v>7.6019019999999999</v>
      </c>
      <c r="AG66" s="1">
        <v>3.0445229999999999</v>
      </c>
      <c r="AH66" s="1">
        <f t="shared" ref="AH66:AH129" si="22">+F66/G66</f>
        <v>0.21487603305785125</v>
      </c>
      <c r="AI66" s="1">
        <f t="shared" ref="AI66:AI129" si="23">AH66/SQRT(AH66^2+J66)</f>
        <v>3.3955292430418421E-2</v>
      </c>
      <c r="AJ66" s="1">
        <f t="shared" si="5"/>
        <v>0.15802270708002419</v>
      </c>
      <c r="AK66" s="1">
        <f t="shared" si="6"/>
        <v>40.046171709582666</v>
      </c>
      <c r="AL66" s="1">
        <f t="shared" si="7"/>
        <v>6.3282044617397331</v>
      </c>
      <c r="AM66" s="1">
        <v>0</v>
      </c>
      <c r="AN66" s="1">
        <v>1</v>
      </c>
      <c r="AO66" s="1">
        <v>0</v>
      </c>
      <c r="AP66" s="1">
        <f t="shared" ref="AP66:AP129" si="24">1/SQRT(J66)</f>
        <v>0.15811388300841897</v>
      </c>
      <c r="AQ66" s="1">
        <v>1</v>
      </c>
      <c r="AR66" s="1">
        <v>0</v>
      </c>
      <c r="AS66" s="1">
        <v>0</v>
      </c>
      <c r="AT66" s="1">
        <v>1</v>
      </c>
      <c r="AU66" s="4">
        <v>0</v>
      </c>
      <c r="AV66" s="4">
        <v>0</v>
      </c>
      <c r="AW66" s="1">
        <f t="shared" ref="AW66:AW129" si="25">1/K66</f>
        <v>0.05</v>
      </c>
      <c r="AX66" s="1">
        <f t="shared" ref="AX66:AX129" si="26">1/(K66*K66)</f>
        <v>2.5000000000000001E-3</v>
      </c>
    </row>
    <row r="67" spans="1:50" x14ac:dyDescent="0.25">
      <c r="A67" s="1" t="s">
        <v>63</v>
      </c>
      <c r="B67" s="1">
        <v>2002</v>
      </c>
      <c r="C67" s="1">
        <f t="shared" si="15"/>
        <v>9</v>
      </c>
      <c r="D67" s="1" t="s">
        <v>24</v>
      </c>
      <c r="E67" s="1" t="s">
        <v>25</v>
      </c>
      <c r="F67" s="2">
        <v>-0.10199999999999999</v>
      </c>
      <c r="G67" s="3">
        <v>0.16700000000000001</v>
      </c>
      <c r="H67" s="1">
        <v>6</v>
      </c>
      <c r="I67" s="1">
        <v>48</v>
      </c>
      <c r="J67" s="1">
        <f t="shared" ref="J67:J126" si="27">+I67-H67</f>
        <v>42</v>
      </c>
      <c r="K67" s="1">
        <v>20</v>
      </c>
      <c r="L67" s="1">
        <v>1950</v>
      </c>
      <c r="M67" s="1">
        <v>1999</v>
      </c>
      <c r="N67" s="1">
        <f t="shared" si="11"/>
        <v>1974.5</v>
      </c>
      <c r="O67" s="1">
        <f t="shared" si="21"/>
        <v>50</v>
      </c>
      <c r="P67" s="1">
        <f t="shared" ref="P67:P128" si="28">+LN(O66:O67)</f>
        <v>3.912023005428146</v>
      </c>
      <c r="Q67" s="1">
        <v>20</v>
      </c>
      <c r="R67" s="1">
        <v>4</v>
      </c>
      <c r="S67" s="1" t="s">
        <v>99</v>
      </c>
      <c r="T67" s="1">
        <f t="shared" ref="T67:T71" si="29">IF(S67="OLS",0,IF(S67="FE",0,IF(S67="Probit model",0,IF(S67="3SLS",1,IF(S67="Logit",0,IF(S67="2SLS",1,IF(S67="SUR method",1,IF(S67="Modified LS",0,IF(S67="Zenner estimates",1,IF(S67="MLE",0,IF(S67="GLS",0,0)))))))))))</f>
        <v>0</v>
      </c>
      <c r="U67" s="1">
        <v>1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 t="s">
        <v>89</v>
      </c>
      <c r="AC67" s="1">
        <f t="shared" si="14"/>
        <v>5</v>
      </c>
      <c r="AD67" s="1">
        <f t="shared" ref="AD67:AD126" si="30">IF(AB67="USA",1,0)</f>
        <v>0</v>
      </c>
      <c r="AE67" s="1">
        <v>0</v>
      </c>
      <c r="AF67" s="1">
        <v>7.6019019999999999</v>
      </c>
      <c r="AG67" s="1">
        <v>3.0445229999999999</v>
      </c>
      <c r="AH67" s="1">
        <f t="shared" si="22"/>
        <v>-0.61077844311377238</v>
      </c>
      <c r="AI67" s="1">
        <f t="shared" si="23"/>
        <v>-9.382937776455498E-2</v>
      </c>
      <c r="AJ67" s="1">
        <f t="shared" ref="AJ67:AJ126" si="31">+AI67/AH67</f>
        <v>0.15362260869294789</v>
      </c>
      <c r="AK67" s="1">
        <f t="shared" ref="AK67:AK126" si="32">1/AJ67^2</f>
        <v>42.373050306572473</v>
      </c>
      <c r="AL67" s="1">
        <f t="shared" ref="AL67:AL126" si="33">1/AJ67</f>
        <v>6.5094585263731783</v>
      </c>
      <c r="AM67" s="1">
        <v>0</v>
      </c>
      <c r="AN67" s="1">
        <v>1</v>
      </c>
      <c r="AO67" s="1">
        <v>0</v>
      </c>
      <c r="AP67" s="1">
        <f t="shared" si="24"/>
        <v>0.15430334996209191</v>
      </c>
      <c r="AQ67" s="1">
        <v>1</v>
      </c>
      <c r="AR67" s="1">
        <v>0</v>
      </c>
      <c r="AS67" s="1">
        <v>0</v>
      </c>
      <c r="AT67" s="1">
        <v>0</v>
      </c>
      <c r="AU67" s="4">
        <v>0</v>
      </c>
      <c r="AV67" s="4">
        <v>0</v>
      </c>
      <c r="AW67" s="1">
        <f t="shared" si="25"/>
        <v>0.05</v>
      </c>
      <c r="AX67" s="1">
        <f t="shared" si="26"/>
        <v>2.5000000000000001E-3</v>
      </c>
    </row>
    <row r="68" spans="1:50" x14ac:dyDescent="0.25">
      <c r="A68" s="1" t="s">
        <v>63</v>
      </c>
      <c r="B68" s="1">
        <v>2002</v>
      </c>
      <c r="C68" s="1">
        <f t="shared" ref="C68:C131" si="34">+IF(A68=A67,C67,C67+1)</f>
        <v>9</v>
      </c>
      <c r="D68" s="1" t="s">
        <v>24</v>
      </c>
      <c r="E68" s="1" t="s">
        <v>25</v>
      </c>
      <c r="F68" s="2">
        <v>-0.29399999999999998</v>
      </c>
      <c r="G68" s="3">
        <v>0.247</v>
      </c>
      <c r="H68" s="1">
        <v>6</v>
      </c>
      <c r="I68" s="1">
        <v>47</v>
      </c>
      <c r="J68" s="1">
        <f t="shared" si="27"/>
        <v>41</v>
      </c>
      <c r="K68" s="1">
        <v>20</v>
      </c>
      <c r="L68" s="1">
        <v>1950</v>
      </c>
      <c r="M68" s="1">
        <v>1999</v>
      </c>
      <c r="N68" s="1">
        <f t="shared" ref="N68:N127" si="35">+L68+(M68-L68)/2</f>
        <v>1974.5</v>
      </c>
      <c r="O68" s="1">
        <f t="shared" si="21"/>
        <v>50</v>
      </c>
      <c r="P68" s="1">
        <f t="shared" si="28"/>
        <v>3.912023005428146</v>
      </c>
      <c r="Q68" s="1">
        <v>20</v>
      </c>
      <c r="R68" s="1">
        <v>4</v>
      </c>
      <c r="S68" s="1" t="s">
        <v>99</v>
      </c>
      <c r="T68" s="1">
        <f t="shared" si="29"/>
        <v>0</v>
      </c>
      <c r="U68" s="1">
        <v>1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0</v>
      </c>
      <c r="AB68" s="1" t="s">
        <v>89</v>
      </c>
      <c r="AC68" s="1">
        <f t="shared" ref="AC68:AC127" si="36">IF(AB68="USA",1,IF(AB68="UK",2,IF(AB68="Canada",3,IF(AB68="Germany",4,IF(AB68="Netherlands",5,IF(AB68="India",20,IF(AB68="Indonesia",7,IF(AB68="Korea",8,IF(AB68="Philippines",9,IF(AB68="Taiwan",10,IF(AB68="Greece",11,IF(AB68="Iran",12,IF(AB68="Israel",13,IF(AB68="Kuwait",14,IF(AB68="Lebanon",15,IF(AB68="Saudi Arabia",16,IF(AB68="Turkey",17,IF(AB68="Ethiopia",18,IF(AB68="Kenya",19,IF(AB68="Nigeria",20,IF(AB68="Multinational",6,"")))))))))))))))))))))</f>
        <v>5</v>
      </c>
      <c r="AD68" s="1">
        <f t="shared" si="30"/>
        <v>0</v>
      </c>
      <c r="AE68" s="1">
        <v>0</v>
      </c>
      <c r="AF68" s="1">
        <v>7.6019019999999999</v>
      </c>
      <c r="AG68" s="1">
        <v>3.0445229999999999</v>
      </c>
      <c r="AH68" s="1">
        <f t="shared" si="22"/>
        <v>-1.1902834008097165</v>
      </c>
      <c r="AI68" s="1">
        <f t="shared" si="23"/>
        <v>-0.18276017136008171</v>
      </c>
      <c r="AJ68" s="1">
        <f t="shared" si="31"/>
        <v>0.15354340927190541</v>
      </c>
      <c r="AK68" s="1">
        <f t="shared" si="32"/>
        <v>42.416774574243135</v>
      </c>
      <c r="AL68" s="1">
        <f t="shared" si="33"/>
        <v>6.5128161784471654</v>
      </c>
      <c r="AM68" s="1">
        <v>0</v>
      </c>
      <c r="AN68" s="1">
        <v>1</v>
      </c>
      <c r="AO68" s="1">
        <v>0</v>
      </c>
      <c r="AP68" s="1">
        <f t="shared" si="24"/>
        <v>0.15617376188860607</v>
      </c>
      <c r="AQ68" s="1">
        <v>1</v>
      </c>
      <c r="AR68" s="1">
        <v>0</v>
      </c>
      <c r="AS68" s="1">
        <v>0</v>
      </c>
      <c r="AT68" s="1">
        <v>0</v>
      </c>
      <c r="AU68" s="4">
        <v>0</v>
      </c>
      <c r="AV68" s="4">
        <v>0</v>
      </c>
      <c r="AW68" s="1">
        <f t="shared" si="25"/>
        <v>0.05</v>
      </c>
      <c r="AX68" s="1">
        <f t="shared" si="26"/>
        <v>2.5000000000000001E-3</v>
      </c>
    </row>
    <row r="69" spans="1:50" x14ac:dyDescent="0.25">
      <c r="A69" s="1" t="s">
        <v>63</v>
      </c>
      <c r="B69" s="1">
        <v>2002</v>
      </c>
      <c r="C69" s="1">
        <f t="shared" si="34"/>
        <v>9</v>
      </c>
      <c r="D69" s="1" t="s">
        <v>24</v>
      </c>
      <c r="E69" s="1" t="s">
        <v>25</v>
      </c>
      <c r="F69" s="2">
        <v>-0.20100000000000001</v>
      </c>
      <c r="G69" s="3">
        <v>0.13</v>
      </c>
      <c r="H69" s="1">
        <v>7</v>
      </c>
      <c r="I69" s="1">
        <v>48</v>
      </c>
      <c r="J69" s="1">
        <f t="shared" si="27"/>
        <v>41</v>
      </c>
      <c r="K69" s="1">
        <v>20</v>
      </c>
      <c r="L69" s="1">
        <v>1950</v>
      </c>
      <c r="M69" s="1">
        <v>1999</v>
      </c>
      <c r="N69" s="1">
        <f t="shared" si="35"/>
        <v>1974.5</v>
      </c>
      <c r="O69" s="1">
        <f t="shared" si="21"/>
        <v>50</v>
      </c>
      <c r="P69" s="1">
        <f t="shared" si="28"/>
        <v>3.912023005428146</v>
      </c>
      <c r="Q69" s="1">
        <v>20</v>
      </c>
      <c r="R69" s="1">
        <v>4</v>
      </c>
      <c r="S69" s="1" t="s">
        <v>99</v>
      </c>
      <c r="T69" s="1">
        <f t="shared" si="29"/>
        <v>0</v>
      </c>
      <c r="U69" s="1">
        <v>1</v>
      </c>
      <c r="V69" s="1">
        <v>1</v>
      </c>
      <c r="W69" s="1">
        <v>1</v>
      </c>
      <c r="X69" s="1">
        <v>0</v>
      </c>
      <c r="Y69" s="1">
        <v>1</v>
      </c>
      <c r="Z69" s="1">
        <v>0</v>
      </c>
      <c r="AA69" s="1">
        <v>0</v>
      </c>
      <c r="AB69" s="1" t="s">
        <v>89</v>
      </c>
      <c r="AC69" s="1">
        <f t="shared" si="36"/>
        <v>5</v>
      </c>
      <c r="AD69" s="1">
        <f t="shared" si="30"/>
        <v>0</v>
      </c>
      <c r="AE69" s="1">
        <v>0</v>
      </c>
      <c r="AF69" s="1">
        <v>7.6019019999999999</v>
      </c>
      <c r="AG69" s="1">
        <v>3.0445229999999999</v>
      </c>
      <c r="AH69" s="1">
        <f t="shared" si="22"/>
        <v>-1.5461538461538462</v>
      </c>
      <c r="AI69" s="1">
        <f t="shared" si="23"/>
        <v>-0.23472260628828601</v>
      </c>
      <c r="AJ69" s="1">
        <f t="shared" si="31"/>
        <v>0.15181064088297105</v>
      </c>
      <c r="AK69" s="1">
        <f t="shared" si="32"/>
        <v>43.390591715976328</v>
      </c>
      <c r="AL69" s="1">
        <f t="shared" si="33"/>
        <v>6.5871535366937</v>
      </c>
      <c r="AM69" s="1">
        <v>0</v>
      </c>
      <c r="AN69" s="1">
        <v>1</v>
      </c>
      <c r="AO69" s="1">
        <v>0</v>
      </c>
      <c r="AP69" s="1">
        <f t="shared" si="24"/>
        <v>0.15617376188860607</v>
      </c>
      <c r="AQ69" s="1">
        <v>1</v>
      </c>
      <c r="AR69" s="1">
        <v>0</v>
      </c>
      <c r="AS69" s="1">
        <v>0</v>
      </c>
      <c r="AT69" s="1">
        <v>0</v>
      </c>
      <c r="AU69" s="4">
        <v>0</v>
      </c>
      <c r="AV69" s="4">
        <v>0</v>
      </c>
      <c r="AW69" s="1">
        <f t="shared" si="25"/>
        <v>0.05</v>
      </c>
      <c r="AX69" s="1">
        <f t="shared" si="26"/>
        <v>2.5000000000000001E-3</v>
      </c>
    </row>
    <row r="70" spans="1:50" x14ac:dyDescent="0.25">
      <c r="A70" s="1" t="s">
        <v>63</v>
      </c>
      <c r="B70" s="1">
        <v>2002</v>
      </c>
      <c r="C70" s="1">
        <f t="shared" si="34"/>
        <v>9</v>
      </c>
      <c r="D70" s="1" t="s">
        <v>24</v>
      </c>
      <c r="E70" s="1" t="s">
        <v>25</v>
      </c>
      <c r="F70" s="2">
        <v>-0.28699999999999998</v>
      </c>
      <c r="G70" s="3">
        <v>0.14699999999999999</v>
      </c>
      <c r="H70" s="1">
        <v>7</v>
      </c>
      <c r="I70" s="1">
        <v>47</v>
      </c>
      <c r="J70" s="1">
        <f t="shared" si="27"/>
        <v>40</v>
      </c>
      <c r="K70" s="1">
        <v>20</v>
      </c>
      <c r="L70" s="1">
        <v>1950</v>
      </c>
      <c r="M70" s="1">
        <v>1999</v>
      </c>
      <c r="N70" s="1">
        <f t="shared" si="35"/>
        <v>1974.5</v>
      </c>
      <c r="O70" s="1">
        <f t="shared" si="21"/>
        <v>50</v>
      </c>
      <c r="P70" s="1">
        <f t="shared" si="28"/>
        <v>3.912023005428146</v>
      </c>
      <c r="Q70" s="1">
        <v>20</v>
      </c>
      <c r="R70" s="1">
        <v>4</v>
      </c>
      <c r="S70" s="1" t="s">
        <v>99</v>
      </c>
      <c r="T70" s="1">
        <f t="shared" si="29"/>
        <v>0</v>
      </c>
      <c r="U70" s="1">
        <v>1</v>
      </c>
      <c r="V70" s="1">
        <v>1</v>
      </c>
      <c r="W70" s="1">
        <v>1</v>
      </c>
      <c r="X70" s="1">
        <v>0</v>
      </c>
      <c r="Y70" s="1">
        <v>1</v>
      </c>
      <c r="Z70" s="1">
        <v>0</v>
      </c>
      <c r="AA70" s="1">
        <v>0</v>
      </c>
      <c r="AB70" s="1" t="s">
        <v>89</v>
      </c>
      <c r="AC70" s="1">
        <f t="shared" si="36"/>
        <v>5</v>
      </c>
      <c r="AD70" s="1">
        <f t="shared" si="30"/>
        <v>0</v>
      </c>
      <c r="AE70" s="1">
        <v>0</v>
      </c>
      <c r="AF70" s="1">
        <v>7.6019019999999999</v>
      </c>
      <c r="AG70" s="1">
        <v>3.0445229999999999</v>
      </c>
      <c r="AH70" s="1">
        <f t="shared" si="22"/>
        <v>-1.9523809523809523</v>
      </c>
      <c r="AI70" s="1">
        <f t="shared" si="23"/>
        <v>-0.29496402877697842</v>
      </c>
      <c r="AJ70" s="1">
        <f t="shared" si="31"/>
        <v>0.15107913669064749</v>
      </c>
      <c r="AK70" s="1">
        <f t="shared" si="32"/>
        <v>43.811791383219948</v>
      </c>
      <c r="AL70" s="1">
        <f t="shared" si="33"/>
        <v>6.6190476190476186</v>
      </c>
      <c r="AM70" s="1">
        <v>0</v>
      </c>
      <c r="AN70" s="1">
        <v>1</v>
      </c>
      <c r="AO70" s="1">
        <v>0</v>
      </c>
      <c r="AP70" s="1">
        <f t="shared" si="24"/>
        <v>0.15811388300841897</v>
      </c>
      <c r="AQ70" s="1">
        <v>1</v>
      </c>
      <c r="AR70" s="1">
        <v>0</v>
      </c>
      <c r="AS70" s="1">
        <v>0</v>
      </c>
      <c r="AT70" s="1">
        <v>0</v>
      </c>
      <c r="AU70" s="4">
        <v>0</v>
      </c>
      <c r="AV70" s="4">
        <v>0</v>
      </c>
      <c r="AW70" s="1">
        <f t="shared" si="25"/>
        <v>0.05</v>
      </c>
      <c r="AX70" s="1">
        <f t="shared" si="26"/>
        <v>2.5000000000000001E-3</v>
      </c>
    </row>
    <row r="71" spans="1:50" x14ac:dyDescent="0.25">
      <c r="A71" s="1" t="s">
        <v>63</v>
      </c>
      <c r="B71" s="1">
        <v>2002</v>
      </c>
      <c r="C71" s="1">
        <f t="shared" si="34"/>
        <v>9</v>
      </c>
      <c r="D71" s="1" t="s">
        <v>24</v>
      </c>
      <c r="E71" s="1" t="s">
        <v>25</v>
      </c>
      <c r="F71" s="2">
        <v>-1.6E-2</v>
      </c>
      <c r="G71" s="3">
        <v>0.128</v>
      </c>
      <c r="H71" s="1">
        <v>7</v>
      </c>
      <c r="I71" s="1">
        <v>47</v>
      </c>
      <c r="J71" s="1">
        <f t="shared" si="27"/>
        <v>40</v>
      </c>
      <c r="K71" s="1">
        <v>20</v>
      </c>
      <c r="L71" s="1">
        <v>1950</v>
      </c>
      <c r="M71" s="1">
        <v>1999</v>
      </c>
      <c r="N71" s="1">
        <f t="shared" si="35"/>
        <v>1974.5</v>
      </c>
      <c r="O71" s="1">
        <f t="shared" si="21"/>
        <v>50</v>
      </c>
      <c r="P71" s="1">
        <f t="shared" si="28"/>
        <v>3.912023005428146</v>
      </c>
      <c r="Q71" s="1">
        <v>20</v>
      </c>
      <c r="R71" s="1">
        <v>4</v>
      </c>
      <c r="S71" s="1" t="s">
        <v>99</v>
      </c>
      <c r="T71" s="1">
        <f t="shared" si="29"/>
        <v>0</v>
      </c>
      <c r="U71" s="1">
        <v>1</v>
      </c>
      <c r="V71" s="1">
        <v>1</v>
      </c>
      <c r="W71" s="1">
        <v>1</v>
      </c>
      <c r="X71" s="1">
        <v>0</v>
      </c>
      <c r="Y71" s="1">
        <v>1</v>
      </c>
      <c r="Z71" s="1">
        <v>0</v>
      </c>
      <c r="AA71" s="1">
        <v>0</v>
      </c>
      <c r="AB71" s="1" t="s">
        <v>89</v>
      </c>
      <c r="AC71" s="1">
        <f t="shared" si="36"/>
        <v>5</v>
      </c>
      <c r="AD71" s="1">
        <f t="shared" si="30"/>
        <v>0</v>
      </c>
      <c r="AE71" s="1">
        <v>0</v>
      </c>
      <c r="AF71" s="1">
        <v>7.6019019999999999</v>
      </c>
      <c r="AG71" s="1">
        <v>3.0445229999999999</v>
      </c>
      <c r="AH71" s="1">
        <f t="shared" si="22"/>
        <v>-0.125</v>
      </c>
      <c r="AI71" s="1">
        <f t="shared" si="23"/>
        <v>-1.9760376304381096E-2</v>
      </c>
      <c r="AJ71" s="1">
        <f t="shared" si="31"/>
        <v>0.15808301043504877</v>
      </c>
      <c r="AK71" s="1">
        <f t="shared" si="32"/>
        <v>40.015624999999986</v>
      </c>
      <c r="AL71" s="1">
        <f t="shared" si="33"/>
        <v>6.3257904644399963</v>
      </c>
      <c r="AM71" s="1">
        <v>0</v>
      </c>
      <c r="AN71" s="1">
        <v>1</v>
      </c>
      <c r="AO71" s="1">
        <v>0</v>
      </c>
      <c r="AP71" s="1">
        <f t="shared" si="24"/>
        <v>0.15811388300841897</v>
      </c>
      <c r="AQ71" s="1">
        <v>1</v>
      </c>
      <c r="AR71" s="1">
        <v>0</v>
      </c>
      <c r="AS71" s="1">
        <v>0</v>
      </c>
      <c r="AT71" s="1">
        <v>0</v>
      </c>
      <c r="AU71" s="4">
        <v>0</v>
      </c>
      <c r="AV71" s="4">
        <v>0</v>
      </c>
      <c r="AW71" s="1">
        <f t="shared" si="25"/>
        <v>0.05</v>
      </c>
      <c r="AX71" s="1">
        <f t="shared" si="26"/>
        <v>2.5000000000000001E-3</v>
      </c>
    </row>
    <row r="72" spans="1:50" x14ac:dyDescent="0.25">
      <c r="A72" s="1" t="s">
        <v>63</v>
      </c>
      <c r="B72" s="1">
        <v>2002</v>
      </c>
      <c r="C72" s="1">
        <f t="shared" si="34"/>
        <v>9</v>
      </c>
      <c r="D72" s="1" t="s">
        <v>24</v>
      </c>
      <c r="E72" s="1" t="s">
        <v>25</v>
      </c>
      <c r="F72" s="2">
        <v>-7.8E-2</v>
      </c>
      <c r="G72" s="3">
        <v>0.29799999999999999</v>
      </c>
      <c r="H72" s="1">
        <v>6</v>
      </c>
      <c r="I72" s="1">
        <v>384</v>
      </c>
      <c r="J72" s="1">
        <f t="shared" si="27"/>
        <v>378</v>
      </c>
      <c r="K72" s="1">
        <v>20</v>
      </c>
      <c r="L72" s="1">
        <v>1950</v>
      </c>
      <c r="M72" s="1">
        <v>1999</v>
      </c>
      <c r="N72" s="1">
        <f t="shared" si="35"/>
        <v>1974.5</v>
      </c>
      <c r="O72" s="1">
        <f t="shared" si="21"/>
        <v>50</v>
      </c>
      <c r="P72" s="1">
        <f t="shared" si="28"/>
        <v>3.912023005428146</v>
      </c>
      <c r="Q72" s="1">
        <v>20</v>
      </c>
      <c r="R72" s="1">
        <v>4</v>
      </c>
      <c r="S72" s="1" t="s">
        <v>100</v>
      </c>
      <c r="T72" s="1">
        <v>1</v>
      </c>
      <c r="U72" s="1">
        <v>1</v>
      </c>
      <c r="V72" s="1">
        <v>1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 t="s">
        <v>89</v>
      </c>
      <c r="AC72" s="1">
        <f t="shared" si="36"/>
        <v>5</v>
      </c>
      <c r="AD72" s="1">
        <f t="shared" si="30"/>
        <v>0</v>
      </c>
      <c r="AE72" s="1">
        <v>0</v>
      </c>
      <c r="AF72" s="1">
        <v>7.6019019999999999</v>
      </c>
      <c r="AG72" s="1">
        <v>3.0445229999999999</v>
      </c>
      <c r="AH72" s="1">
        <f t="shared" si="22"/>
        <v>-0.26174496644295303</v>
      </c>
      <c r="AI72" s="1">
        <f t="shared" si="23"/>
        <v>-1.3461488530730842E-2</v>
      </c>
      <c r="AJ72" s="1">
        <f t="shared" si="31"/>
        <v>5.142978951484347E-2</v>
      </c>
      <c r="AK72" s="1">
        <f t="shared" si="32"/>
        <v>378.06851042745819</v>
      </c>
      <c r="AL72" s="1">
        <f t="shared" si="33"/>
        <v>19.443983913474579</v>
      </c>
      <c r="AM72" s="1">
        <v>0</v>
      </c>
      <c r="AN72" s="1">
        <v>1</v>
      </c>
      <c r="AO72" s="1">
        <v>0</v>
      </c>
      <c r="AP72" s="1">
        <f t="shared" si="24"/>
        <v>5.1434449987363969E-2</v>
      </c>
      <c r="AQ72" s="1">
        <v>0</v>
      </c>
      <c r="AR72" s="1">
        <v>0</v>
      </c>
      <c r="AS72" s="1">
        <v>0</v>
      </c>
      <c r="AT72" s="1">
        <v>0</v>
      </c>
      <c r="AU72" s="4">
        <v>0</v>
      </c>
      <c r="AV72" s="4">
        <v>0</v>
      </c>
      <c r="AW72" s="1">
        <f t="shared" si="25"/>
        <v>0.05</v>
      </c>
      <c r="AX72" s="1">
        <f t="shared" si="26"/>
        <v>2.5000000000000001E-3</v>
      </c>
    </row>
    <row r="73" spans="1:50" x14ac:dyDescent="0.25">
      <c r="A73" s="1" t="s">
        <v>63</v>
      </c>
      <c r="B73" s="1">
        <v>2002</v>
      </c>
      <c r="C73" s="1">
        <f t="shared" si="34"/>
        <v>9</v>
      </c>
      <c r="D73" s="1" t="s">
        <v>24</v>
      </c>
      <c r="E73" s="1" t="s">
        <v>25</v>
      </c>
      <c r="F73" s="2">
        <v>0.06</v>
      </c>
      <c r="G73" s="3">
        <v>0.154</v>
      </c>
      <c r="H73" s="1">
        <v>6</v>
      </c>
      <c r="I73" s="1">
        <v>384</v>
      </c>
      <c r="J73" s="1">
        <f t="shared" si="27"/>
        <v>378</v>
      </c>
      <c r="K73" s="1">
        <v>20</v>
      </c>
      <c r="L73" s="1">
        <v>1950</v>
      </c>
      <c r="M73" s="1">
        <v>1999</v>
      </c>
      <c r="N73" s="1">
        <f t="shared" si="35"/>
        <v>1974.5</v>
      </c>
      <c r="O73" s="1">
        <f t="shared" si="21"/>
        <v>50</v>
      </c>
      <c r="P73" s="1">
        <f t="shared" si="28"/>
        <v>3.912023005428146</v>
      </c>
      <c r="Q73" s="1">
        <v>20</v>
      </c>
      <c r="R73" s="1">
        <v>4</v>
      </c>
      <c r="S73" s="1" t="s">
        <v>100</v>
      </c>
      <c r="T73" s="1">
        <v>1</v>
      </c>
      <c r="U73" s="1">
        <v>1</v>
      </c>
      <c r="V73" s="1">
        <v>1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 t="s">
        <v>89</v>
      </c>
      <c r="AC73" s="1">
        <f t="shared" si="36"/>
        <v>5</v>
      </c>
      <c r="AD73" s="1">
        <f t="shared" si="30"/>
        <v>0</v>
      </c>
      <c r="AE73" s="1">
        <v>0</v>
      </c>
      <c r="AF73" s="1">
        <v>7.6019019999999999</v>
      </c>
      <c r="AG73" s="1">
        <v>3.0445229999999999</v>
      </c>
      <c r="AH73" s="1">
        <f t="shared" si="22"/>
        <v>0.38961038961038957</v>
      </c>
      <c r="AI73" s="1">
        <f t="shared" si="23"/>
        <v>2.0035373626181519E-2</v>
      </c>
      <c r="AJ73" s="1">
        <f t="shared" si="31"/>
        <v>5.1424125640532566E-2</v>
      </c>
      <c r="AK73" s="1">
        <f t="shared" si="32"/>
        <v>378.15179625569232</v>
      </c>
      <c r="AL73" s="1">
        <f t="shared" si="33"/>
        <v>19.446125481845794</v>
      </c>
      <c r="AM73" s="1">
        <v>0</v>
      </c>
      <c r="AN73" s="1">
        <v>1</v>
      </c>
      <c r="AO73" s="1">
        <v>0</v>
      </c>
      <c r="AP73" s="1">
        <f t="shared" si="24"/>
        <v>5.1434449987363969E-2</v>
      </c>
      <c r="AQ73" s="1">
        <v>0</v>
      </c>
      <c r="AR73" s="1">
        <v>0</v>
      </c>
      <c r="AS73" s="1">
        <v>0</v>
      </c>
      <c r="AT73" s="1">
        <v>0</v>
      </c>
      <c r="AU73" s="4">
        <v>0</v>
      </c>
      <c r="AV73" s="4">
        <v>0</v>
      </c>
      <c r="AW73" s="1">
        <f t="shared" si="25"/>
        <v>0.05</v>
      </c>
      <c r="AX73" s="1">
        <f t="shared" si="26"/>
        <v>2.5000000000000001E-3</v>
      </c>
    </row>
    <row r="74" spans="1:50" x14ac:dyDescent="0.25">
      <c r="A74" s="1" t="s">
        <v>63</v>
      </c>
      <c r="B74" s="1">
        <v>2002</v>
      </c>
      <c r="C74" s="1">
        <f t="shared" si="34"/>
        <v>9</v>
      </c>
      <c r="D74" s="1" t="s">
        <v>24</v>
      </c>
      <c r="E74" s="1" t="s">
        <v>25</v>
      </c>
      <c r="F74" s="2">
        <v>9.2999999999999999E-2</v>
      </c>
      <c r="G74" s="3">
        <v>0.224</v>
      </c>
      <c r="H74" s="1">
        <v>6</v>
      </c>
      <c r="I74" s="1">
        <v>384</v>
      </c>
      <c r="J74" s="1">
        <f t="shared" si="27"/>
        <v>378</v>
      </c>
      <c r="K74" s="1">
        <v>20</v>
      </c>
      <c r="L74" s="1">
        <v>1950</v>
      </c>
      <c r="M74" s="1">
        <v>1999</v>
      </c>
      <c r="N74" s="1">
        <f t="shared" si="35"/>
        <v>1974.5</v>
      </c>
      <c r="O74" s="1">
        <f t="shared" si="21"/>
        <v>50</v>
      </c>
      <c r="P74" s="1">
        <f t="shared" si="28"/>
        <v>3.912023005428146</v>
      </c>
      <c r="Q74" s="1">
        <v>20</v>
      </c>
      <c r="R74" s="1">
        <v>4</v>
      </c>
      <c r="S74" s="1" t="s">
        <v>100</v>
      </c>
      <c r="T74" s="1">
        <v>1</v>
      </c>
      <c r="U74" s="1">
        <v>1</v>
      </c>
      <c r="V74" s="1">
        <v>1</v>
      </c>
      <c r="W74" s="1">
        <v>0</v>
      </c>
      <c r="X74" s="1">
        <v>0</v>
      </c>
      <c r="Y74" s="1">
        <v>1</v>
      </c>
      <c r="Z74" s="1">
        <v>0</v>
      </c>
      <c r="AA74" s="1">
        <v>0</v>
      </c>
      <c r="AB74" s="1" t="s">
        <v>89</v>
      </c>
      <c r="AC74" s="1">
        <f t="shared" si="36"/>
        <v>5</v>
      </c>
      <c r="AD74" s="1">
        <f t="shared" si="30"/>
        <v>0</v>
      </c>
      <c r="AE74" s="1">
        <v>0</v>
      </c>
      <c r="AF74" s="1">
        <v>7.6019019999999999</v>
      </c>
      <c r="AG74" s="1">
        <v>3.0445229999999999</v>
      </c>
      <c r="AH74" s="1">
        <f t="shared" si="22"/>
        <v>0.4151785714285714</v>
      </c>
      <c r="AI74" s="1">
        <f t="shared" si="23"/>
        <v>2.1349614162612305E-2</v>
      </c>
      <c r="AJ74" s="1">
        <f t="shared" si="31"/>
        <v>5.1422726585216738E-2</v>
      </c>
      <c r="AK74" s="1">
        <f t="shared" si="32"/>
        <v>378.17237324617349</v>
      </c>
      <c r="AL74" s="1">
        <f t="shared" si="33"/>
        <v>19.446654551520513</v>
      </c>
      <c r="AM74" s="1">
        <v>0</v>
      </c>
      <c r="AN74" s="1">
        <v>1</v>
      </c>
      <c r="AO74" s="1">
        <v>0</v>
      </c>
      <c r="AP74" s="1">
        <f t="shared" si="24"/>
        <v>5.1434449987363969E-2</v>
      </c>
      <c r="AQ74" s="1">
        <v>0</v>
      </c>
      <c r="AR74" s="1">
        <v>0</v>
      </c>
      <c r="AS74" s="1">
        <v>0</v>
      </c>
      <c r="AT74" s="1">
        <v>0</v>
      </c>
      <c r="AU74" s="4">
        <v>0</v>
      </c>
      <c r="AV74" s="4">
        <v>0</v>
      </c>
      <c r="AW74" s="1">
        <f t="shared" si="25"/>
        <v>0.05</v>
      </c>
      <c r="AX74" s="1">
        <f t="shared" si="26"/>
        <v>2.5000000000000001E-3</v>
      </c>
    </row>
    <row r="75" spans="1:50" x14ac:dyDescent="0.25">
      <c r="A75" s="1" t="s">
        <v>82</v>
      </c>
      <c r="B75" s="1">
        <v>2016</v>
      </c>
      <c r="C75" s="1">
        <f t="shared" si="34"/>
        <v>10</v>
      </c>
      <c r="D75" s="1" t="s">
        <v>24</v>
      </c>
      <c r="E75" s="1" t="s">
        <v>25</v>
      </c>
      <c r="F75" s="2">
        <v>-0.35320000000000001</v>
      </c>
      <c r="G75" s="3">
        <v>4.7729729729729699E-2</v>
      </c>
      <c r="H75" s="1">
        <v>2</v>
      </c>
      <c r="I75" s="1">
        <v>13</v>
      </c>
      <c r="J75" s="1">
        <f t="shared" si="27"/>
        <v>11</v>
      </c>
      <c r="K75" s="1">
        <v>4</v>
      </c>
      <c r="L75" s="1">
        <v>2001</v>
      </c>
      <c r="M75" s="1">
        <v>2013</v>
      </c>
      <c r="N75" s="1">
        <f t="shared" si="35"/>
        <v>2007</v>
      </c>
      <c r="O75" s="1">
        <f t="shared" si="21"/>
        <v>13</v>
      </c>
      <c r="P75" s="1">
        <f t="shared" si="28"/>
        <v>2.5649493574615367</v>
      </c>
      <c r="Q75" s="1">
        <v>0</v>
      </c>
      <c r="R75" s="1">
        <v>0</v>
      </c>
      <c r="S75" s="1" t="s">
        <v>26</v>
      </c>
      <c r="T75" s="1">
        <f t="shared" ref="T75:T100" si="37">IF(S75="OLS",0,IF(S75="FE",0,IF(S75="Probit model",0,IF(S75="3SLS",1,IF(S75="Logit",0,IF(S75="2SLS",1,IF(S75="SUR method",1,IF(S75="Modified LS",0,IF(S75="Zenner estimates",1,IF(S75="MLE",0,IF(S75="GLS",0,0)))))))))))</f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 t="s">
        <v>85</v>
      </c>
      <c r="AC75" s="1">
        <f t="shared" si="36"/>
        <v>1</v>
      </c>
      <c r="AD75" s="1">
        <f t="shared" si="30"/>
        <v>1</v>
      </c>
      <c r="AE75" s="1">
        <v>1</v>
      </c>
      <c r="AF75" s="1">
        <v>7.6088709999999997</v>
      </c>
      <c r="AG75" s="1">
        <v>0</v>
      </c>
      <c r="AH75" s="1">
        <f t="shared" si="22"/>
        <v>-7.4000000000000048</v>
      </c>
      <c r="AI75" s="1">
        <f t="shared" si="23"/>
        <v>-0.91253770378393173</v>
      </c>
      <c r="AJ75" s="1">
        <f t="shared" si="31"/>
        <v>0.12331590591674745</v>
      </c>
      <c r="AK75" s="1">
        <f t="shared" si="32"/>
        <v>65.760000000000076</v>
      </c>
      <c r="AL75" s="1">
        <f t="shared" si="33"/>
        <v>8.1092539730853215</v>
      </c>
      <c r="AM75" s="1">
        <v>1</v>
      </c>
      <c r="AN75" s="1">
        <v>0</v>
      </c>
      <c r="AO75" s="1">
        <v>0</v>
      </c>
      <c r="AP75" s="1">
        <f t="shared" si="24"/>
        <v>0.30151134457776363</v>
      </c>
      <c r="AQ75" s="1">
        <v>1</v>
      </c>
      <c r="AR75" s="1">
        <v>0</v>
      </c>
      <c r="AS75" s="1">
        <v>0</v>
      </c>
      <c r="AT75" s="1">
        <v>0</v>
      </c>
      <c r="AU75" s="4">
        <v>0</v>
      </c>
      <c r="AV75" s="4">
        <v>1</v>
      </c>
      <c r="AW75" s="1">
        <f t="shared" si="25"/>
        <v>0.25</v>
      </c>
      <c r="AX75" s="1">
        <f t="shared" si="26"/>
        <v>6.25E-2</v>
      </c>
    </row>
    <row r="76" spans="1:50" x14ac:dyDescent="0.25">
      <c r="A76" s="1" t="s">
        <v>82</v>
      </c>
      <c r="B76" s="1">
        <v>2016</v>
      </c>
      <c r="C76" s="1">
        <f t="shared" si="34"/>
        <v>10</v>
      </c>
      <c r="D76" s="1" t="s">
        <v>24</v>
      </c>
      <c r="E76" s="1" t="s">
        <v>25</v>
      </c>
      <c r="F76" s="2">
        <v>-0.93689999999999996</v>
      </c>
      <c r="G76" s="3">
        <v>0.153088235294117</v>
      </c>
      <c r="H76" s="1">
        <v>2</v>
      </c>
      <c r="I76" s="1">
        <v>13</v>
      </c>
      <c r="J76" s="1">
        <f t="shared" si="27"/>
        <v>11</v>
      </c>
      <c r="K76" s="1">
        <v>4</v>
      </c>
      <c r="L76" s="1">
        <v>2001</v>
      </c>
      <c r="M76" s="1">
        <v>2013</v>
      </c>
      <c r="N76" s="1">
        <f t="shared" si="35"/>
        <v>2007</v>
      </c>
      <c r="O76" s="1">
        <f t="shared" ref="O76:O104" si="38">+M76-L76+1</f>
        <v>13</v>
      </c>
      <c r="P76" s="1">
        <f t="shared" si="28"/>
        <v>2.5649493574615367</v>
      </c>
      <c r="Q76" s="1">
        <v>0</v>
      </c>
      <c r="R76" s="1">
        <v>0</v>
      </c>
      <c r="S76" s="1" t="s">
        <v>26</v>
      </c>
      <c r="T76" s="1">
        <f t="shared" si="37"/>
        <v>0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 t="s">
        <v>85</v>
      </c>
      <c r="AC76" s="1">
        <f t="shared" si="36"/>
        <v>1</v>
      </c>
      <c r="AD76" s="1">
        <f t="shared" si="30"/>
        <v>1</v>
      </c>
      <c r="AE76" s="1">
        <v>1</v>
      </c>
      <c r="AF76" s="1">
        <v>7.6088709999999997</v>
      </c>
      <c r="AG76" s="1">
        <v>0</v>
      </c>
      <c r="AH76" s="1">
        <f t="shared" si="22"/>
        <v>-6.1200000000000259</v>
      </c>
      <c r="AI76" s="1">
        <f t="shared" si="23"/>
        <v>-0.8791941952537593</v>
      </c>
      <c r="AJ76" s="1">
        <f t="shared" si="31"/>
        <v>0.14365918223100582</v>
      </c>
      <c r="AK76" s="1">
        <f t="shared" si="32"/>
        <v>48.454400000000305</v>
      </c>
      <c r="AL76" s="1">
        <f t="shared" si="33"/>
        <v>6.9609194794940921</v>
      </c>
      <c r="AM76" s="1">
        <v>1</v>
      </c>
      <c r="AN76" s="1">
        <v>0</v>
      </c>
      <c r="AO76" s="1">
        <v>0</v>
      </c>
      <c r="AP76" s="1">
        <f t="shared" si="24"/>
        <v>0.30151134457776363</v>
      </c>
      <c r="AQ76" s="1">
        <v>1</v>
      </c>
      <c r="AR76" s="1">
        <v>0</v>
      </c>
      <c r="AS76" s="1">
        <v>0</v>
      </c>
      <c r="AT76" s="1">
        <v>0</v>
      </c>
      <c r="AU76" s="4">
        <v>0</v>
      </c>
      <c r="AV76" s="4">
        <v>1</v>
      </c>
      <c r="AW76" s="1">
        <f t="shared" si="25"/>
        <v>0.25</v>
      </c>
      <c r="AX76" s="1">
        <f t="shared" si="26"/>
        <v>6.25E-2</v>
      </c>
    </row>
    <row r="77" spans="1:50" x14ac:dyDescent="0.25">
      <c r="A77" s="1" t="s">
        <v>82</v>
      </c>
      <c r="B77" s="1">
        <v>2016</v>
      </c>
      <c r="C77" s="1">
        <f t="shared" si="34"/>
        <v>10</v>
      </c>
      <c r="D77" s="1" t="s">
        <v>24</v>
      </c>
      <c r="E77" s="1" t="s">
        <v>25</v>
      </c>
      <c r="F77" s="2">
        <v>-1.0999000000000001</v>
      </c>
      <c r="G77" s="3">
        <v>0.201816513761467</v>
      </c>
      <c r="H77" s="1">
        <v>2</v>
      </c>
      <c r="I77" s="1">
        <v>13</v>
      </c>
      <c r="J77" s="1">
        <f t="shared" si="27"/>
        <v>11</v>
      </c>
      <c r="K77" s="1">
        <v>4</v>
      </c>
      <c r="L77" s="1">
        <v>2001</v>
      </c>
      <c r="M77" s="1">
        <v>2013</v>
      </c>
      <c r="N77" s="1">
        <f t="shared" si="35"/>
        <v>2007</v>
      </c>
      <c r="O77" s="1">
        <f t="shared" si="38"/>
        <v>13</v>
      </c>
      <c r="P77" s="1">
        <f t="shared" si="28"/>
        <v>2.5649493574615367</v>
      </c>
      <c r="Q77" s="1">
        <v>0</v>
      </c>
      <c r="R77" s="1">
        <v>0</v>
      </c>
      <c r="S77" s="1" t="s">
        <v>26</v>
      </c>
      <c r="T77" s="1">
        <f t="shared" si="37"/>
        <v>0</v>
      </c>
      <c r="U77" s="1">
        <v>0</v>
      </c>
      <c r="V77" s="1">
        <v>0</v>
      </c>
      <c r="W77" s="1">
        <v>0</v>
      </c>
      <c r="X77" s="1">
        <v>0</v>
      </c>
      <c r="Y77" s="1">
        <v>1</v>
      </c>
      <c r="Z77" s="1">
        <v>0</v>
      </c>
      <c r="AA77" s="1">
        <v>0</v>
      </c>
      <c r="AB77" s="1" t="s">
        <v>85</v>
      </c>
      <c r="AC77" s="1">
        <f t="shared" si="36"/>
        <v>1</v>
      </c>
      <c r="AD77" s="1">
        <f t="shared" si="30"/>
        <v>1</v>
      </c>
      <c r="AE77" s="1">
        <v>1</v>
      </c>
      <c r="AF77" s="1">
        <v>7.6088709999999997</v>
      </c>
      <c r="AG77" s="1">
        <v>0</v>
      </c>
      <c r="AH77" s="1">
        <f t="shared" si="22"/>
        <v>-5.4500000000000242</v>
      </c>
      <c r="AI77" s="1">
        <f t="shared" si="23"/>
        <v>-0.85425191253985888</v>
      </c>
      <c r="AJ77" s="1">
        <f t="shared" si="31"/>
        <v>0.15674347019079909</v>
      </c>
      <c r="AK77" s="1">
        <f t="shared" si="32"/>
        <v>40.702500000000271</v>
      </c>
      <c r="AL77" s="1">
        <f t="shared" si="33"/>
        <v>6.3798510954410421</v>
      </c>
      <c r="AM77" s="1">
        <v>1</v>
      </c>
      <c r="AN77" s="1">
        <v>0</v>
      </c>
      <c r="AO77" s="1">
        <v>0</v>
      </c>
      <c r="AP77" s="1">
        <f t="shared" si="24"/>
        <v>0.30151134457776363</v>
      </c>
      <c r="AQ77" s="1">
        <v>1</v>
      </c>
      <c r="AR77" s="1">
        <v>0</v>
      </c>
      <c r="AS77" s="1">
        <v>0</v>
      </c>
      <c r="AT77" s="1">
        <v>0</v>
      </c>
      <c r="AU77" s="4">
        <v>0</v>
      </c>
      <c r="AV77" s="4">
        <v>1</v>
      </c>
      <c r="AW77" s="1">
        <f t="shared" si="25"/>
        <v>0.25</v>
      </c>
      <c r="AX77" s="1">
        <f t="shared" si="26"/>
        <v>6.25E-2</v>
      </c>
    </row>
    <row r="78" spans="1:50" x14ac:dyDescent="0.25">
      <c r="A78" s="1" t="s">
        <v>82</v>
      </c>
      <c r="B78" s="1">
        <v>2016</v>
      </c>
      <c r="C78" s="1">
        <f t="shared" si="34"/>
        <v>10</v>
      </c>
      <c r="D78" s="1" t="s">
        <v>24</v>
      </c>
      <c r="E78" s="1" t="s">
        <v>25</v>
      </c>
      <c r="F78" s="2">
        <v>-1.1016999999999999</v>
      </c>
      <c r="G78" s="3">
        <v>0.166168929110105</v>
      </c>
      <c r="H78" s="1">
        <v>2</v>
      </c>
      <c r="I78" s="1">
        <v>13</v>
      </c>
      <c r="J78" s="1">
        <f t="shared" si="27"/>
        <v>11</v>
      </c>
      <c r="K78" s="1">
        <v>4</v>
      </c>
      <c r="L78" s="1">
        <v>2001</v>
      </c>
      <c r="M78" s="1">
        <v>2013</v>
      </c>
      <c r="N78" s="1">
        <f t="shared" si="35"/>
        <v>2007</v>
      </c>
      <c r="O78" s="1">
        <f t="shared" si="38"/>
        <v>13</v>
      </c>
      <c r="P78" s="1">
        <f t="shared" si="28"/>
        <v>2.5649493574615367</v>
      </c>
      <c r="Q78" s="1">
        <v>0</v>
      </c>
      <c r="R78" s="1">
        <v>0</v>
      </c>
      <c r="S78" s="1" t="s">
        <v>26</v>
      </c>
      <c r="T78" s="1">
        <f t="shared" si="37"/>
        <v>0</v>
      </c>
      <c r="U78" s="1">
        <v>0</v>
      </c>
      <c r="V78" s="1">
        <v>0</v>
      </c>
      <c r="W78" s="1">
        <v>0</v>
      </c>
      <c r="X78" s="1">
        <v>0</v>
      </c>
      <c r="Y78" s="1">
        <v>1</v>
      </c>
      <c r="Z78" s="1">
        <v>0</v>
      </c>
      <c r="AA78" s="1">
        <v>0</v>
      </c>
      <c r="AB78" s="1" t="s">
        <v>85</v>
      </c>
      <c r="AC78" s="1">
        <f t="shared" si="36"/>
        <v>1</v>
      </c>
      <c r="AD78" s="1">
        <f t="shared" si="30"/>
        <v>1</v>
      </c>
      <c r="AE78" s="1">
        <v>1</v>
      </c>
      <c r="AF78" s="1">
        <v>7.6088709999999997</v>
      </c>
      <c r="AG78" s="1">
        <v>0</v>
      </c>
      <c r="AH78" s="1">
        <f t="shared" si="22"/>
        <v>-6.6300000000000221</v>
      </c>
      <c r="AI78" s="1">
        <f t="shared" si="23"/>
        <v>-0.89433950478202862</v>
      </c>
      <c r="AJ78" s="1">
        <f t="shared" si="31"/>
        <v>0.1348928363170476</v>
      </c>
      <c r="AK78" s="1">
        <f t="shared" si="32"/>
        <v>54.956900000000303</v>
      </c>
      <c r="AL78" s="1">
        <f t="shared" si="33"/>
        <v>7.4132921161923937</v>
      </c>
      <c r="AM78" s="1">
        <v>1</v>
      </c>
      <c r="AN78" s="1">
        <v>0</v>
      </c>
      <c r="AO78" s="1">
        <v>0</v>
      </c>
      <c r="AP78" s="1">
        <f t="shared" si="24"/>
        <v>0.30151134457776363</v>
      </c>
      <c r="AQ78" s="1">
        <v>1</v>
      </c>
      <c r="AR78" s="1">
        <v>0</v>
      </c>
      <c r="AS78" s="1">
        <v>0</v>
      </c>
      <c r="AT78" s="1">
        <v>0</v>
      </c>
      <c r="AU78" s="4">
        <v>0</v>
      </c>
      <c r="AV78" s="4">
        <v>1</v>
      </c>
      <c r="AW78" s="1">
        <f t="shared" si="25"/>
        <v>0.25</v>
      </c>
      <c r="AX78" s="1">
        <f t="shared" si="26"/>
        <v>6.25E-2</v>
      </c>
    </row>
    <row r="79" spans="1:50" x14ac:dyDescent="0.25">
      <c r="A79" s="1" t="s">
        <v>40</v>
      </c>
      <c r="B79" s="1">
        <v>2001</v>
      </c>
      <c r="C79" s="1">
        <f t="shared" si="34"/>
        <v>11</v>
      </c>
      <c r="D79" s="1" t="s">
        <v>24</v>
      </c>
      <c r="E79" s="1" t="s">
        <v>25</v>
      </c>
      <c r="F79" s="2">
        <v>-3.9600000000000003E-2</v>
      </c>
      <c r="G79" s="3">
        <v>9.4000000000000004E-3</v>
      </c>
      <c r="H79" s="1">
        <v>13</v>
      </c>
      <c r="I79" s="1">
        <v>3036</v>
      </c>
      <c r="J79" s="1">
        <f t="shared" si="27"/>
        <v>3023</v>
      </c>
      <c r="K79" s="1">
        <v>16</v>
      </c>
      <c r="L79" s="1">
        <v>1984</v>
      </c>
      <c r="M79" s="1">
        <v>1997</v>
      </c>
      <c r="N79" s="1">
        <f t="shared" si="35"/>
        <v>1990.5</v>
      </c>
      <c r="O79" s="1">
        <f t="shared" si="38"/>
        <v>14</v>
      </c>
      <c r="P79" s="1">
        <f t="shared" si="28"/>
        <v>2.6390573296152584</v>
      </c>
      <c r="Q79" s="1">
        <v>2</v>
      </c>
      <c r="R79" s="1">
        <v>0</v>
      </c>
      <c r="S79" s="1" t="s">
        <v>26</v>
      </c>
      <c r="T79" s="1">
        <f t="shared" si="37"/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 t="s">
        <v>85</v>
      </c>
      <c r="AC79" s="1">
        <f t="shared" si="36"/>
        <v>1</v>
      </c>
      <c r="AD79" s="1">
        <f t="shared" si="30"/>
        <v>1</v>
      </c>
      <c r="AE79" s="1">
        <v>0</v>
      </c>
      <c r="AF79" s="1">
        <v>7.6014020000000002</v>
      </c>
      <c r="AG79" s="1">
        <v>1.0986119999999999</v>
      </c>
      <c r="AH79" s="1">
        <f t="shared" si="22"/>
        <v>-4.212765957446809</v>
      </c>
      <c r="AI79" s="1">
        <f t="shared" si="23"/>
        <v>-7.6397150528909927E-2</v>
      </c>
      <c r="AJ79" s="1">
        <f t="shared" si="31"/>
        <v>1.8134677145751343E-2</v>
      </c>
      <c r="AK79" s="1">
        <f t="shared" si="32"/>
        <v>3040.7473970122232</v>
      </c>
      <c r="AL79" s="1">
        <f t="shared" si="33"/>
        <v>55.14297232660045</v>
      </c>
      <c r="AM79" s="1">
        <v>1</v>
      </c>
      <c r="AN79" s="1">
        <v>0</v>
      </c>
      <c r="AO79" s="1">
        <v>0</v>
      </c>
      <c r="AP79" s="1">
        <f t="shared" si="24"/>
        <v>1.8187831682290802E-2</v>
      </c>
      <c r="AQ79" s="1">
        <v>1</v>
      </c>
      <c r="AR79" s="1">
        <v>0</v>
      </c>
      <c r="AS79" s="1">
        <v>0</v>
      </c>
      <c r="AT79" s="1">
        <v>0</v>
      </c>
      <c r="AU79" s="4">
        <v>1</v>
      </c>
      <c r="AV79" s="4">
        <v>0</v>
      </c>
      <c r="AW79" s="1">
        <f t="shared" si="25"/>
        <v>6.25E-2</v>
      </c>
      <c r="AX79" s="1">
        <f t="shared" si="26"/>
        <v>3.90625E-3</v>
      </c>
    </row>
    <row r="80" spans="1:50" x14ac:dyDescent="0.25">
      <c r="A80" s="1" t="s">
        <v>40</v>
      </c>
      <c r="B80" s="1">
        <v>2001</v>
      </c>
      <c r="C80" s="1">
        <f t="shared" si="34"/>
        <v>11</v>
      </c>
      <c r="D80" s="1" t="s">
        <v>24</v>
      </c>
      <c r="E80" s="1" t="s">
        <v>25</v>
      </c>
      <c r="F80" s="2">
        <v>-9.6699999999999994E-2</v>
      </c>
      <c r="G80" s="3">
        <v>3.49E-2</v>
      </c>
      <c r="H80" s="1">
        <v>13</v>
      </c>
      <c r="I80" s="1">
        <v>2341</v>
      </c>
      <c r="J80" s="1">
        <f t="shared" si="27"/>
        <v>2328</v>
      </c>
      <c r="K80" s="1">
        <v>16</v>
      </c>
      <c r="L80" s="1">
        <v>1984</v>
      </c>
      <c r="M80" s="1">
        <v>1997</v>
      </c>
      <c r="N80" s="1">
        <f t="shared" si="35"/>
        <v>1990.5</v>
      </c>
      <c r="O80" s="1">
        <f t="shared" si="38"/>
        <v>14</v>
      </c>
      <c r="P80" s="1">
        <f t="shared" si="28"/>
        <v>2.6390573296152584</v>
      </c>
      <c r="Q80" s="1">
        <v>2</v>
      </c>
      <c r="R80" s="1">
        <v>0</v>
      </c>
      <c r="S80" s="1" t="s">
        <v>26</v>
      </c>
      <c r="T80" s="1">
        <f t="shared" si="37"/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" t="s">
        <v>85</v>
      </c>
      <c r="AC80" s="1">
        <f t="shared" si="36"/>
        <v>1</v>
      </c>
      <c r="AD80" s="1">
        <f t="shared" si="30"/>
        <v>1</v>
      </c>
      <c r="AE80" s="1">
        <v>0</v>
      </c>
      <c r="AF80" s="1">
        <v>7.6014020000000002</v>
      </c>
      <c r="AG80" s="1">
        <v>1.0986119999999999</v>
      </c>
      <c r="AH80" s="1">
        <f t="shared" si="22"/>
        <v>-2.7707736389684814</v>
      </c>
      <c r="AI80" s="1">
        <f t="shared" si="23"/>
        <v>-5.7331675978533579E-2</v>
      </c>
      <c r="AJ80" s="1">
        <f t="shared" si="31"/>
        <v>2.0691576956058139E-2</v>
      </c>
      <c r="AK80" s="1">
        <f t="shared" si="32"/>
        <v>2335.6771865584024</v>
      </c>
      <c r="AL80" s="1">
        <f t="shared" si="33"/>
        <v>48.328844250182541</v>
      </c>
      <c r="AM80" s="1">
        <v>1</v>
      </c>
      <c r="AN80" s="1">
        <v>0</v>
      </c>
      <c r="AO80" s="1">
        <v>0</v>
      </c>
      <c r="AP80" s="1">
        <f t="shared" si="24"/>
        <v>2.0725666807241958E-2</v>
      </c>
      <c r="AQ80" s="1">
        <v>1</v>
      </c>
      <c r="AR80" s="1">
        <v>0</v>
      </c>
      <c r="AS80" s="1">
        <v>0</v>
      </c>
      <c r="AT80" s="1">
        <v>0</v>
      </c>
      <c r="AU80" s="4">
        <v>0</v>
      </c>
      <c r="AV80" s="4">
        <v>1</v>
      </c>
      <c r="AW80" s="1">
        <f t="shared" si="25"/>
        <v>6.25E-2</v>
      </c>
      <c r="AX80" s="1">
        <f t="shared" si="26"/>
        <v>3.90625E-3</v>
      </c>
    </row>
    <row r="81" spans="1:50" x14ac:dyDescent="0.25">
      <c r="A81" s="1" t="s">
        <v>40</v>
      </c>
      <c r="B81" s="1">
        <v>2001</v>
      </c>
      <c r="C81" s="1">
        <f t="shared" si="34"/>
        <v>11</v>
      </c>
      <c r="D81" s="1" t="s">
        <v>24</v>
      </c>
      <c r="E81" s="1" t="s">
        <v>25</v>
      </c>
      <c r="F81" s="2">
        <v>2.76E-2</v>
      </c>
      <c r="G81" s="3">
        <v>3.49E-2</v>
      </c>
      <c r="H81" s="1">
        <v>11</v>
      </c>
      <c r="I81" s="1">
        <v>287</v>
      </c>
      <c r="J81" s="1">
        <f t="shared" si="27"/>
        <v>276</v>
      </c>
      <c r="K81" s="1">
        <v>16</v>
      </c>
      <c r="L81" s="1">
        <v>1984</v>
      </c>
      <c r="M81" s="1">
        <v>1997</v>
      </c>
      <c r="N81" s="1">
        <f t="shared" si="35"/>
        <v>1990.5</v>
      </c>
      <c r="O81" s="1">
        <f t="shared" si="38"/>
        <v>14</v>
      </c>
      <c r="P81" s="1">
        <f t="shared" si="28"/>
        <v>2.6390573296152584</v>
      </c>
      <c r="Q81" s="1">
        <v>2</v>
      </c>
      <c r="R81" s="1">
        <v>0</v>
      </c>
      <c r="S81" s="1" t="s">
        <v>26</v>
      </c>
      <c r="T81" s="1">
        <f t="shared" si="37"/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 t="s">
        <v>85</v>
      </c>
      <c r="AC81" s="1">
        <f t="shared" si="36"/>
        <v>1</v>
      </c>
      <c r="AD81" s="1">
        <f t="shared" si="30"/>
        <v>1</v>
      </c>
      <c r="AE81" s="1">
        <v>0</v>
      </c>
      <c r="AF81" s="1">
        <v>7.6014020000000002</v>
      </c>
      <c r="AG81" s="1">
        <v>1.0986119999999999</v>
      </c>
      <c r="AH81" s="1">
        <f t="shared" si="22"/>
        <v>0.79083094555873923</v>
      </c>
      <c r="AI81" s="1">
        <f t="shared" si="23"/>
        <v>4.7548587156715658E-2</v>
      </c>
      <c r="AJ81" s="1">
        <f t="shared" si="31"/>
        <v>6.0124843904687551E-2</v>
      </c>
      <c r="AK81" s="1">
        <f t="shared" si="32"/>
        <v>276.62541358445338</v>
      </c>
      <c r="AL81" s="1">
        <f t="shared" si="33"/>
        <v>16.632059811834893</v>
      </c>
      <c r="AM81" s="1">
        <v>1</v>
      </c>
      <c r="AN81" s="1">
        <v>0</v>
      </c>
      <c r="AO81" s="1">
        <v>0</v>
      </c>
      <c r="AP81" s="1">
        <f t="shared" si="24"/>
        <v>6.0192926542884599E-2</v>
      </c>
      <c r="AQ81" s="1">
        <v>1</v>
      </c>
      <c r="AR81" s="1">
        <v>0</v>
      </c>
      <c r="AS81" s="1">
        <v>0</v>
      </c>
      <c r="AT81" s="1">
        <v>0</v>
      </c>
      <c r="AU81" s="4">
        <v>1</v>
      </c>
      <c r="AV81" s="4">
        <v>0</v>
      </c>
      <c r="AW81" s="1">
        <f t="shared" si="25"/>
        <v>6.25E-2</v>
      </c>
      <c r="AX81" s="1">
        <f t="shared" si="26"/>
        <v>3.90625E-3</v>
      </c>
    </row>
    <row r="82" spans="1:50" x14ac:dyDescent="0.25">
      <c r="A82" s="1" t="s">
        <v>40</v>
      </c>
      <c r="B82" s="1">
        <v>2001</v>
      </c>
      <c r="C82" s="1">
        <f t="shared" si="34"/>
        <v>11</v>
      </c>
      <c r="D82" s="1" t="s">
        <v>24</v>
      </c>
      <c r="E82" s="1" t="s">
        <v>25</v>
      </c>
      <c r="F82" s="2">
        <v>-3.9600000000000003E-2</v>
      </c>
      <c r="G82" s="3">
        <v>1.7600000000000001E-2</v>
      </c>
      <c r="H82" s="1">
        <v>11</v>
      </c>
      <c r="I82" s="1">
        <v>1241</v>
      </c>
      <c r="J82" s="1">
        <f t="shared" si="27"/>
        <v>1230</v>
      </c>
      <c r="K82" s="1">
        <v>16</v>
      </c>
      <c r="L82" s="1">
        <v>1984</v>
      </c>
      <c r="M82" s="1">
        <v>1997</v>
      </c>
      <c r="N82" s="1">
        <f t="shared" si="35"/>
        <v>1990.5</v>
      </c>
      <c r="O82" s="1">
        <f t="shared" si="38"/>
        <v>14</v>
      </c>
      <c r="P82" s="1">
        <f t="shared" si="28"/>
        <v>2.6390573296152584</v>
      </c>
      <c r="Q82" s="1">
        <v>2</v>
      </c>
      <c r="R82" s="1">
        <v>0</v>
      </c>
      <c r="S82" s="1" t="s">
        <v>26</v>
      </c>
      <c r="T82" s="1">
        <f t="shared" si="37"/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 t="s">
        <v>85</v>
      </c>
      <c r="AC82" s="1">
        <f t="shared" si="36"/>
        <v>1</v>
      </c>
      <c r="AD82" s="1">
        <f t="shared" si="30"/>
        <v>1</v>
      </c>
      <c r="AE82" s="1">
        <v>0</v>
      </c>
      <c r="AF82" s="1">
        <v>7.6014020000000002</v>
      </c>
      <c r="AG82" s="1">
        <v>1.0986119999999999</v>
      </c>
      <c r="AH82" s="1">
        <f t="shared" si="22"/>
        <v>-2.25</v>
      </c>
      <c r="AI82" s="1">
        <f t="shared" si="23"/>
        <v>-6.4023299235494907E-2</v>
      </c>
      <c r="AJ82" s="1">
        <f t="shared" si="31"/>
        <v>2.8454799660219958E-2</v>
      </c>
      <c r="AK82" s="1">
        <f t="shared" si="32"/>
        <v>1235.0625000000002</v>
      </c>
      <c r="AL82" s="1">
        <f t="shared" si="33"/>
        <v>35.143456005350416</v>
      </c>
      <c r="AM82" s="1">
        <v>1</v>
      </c>
      <c r="AN82" s="1">
        <v>0</v>
      </c>
      <c r="AO82" s="1">
        <v>0</v>
      </c>
      <c r="AP82" s="1">
        <f t="shared" si="24"/>
        <v>2.8513297425610054E-2</v>
      </c>
      <c r="AQ82" s="1">
        <v>1</v>
      </c>
      <c r="AR82" s="1">
        <v>0</v>
      </c>
      <c r="AS82" s="1">
        <v>0</v>
      </c>
      <c r="AT82" s="1">
        <v>0</v>
      </c>
      <c r="AU82" s="4">
        <v>1</v>
      </c>
      <c r="AV82" s="4">
        <v>0</v>
      </c>
      <c r="AW82" s="1">
        <f t="shared" si="25"/>
        <v>6.25E-2</v>
      </c>
      <c r="AX82" s="1">
        <f t="shared" si="26"/>
        <v>3.90625E-3</v>
      </c>
    </row>
    <row r="83" spans="1:50" x14ac:dyDescent="0.25">
      <c r="A83" s="1" t="s">
        <v>40</v>
      </c>
      <c r="B83" s="1">
        <v>2001</v>
      </c>
      <c r="C83" s="1">
        <f t="shared" si="34"/>
        <v>11</v>
      </c>
      <c r="D83" s="1" t="s">
        <v>24</v>
      </c>
      <c r="E83" s="1" t="s">
        <v>25</v>
      </c>
      <c r="F83" s="2">
        <v>-3.4000000000000002E-2</v>
      </c>
      <c r="G83" s="3">
        <v>1.21E-2</v>
      </c>
      <c r="H83" s="1">
        <v>11</v>
      </c>
      <c r="I83" s="1">
        <v>1508</v>
      </c>
      <c r="J83" s="1">
        <f t="shared" si="27"/>
        <v>1497</v>
      </c>
      <c r="K83" s="1">
        <v>16</v>
      </c>
      <c r="L83" s="1">
        <v>1984</v>
      </c>
      <c r="M83" s="1">
        <v>1997</v>
      </c>
      <c r="N83" s="1">
        <f t="shared" si="35"/>
        <v>1990.5</v>
      </c>
      <c r="O83" s="1">
        <f t="shared" si="38"/>
        <v>14</v>
      </c>
      <c r="P83" s="1">
        <f t="shared" si="28"/>
        <v>2.6390573296152584</v>
      </c>
      <c r="Q83" s="1">
        <v>2</v>
      </c>
      <c r="R83" s="1">
        <v>0</v>
      </c>
      <c r="S83" s="1" t="s">
        <v>26</v>
      </c>
      <c r="T83" s="1">
        <f t="shared" si="37"/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 t="s">
        <v>85</v>
      </c>
      <c r="AC83" s="1">
        <f t="shared" si="36"/>
        <v>1</v>
      </c>
      <c r="AD83" s="1">
        <f t="shared" si="30"/>
        <v>1</v>
      </c>
      <c r="AE83" s="1">
        <v>0</v>
      </c>
      <c r="AF83" s="1">
        <v>7.6014020000000002</v>
      </c>
      <c r="AG83" s="1">
        <v>1.0986119999999999</v>
      </c>
      <c r="AH83" s="1">
        <f t="shared" si="22"/>
        <v>-2.8099173553719012</v>
      </c>
      <c r="AI83" s="1">
        <f t="shared" si="23"/>
        <v>-7.2433647520031716E-2</v>
      </c>
      <c r="AJ83" s="1">
        <f t="shared" si="31"/>
        <v>2.5777856911540695E-2</v>
      </c>
      <c r="AK83" s="1">
        <f t="shared" si="32"/>
        <v>1504.89563554402</v>
      </c>
      <c r="AL83" s="1">
        <f t="shared" si="33"/>
        <v>38.792984359855843</v>
      </c>
      <c r="AM83" s="1">
        <v>1</v>
      </c>
      <c r="AN83" s="1">
        <v>0</v>
      </c>
      <c r="AO83" s="1">
        <v>0</v>
      </c>
      <c r="AP83" s="1">
        <f t="shared" si="24"/>
        <v>2.5845747658187181E-2</v>
      </c>
      <c r="AQ83" s="1">
        <v>1</v>
      </c>
      <c r="AR83" s="1">
        <v>0</v>
      </c>
      <c r="AS83" s="1">
        <v>0</v>
      </c>
      <c r="AT83" s="1">
        <v>0</v>
      </c>
      <c r="AU83" s="4">
        <v>1</v>
      </c>
      <c r="AV83" s="4">
        <v>0</v>
      </c>
      <c r="AW83" s="1">
        <f t="shared" si="25"/>
        <v>6.25E-2</v>
      </c>
      <c r="AX83" s="1">
        <f t="shared" si="26"/>
        <v>3.90625E-3</v>
      </c>
    </row>
    <row r="84" spans="1:50" x14ac:dyDescent="0.25">
      <c r="A84" s="1" t="s">
        <v>40</v>
      </c>
      <c r="B84" s="1">
        <v>2001</v>
      </c>
      <c r="C84" s="1">
        <f t="shared" si="34"/>
        <v>11</v>
      </c>
      <c r="D84" s="1" t="s">
        <v>24</v>
      </c>
      <c r="E84" s="1" t="s">
        <v>25</v>
      </c>
      <c r="F84" s="2">
        <v>-2.98E-2</v>
      </c>
      <c r="G84" s="3">
        <v>7.7499999999999999E-2</v>
      </c>
      <c r="H84" s="1">
        <v>11</v>
      </c>
      <c r="I84" s="1">
        <v>622</v>
      </c>
      <c r="J84" s="1">
        <f t="shared" si="27"/>
        <v>611</v>
      </c>
      <c r="K84" s="1">
        <v>16</v>
      </c>
      <c r="L84" s="1">
        <v>1984</v>
      </c>
      <c r="M84" s="1">
        <v>1997</v>
      </c>
      <c r="N84" s="1">
        <f t="shared" si="35"/>
        <v>1990.5</v>
      </c>
      <c r="O84" s="1">
        <f t="shared" si="38"/>
        <v>14</v>
      </c>
      <c r="P84" s="1">
        <f t="shared" si="28"/>
        <v>2.6390573296152584</v>
      </c>
      <c r="Q84" s="1">
        <v>2</v>
      </c>
      <c r="R84" s="1">
        <v>0</v>
      </c>
      <c r="S84" s="1" t="s">
        <v>26</v>
      </c>
      <c r="T84" s="1">
        <f t="shared" si="37"/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0</v>
      </c>
      <c r="AB84" s="1" t="s">
        <v>85</v>
      </c>
      <c r="AC84" s="1">
        <f t="shared" si="36"/>
        <v>1</v>
      </c>
      <c r="AD84" s="1">
        <f t="shared" si="30"/>
        <v>1</v>
      </c>
      <c r="AE84" s="1">
        <v>0</v>
      </c>
      <c r="AF84" s="1">
        <v>7.6014020000000002</v>
      </c>
      <c r="AG84" s="1">
        <v>1.0986119999999999</v>
      </c>
      <c r="AH84" s="1">
        <f t="shared" si="22"/>
        <v>-0.38451612903225807</v>
      </c>
      <c r="AI84" s="1">
        <f t="shared" si="23"/>
        <v>-1.5553975713396315E-2</v>
      </c>
      <c r="AJ84" s="1">
        <f t="shared" si="31"/>
        <v>4.0450775764705182E-2</v>
      </c>
      <c r="AK84" s="1">
        <f t="shared" si="32"/>
        <v>611.14785265348598</v>
      </c>
      <c r="AL84" s="1">
        <f t="shared" si="33"/>
        <v>24.721404746767242</v>
      </c>
      <c r="AM84" s="1">
        <v>1</v>
      </c>
      <c r="AN84" s="1">
        <v>0</v>
      </c>
      <c r="AO84" s="1">
        <v>0</v>
      </c>
      <c r="AP84" s="1">
        <f t="shared" si="24"/>
        <v>4.0455669703136743E-2</v>
      </c>
      <c r="AQ84" s="1">
        <v>1</v>
      </c>
      <c r="AR84" s="1">
        <v>0</v>
      </c>
      <c r="AS84" s="1">
        <v>0</v>
      </c>
      <c r="AT84" s="1">
        <v>0</v>
      </c>
      <c r="AU84" s="4">
        <v>0</v>
      </c>
      <c r="AV84" s="4">
        <v>1</v>
      </c>
      <c r="AW84" s="1">
        <f t="shared" si="25"/>
        <v>6.25E-2</v>
      </c>
      <c r="AX84" s="1">
        <f t="shared" si="26"/>
        <v>3.90625E-3</v>
      </c>
    </row>
    <row r="85" spans="1:50" x14ac:dyDescent="0.25">
      <c r="A85" s="1" t="s">
        <v>40</v>
      </c>
      <c r="B85" s="1">
        <v>2001</v>
      </c>
      <c r="C85" s="1">
        <f t="shared" si="34"/>
        <v>11</v>
      </c>
      <c r="D85" s="1" t="s">
        <v>24</v>
      </c>
      <c r="E85" s="1" t="s">
        <v>25</v>
      </c>
      <c r="F85" s="2">
        <v>-4.8999999999999998E-3</v>
      </c>
      <c r="G85" s="3">
        <v>4.58E-2</v>
      </c>
      <c r="H85" s="1">
        <v>11</v>
      </c>
      <c r="I85" s="1">
        <v>1180</v>
      </c>
      <c r="J85" s="1">
        <f t="shared" si="27"/>
        <v>1169</v>
      </c>
      <c r="K85" s="1">
        <v>16</v>
      </c>
      <c r="L85" s="1">
        <v>1984</v>
      </c>
      <c r="M85" s="1">
        <v>1997</v>
      </c>
      <c r="N85" s="1">
        <f t="shared" si="35"/>
        <v>1990.5</v>
      </c>
      <c r="O85" s="1">
        <f t="shared" si="38"/>
        <v>14</v>
      </c>
      <c r="P85" s="1">
        <f t="shared" si="28"/>
        <v>2.6390573296152584</v>
      </c>
      <c r="Q85" s="1">
        <v>2</v>
      </c>
      <c r="R85" s="1">
        <v>0</v>
      </c>
      <c r="S85" s="1" t="s">
        <v>26</v>
      </c>
      <c r="T85" s="1">
        <f t="shared" si="37"/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 t="s">
        <v>85</v>
      </c>
      <c r="AC85" s="1">
        <f t="shared" si="36"/>
        <v>1</v>
      </c>
      <c r="AD85" s="1">
        <f t="shared" si="30"/>
        <v>1</v>
      </c>
      <c r="AE85" s="1">
        <v>0</v>
      </c>
      <c r="AF85" s="1">
        <v>7.6014020000000002</v>
      </c>
      <c r="AG85" s="1">
        <v>1.0986119999999999</v>
      </c>
      <c r="AH85" s="1">
        <f t="shared" si="22"/>
        <v>-0.10698689956331878</v>
      </c>
      <c r="AI85" s="1">
        <f t="shared" si="23"/>
        <v>-3.1291128082982333E-3</v>
      </c>
      <c r="AJ85" s="1">
        <f t="shared" si="31"/>
        <v>2.9247625840828385E-2</v>
      </c>
      <c r="AK85" s="1">
        <f t="shared" si="32"/>
        <v>1169.0114461966782</v>
      </c>
      <c r="AL85" s="1">
        <f t="shared" si="33"/>
        <v>34.19080938200613</v>
      </c>
      <c r="AM85" s="1">
        <v>1</v>
      </c>
      <c r="AN85" s="1">
        <v>0</v>
      </c>
      <c r="AO85" s="1">
        <v>0</v>
      </c>
      <c r="AP85" s="1">
        <f t="shared" si="24"/>
        <v>2.9247769028706173E-2</v>
      </c>
      <c r="AQ85" s="1">
        <v>1</v>
      </c>
      <c r="AR85" s="1">
        <v>0</v>
      </c>
      <c r="AS85" s="1">
        <v>0</v>
      </c>
      <c r="AT85" s="1">
        <v>0</v>
      </c>
      <c r="AU85" s="4">
        <v>0</v>
      </c>
      <c r="AV85" s="4">
        <v>1</v>
      </c>
      <c r="AW85" s="1">
        <f t="shared" si="25"/>
        <v>6.25E-2</v>
      </c>
      <c r="AX85" s="1">
        <f t="shared" si="26"/>
        <v>3.90625E-3</v>
      </c>
    </row>
    <row r="86" spans="1:50" x14ac:dyDescent="0.25">
      <c r="A86" s="1" t="s">
        <v>40</v>
      </c>
      <c r="B86" s="1">
        <v>2001</v>
      </c>
      <c r="C86" s="1">
        <f t="shared" si="34"/>
        <v>11</v>
      </c>
      <c r="D86" s="1" t="s">
        <v>24</v>
      </c>
      <c r="E86" s="1" t="s">
        <v>25</v>
      </c>
      <c r="F86" s="2">
        <v>-0.1784</v>
      </c>
      <c r="G86" s="3">
        <v>6.3299999999999995E-2</v>
      </c>
      <c r="H86" s="1">
        <v>11</v>
      </c>
      <c r="I86" s="1">
        <v>539</v>
      </c>
      <c r="J86" s="1">
        <f t="shared" si="27"/>
        <v>528</v>
      </c>
      <c r="K86" s="1">
        <v>16</v>
      </c>
      <c r="L86" s="1">
        <v>1984</v>
      </c>
      <c r="M86" s="1">
        <v>1997</v>
      </c>
      <c r="N86" s="1">
        <f t="shared" si="35"/>
        <v>1990.5</v>
      </c>
      <c r="O86" s="1">
        <f t="shared" si="38"/>
        <v>14</v>
      </c>
      <c r="P86" s="1">
        <f t="shared" si="28"/>
        <v>2.6390573296152584</v>
      </c>
      <c r="Q86" s="1">
        <v>2</v>
      </c>
      <c r="R86" s="1">
        <v>0</v>
      </c>
      <c r="S86" s="1" t="s">
        <v>26</v>
      </c>
      <c r="T86" s="1">
        <f t="shared" si="37"/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 t="s">
        <v>85</v>
      </c>
      <c r="AC86" s="1">
        <f t="shared" si="36"/>
        <v>1</v>
      </c>
      <c r="AD86" s="1">
        <f t="shared" si="30"/>
        <v>1</v>
      </c>
      <c r="AE86" s="1">
        <v>0</v>
      </c>
      <c r="AF86" s="1">
        <v>7.6014020000000002</v>
      </c>
      <c r="AG86" s="1">
        <v>1.0986119999999999</v>
      </c>
      <c r="AH86" s="1">
        <f t="shared" si="22"/>
        <v>-2.8183254344391786</v>
      </c>
      <c r="AI86" s="1">
        <f t="shared" si="23"/>
        <v>-0.12173959579853437</v>
      </c>
      <c r="AJ86" s="1">
        <f t="shared" si="31"/>
        <v>4.319571980968176E-2</v>
      </c>
      <c r="AK86" s="1">
        <f t="shared" si="32"/>
        <v>535.94295825440679</v>
      </c>
      <c r="AL86" s="1">
        <f t="shared" si="33"/>
        <v>23.150441858729323</v>
      </c>
      <c r="AM86" s="1">
        <v>1</v>
      </c>
      <c r="AN86" s="1">
        <v>0</v>
      </c>
      <c r="AO86" s="1">
        <v>0</v>
      </c>
      <c r="AP86" s="1">
        <f t="shared" si="24"/>
        <v>4.3519413988924463E-2</v>
      </c>
      <c r="AQ86" s="1">
        <v>1</v>
      </c>
      <c r="AR86" s="1">
        <v>0</v>
      </c>
      <c r="AS86" s="1">
        <v>0</v>
      </c>
      <c r="AT86" s="1">
        <v>0</v>
      </c>
      <c r="AU86" s="4">
        <v>0</v>
      </c>
      <c r="AV86" s="4">
        <v>1</v>
      </c>
      <c r="AW86" s="1">
        <f t="shared" si="25"/>
        <v>6.25E-2</v>
      </c>
      <c r="AX86" s="1">
        <f t="shared" si="26"/>
        <v>3.90625E-3</v>
      </c>
    </row>
    <row r="87" spans="1:50" x14ac:dyDescent="0.25">
      <c r="A87" s="1" t="s">
        <v>40</v>
      </c>
      <c r="B87" s="1">
        <v>2001</v>
      </c>
      <c r="C87" s="1">
        <f t="shared" si="34"/>
        <v>11</v>
      </c>
      <c r="D87" s="1" t="s">
        <v>24</v>
      </c>
      <c r="E87" s="1" t="s">
        <v>25</v>
      </c>
      <c r="F87" s="2">
        <v>-4.2599999999999999E-2</v>
      </c>
      <c r="G87" s="3">
        <v>1.17E-2</v>
      </c>
      <c r="H87" s="1">
        <v>6</v>
      </c>
      <c r="I87" s="1">
        <v>3036</v>
      </c>
      <c r="J87" s="1">
        <f t="shared" si="27"/>
        <v>3030</v>
      </c>
      <c r="K87" s="1">
        <v>16</v>
      </c>
      <c r="L87" s="1">
        <v>1984</v>
      </c>
      <c r="M87" s="1">
        <v>1997</v>
      </c>
      <c r="N87" s="1">
        <f t="shared" si="35"/>
        <v>1990.5</v>
      </c>
      <c r="O87" s="1">
        <f t="shared" si="38"/>
        <v>14</v>
      </c>
      <c r="P87" s="1">
        <f t="shared" si="28"/>
        <v>2.6390573296152584</v>
      </c>
      <c r="Q87" s="1">
        <v>2</v>
      </c>
      <c r="R87" s="1">
        <v>0</v>
      </c>
      <c r="S87" s="1" t="s">
        <v>27</v>
      </c>
      <c r="T87" s="1">
        <f t="shared" si="37"/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 t="s">
        <v>85</v>
      </c>
      <c r="AC87" s="1">
        <f t="shared" si="36"/>
        <v>1</v>
      </c>
      <c r="AD87" s="1">
        <f t="shared" si="30"/>
        <v>1</v>
      </c>
      <c r="AE87" s="1">
        <v>0</v>
      </c>
      <c r="AF87" s="1">
        <v>7.6014020000000002</v>
      </c>
      <c r="AG87" s="1">
        <v>1.0986119999999999</v>
      </c>
      <c r="AH87" s="1">
        <f t="shared" si="22"/>
        <v>-3.641025641025641</v>
      </c>
      <c r="AI87" s="1">
        <f t="shared" si="23"/>
        <v>-6.6001592999945333E-2</v>
      </c>
      <c r="AJ87" s="1">
        <f t="shared" si="31"/>
        <v>1.8127198077449776E-2</v>
      </c>
      <c r="AK87" s="1">
        <f t="shared" si="32"/>
        <v>3043.2570677186063</v>
      </c>
      <c r="AL87" s="1">
        <f t="shared" si="33"/>
        <v>55.165723667134159</v>
      </c>
      <c r="AM87" s="1">
        <v>1</v>
      </c>
      <c r="AN87" s="1">
        <v>0</v>
      </c>
      <c r="AO87" s="1">
        <v>0</v>
      </c>
      <c r="AP87" s="1">
        <f t="shared" si="24"/>
        <v>1.8166810487818989E-2</v>
      </c>
      <c r="AQ87" s="1">
        <v>0</v>
      </c>
      <c r="AR87" s="1">
        <v>1</v>
      </c>
      <c r="AS87" s="1">
        <v>0</v>
      </c>
      <c r="AT87" s="1">
        <v>0</v>
      </c>
      <c r="AU87" s="4">
        <v>1</v>
      </c>
      <c r="AV87" s="4">
        <v>0</v>
      </c>
      <c r="AW87" s="1">
        <f t="shared" si="25"/>
        <v>6.25E-2</v>
      </c>
      <c r="AX87" s="1">
        <f t="shared" si="26"/>
        <v>3.90625E-3</v>
      </c>
    </row>
    <row r="88" spans="1:50" x14ac:dyDescent="0.25">
      <c r="A88" s="1" t="s">
        <v>40</v>
      </c>
      <c r="B88" s="1">
        <v>2001</v>
      </c>
      <c r="C88" s="1">
        <f t="shared" si="34"/>
        <v>11</v>
      </c>
      <c r="D88" s="1" t="s">
        <v>24</v>
      </c>
      <c r="E88" s="1" t="s">
        <v>25</v>
      </c>
      <c r="F88" s="2">
        <v>-3.39E-2</v>
      </c>
      <c r="G88" s="3">
        <v>1.84E-2</v>
      </c>
      <c r="H88" s="1">
        <v>6</v>
      </c>
      <c r="I88" s="1">
        <v>2341</v>
      </c>
      <c r="J88" s="1">
        <f t="shared" si="27"/>
        <v>2335</v>
      </c>
      <c r="K88" s="1">
        <v>16</v>
      </c>
      <c r="L88" s="1">
        <v>1984</v>
      </c>
      <c r="M88" s="1">
        <v>1997</v>
      </c>
      <c r="N88" s="1">
        <f t="shared" si="35"/>
        <v>1990.5</v>
      </c>
      <c r="O88" s="1">
        <f t="shared" si="38"/>
        <v>14</v>
      </c>
      <c r="P88" s="1">
        <f t="shared" si="28"/>
        <v>2.6390573296152584</v>
      </c>
      <c r="Q88" s="1">
        <v>2</v>
      </c>
      <c r="R88" s="1">
        <v>0</v>
      </c>
      <c r="S88" s="1" t="s">
        <v>27</v>
      </c>
      <c r="T88" s="1">
        <f t="shared" si="37"/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 t="s">
        <v>85</v>
      </c>
      <c r="AC88" s="1">
        <f t="shared" si="36"/>
        <v>1</v>
      </c>
      <c r="AD88" s="1">
        <f t="shared" si="30"/>
        <v>1</v>
      </c>
      <c r="AE88" s="1">
        <v>0</v>
      </c>
      <c r="AF88" s="1">
        <v>7.6014020000000002</v>
      </c>
      <c r="AG88" s="1">
        <v>1.0986119999999999</v>
      </c>
      <c r="AH88" s="1">
        <f t="shared" si="22"/>
        <v>-1.8423913043478262</v>
      </c>
      <c r="AI88" s="1">
        <f t="shared" si="23"/>
        <v>-3.8099826108228277E-2</v>
      </c>
      <c r="AJ88" s="1">
        <f t="shared" si="31"/>
        <v>2.0679551633964611E-2</v>
      </c>
      <c r="AK88" s="1">
        <f t="shared" si="32"/>
        <v>2338.3944057183371</v>
      </c>
      <c r="AL88" s="1">
        <f t="shared" si="33"/>
        <v>48.356947853626338</v>
      </c>
      <c r="AM88" s="1">
        <v>1</v>
      </c>
      <c r="AN88" s="1">
        <v>0</v>
      </c>
      <c r="AO88" s="1">
        <v>0</v>
      </c>
      <c r="AP88" s="1">
        <f t="shared" si="24"/>
        <v>2.0694577179185557E-2</v>
      </c>
      <c r="AQ88" s="1">
        <v>0</v>
      </c>
      <c r="AR88" s="1">
        <v>1</v>
      </c>
      <c r="AS88" s="1">
        <v>0</v>
      </c>
      <c r="AT88" s="1">
        <v>0</v>
      </c>
      <c r="AU88" s="4">
        <v>0</v>
      </c>
      <c r="AV88" s="4">
        <v>1</v>
      </c>
      <c r="AW88" s="1">
        <f t="shared" si="25"/>
        <v>6.25E-2</v>
      </c>
      <c r="AX88" s="1">
        <f t="shared" si="26"/>
        <v>3.90625E-3</v>
      </c>
    </row>
    <row r="89" spans="1:50" x14ac:dyDescent="0.25">
      <c r="A89" s="1" t="s">
        <v>40</v>
      </c>
      <c r="B89" s="1">
        <v>2001</v>
      </c>
      <c r="C89" s="1">
        <f t="shared" si="34"/>
        <v>11</v>
      </c>
      <c r="D89" s="1" t="s">
        <v>24</v>
      </c>
      <c r="E89" s="1" t="s">
        <v>25</v>
      </c>
      <c r="F89" s="2">
        <v>-7.6499999999999999E-2</v>
      </c>
      <c r="G89" s="3">
        <v>4.3400000000000001E-2</v>
      </c>
      <c r="H89" s="1">
        <v>6</v>
      </c>
      <c r="I89" s="1">
        <v>287</v>
      </c>
      <c r="J89" s="1">
        <f t="shared" si="27"/>
        <v>281</v>
      </c>
      <c r="K89" s="1">
        <v>16</v>
      </c>
      <c r="L89" s="1">
        <v>1984</v>
      </c>
      <c r="M89" s="1">
        <v>1997</v>
      </c>
      <c r="N89" s="1">
        <f t="shared" si="35"/>
        <v>1990.5</v>
      </c>
      <c r="O89" s="1">
        <f t="shared" si="38"/>
        <v>14</v>
      </c>
      <c r="P89" s="1">
        <f t="shared" si="28"/>
        <v>2.6390573296152584</v>
      </c>
      <c r="Q89" s="1">
        <v>2</v>
      </c>
      <c r="R89" s="1">
        <v>0</v>
      </c>
      <c r="S89" s="1" t="s">
        <v>27</v>
      </c>
      <c r="T89" s="1">
        <f t="shared" si="37"/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 t="s">
        <v>85</v>
      </c>
      <c r="AC89" s="1">
        <f t="shared" si="36"/>
        <v>1</v>
      </c>
      <c r="AD89" s="1">
        <f t="shared" si="30"/>
        <v>1</v>
      </c>
      <c r="AE89" s="1">
        <v>0</v>
      </c>
      <c r="AF89" s="1">
        <v>7.6014020000000002</v>
      </c>
      <c r="AG89" s="1">
        <v>1.0986119999999999</v>
      </c>
      <c r="AH89" s="1">
        <f t="shared" si="22"/>
        <v>-1.7626728110599077</v>
      </c>
      <c r="AI89" s="1">
        <f t="shared" si="23"/>
        <v>-0.10457568709400415</v>
      </c>
      <c r="AJ89" s="1">
        <f t="shared" si="31"/>
        <v>5.9327906142219354E-2</v>
      </c>
      <c r="AK89" s="1">
        <f t="shared" si="32"/>
        <v>284.10701543884983</v>
      </c>
      <c r="AL89" s="1">
        <f t="shared" si="33"/>
        <v>16.855474346302149</v>
      </c>
      <c r="AM89" s="1">
        <v>1</v>
      </c>
      <c r="AN89" s="1">
        <v>0</v>
      </c>
      <c r="AO89" s="1">
        <v>0</v>
      </c>
      <c r="AP89" s="1">
        <f t="shared" si="24"/>
        <v>5.9654998627189357E-2</v>
      </c>
      <c r="AQ89" s="1">
        <v>0</v>
      </c>
      <c r="AR89" s="1">
        <v>1</v>
      </c>
      <c r="AS89" s="1">
        <v>0</v>
      </c>
      <c r="AT89" s="1">
        <v>0</v>
      </c>
      <c r="AU89" s="4">
        <v>1</v>
      </c>
      <c r="AV89" s="4">
        <v>0</v>
      </c>
      <c r="AW89" s="1">
        <f t="shared" si="25"/>
        <v>6.25E-2</v>
      </c>
      <c r="AX89" s="1">
        <f t="shared" si="26"/>
        <v>3.90625E-3</v>
      </c>
    </row>
    <row r="90" spans="1:50" x14ac:dyDescent="0.25">
      <c r="A90" s="1" t="s">
        <v>40</v>
      </c>
      <c r="B90" s="1">
        <v>2001</v>
      </c>
      <c r="C90" s="1">
        <f t="shared" si="34"/>
        <v>11</v>
      </c>
      <c r="D90" s="1" t="s">
        <v>24</v>
      </c>
      <c r="E90" s="1" t="s">
        <v>25</v>
      </c>
      <c r="F90" s="2">
        <v>-1.66E-2</v>
      </c>
      <c r="G90" s="3">
        <v>2.18E-2</v>
      </c>
      <c r="H90" s="1">
        <v>6</v>
      </c>
      <c r="I90" s="1">
        <v>1241</v>
      </c>
      <c r="J90" s="1">
        <f t="shared" si="27"/>
        <v>1235</v>
      </c>
      <c r="K90" s="1">
        <v>16</v>
      </c>
      <c r="L90" s="1">
        <v>1984</v>
      </c>
      <c r="M90" s="1">
        <v>1997</v>
      </c>
      <c r="N90" s="1">
        <f t="shared" si="35"/>
        <v>1990.5</v>
      </c>
      <c r="O90" s="1">
        <f t="shared" si="38"/>
        <v>14</v>
      </c>
      <c r="P90" s="1">
        <f t="shared" si="28"/>
        <v>2.6390573296152584</v>
      </c>
      <c r="Q90" s="1">
        <v>2</v>
      </c>
      <c r="R90" s="1">
        <v>0</v>
      </c>
      <c r="S90" s="1" t="s">
        <v>27</v>
      </c>
      <c r="T90" s="1">
        <f t="shared" si="37"/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 t="s">
        <v>85</v>
      </c>
      <c r="AC90" s="1">
        <f t="shared" si="36"/>
        <v>1</v>
      </c>
      <c r="AD90" s="1">
        <f t="shared" si="30"/>
        <v>1</v>
      </c>
      <c r="AE90" s="1">
        <v>0</v>
      </c>
      <c r="AF90" s="1">
        <v>7.6014020000000002</v>
      </c>
      <c r="AG90" s="1">
        <v>1.0986119999999999</v>
      </c>
      <c r="AH90" s="1">
        <f t="shared" si="22"/>
        <v>-0.76146788990825687</v>
      </c>
      <c r="AI90" s="1">
        <f t="shared" si="23"/>
        <v>-2.1662879740979881E-2</v>
      </c>
      <c r="AJ90" s="1">
        <f t="shared" si="31"/>
        <v>2.8448842069479605E-2</v>
      </c>
      <c r="AK90" s="1">
        <f t="shared" si="32"/>
        <v>1235.5798333473613</v>
      </c>
      <c r="AL90" s="1">
        <f t="shared" si="33"/>
        <v>35.150815543133014</v>
      </c>
      <c r="AM90" s="1">
        <v>1</v>
      </c>
      <c r="AN90" s="1">
        <v>0</v>
      </c>
      <c r="AO90" s="1">
        <v>0</v>
      </c>
      <c r="AP90" s="1">
        <f t="shared" si="24"/>
        <v>2.8455519661223609E-2</v>
      </c>
      <c r="AQ90" s="1">
        <v>0</v>
      </c>
      <c r="AR90" s="1">
        <v>1</v>
      </c>
      <c r="AS90" s="1">
        <v>0</v>
      </c>
      <c r="AT90" s="1">
        <v>0</v>
      </c>
      <c r="AU90" s="4">
        <v>1</v>
      </c>
      <c r="AV90" s="4">
        <v>0</v>
      </c>
      <c r="AW90" s="1">
        <f t="shared" si="25"/>
        <v>6.25E-2</v>
      </c>
      <c r="AX90" s="1">
        <f t="shared" si="26"/>
        <v>3.90625E-3</v>
      </c>
    </row>
    <row r="91" spans="1:50" x14ac:dyDescent="0.25">
      <c r="A91" s="1" t="s">
        <v>40</v>
      </c>
      <c r="B91" s="1">
        <v>2001</v>
      </c>
      <c r="C91" s="1">
        <f t="shared" si="34"/>
        <v>11</v>
      </c>
      <c r="D91" s="1" t="s">
        <v>24</v>
      </c>
      <c r="E91" s="1" t="s">
        <v>25</v>
      </c>
      <c r="F91" s="2">
        <v>-4.3799999999999999E-2</v>
      </c>
      <c r="G91" s="3">
        <v>1.67E-2</v>
      </c>
      <c r="H91" s="1">
        <v>6</v>
      </c>
      <c r="I91" s="1">
        <v>1508</v>
      </c>
      <c r="J91" s="1">
        <f t="shared" si="27"/>
        <v>1502</v>
      </c>
      <c r="K91" s="1">
        <v>16</v>
      </c>
      <c r="L91" s="1">
        <v>1984</v>
      </c>
      <c r="M91" s="1">
        <v>1997</v>
      </c>
      <c r="N91" s="1">
        <f t="shared" si="35"/>
        <v>1990.5</v>
      </c>
      <c r="O91" s="1">
        <f t="shared" si="38"/>
        <v>14</v>
      </c>
      <c r="P91" s="1">
        <f t="shared" si="28"/>
        <v>2.6390573296152584</v>
      </c>
      <c r="Q91" s="1">
        <v>2</v>
      </c>
      <c r="R91" s="1">
        <v>0</v>
      </c>
      <c r="S91" s="1" t="s">
        <v>27</v>
      </c>
      <c r="T91" s="1">
        <f t="shared" si="37"/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 t="s">
        <v>85</v>
      </c>
      <c r="AC91" s="1">
        <f t="shared" si="36"/>
        <v>1</v>
      </c>
      <c r="AD91" s="1">
        <f t="shared" si="30"/>
        <v>1</v>
      </c>
      <c r="AE91" s="1">
        <v>0</v>
      </c>
      <c r="AF91" s="1">
        <v>7.6014020000000002</v>
      </c>
      <c r="AG91" s="1">
        <v>1.0986119999999999</v>
      </c>
      <c r="AH91" s="1">
        <f t="shared" si="22"/>
        <v>-2.6227544910179641</v>
      </c>
      <c r="AI91" s="1">
        <f t="shared" si="23"/>
        <v>-6.7519692400018982E-2</v>
      </c>
      <c r="AJ91" s="1">
        <f t="shared" si="31"/>
        <v>2.5743809659367969E-2</v>
      </c>
      <c r="AK91" s="1">
        <f t="shared" si="32"/>
        <v>1508.8788411201549</v>
      </c>
      <c r="AL91" s="1">
        <f t="shared" si="33"/>
        <v>38.844289684844988</v>
      </c>
      <c r="AM91" s="1">
        <v>1</v>
      </c>
      <c r="AN91" s="1">
        <v>0</v>
      </c>
      <c r="AO91" s="1">
        <v>0</v>
      </c>
      <c r="AP91" s="1">
        <f t="shared" si="24"/>
        <v>2.5802692909555395E-2</v>
      </c>
      <c r="AQ91" s="1">
        <v>0</v>
      </c>
      <c r="AR91" s="1">
        <v>1</v>
      </c>
      <c r="AS91" s="1">
        <v>0</v>
      </c>
      <c r="AT91" s="1">
        <v>0</v>
      </c>
      <c r="AU91" s="4">
        <v>1</v>
      </c>
      <c r="AV91" s="4">
        <v>0</v>
      </c>
      <c r="AW91" s="1">
        <f t="shared" si="25"/>
        <v>6.25E-2</v>
      </c>
      <c r="AX91" s="1">
        <f t="shared" si="26"/>
        <v>3.90625E-3</v>
      </c>
    </row>
    <row r="92" spans="1:50" x14ac:dyDescent="0.25">
      <c r="A92" s="1" t="s">
        <v>40</v>
      </c>
      <c r="B92" s="1">
        <v>2001</v>
      </c>
      <c r="C92" s="1">
        <f t="shared" si="34"/>
        <v>11</v>
      </c>
      <c r="D92" s="1" t="s">
        <v>24</v>
      </c>
      <c r="E92" s="1" t="s">
        <v>25</v>
      </c>
      <c r="F92" s="2">
        <v>-8.9399999999999993E-2</v>
      </c>
      <c r="G92" s="3">
        <v>6.9599999999999995E-2</v>
      </c>
      <c r="H92" s="1">
        <v>6</v>
      </c>
      <c r="I92" s="1">
        <v>622</v>
      </c>
      <c r="J92" s="1">
        <f t="shared" si="27"/>
        <v>616</v>
      </c>
      <c r="K92" s="1">
        <v>16</v>
      </c>
      <c r="L92" s="1">
        <v>1984</v>
      </c>
      <c r="M92" s="1">
        <v>1997</v>
      </c>
      <c r="N92" s="1">
        <f t="shared" si="35"/>
        <v>1990.5</v>
      </c>
      <c r="O92" s="1">
        <f t="shared" si="38"/>
        <v>14</v>
      </c>
      <c r="P92" s="1">
        <f t="shared" si="28"/>
        <v>2.6390573296152584</v>
      </c>
      <c r="Q92" s="1">
        <v>2</v>
      </c>
      <c r="R92" s="1">
        <v>0</v>
      </c>
      <c r="S92" s="1" t="s">
        <v>27</v>
      </c>
      <c r="T92" s="1">
        <f t="shared" si="37"/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 t="s">
        <v>85</v>
      </c>
      <c r="AC92" s="1">
        <f t="shared" si="36"/>
        <v>1</v>
      </c>
      <c r="AD92" s="1">
        <f t="shared" si="30"/>
        <v>1</v>
      </c>
      <c r="AE92" s="1">
        <v>0</v>
      </c>
      <c r="AF92" s="1">
        <v>7.6014020000000002</v>
      </c>
      <c r="AG92" s="1">
        <v>1.0986119999999999</v>
      </c>
      <c r="AH92" s="1">
        <f t="shared" si="22"/>
        <v>-1.2844827586206897</v>
      </c>
      <c r="AI92" s="1">
        <f t="shared" si="23"/>
        <v>-5.1684116040767003E-2</v>
      </c>
      <c r="AJ92" s="1">
        <f t="shared" si="31"/>
        <v>4.0237298394154172E-2</v>
      </c>
      <c r="AK92" s="1">
        <f t="shared" si="32"/>
        <v>617.64989595719385</v>
      </c>
      <c r="AL92" s="1">
        <f t="shared" si="33"/>
        <v>24.852563166747888</v>
      </c>
      <c r="AM92" s="1">
        <v>1</v>
      </c>
      <c r="AN92" s="1">
        <v>0</v>
      </c>
      <c r="AO92" s="1">
        <v>0</v>
      </c>
      <c r="AP92" s="1">
        <f t="shared" si="24"/>
        <v>4.0291148201269014E-2</v>
      </c>
      <c r="AQ92" s="1">
        <v>0</v>
      </c>
      <c r="AR92" s="1">
        <v>1</v>
      </c>
      <c r="AS92" s="1">
        <v>0</v>
      </c>
      <c r="AT92" s="1">
        <v>0</v>
      </c>
      <c r="AU92" s="4">
        <v>0</v>
      </c>
      <c r="AV92" s="4">
        <v>1</v>
      </c>
      <c r="AW92" s="1">
        <f t="shared" si="25"/>
        <v>6.25E-2</v>
      </c>
      <c r="AX92" s="1">
        <f t="shared" si="26"/>
        <v>3.90625E-3</v>
      </c>
    </row>
    <row r="93" spans="1:50" x14ac:dyDescent="0.25">
      <c r="A93" s="1" t="s">
        <v>40</v>
      </c>
      <c r="B93" s="1">
        <v>2001</v>
      </c>
      <c r="C93" s="1">
        <f t="shared" si="34"/>
        <v>11</v>
      </c>
      <c r="D93" s="1" t="s">
        <v>24</v>
      </c>
      <c r="E93" s="1" t="s">
        <v>25</v>
      </c>
      <c r="F93" s="2">
        <v>-5.45E-2</v>
      </c>
      <c r="G93" s="3">
        <v>2.6599999999999999E-2</v>
      </c>
      <c r="H93" s="1">
        <v>6</v>
      </c>
      <c r="I93" s="1">
        <v>1180</v>
      </c>
      <c r="J93" s="1">
        <f t="shared" si="27"/>
        <v>1174</v>
      </c>
      <c r="K93" s="1">
        <v>16</v>
      </c>
      <c r="L93" s="1">
        <v>1984</v>
      </c>
      <c r="M93" s="1">
        <v>1997</v>
      </c>
      <c r="N93" s="1">
        <f t="shared" si="35"/>
        <v>1990.5</v>
      </c>
      <c r="O93" s="1">
        <f t="shared" si="38"/>
        <v>14</v>
      </c>
      <c r="P93" s="1">
        <f t="shared" si="28"/>
        <v>2.6390573296152584</v>
      </c>
      <c r="Q93" s="1">
        <v>2</v>
      </c>
      <c r="R93" s="1">
        <v>0</v>
      </c>
      <c r="S93" s="1" t="s">
        <v>27</v>
      </c>
      <c r="T93" s="1">
        <f t="shared" si="37"/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 t="s">
        <v>85</v>
      </c>
      <c r="AC93" s="1">
        <f t="shared" si="36"/>
        <v>1</v>
      </c>
      <c r="AD93" s="1">
        <f t="shared" si="30"/>
        <v>1</v>
      </c>
      <c r="AE93" s="1">
        <v>0</v>
      </c>
      <c r="AF93" s="1">
        <v>7.6014020000000002</v>
      </c>
      <c r="AG93" s="1">
        <v>1.0986119999999999</v>
      </c>
      <c r="AH93" s="1">
        <f t="shared" si="22"/>
        <v>-2.0488721804511281</v>
      </c>
      <c r="AI93" s="1">
        <f t="shared" si="23"/>
        <v>-5.9690572967110694E-2</v>
      </c>
      <c r="AJ93" s="1">
        <f t="shared" si="31"/>
        <v>2.913338056743384E-2</v>
      </c>
      <c r="AK93" s="1">
        <f t="shared" si="32"/>
        <v>1178.1978772118268</v>
      </c>
      <c r="AL93" s="1">
        <f t="shared" si="33"/>
        <v>34.324887140554836</v>
      </c>
      <c r="AM93" s="1">
        <v>1</v>
      </c>
      <c r="AN93" s="1">
        <v>0</v>
      </c>
      <c r="AO93" s="1">
        <v>0</v>
      </c>
      <c r="AP93" s="1">
        <f t="shared" si="24"/>
        <v>2.918542027088895E-2</v>
      </c>
      <c r="AQ93" s="1">
        <v>0</v>
      </c>
      <c r="AR93" s="1">
        <v>1</v>
      </c>
      <c r="AS93" s="1">
        <v>0</v>
      </c>
      <c r="AT93" s="1">
        <v>0</v>
      </c>
      <c r="AU93" s="4">
        <v>0</v>
      </c>
      <c r="AV93" s="4">
        <v>1</v>
      </c>
      <c r="AW93" s="1">
        <f t="shared" si="25"/>
        <v>6.25E-2</v>
      </c>
      <c r="AX93" s="1">
        <f t="shared" si="26"/>
        <v>3.90625E-3</v>
      </c>
    </row>
    <row r="94" spans="1:50" x14ac:dyDescent="0.25">
      <c r="A94" s="1" t="s">
        <v>40</v>
      </c>
      <c r="B94" s="1">
        <v>2001</v>
      </c>
      <c r="C94" s="1">
        <f t="shared" si="34"/>
        <v>11</v>
      </c>
      <c r="D94" s="1" t="s">
        <v>24</v>
      </c>
      <c r="E94" s="1" t="s">
        <v>25</v>
      </c>
      <c r="F94" s="2">
        <v>3.0499999999999999E-2</v>
      </c>
      <c r="G94" s="3">
        <v>2.6700000000000002E-2</v>
      </c>
      <c r="H94" s="1">
        <v>6</v>
      </c>
      <c r="I94" s="1">
        <v>539</v>
      </c>
      <c r="J94" s="1">
        <f t="shared" si="27"/>
        <v>533</v>
      </c>
      <c r="K94" s="1">
        <v>16</v>
      </c>
      <c r="L94" s="1">
        <v>1984</v>
      </c>
      <c r="M94" s="1">
        <v>1997</v>
      </c>
      <c r="N94" s="1">
        <f t="shared" si="35"/>
        <v>1990.5</v>
      </c>
      <c r="O94" s="1">
        <f t="shared" si="38"/>
        <v>14</v>
      </c>
      <c r="P94" s="1">
        <f t="shared" si="28"/>
        <v>2.6390573296152584</v>
      </c>
      <c r="Q94" s="1">
        <v>2</v>
      </c>
      <c r="R94" s="1">
        <v>0</v>
      </c>
      <c r="S94" s="1" t="s">
        <v>27</v>
      </c>
      <c r="T94" s="1">
        <f t="shared" si="37"/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 t="s">
        <v>85</v>
      </c>
      <c r="AC94" s="1">
        <f t="shared" si="36"/>
        <v>1</v>
      </c>
      <c r="AD94" s="1">
        <f t="shared" si="30"/>
        <v>1</v>
      </c>
      <c r="AE94" s="1">
        <v>0</v>
      </c>
      <c r="AF94" s="1">
        <v>7.6014020000000002</v>
      </c>
      <c r="AG94" s="1">
        <v>1.0986119999999999</v>
      </c>
      <c r="AH94" s="1">
        <f t="shared" si="22"/>
        <v>1.1423220973782771</v>
      </c>
      <c r="AI94" s="1">
        <f t="shared" si="23"/>
        <v>4.9419005281307826E-2</v>
      </c>
      <c r="AJ94" s="1">
        <f t="shared" si="31"/>
        <v>4.3261883311833414E-2</v>
      </c>
      <c r="AK94" s="1">
        <f t="shared" si="32"/>
        <v>534.30489977415868</v>
      </c>
      <c r="AL94" s="1">
        <f t="shared" si="33"/>
        <v>23.115036226970503</v>
      </c>
      <c r="AM94" s="1">
        <v>1</v>
      </c>
      <c r="AN94" s="1">
        <v>0</v>
      </c>
      <c r="AO94" s="1">
        <v>0</v>
      </c>
      <c r="AP94" s="1">
        <f t="shared" si="24"/>
        <v>4.3314808182420998E-2</v>
      </c>
      <c r="AQ94" s="1">
        <v>0</v>
      </c>
      <c r="AR94" s="1">
        <v>1</v>
      </c>
      <c r="AS94" s="1">
        <v>0</v>
      </c>
      <c r="AT94" s="1">
        <v>0</v>
      </c>
      <c r="AU94" s="4">
        <v>0</v>
      </c>
      <c r="AV94" s="4">
        <v>1</v>
      </c>
      <c r="AW94" s="1">
        <f t="shared" si="25"/>
        <v>6.25E-2</v>
      </c>
      <c r="AX94" s="1">
        <f t="shared" si="26"/>
        <v>3.90625E-3</v>
      </c>
    </row>
    <row r="95" spans="1:50" x14ac:dyDescent="0.25">
      <c r="A95" s="1" t="s">
        <v>37</v>
      </c>
      <c r="B95" s="1">
        <v>1986</v>
      </c>
      <c r="C95" s="1">
        <f t="shared" si="34"/>
        <v>12</v>
      </c>
      <c r="D95" s="1" t="s">
        <v>24</v>
      </c>
      <c r="E95" s="1" t="s">
        <v>25</v>
      </c>
      <c r="F95" s="2">
        <v>-1.74</v>
      </c>
      <c r="G95" s="3">
        <v>0.71020408163265303</v>
      </c>
      <c r="H95" s="1">
        <v>6</v>
      </c>
      <c r="I95" s="1">
        <v>37</v>
      </c>
      <c r="J95" s="1">
        <f t="shared" si="27"/>
        <v>31</v>
      </c>
      <c r="K95" s="1">
        <v>6</v>
      </c>
      <c r="L95" s="1">
        <v>1964</v>
      </c>
      <c r="M95" s="1">
        <v>1983</v>
      </c>
      <c r="N95" s="1">
        <f t="shared" si="35"/>
        <v>1973.5</v>
      </c>
      <c r="O95" s="1">
        <f t="shared" si="38"/>
        <v>20</v>
      </c>
      <c r="P95" s="1">
        <f t="shared" si="28"/>
        <v>2.9957322735539909</v>
      </c>
      <c r="Q95" s="1">
        <v>17</v>
      </c>
      <c r="R95" s="1">
        <v>4</v>
      </c>
      <c r="S95" s="1" t="s">
        <v>26</v>
      </c>
      <c r="T95" s="1">
        <f t="shared" si="37"/>
        <v>0</v>
      </c>
      <c r="U95" s="1">
        <v>0</v>
      </c>
      <c r="V95" s="1">
        <v>1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 t="s">
        <v>85</v>
      </c>
      <c r="AC95" s="1">
        <f t="shared" si="36"/>
        <v>1</v>
      </c>
      <c r="AD95" s="1">
        <f t="shared" si="30"/>
        <v>1</v>
      </c>
      <c r="AE95" s="1">
        <v>1</v>
      </c>
      <c r="AF95" s="1">
        <v>7.5938780000000001</v>
      </c>
      <c r="AG95" s="1">
        <v>2.8903720000000002</v>
      </c>
      <c r="AH95" s="1">
        <f t="shared" si="22"/>
        <v>-2.4500000000000002</v>
      </c>
      <c r="AI95" s="1">
        <f t="shared" si="23"/>
        <v>-0.40276391223903674</v>
      </c>
      <c r="AJ95" s="1">
        <f t="shared" si="31"/>
        <v>0.16439343356695377</v>
      </c>
      <c r="AK95" s="1">
        <f t="shared" si="32"/>
        <v>37.002499999999991</v>
      </c>
      <c r="AL95" s="1">
        <f t="shared" si="33"/>
        <v>6.0829680255612057</v>
      </c>
      <c r="AM95" s="1">
        <v>0</v>
      </c>
      <c r="AN95" s="1">
        <v>1</v>
      </c>
      <c r="AO95" s="1">
        <v>0</v>
      </c>
      <c r="AP95" s="1">
        <f t="shared" si="24"/>
        <v>0.17960530202677491</v>
      </c>
      <c r="AQ95" s="1">
        <v>1</v>
      </c>
      <c r="AR95" s="1">
        <v>0</v>
      </c>
      <c r="AS95" s="1">
        <v>0</v>
      </c>
      <c r="AT95" s="1">
        <v>0</v>
      </c>
      <c r="AU95" s="4">
        <v>0</v>
      </c>
      <c r="AV95" s="4">
        <v>0</v>
      </c>
      <c r="AW95" s="1">
        <f t="shared" si="25"/>
        <v>0.16666666666666666</v>
      </c>
      <c r="AX95" s="1">
        <f t="shared" si="26"/>
        <v>2.7777777777777776E-2</v>
      </c>
    </row>
    <row r="96" spans="1:50" x14ac:dyDescent="0.25">
      <c r="A96" s="1" t="s">
        <v>37</v>
      </c>
      <c r="B96" s="1">
        <v>1986</v>
      </c>
      <c r="C96" s="1">
        <f t="shared" si="34"/>
        <v>12</v>
      </c>
      <c r="D96" s="1" t="s">
        <v>24</v>
      </c>
      <c r="E96" s="1" t="s">
        <v>25</v>
      </c>
      <c r="F96" s="2">
        <v>-0.59199999999999997</v>
      </c>
      <c r="G96" s="3">
        <v>0.76983094928478502</v>
      </c>
      <c r="H96" s="1">
        <v>6</v>
      </c>
      <c r="I96" s="1">
        <v>26</v>
      </c>
      <c r="J96" s="1">
        <f t="shared" si="27"/>
        <v>20</v>
      </c>
      <c r="K96" s="1">
        <v>6</v>
      </c>
      <c r="L96" s="1">
        <v>1964</v>
      </c>
      <c r="M96" s="1">
        <v>1983</v>
      </c>
      <c r="N96" s="1">
        <f t="shared" si="35"/>
        <v>1973.5</v>
      </c>
      <c r="O96" s="1">
        <f t="shared" si="38"/>
        <v>20</v>
      </c>
      <c r="P96" s="1">
        <f t="shared" si="28"/>
        <v>2.9957322735539909</v>
      </c>
      <c r="Q96" s="1">
        <v>17</v>
      </c>
      <c r="R96" s="1">
        <v>4</v>
      </c>
      <c r="S96" s="1" t="s">
        <v>26</v>
      </c>
      <c r="T96" s="1">
        <f t="shared" si="37"/>
        <v>0</v>
      </c>
      <c r="U96" s="1">
        <v>1</v>
      </c>
      <c r="V96" s="1">
        <v>1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 s="1" t="s">
        <v>85</v>
      </c>
      <c r="AC96" s="1">
        <f t="shared" si="36"/>
        <v>1</v>
      </c>
      <c r="AD96" s="1">
        <f t="shared" si="30"/>
        <v>1</v>
      </c>
      <c r="AE96" s="1">
        <v>1</v>
      </c>
      <c r="AF96" s="1">
        <v>7.5938780000000001</v>
      </c>
      <c r="AG96" s="1">
        <v>2.8903720000000002</v>
      </c>
      <c r="AH96" s="1">
        <f t="shared" si="22"/>
        <v>-0.76900000000000035</v>
      </c>
      <c r="AI96" s="1">
        <f t="shared" si="23"/>
        <v>-0.1694664818475356</v>
      </c>
      <c r="AJ96" s="1">
        <f t="shared" si="31"/>
        <v>0.22037253816324515</v>
      </c>
      <c r="AK96" s="1">
        <f t="shared" si="32"/>
        <v>20.591361000000003</v>
      </c>
      <c r="AL96" s="1">
        <f t="shared" si="33"/>
        <v>4.5377704878056582</v>
      </c>
      <c r="AM96" s="1">
        <v>0</v>
      </c>
      <c r="AN96" s="1">
        <v>1</v>
      </c>
      <c r="AO96" s="1">
        <v>0</v>
      </c>
      <c r="AP96" s="1">
        <f t="shared" si="24"/>
        <v>0.22360679774997896</v>
      </c>
      <c r="AQ96" s="1">
        <v>1</v>
      </c>
      <c r="AR96" s="1">
        <v>0</v>
      </c>
      <c r="AS96" s="1">
        <v>0</v>
      </c>
      <c r="AT96" s="1">
        <v>0</v>
      </c>
      <c r="AU96" s="4">
        <v>0</v>
      </c>
      <c r="AV96" s="4">
        <v>0</v>
      </c>
      <c r="AW96" s="1">
        <f t="shared" si="25"/>
        <v>0.16666666666666666</v>
      </c>
      <c r="AX96" s="1">
        <f t="shared" si="26"/>
        <v>2.7777777777777776E-2</v>
      </c>
    </row>
    <row r="97" spans="1:50" x14ac:dyDescent="0.25">
      <c r="A97" s="1" t="s">
        <v>37</v>
      </c>
      <c r="B97" s="1">
        <v>1986</v>
      </c>
      <c r="C97" s="1">
        <f t="shared" si="34"/>
        <v>12</v>
      </c>
      <c r="D97" s="1" t="s">
        <v>24</v>
      </c>
      <c r="E97" s="1" t="s">
        <v>25</v>
      </c>
      <c r="F97" s="2">
        <v>-0.64</v>
      </c>
      <c r="G97" s="3">
        <v>0.23272727272727201</v>
      </c>
      <c r="H97" s="1">
        <v>6</v>
      </c>
      <c r="I97" s="1">
        <v>37</v>
      </c>
      <c r="J97" s="1">
        <f t="shared" si="27"/>
        <v>31</v>
      </c>
      <c r="K97" s="1">
        <v>6</v>
      </c>
      <c r="L97" s="1">
        <v>1964</v>
      </c>
      <c r="M97" s="1">
        <v>1983</v>
      </c>
      <c r="N97" s="1">
        <f t="shared" si="35"/>
        <v>1973.5</v>
      </c>
      <c r="O97" s="1">
        <f t="shared" si="38"/>
        <v>20</v>
      </c>
      <c r="P97" s="1">
        <f t="shared" si="28"/>
        <v>2.9957322735539909</v>
      </c>
      <c r="Q97" s="1">
        <v>17</v>
      </c>
      <c r="R97" s="1">
        <v>4</v>
      </c>
      <c r="S97" s="1" t="s">
        <v>26</v>
      </c>
      <c r="T97" s="1">
        <f t="shared" si="37"/>
        <v>0</v>
      </c>
      <c r="U97" s="1">
        <v>0</v>
      </c>
      <c r="V97" s="1">
        <v>1</v>
      </c>
      <c r="W97" s="1">
        <v>0</v>
      </c>
      <c r="X97" s="1">
        <v>0</v>
      </c>
      <c r="Y97" s="1">
        <v>1</v>
      </c>
      <c r="Z97" s="1">
        <v>0</v>
      </c>
      <c r="AA97" s="1">
        <v>0</v>
      </c>
      <c r="AB97" s="1" t="s">
        <v>85</v>
      </c>
      <c r="AC97" s="1">
        <f t="shared" si="36"/>
        <v>1</v>
      </c>
      <c r="AD97" s="1">
        <f t="shared" si="30"/>
        <v>1</v>
      </c>
      <c r="AE97" s="1">
        <v>1</v>
      </c>
      <c r="AF97" s="1">
        <v>7.5938780000000001</v>
      </c>
      <c r="AG97" s="1">
        <v>2.8903720000000002</v>
      </c>
      <c r="AH97" s="1">
        <f t="shared" si="22"/>
        <v>-2.7500000000000084</v>
      </c>
      <c r="AI97" s="1">
        <f t="shared" si="23"/>
        <v>-0.44284332522566217</v>
      </c>
      <c r="AJ97" s="1">
        <f t="shared" si="31"/>
        <v>0.16103393644569483</v>
      </c>
      <c r="AK97" s="1">
        <f t="shared" si="32"/>
        <v>38.562500000000043</v>
      </c>
      <c r="AL97" s="1">
        <f t="shared" si="33"/>
        <v>6.2098711741871133</v>
      </c>
      <c r="AM97" s="1">
        <v>0</v>
      </c>
      <c r="AN97" s="1">
        <v>1</v>
      </c>
      <c r="AO97" s="1">
        <v>0</v>
      </c>
      <c r="AP97" s="1">
        <f t="shared" si="24"/>
        <v>0.17960530202677491</v>
      </c>
      <c r="AQ97" s="1">
        <v>1</v>
      </c>
      <c r="AR97" s="1">
        <v>0</v>
      </c>
      <c r="AS97" s="1">
        <v>0</v>
      </c>
      <c r="AT97" s="1">
        <v>0</v>
      </c>
      <c r="AU97" s="4">
        <v>0</v>
      </c>
      <c r="AV97" s="4">
        <v>0</v>
      </c>
      <c r="AW97" s="1">
        <f t="shared" si="25"/>
        <v>0.16666666666666666</v>
      </c>
      <c r="AX97" s="1">
        <f t="shared" si="26"/>
        <v>2.7777777777777776E-2</v>
      </c>
    </row>
    <row r="98" spans="1:50" x14ac:dyDescent="0.25">
      <c r="A98" s="1" t="s">
        <v>37</v>
      </c>
      <c r="B98" s="1">
        <v>1986</v>
      </c>
      <c r="C98" s="1">
        <f t="shared" si="34"/>
        <v>12</v>
      </c>
      <c r="D98" s="1" t="s">
        <v>24</v>
      </c>
      <c r="E98" s="1" t="s">
        <v>25</v>
      </c>
      <c r="F98" s="2">
        <v>0.45200000000000001</v>
      </c>
      <c r="G98" s="3">
        <v>0.129885057471264</v>
      </c>
      <c r="H98" s="1">
        <v>7</v>
      </c>
      <c r="I98" s="1">
        <v>35</v>
      </c>
      <c r="J98" s="1">
        <f t="shared" si="27"/>
        <v>28</v>
      </c>
      <c r="K98" s="1">
        <v>6</v>
      </c>
      <c r="L98" s="1">
        <v>1964</v>
      </c>
      <c r="M98" s="1">
        <v>1983</v>
      </c>
      <c r="N98" s="1">
        <f t="shared" si="35"/>
        <v>1973.5</v>
      </c>
      <c r="O98" s="1">
        <f t="shared" si="38"/>
        <v>20</v>
      </c>
      <c r="P98" s="1">
        <f t="shared" si="28"/>
        <v>2.9957322735539909</v>
      </c>
      <c r="Q98" s="1">
        <v>17</v>
      </c>
      <c r="R98" s="1">
        <v>4</v>
      </c>
      <c r="S98" s="1" t="s">
        <v>26</v>
      </c>
      <c r="T98" s="1">
        <f t="shared" si="37"/>
        <v>0</v>
      </c>
      <c r="U98" s="1">
        <v>0</v>
      </c>
      <c r="V98" s="1">
        <v>1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  <c r="AB98" s="1" t="s">
        <v>85</v>
      </c>
      <c r="AC98" s="1">
        <f t="shared" si="36"/>
        <v>1</v>
      </c>
      <c r="AD98" s="1">
        <f t="shared" si="30"/>
        <v>1</v>
      </c>
      <c r="AE98" s="1">
        <v>1</v>
      </c>
      <c r="AF98" s="1">
        <v>7.5938780000000001</v>
      </c>
      <c r="AG98" s="1">
        <v>2.8903720000000002</v>
      </c>
      <c r="AH98" s="1">
        <f t="shared" si="22"/>
        <v>3.4800000000000102</v>
      </c>
      <c r="AI98" s="1">
        <f t="shared" si="23"/>
        <v>0.54947855495614817</v>
      </c>
      <c r="AJ98" s="1">
        <f t="shared" si="31"/>
        <v>0.15789613648165132</v>
      </c>
      <c r="AK98" s="1">
        <f t="shared" si="32"/>
        <v>40.11040000000007</v>
      </c>
      <c r="AL98" s="1">
        <f t="shared" si="33"/>
        <v>6.3332771927336378</v>
      </c>
      <c r="AM98" s="1">
        <v>0</v>
      </c>
      <c r="AN98" s="1">
        <v>1</v>
      </c>
      <c r="AO98" s="1">
        <v>0</v>
      </c>
      <c r="AP98" s="1">
        <f t="shared" si="24"/>
        <v>0.1889822365046136</v>
      </c>
      <c r="AQ98" s="1">
        <v>1</v>
      </c>
      <c r="AR98" s="1">
        <v>0</v>
      </c>
      <c r="AS98" s="1">
        <v>0</v>
      </c>
      <c r="AT98" s="1">
        <v>0</v>
      </c>
      <c r="AU98" s="4">
        <v>0</v>
      </c>
      <c r="AV98" s="4">
        <v>0</v>
      </c>
      <c r="AW98" s="1">
        <f t="shared" si="25"/>
        <v>0.16666666666666666</v>
      </c>
      <c r="AX98" s="1">
        <f t="shared" si="26"/>
        <v>2.7777777777777776E-2</v>
      </c>
    </row>
    <row r="99" spans="1:50" x14ac:dyDescent="0.25">
      <c r="A99" s="1" t="s">
        <v>37</v>
      </c>
      <c r="B99" s="1">
        <v>1986</v>
      </c>
      <c r="C99" s="1">
        <f t="shared" si="34"/>
        <v>12</v>
      </c>
      <c r="D99" s="1" t="s">
        <v>24</v>
      </c>
      <c r="E99" s="1" t="s">
        <v>25</v>
      </c>
      <c r="F99" s="2">
        <v>0.44</v>
      </c>
      <c r="G99" s="3">
        <v>0.129793510324483</v>
      </c>
      <c r="H99" s="1">
        <v>8</v>
      </c>
      <c r="I99" s="1">
        <v>35</v>
      </c>
      <c r="J99" s="1">
        <f t="shared" si="27"/>
        <v>27</v>
      </c>
      <c r="K99" s="1">
        <v>6</v>
      </c>
      <c r="L99" s="1">
        <v>1964</v>
      </c>
      <c r="M99" s="1">
        <v>1983</v>
      </c>
      <c r="N99" s="1">
        <f t="shared" si="35"/>
        <v>1973.5</v>
      </c>
      <c r="O99" s="1">
        <f t="shared" si="38"/>
        <v>20</v>
      </c>
      <c r="P99" s="1">
        <f t="shared" si="28"/>
        <v>2.9957322735539909</v>
      </c>
      <c r="Q99" s="1">
        <v>17</v>
      </c>
      <c r="R99" s="1">
        <v>4</v>
      </c>
      <c r="S99" s="1" t="s">
        <v>26</v>
      </c>
      <c r="T99" s="1">
        <f t="shared" si="37"/>
        <v>0</v>
      </c>
      <c r="U99" s="1">
        <v>0</v>
      </c>
      <c r="V99" s="1">
        <v>1</v>
      </c>
      <c r="W99" s="1">
        <v>0</v>
      </c>
      <c r="X99" s="1">
        <v>0</v>
      </c>
      <c r="Y99" s="1">
        <v>1</v>
      </c>
      <c r="Z99" s="1">
        <v>0</v>
      </c>
      <c r="AA99" s="1">
        <v>0</v>
      </c>
      <c r="AB99" s="1" t="s">
        <v>85</v>
      </c>
      <c r="AC99" s="1">
        <f t="shared" si="36"/>
        <v>1</v>
      </c>
      <c r="AD99" s="1">
        <f t="shared" si="30"/>
        <v>1</v>
      </c>
      <c r="AE99" s="1">
        <v>1</v>
      </c>
      <c r="AF99" s="1">
        <v>7.5938780000000001</v>
      </c>
      <c r="AG99" s="1">
        <v>2.8903720000000002</v>
      </c>
      <c r="AH99" s="1">
        <f t="shared" si="22"/>
        <v>3.3900000000000206</v>
      </c>
      <c r="AI99" s="1">
        <f t="shared" si="23"/>
        <v>0.54640403211975597</v>
      </c>
      <c r="AJ99" s="1">
        <f t="shared" si="31"/>
        <v>0.16118113041880608</v>
      </c>
      <c r="AK99" s="1">
        <f t="shared" si="32"/>
        <v>38.492100000000143</v>
      </c>
      <c r="AL99" s="1">
        <f t="shared" si="33"/>
        <v>6.204200190193748</v>
      </c>
      <c r="AM99" s="1">
        <v>0</v>
      </c>
      <c r="AN99" s="1">
        <v>1</v>
      </c>
      <c r="AO99" s="1">
        <v>0</v>
      </c>
      <c r="AP99" s="1">
        <f t="shared" si="24"/>
        <v>0.19245008972987526</v>
      </c>
      <c r="AQ99" s="1">
        <v>1</v>
      </c>
      <c r="AR99" s="1">
        <v>0</v>
      </c>
      <c r="AS99" s="1">
        <v>0</v>
      </c>
      <c r="AT99" s="1">
        <v>0</v>
      </c>
      <c r="AU99" s="4">
        <v>0</v>
      </c>
      <c r="AV99" s="4">
        <v>0</v>
      </c>
      <c r="AW99" s="1">
        <f t="shared" si="25"/>
        <v>0.16666666666666666</v>
      </c>
      <c r="AX99" s="1">
        <f t="shared" si="26"/>
        <v>2.7777777777777776E-2</v>
      </c>
    </row>
    <row r="100" spans="1:50" x14ac:dyDescent="0.25">
      <c r="A100" s="1" t="s">
        <v>37</v>
      </c>
      <c r="B100" s="1">
        <v>1986</v>
      </c>
      <c r="C100" s="1">
        <f t="shared" si="34"/>
        <v>12</v>
      </c>
      <c r="D100" s="1" t="s">
        <v>24</v>
      </c>
      <c r="E100" s="1" t="s">
        <v>25</v>
      </c>
      <c r="F100" s="2">
        <v>-0.58899999999999997</v>
      </c>
      <c r="G100" s="3">
        <v>0.16732954545454501</v>
      </c>
      <c r="H100" s="1">
        <v>6</v>
      </c>
      <c r="I100" s="1">
        <v>35</v>
      </c>
      <c r="J100" s="1">
        <f t="shared" si="27"/>
        <v>29</v>
      </c>
      <c r="K100" s="1">
        <v>6</v>
      </c>
      <c r="L100" s="1">
        <v>1964</v>
      </c>
      <c r="M100" s="1">
        <v>1983</v>
      </c>
      <c r="N100" s="1">
        <f t="shared" si="35"/>
        <v>1973.5</v>
      </c>
      <c r="O100" s="1">
        <f t="shared" si="38"/>
        <v>20</v>
      </c>
      <c r="P100" s="1">
        <f t="shared" si="28"/>
        <v>2.9957322735539909</v>
      </c>
      <c r="Q100" s="1">
        <v>17</v>
      </c>
      <c r="R100" s="1">
        <v>4</v>
      </c>
      <c r="S100" s="1" t="s">
        <v>26</v>
      </c>
      <c r="T100" s="1">
        <f t="shared" si="37"/>
        <v>0</v>
      </c>
      <c r="U100" s="1">
        <v>0</v>
      </c>
      <c r="V100" s="1">
        <v>1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1" t="s">
        <v>85</v>
      </c>
      <c r="AC100" s="1">
        <f t="shared" si="36"/>
        <v>1</v>
      </c>
      <c r="AD100" s="1">
        <f t="shared" si="30"/>
        <v>1</v>
      </c>
      <c r="AE100" s="1">
        <v>1</v>
      </c>
      <c r="AF100" s="1">
        <v>7.5938780000000001</v>
      </c>
      <c r="AG100" s="1">
        <v>2.8903720000000002</v>
      </c>
      <c r="AH100" s="1">
        <f t="shared" si="22"/>
        <v>-3.5200000000000093</v>
      </c>
      <c r="AI100" s="1">
        <f t="shared" si="23"/>
        <v>-0.54713292688051085</v>
      </c>
      <c r="AJ100" s="1">
        <f t="shared" si="31"/>
        <v>0.1554354905910538</v>
      </c>
      <c r="AK100" s="1">
        <f t="shared" si="32"/>
        <v>41.390400000000064</v>
      </c>
      <c r="AL100" s="1">
        <f t="shared" si="33"/>
        <v>6.4335371297599631</v>
      </c>
      <c r="AM100" s="1">
        <v>0</v>
      </c>
      <c r="AN100" s="1">
        <v>1</v>
      </c>
      <c r="AO100" s="1">
        <v>0</v>
      </c>
      <c r="AP100" s="1">
        <f t="shared" si="24"/>
        <v>0.18569533817705186</v>
      </c>
      <c r="AQ100" s="1">
        <v>1</v>
      </c>
      <c r="AR100" s="1">
        <v>0</v>
      </c>
      <c r="AS100" s="1">
        <v>0</v>
      </c>
      <c r="AT100" s="1">
        <v>0</v>
      </c>
      <c r="AU100" s="4">
        <v>0</v>
      </c>
      <c r="AV100" s="4">
        <v>0</v>
      </c>
      <c r="AW100" s="1">
        <f t="shared" si="25"/>
        <v>0.16666666666666666</v>
      </c>
      <c r="AX100" s="1">
        <f t="shared" si="26"/>
        <v>2.7777777777777776E-2</v>
      </c>
    </row>
    <row r="101" spans="1:50" x14ac:dyDescent="0.25">
      <c r="A101" s="1" t="s">
        <v>29</v>
      </c>
      <c r="B101" s="1">
        <v>2009</v>
      </c>
      <c r="C101" s="1">
        <f t="shared" si="34"/>
        <v>13</v>
      </c>
      <c r="D101" s="1" t="s">
        <v>24</v>
      </c>
      <c r="E101" s="1" t="s">
        <v>25</v>
      </c>
      <c r="F101" s="2">
        <v>-1.2E-2</v>
      </c>
      <c r="G101" s="3">
        <v>3.6999999999999998E-2</v>
      </c>
      <c r="H101" s="1">
        <v>3</v>
      </c>
      <c r="I101" s="1">
        <v>2606</v>
      </c>
      <c r="J101" s="1">
        <f t="shared" si="27"/>
        <v>2603</v>
      </c>
      <c r="K101" s="1">
        <v>4</v>
      </c>
      <c r="L101" s="1">
        <v>1993</v>
      </c>
      <c r="M101" s="1">
        <v>2003</v>
      </c>
      <c r="N101" s="1">
        <f t="shared" si="35"/>
        <v>1998</v>
      </c>
      <c r="O101" s="1">
        <f t="shared" si="38"/>
        <v>11</v>
      </c>
      <c r="P101" s="1">
        <f t="shared" si="28"/>
        <v>2.3978952727983707</v>
      </c>
      <c r="Q101" s="1">
        <v>50</v>
      </c>
      <c r="R101" s="1">
        <v>6</v>
      </c>
      <c r="S101" s="1" t="s">
        <v>26</v>
      </c>
      <c r="T101" s="1">
        <v>1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0</v>
      </c>
      <c r="AA101" s="1">
        <v>0</v>
      </c>
      <c r="AB101" s="1" t="s">
        <v>88</v>
      </c>
      <c r="AC101" s="1">
        <f t="shared" si="36"/>
        <v>3</v>
      </c>
      <c r="AD101" s="1">
        <f t="shared" si="30"/>
        <v>0</v>
      </c>
      <c r="AE101" s="1">
        <v>1</v>
      </c>
      <c r="AF101" s="1">
        <v>7.6053920000000002</v>
      </c>
      <c r="AG101" s="1">
        <v>3.931826</v>
      </c>
      <c r="AH101" s="1">
        <f t="shared" si="22"/>
        <v>-0.32432432432432434</v>
      </c>
      <c r="AI101" s="1">
        <f t="shared" si="23"/>
        <v>-6.3567285063850744E-3</v>
      </c>
      <c r="AJ101" s="1">
        <f t="shared" si="31"/>
        <v>1.9599912894687311E-2</v>
      </c>
      <c r="AK101" s="1">
        <f t="shared" si="32"/>
        <v>2603.1051862673494</v>
      </c>
      <c r="AL101" s="1">
        <f t="shared" si="33"/>
        <v>51.020634906548835</v>
      </c>
      <c r="AM101" s="1">
        <v>0</v>
      </c>
      <c r="AN101" s="1">
        <v>1</v>
      </c>
      <c r="AO101" s="1">
        <v>0</v>
      </c>
      <c r="AP101" s="1">
        <f t="shared" si="24"/>
        <v>1.9600308903302492E-2</v>
      </c>
      <c r="AQ101" s="1">
        <v>1</v>
      </c>
      <c r="AR101" s="1">
        <v>0</v>
      </c>
      <c r="AS101" s="1">
        <v>0</v>
      </c>
      <c r="AT101" s="1">
        <v>0</v>
      </c>
      <c r="AU101" s="4">
        <v>0</v>
      </c>
      <c r="AV101" s="4">
        <v>1</v>
      </c>
      <c r="AW101" s="1">
        <f t="shared" si="25"/>
        <v>0.25</v>
      </c>
      <c r="AX101" s="1">
        <f t="shared" si="26"/>
        <v>6.25E-2</v>
      </c>
    </row>
    <row r="102" spans="1:50" x14ac:dyDescent="0.25">
      <c r="A102" s="1" t="s">
        <v>29</v>
      </c>
      <c r="B102" s="1">
        <v>2009</v>
      </c>
      <c r="C102" s="1">
        <f t="shared" si="34"/>
        <v>13</v>
      </c>
      <c r="D102" s="1" t="s">
        <v>24</v>
      </c>
      <c r="E102" s="1" t="s">
        <v>25</v>
      </c>
      <c r="F102" s="2">
        <v>-0.01</v>
      </c>
      <c r="G102" s="3">
        <v>3.3000000000000002E-2</v>
      </c>
      <c r="H102" s="1">
        <v>5</v>
      </c>
      <c r="I102" s="1">
        <v>2606</v>
      </c>
      <c r="J102" s="1">
        <f t="shared" si="27"/>
        <v>2601</v>
      </c>
      <c r="K102" s="1">
        <v>4</v>
      </c>
      <c r="L102" s="1">
        <v>1993</v>
      </c>
      <c r="M102" s="1">
        <v>2003</v>
      </c>
      <c r="N102" s="1">
        <f t="shared" si="35"/>
        <v>1998</v>
      </c>
      <c r="O102" s="1">
        <f t="shared" si="38"/>
        <v>11</v>
      </c>
      <c r="P102" s="1">
        <f t="shared" si="28"/>
        <v>2.3978952727983707</v>
      </c>
      <c r="Q102" s="1">
        <v>50</v>
      </c>
      <c r="R102" s="1">
        <v>6</v>
      </c>
      <c r="S102" s="1" t="s">
        <v>26</v>
      </c>
      <c r="T102" s="1">
        <v>1</v>
      </c>
      <c r="U102" s="1">
        <v>0</v>
      </c>
      <c r="V102" s="1">
        <v>0</v>
      </c>
      <c r="W102" s="1">
        <v>0</v>
      </c>
      <c r="X102" s="1">
        <v>0</v>
      </c>
      <c r="Y102" s="1">
        <v>1</v>
      </c>
      <c r="Z102" s="1">
        <v>0</v>
      </c>
      <c r="AA102" s="1">
        <v>0</v>
      </c>
      <c r="AB102" s="1" t="s">
        <v>88</v>
      </c>
      <c r="AC102" s="1">
        <f t="shared" si="36"/>
        <v>3</v>
      </c>
      <c r="AD102" s="1">
        <f t="shared" si="30"/>
        <v>0</v>
      </c>
      <c r="AE102" s="1">
        <v>1</v>
      </c>
      <c r="AF102" s="1">
        <v>7.6053920000000002</v>
      </c>
      <c r="AG102" s="1">
        <v>3.931826</v>
      </c>
      <c r="AH102" s="1">
        <f t="shared" si="22"/>
        <v>-0.30303030303030304</v>
      </c>
      <c r="AI102" s="1">
        <f t="shared" si="23"/>
        <v>-5.941665764397969E-3</v>
      </c>
      <c r="AJ102" s="1">
        <f t="shared" si="31"/>
        <v>1.9607497022513298E-2</v>
      </c>
      <c r="AK102" s="1">
        <f t="shared" si="32"/>
        <v>2601.0918273645543</v>
      </c>
      <c r="AL102" s="1">
        <f t="shared" si="33"/>
        <v>51.00090026033417</v>
      </c>
      <c r="AM102" s="1">
        <v>0</v>
      </c>
      <c r="AN102" s="1">
        <v>1</v>
      </c>
      <c r="AO102" s="1">
        <v>0</v>
      </c>
      <c r="AP102" s="1">
        <f t="shared" si="24"/>
        <v>1.9607843137254902E-2</v>
      </c>
      <c r="AQ102" s="1">
        <v>1</v>
      </c>
      <c r="AR102" s="1">
        <v>0</v>
      </c>
      <c r="AS102" s="1">
        <v>0</v>
      </c>
      <c r="AT102" s="1">
        <v>0</v>
      </c>
      <c r="AU102" s="4">
        <v>0</v>
      </c>
      <c r="AV102" s="4">
        <v>1</v>
      </c>
      <c r="AW102" s="1">
        <f t="shared" si="25"/>
        <v>0.25</v>
      </c>
      <c r="AX102" s="1">
        <f t="shared" si="26"/>
        <v>6.25E-2</v>
      </c>
    </row>
    <row r="103" spans="1:50" x14ac:dyDescent="0.25">
      <c r="A103" s="1" t="s">
        <v>29</v>
      </c>
      <c r="B103" s="1">
        <v>2009</v>
      </c>
      <c r="C103" s="1">
        <f t="shared" si="34"/>
        <v>13</v>
      </c>
      <c r="D103" s="1" t="s">
        <v>24</v>
      </c>
      <c r="E103" s="1" t="s">
        <v>25</v>
      </c>
      <c r="F103" s="2">
        <v>-1.0999999999999999E-2</v>
      </c>
      <c r="G103" s="3">
        <v>3.9E-2</v>
      </c>
      <c r="H103" s="1">
        <v>17</v>
      </c>
      <c r="I103" s="1">
        <v>2606</v>
      </c>
      <c r="J103" s="1">
        <f t="shared" si="27"/>
        <v>2589</v>
      </c>
      <c r="K103" s="1">
        <v>4</v>
      </c>
      <c r="L103" s="1">
        <v>1993</v>
      </c>
      <c r="M103" s="1">
        <v>2003</v>
      </c>
      <c r="N103" s="1">
        <f t="shared" si="35"/>
        <v>1998</v>
      </c>
      <c r="O103" s="1">
        <f t="shared" si="38"/>
        <v>11</v>
      </c>
      <c r="P103" s="1">
        <f t="shared" si="28"/>
        <v>2.3978952727983707</v>
      </c>
      <c r="Q103" s="1">
        <v>50</v>
      </c>
      <c r="R103" s="1">
        <v>6</v>
      </c>
      <c r="S103" s="1" t="s">
        <v>26</v>
      </c>
      <c r="T103" s="1">
        <v>1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0</v>
      </c>
      <c r="AA103" s="1">
        <v>0</v>
      </c>
      <c r="AB103" s="1" t="s">
        <v>88</v>
      </c>
      <c r="AC103" s="1">
        <f t="shared" si="36"/>
        <v>3</v>
      </c>
      <c r="AD103" s="1">
        <f t="shared" si="30"/>
        <v>0</v>
      </c>
      <c r="AE103" s="1">
        <v>1</v>
      </c>
      <c r="AF103" s="1">
        <v>7.6053920000000002</v>
      </c>
      <c r="AG103" s="1">
        <v>3.931826</v>
      </c>
      <c r="AH103" s="1">
        <f t="shared" si="22"/>
        <v>-0.28205128205128205</v>
      </c>
      <c r="AI103" s="1">
        <f t="shared" si="23"/>
        <v>-5.5431340420802376E-3</v>
      </c>
      <c r="AJ103" s="1">
        <f t="shared" si="31"/>
        <v>1.9652929785557206E-2</v>
      </c>
      <c r="AK103" s="1">
        <f t="shared" si="32"/>
        <v>2589.0795529257066</v>
      </c>
      <c r="AL103" s="1">
        <f t="shared" si="33"/>
        <v>50.882998662870747</v>
      </c>
      <c r="AM103" s="1">
        <v>0</v>
      </c>
      <c r="AN103" s="1">
        <v>1</v>
      </c>
      <c r="AO103" s="1">
        <v>0</v>
      </c>
      <c r="AP103" s="1">
        <f t="shared" si="24"/>
        <v>1.9653231723767556E-2</v>
      </c>
      <c r="AQ103" s="1">
        <v>1</v>
      </c>
      <c r="AR103" s="1">
        <v>0</v>
      </c>
      <c r="AS103" s="1">
        <v>0</v>
      </c>
      <c r="AT103" s="1">
        <v>0</v>
      </c>
      <c r="AU103" s="4">
        <v>0</v>
      </c>
      <c r="AV103" s="4">
        <v>1</v>
      </c>
      <c r="AW103" s="1">
        <f t="shared" si="25"/>
        <v>0.25</v>
      </c>
      <c r="AX103" s="1">
        <f t="shared" si="26"/>
        <v>6.25E-2</v>
      </c>
    </row>
    <row r="104" spans="1:50" x14ac:dyDescent="0.25">
      <c r="A104" s="1" t="s">
        <v>29</v>
      </c>
      <c r="B104" s="1">
        <v>2009</v>
      </c>
      <c r="C104" s="1">
        <f t="shared" si="34"/>
        <v>13</v>
      </c>
      <c r="D104" s="1" t="s">
        <v>24</v>
      </c>
      <c r="E104" s="1" t="s">
        <v>25</v>
      </c>
      <c r="F104" s="2">
        <v>-4.0000000000000001E-3</v>
      </c>
      <c r="G104" s="3">
        <v>3.3000000000000002E-2</v>
      </c>
      <c r="H104" s="1">
        <v>19</v>
      </c>
      <c r="I104" s="1">
        <v>2606</v>
      </c>
      <c r="J104" s="1">
        <f t="shared" si="27"/>
        <v>2587</v>
      </c>
      <c r="K104" s="1">
        <v>4</v>
      </c>
      <c r="L104" s="1">
        <v>1993</v>
      </c>
      <c r="M104" s="1">
        <v>2003</v>
      </c>
      <c r="N104" s="1">
        <f t="shared" si="35"/>
        <v>1998</v>
      </c>
      <c r="O104" s="1">
        <f t="shared" si="38"/>
        <v>11</v>
      </c>
      <c r="P104" s="1">
        <f t="shared" si="28"/>
        <v>2.3978952727983707</v>
      </c>
      <c r="Q104" s="1">
        <v>50</v>
      </c>
      <c r="R104" s="1">
        <v>6</v>
      </c>
      <c r="S104" s="1" t="s">
        <v>26</v>
      </c>
      <c r="T104" s="1">
        <v>1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 t="s">
        <v>88</v>
      </c>
      <c r="AC104" s="1">
        <f t="shared" si="36"/>
        <v>3</v>
      </c>
      <c r="AD104" s="1">
        <f t="shared" si="30"/>
        <v>0</v>
      </c>
      <c r="AE104" s="1">
        <v>1</v>
      </c>
      <c r="AF104" s="1">
        <v>7.6053920000000002</v>
      </c>
      <c r="AG104" s="1">
        <v>3.931826</v>
      </c>
      <c r="AH104" s="1">
        <f t="shared" si="22"/>
        <v>-0.12121212121212122</v>
      </c>
      <c r="AI104" s="1">
        <f t="shared" si="23"/>
        <v>-2.3831237995374415E-3</v>
      </c>
      <c r="AJ104" s="1">
        <f t="shared" si="31"/>
        <v>1.9660771346183891E-2</v>
      </c>
      <c r="AK104" s="1">
        <f t="shared" si="32"/>
        <v>2587.0146923783282</v>
      </c>
      <c r="AL104" s="1">
        <f t="shared" si="33"/>
        <v>50.862704336068568</v>
      </c>
      <c r="AM104" s="1">
        <v>0</v>
      </c>
      <c r="AN104" s="1">
        <v>1</v>
      </c>
      <c r="AO104" s="1">
        <v>0</v>
      </c>
      <c r="AP104" s="1">
        <f t="shared" si="24"/>
        <v>1.9660827175925041E-2</v>
      </c>
      <c r="AQ104" s="1">
        <v>1</v>
      </c>
      <c r="AR104" s="1">
        <v>0</v>
      </c>
      <c r="AS104" s="1">
        <v>0</v>
      </c>
      <c r="AT104" s="1">
        <v>0</v>
      </c>
      <c r="AU104" s="4">
        <v>0</v>
      </c>
      <c r="AV104" s="4">
        <v>1</v>
      </c>
      <c r="AW104" s="1">
        <f t="shared" si="25"/>
        <v>0.25</v>
      </c>
      <c r="AX104" s="1">
        <f t="shared" si="26"/>
        <v>6.25E-2</v>
      </c>
    </row>
    <row r="105" spans="1:50" x14ac:dyDescent="0.25">
      <c r="A105" s="1" t="s">
        <v>48</v>
      </c>
      <c r="B105" s="1">
        <v>2012</v>
      </c>
      <c r="C105" s="1">
        <f t="shared" si="34"/>
        <v>14</v>
      </c>
      <c r="D105" s="1" t="s">
        <v>24</v>
      </c>
      <c r="E105" s="1" t="s">
        <v>25</v>
      </c>
      <c r="F105" s="2">
        <v>1.9E-2</v>
      </c>
      <c r="G105" s="3">
        <v>8.0000000000000002E-3</v>
      </c>
      <c r="H105" s="1">
        <v>22</v>
      </c>
      <c r="I105" s="1">
        <v>299</v>
      </c>
      <c r="J105" s="1">
        <f t="shared" si="27"/>
        <v>277</v>
      </c>
      <c r="K105" s="1">
        <v>5</v>
      </c>
      <c r="L105" s="1">
        <v>1979</v>
      </c>
      <c r="M105" s="1">
        <v>2002</v>
      </c>
      <c r="N105" s="1">
        <f t="shared" si="35"/>
        <v>1990.5</v>
      </c>
      <c r="O105" s="1">
        <f>+M105-L105+1-1</f>
        <v>23</v>
      </c>
      <c r="P105" s="1">
        <f t="shared" si="28"/>
        <v>3.1354942159291497</v>
      </c>
      <c r="Q105" s="1">
        <v>0</v>
      </c>
      <c r="R105" s="1">
        <v>0</v>
      </c>
      <c r="S105" s="1" t="s">
        <v>26</v>
      </c>
      <c r="T105" s="1">
        <f t="shared" ref="T105:T117" si="39">IF(S105="OLS",0,IF(S105="FE",0,IF(S105="Probit model",0,IF(S105="3SLS",1,IF(S105="Logit",0,IF(S105="2SLS",1,IF(S105="SUR method",1,IF(S105="Modified LS",0,IF(S105="Zenner estimates",1,IF(S105="MLE",0,IF(S105="GLS",0,0)))))))))))</f>
        <v>0</v>
      </c>
      <c r="U105" s="1">
        <v>1</v>
      </c>
      <c r="V105" s="1">
        <v>1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 t="s">
        <v>85</v>
      </c>
      <c r="AC105" s="1">
        <f t="shared" si="36"/>
        <v>1</v>
      </c>
      <c r="AD105" s="1">
        <f t="shared" si="30"/>
        <v>1</v>
      </c>
      <c r="AE105" s="1">
        <v>0</v>
      </c>
      <c r="AF105" s="1">
        <v>7.606884</v>
      </c>
      <c r="AG105" s="1">
        <v>0</v>
      </c>
      <c r="AH105" s="1">
        <f t="shared" si="22"/>
        <v>2.375</v>
      </c>
      <c r="AI105" s="1">
        <f t="shared" si="23"/>
        <v>0.14126882130089874</v>
      </c>
      <c r="AJ105" s="1">
        <f t="shared" si="31"/>
        <v>5.948160896879947E-2</v>
      </c>
      <c r="AK105" s="1">
        <f t="shared" si="32"/>
        <v>282.640625</v>
      </c>
      <c r="AL105" s="1">
        <f t="shared" si="33"/>
        <v>16.811919134947086</v>
      </c>
      <c r="AM105" s="1">
        <v>0</v>
      </c>
      <c r="AN105" s="1">
        <v>1</v>
      </c>
      <c r="AO105" s="1">
        <v>0</v>
      </c>
      <c r="AP105" s="1">
        <f t="shared" si="24"/>
        <v>6.0084176812610968E-2</v>
      </c>
      <c r="AQ105" s="1">
        <v>1</v>
      </c>
      <c r="AR105" s="1">
        <v>0</v>
      </c>
      <c r="AS105" s="1">
        <v>0</v>
      </c>
      <c r="AT105" s="1">
        <v>0</v>
      </c>
      <c r="AU105" s="4">
        <v>0</v>
      </c>
      <c r="AV105" s="4">
        <v>1</v>
      </c>
      <c r="AW105" s="1">
        <f t="shared" si="25"/>
        <v>0.2</v>
      </c>
      <c r="AX105" s="1">
        <f t="shared" si="26"/>
        <v>0.04</v>
      </c>
    </row>
    <row r="106" spans="1:50" x14ac:dyDescent="0.25">
      <c r="A106" s="1" t="s">
        <v>48</v>
      </c>
      <c r="B106" s="1">
        <v>2012</v>
      </c>
      <c r="C106" s="1">
        <f t="shared" si="34"/>
        <v>14</v>
      </c>
      <c r="D106" s="1" t="s">
        <v>24</v>
      </c>
      <c r="E106" s="1" t="s">
        <v>25</v>
      </c>
      <c r="F106" s="2">
        <v>2.5999999999999999E-2</v>
      </c>
      <c r="G106" s="3">
        <v>7.0000000000000001E-3</v>
      </c>
      <c r="H106" s="1">
        <v>22</v>
      </c>
      <c r="I106" s="1">
        <v>299</v>
      </c>
      <c r="J106" s="1">
        <f t="shared" si="27"/>
        <v>277</v>
      </c>
      <c r="K106" s="1">
        <v>5</v>
      </c>
      <c r="L106" s="1">
        <v>1979</v>
      </c>
      <c r="M106" s="1">
        <v>2002</v>
      </c>
      <c r="N106" s="1">
        <f t="shared" ref="N106:N109" si="40">+L106+(M106-L106)/2</f>
        <v>1990.5</v>
      </c>
      <c r="O106" s="1">
        <f t="shared" ref="O106:O109" si="41">+M106-L106+1-1</f>
        <v>23</v>
      </c>
      <c r="P106" s="1">
        <f t="shared" si="28"/>
        <v>3.1354942159291497</v>
      </c>
      <c r="Q106" s="1">
        <v>0</v>
      </c>
      <c r="R106" s="1">
        <v>0</v>
      </c>
      <c r="S106" s="1" t="s">
        <v>26</v>
      </c>
      <c r="T106" s="1">
        <f t="shared" si="39"/>
        <v>0</v>
      </c>
      <c r="U106" s="1">
        <v>1</v>
      </c>
      <c r="V106" s="1">
        <v>1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 t="s">
        <v>85</v>
      </c>
      <c r="AC106" s="1">
        <f t="shared" si="36"/>
        <v>1</v>
      </c>
      <c r="AD106" s="1">
        <f t="shared" si="30"/>
        <v>1</v>
      </c>
      <c r="AE106" s="1">
        <v>0</v>
      </c>
      <c r="AF106" s="1">
        <v>7.606884</v>
      </c>
      <c r="AG106" s="1">
        <v>0</v>
      </c>
      <c r="AH106" s="1">
        <f t="shared" si="22"/>
        <v>3.714285714285714</v>
      </c>
      <c r="AI106" s="1">
        <f t="shared" si="23"/>
        <v>0.21781167496067647</v>
      </c>
      <c r="AJ106" s="1">
        <f t="shared" si="31"/>
        <v>5.8641604797105208E-2</v>
      </c>
      <c r="AK106" s="1">
        <f t="shared" si="32"/>
        <v>290.79591836734693</v>
      </c>
      <c r="AL106" s="1">
        <f t="shared" si="33"/>
        <v>17.052739321509225</v>
      </c>
      <c r="AM106" s="1">
        <v>0</v>
      </c>
      <c r="AN106" s="1">
        <v>1</v>
      </c>
      <c r="AO106" s="1">
        <v>0</v>
      </c>
      <c r="AP106" s="1">
        <f t="shared" si="24"/>
        <v>6.0084176812610968E-2</v>
      </c>
      <c r="AQ106" s="1">
        <v>1</v>
      </c>
      <c r="AR106" s="1">
        <v>0</v>
      </c>
      <c r="AS106" s="1">
        <v>0</v>
      </c>
      <c r="AT106" s="1">
        <v>0</v>
      </c>
      <c r="AU106" s="4">
        <v>0</v>
      </c>
      <c r="AV106" s="4">
        <v>1</v>
      </c>
      <c r="AW106" s="1">
        <f t="shared" si="25"/>
        <v>0.2</v>
      </c>
      <c r="AX106" s="1">
        <f t="shared" si="26"/>
        <v>0.04</v>
      </c>
    </row>
    <row r="107" spans="1:50" x14ac:dyDescent="0.25">
      <c r="A107" s="1" t="s">
        <v>48</v>
      </c>
      <c r="B107" s="1">
        <v>2012</v>
      </c>
      <c r="C107" s="1">
        <f t="shared" si="34"/>
        <v>14</v>
      </c>
      <c r="D107" s="1" t="s">
        <v>24</v>
      </c>
      <c r="E107" s="1" t="s">
        <v>25</v>
      </c>
      <c r="F107" s="2">
        <v>-3.0000000000000001E-3</v>
      </c>
      <c r="G107" s="3">
        <v>7.0000000000000001E-3</v>
      </c>
      <c r="H107" s="1">
        <v>22</v>
      </c>
      <c r="I107" s="1">
        <v>299</v>
      </c>
      <c r="J107" s="1">
        <f t="shared" si="27"/>
        <v>277</v>
      </c>
      <c r="K107" s="1">
        <v>5</v>
      </c>
      <c r="L107" s="1">
        <v>1979</v>
      </c>
      <c r="M107" s="1">
        <v>2002</v>
      </c>
      <c r="N107" s="1">
        <f t="shared" si="40"/>
        <v>1990.5</v>
      </c>
      <c r="O107" s="1">
        <f t="shared" si="41"/>
        <v>23</v>
      </c>
      <c r="P107" s="1">
        <f t="shared" si="28"/>
        <v>3.1354942159291497</v>
      </c>
      <c r="Q107" s="1">
        <v>0</v>
      </c>
      <c r="R107" s="1">
        <v>0</v>
      </c>
      <c r="S107" s="1" t="s">
        <v>26</v>
      </c>
      <c r="T107" s="1">
        <f t="shared" si="39"/>
        <v>0</v>
      </c>
      <c r="U107" s="1">
        <v>1</v>
      </c>
      <c r="V107" s="1">
        <v>1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 t="s">
        <v>85</v>
      </c>
      <c r="AC107" s="1">
        <f t="shared" si="36"/>
        <v>1</v>
      </c>
      <c r="AD107" s="1">
        <f t="shared" si="30"/>
        <v>1</v>
      </c>
      <c r="AE107" s="1">
        <v>0</v>
      </c>
      <c r="AF107" s="1">
        <v>7.606884</v>
      </c>
      <c r="AG107" s="1">
        <v>0</v>
      </c>
      <c r="AH107" s="1">
        <f t="shared" si="22"/>
        <v>-0.42857142857142855</v>
      </c>
      <c r="AI107" s="1">
        <f t="shared" si="23"/>
        <v>-2.5741828445231419E-2</v>
      </c>
      <c r="AJ107" s="1">
        <f t="shared" si="31"/>
        <v>6.0064266372206646E-2</v>
      </c>
      <c r="AK107" s="1">
        <f t="shared" si="32"/>
        <v>277.18367346938777</v>
      </c>
      <c r="AL107" s="1">
        <f t="shared" si="33"/>
        <v>16.648833997292055</v>
      </c>
      <c r="AM107" s="1">
        <v>0</v>
      </c>
      <c r="AN107" s="1">
        <v>1</v>
      </c>
      <c r="AO107" s="1">
        <v>0</v>
      </c>
      <c r="AP107" s="1">
        <f t="shared" si="24"/>
        <v>6.0084176812610968E-2</v>
      </c>
      <c r="AQ107" s="1">
        <v>1</v>
      </c>
      <c r="AR107" s="1">
        <v>0</v>
      </c>
      <c r="AS107" s="1">
        <v>0</v>
      </c>
      <c r="AT107" s="1">
        <v>0</v>
      </c>
      <c r="AU107" s="4">
        <v>0</v>
      </c>
      <c r="AV107" s="4">
        <v>1</v>
      </c>
      <c r="AW107" s="1">
        <f t="shared" si="25"/>
        <v>0.2</v>
      </c>
      <c r="AX107" s="1">
        <f t="shared" si="26"/>
        <v>0.04</v>
      </c>
    </row>
    <row r="108" spans="1:50" x14ac:dyDescent="0.25">
      <c r="A108" s="1" t="s">
        <v>48</v>
      </c>
      <c r="B108" s="1">
        <v>2012</v>
      </c>
      <c r="C108" s="1">
        <f t="shared" si="34"/>
        <v>14</v>
      </c>
      <c r="D108" s="1" t="s">
        <v>24</v>
      </c>
      <c r="E108" s="1" t="s">
        <v>25</v>
      </c>
      <c r="F108" s="2">
        <v>-4.0000000000000001E-3</v>
      </c>
      <c r="G108" s="3">
        <v>1.0999999999999999E-2</v>
      </c>
      <c r="H108" s="1">
        <v>22</v>
      </c>
      <c r="I108" s="1">
        <v>299</v>
      </c>
      <c r="J108" s="1">
        <f t="shared" si="27"/>
        <v>277</v>
      </c>
      <c r="K108" s="1">
        <v>5</v>
      </c>
      <c r="L108" s="1">
        <v>1979</v>
      </c>
      <c r="M108" s="1">
        <v>2002</v>
      </c>
      <c r="N108" s="1">
        <f t="shared" si="40"/>
        <v>1990.5</v>
      </c>
      <c r="O108" s="1">
        <f t="shared" si="41"/>
        <v>23</v>
      </c>
      <c r="P108" s="1">
        <f t="shared" si="28"/>
        <v>3.1354942159291497</v>
      </c>
      <c r="Q108" s="1">
        <v>0</v>
      </c>
      <c r="R108" s="1">
        <v>0</v>
      </c>
      <c r="S108" s="1" t="s">
        <v>26</v>
      </c>
      <c r="T108" s="1">
        <f t="shared" si="39"/>
        <v>0</v>
      </c>
      <c r="U108" s="1">
        <v>1</v>
      </c>
      <c r="V108" s="1">
        <v>1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 t="s">
        <v>85</v>
      </c>
      <c r="AC108" s="1">
        <f t="shared" si="36"/>
        <v>1</v>
      </c>
      <c r="AD108" s="1">
        <f t="shared" si="30"/>
        <v>1</v>
      </c>
      <c r="AE108" s="1">
        <v>0</v>
      </c>
      <c r="AF108" s="1">
        <v>7.606884</v>
      </c>
      <c r="AG108" s="1">
        <v>0</v>
      </c>
      <c r="AH108" s="1">
        <f t="shared" si="22"/>
        <v>-0.36363636363636365</v>
      </c>
      <c r="AI108" s="1">
        <f t="shared" si="23"/>
        <v>-2.1843578459121576E-2</v>
      </c>
      <c r="AJ108" s="1">
        <f t="shared" si="31"/>
        <v>6.0069840762584335E-2</v>
      </c>
      <c r="AK108" s="1">
        <f t="shared" si="32"/>
        <v>277.1322314049587</v>
      </c>
      <c r="AL108" s="1">
        <f t="shared" si="33"/>
        <v>16.647289010675543</v>
      </c>
      <c r="AM108" s="1">
        <v>0</v>
      </c>
      <c r="AN108" s="1">
        <v>1</v>
      </c>
      <c r="AO108" s="1">
        <v>0</v>
      </c>
      <c r="AP108" s="1">
        <f t="shared" si="24"/>
        <v>6.0084176812610968E-2</v>
      </c>
      <c r="AQ108" s="1">
        <v>1</v>
      </c>
      <c r="AR108" s="1">
        <v>0</v>
      </c>
      <c r="AS108" s="1">
        <v>0</v>
      </c>
      <c r="AT108" s="1">
        <v>0</v>
      </c>
      <c r="AU108" s="4">
        <v>0</v>
      </c>
      <c r="AV108" s="4">
        <v>1</v>
      </c>
      <c r="AW108" s="1">
        <f t="shared" si="25"/>
        <v>0.2</v>
      </c>
      <c r="AX108" s="1">
        <f t="shared" si="26"/>
        <v>0.04</v>
      </c>
    </row>
    <row r="109" spans="1:50" x14ac:dyDescent="0.25">
      <c r="A109" s="1" t="s">
        <v>48</v>
      </c>
      <c r="B109" s="1">
        <v>2012</v>
      </c>
      <c r="C109" s="1">
        <f t="shared" si="34"/>
        <v>14</v>
      </c>
      <c r="D109" s="1" t="s">
        <v>24</v>
      </c>
      <c r="E109" s="1" t="s">
        <v>25</v>
      </c>
      <c r="F109" s="2">
        <v>1.2E-2</v>
      </c>
      <c r="G109" s="3">
        <v>1.2999999999999999E-2</v>
      </c>
      <c r="H109" s="1">
        <v>22</v>
      </c>
      <c r="I109" s="1">
        <v>299</v>
      </c>
      <c r="J109" s="1">
        <f t="shared" si="27"/>
        <v>277</v>
      </c>
      <c r="K109" s="1">
        <v>5</v>
      </c>
      <c r="L109" s="1">
        <v>1979</v>
      </c>
      <c r="M109" s="1">
        <v>2002</v>
      </c>
      <c r="N109" s="1">
        <f t="shared" si="40"/>
        <v>1990.5</v>
      </c>
      <c r="O109" s="1">
        <f t="shared" si="41"/>
        <v>23</v>
      </c>
      <c r="P109" s="1">
        <f t="shared" si="28"/>
        <v>3.1354942159291497</v>
      </c>
      <c r="Q109" s="1">
        <v>0</v>
      </c>
      <c r="R109" s="1">
        <v>0</v>
      </c>
      <c r="S109" s="1" t="s">
        <v>26</v>
      </c>
      <c r="T109" s="1">
        <f t="shared" si="39"/>
        <v>0</v>
      </c>
      <c r="U109" s="1">
        <v>1</v>
      </c>
      <c r="V109" s="1">
        <v>1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 t="s">
        <v>85</v>
      </c>
      <c r="AC109" s="1">
        <f t="shared" si="36"/>
        <v>1</v>
      </c>
      <c r="AD109" s="1">
        <f t="shared" si="30"/>
        <v>1</v>
      </c>
      <c r="AE109" s="1">
        <v>0</v>
      </c>
      <c r="AF109" s="1">
        <v>7.606884</v>
      </c>
      <c r="AG109" s="1">
        <v>0</v>
      </c>
      <c r="AH109" s="1">
        <f t="shared" si="22"/>
        <v>0.92307692307692313</v>
      </c>
      <c r="AI109" s="1">
        <f t="shared" si="23"/>
        <v>5.5377210406600402E-2</v>
      </c>
      <c r="AJ109" s="1">
        <f t="shared" si="31"/>
        <v>5.9991977940483769E-2</v>
      </c>
      <c r="AK109" s="1">
        <f t="shared" si="32"/>
        <v>277.85207100591714</v>
      </c>
      <c r="AL109" s="1">
        <f t="shared" si="33"/>
        <v>16.668895314504713</v>
      </c>
      <c r="AM109" s="1">
        <v>0</v>
      </c>
      <c r="AN109" s="1">
        <v>1</v>
      </c>
      <c r="AO109" s="1">
        <v>0</v>
      </c>
      <c r="AP109" s="1">
        <f t="shared" si="24"/>
        <v>6.0084176812610968E-2</v>
      </c>
      <c r="AQ109" s="1">
        <v>1</v>
      </c>
      <c r="AR109" s="1">
        <v>0</v>
      </c>
      <c r="AS109" s="1">
        <v>0</v>
      </c>
      <c r="AT109" s="1">
        <v>0</v>
      </c>
      <c r="AU109" s="4">
        <v>0</v>
      </c>
      <c r="AV109" s="4">
        <v>1</v>
      </c>
      <c r="AW109" s="1">
        <f t="shared" si="25"/>
        <v>0.2</v>
      </c>
      <c r="AX109" s="1">
        <f t="shared" si="26"/>
        <v>0.04</v>
      </c>
    </row>
    <row r="110" spans="1:50" x14ac:dyDescent="0.25">
      <c r="A110" s="1" t="s">
        <v>50</v>
      </c>
      <c r="B110" s="1">
        <v>2011</v>
      </c>
      <c r="C110" s="1">
        <f t="shared" si="34"/>
        <v>15</v>
      </c>
      <c r="D110" s="1" t="s">
        <v>24</v>
      </c>
      <c r="E110" s="1" t="s">
        <v>25</v>
      </c>
      <c r="F110" s="2">
        <v>-3.9E-2</v>
      </c>
      <c r="G110" s="3">
        <v>1.4999999999999999E-2</v>
      </c>
      <c r="H110" s="1">
        <v>15</v>
      </c>
      <c r="I110" s="1">
        <v>2802</v>
      </c>
      <c r="J110" s="1">
        <f t="shared" si="27"/>
        <v>2787</v>
      </c>
      <c r="K110" s="1">
        <v>5</v>
      </c>
      <c r="L110" s="1">
        <v>1992</v>
      </c>
      <c r="M110" s="1">
        <v>2007</v>
      </c>
      <c r="N110" s="1">
        <f t="shared" si="35"/>
        <v>1999.5</v>
      </c>
      <c r="O110" s="1">
        <f t="shared" ref="O110:O140" si="42">+M110-L110+1</f>
        <v>16</v>
      </c>
      <c r="P110" s="1">
        <f t="shared" si="28"/>
        <v>2.7725887222397811</v>
      </c>
      <c r="Q110" s="1">
        <v>41</v>
      </c>
      <c r="R110" s="1">
        <v>0</v>
      </c>
      <c r="S110" s="1" t="s">
        <v>27</v>
      </c>
      <c r="T110" s="1">
        <f t="shared" si="39"/>
        <v>0</v>
      </c>
      <c r="U110" s="1">
        <v>1</v>
      </c>
      <c r="V110" s="1">
        <v>1</v>
      </c>
      <c r="W110" s="1">
        <v>0</v>
      </c>
      <c r="X110" s="1">
        <v>1</v>
      </c>
      <c r="Y110" s="1">
        <v>0</v>
      </c>
      <c r="Z110" s="1">
        <v>0</v>
      </c>
      <c r="AA110" s="1">
        <v>0</v>
      </c>
      <c r="AB110" s="1" t="s">
        <v>87</v>
      </c>
      <c r="AC110" s="1">
        <f t="shared" si="36"/>
        <v>2</v>
      </c>
      <c r="AD110" s="1">
        <f t="shared" si="30"/>
        <v>0</v>
      </c>
      <c r="AE110" s="1">
        <v>0</v>
      </c>
      <c r="AF110" s="1">
        <v>7.6063879999999999</v>
      </c>
      <c r="AG110" s="1">
        <v>3.73767</v>
      </c>
      <c r="AH110" s="1">
        <f t="shared" si="22"/>
        <v>-2.6</v>
      </c>
      <c r="AI110" s="1">
        <f t="shared" si="23"/>
        <v>-4.919022402728547E-2</v>
      </c>
      <c r="AJ110" s="1">
        <f t="shared" si="31"/>
        <v>1.8919316933571333E-2</v>
      </c>
      <c r="AK110" s="1">
        <f t="shared" si="32"/>
        <v>2793.7600000000007</v>
      </c>
      <c r="AL110" s="1">
        <f t="shared" si="33"/>
        <v>52.856030876334259</v>
      </c>
      <c r="AM110" s="1">
        <v>0</v>
      </c>
      <c r="AN110" s="1">
        <v>1</v>
      </c>
      <c r="AO110" s="1">
        <v>0</v>
      </c>
      <c r="AP110" s="1">
        <f t="shared" si="24"/>
        <v>1.8942247884916413E-2</v>
      </c>
      <c r="AQ110" s="1">
        <v>0</v>
      </c>
      <c r="AR110" s="1">
        <v>1</v>
      </c>
      <c r="AS110" s="1">
        <v>0</v>
      </c>
      <c r="AT110" s="1">
        <v>0</v>
      </c>
      <c r="AU110" s="4">
        <v>0</v>
      </c>
      <c r="AV110" s="4">
        <v>0</v>
      </c>
      <c r="AW110" s="1">
        <f t="shared" si="25"/>
        <v>0.2</v>
      </c>
      <c r="AX110" s="1">
        <f t="shared" si="26"/>
        <v>0.04</v>
      </c>
    </row>
    <row r="111" spans="1:50" x14ac:dyDescent="0.25">
      <c r="A111" s="1" t="s">
        <v>50</v>
      </c>
      <c r="B111" s="1">
        <v>2011</v>
      </c>
      <c r="C111" s="1">
        <f t="shared" si="34"/>
        <v>15</v>
      </c>
      <c r="D111" s="1" t="s">
        <v>24</v>
      </c>
      <c r="E111" s="1" t="s">
        <v>25</v>
      </c>
      <c r="F111" s="2">
        <v>-3.78E-2</v>
      </c>
      <c r="G111" s="3">
        <v>1.4999999999999999E-2</v>
      </c>
      <c r="H111" s="1">
        <v>15</v>
      </c>
      <c r="I111" s="1">
        <v>2802</v>
      </c>
      <c r="J111" s="1">
        <f t="shared" si="27"/>
        <v>2787</v>
      </c>
      <c r="K111" s="1">
        <v>5</v>
      </c>
      <c r="L111" s="1">
        <v>1992</v>
      </c>
      <c r="M111" s="1">
        <v>2007</v>
      </c>
      <c r="N111" s="1">
        <f t="shared" si="35"/>
        <v>1999.5</v>
      </c>
      <c r="O111" s="1">
        <f t="shared" si="42"/>
        <v>16</v>
      </c>
      <c r="P111" s="1">
        <f t="shared" si="28"/>
        <v>2.7725887222397811</v>
      </c>
      <c r="Q111" s="1">
        <v>41</v>
      </c>
      <c r="R111" s="1">
        <v>0</v>
      </c>
      <c r="S111" s="1" t="s">
        <v>27</v>
      </c>
      <c r="T111" s="1">
        <f t="shared" si="39"/>
        <v>0</v>
      </c>
      <c r="U111" s="1">
        <v>1</v>
      </c>
      <c r="V111" s="1">
        <v>1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 t="s">
        <v>87</v>
      </c>
      <c r="AC111" s="1">
        <f t="shared" si="36"/>
        <v>2</v>
      </c>
      <c r="AD111" s="1">
        <f t="shared" si="30"/>
        <v>0</v>
      </c>
      <c r="AE111" s="1">
        <v>0</v>
      </c>
      <c r="AF111" s="1">
        <v>7.6063879999999999</v>
      </c>
      <c r="AG111" s="1">
        <v>3.73767</v>
      </c>
      <c r="AH111" s="1">
        <f t="shared" si="22"/>
        <v>-2.52</v>
      </c>
      <c r="AI111" s="1">
        <f t="shared" si="23"/>
        <v>-4.7680174054302749E-2</v>
      </c>
      <c r="AJ111" s="1">
        <f t="shared" si="31"/>
        <v>1.8920703989802678E-2</v>
      </c>
      <c r="AK111" s="1">
        <f t="shared" si="32"/>
        <v>2793.3504000000003</v>
      </c>
      <c r="AL111" s="1">
        <f t="shared" si="33"/>
        <v>52.852156058196904</v>
      </c>
      <c r="AM111" s="1">
        <v>0</v>
      </c>
      <c r="AN111" s="1">
        <v>1</v>
      </c>
      <c r="AO111" s="1">
        <v>0</v>
      </c>
      <c r="AP111" s="1">
        <f t="shared" si="24"/>
        <v>1.8942247884916413E-2</v>
      </c>
      <c r="AQ111" s="1">
        <v>0</v>
      </c>
      <c r="AR111" s="1">
        <v>1</v>
      </c>
      <c r="AS111" s="1">
        <v>0</v>
      </c>
      <c r="AT111" s="1">
        <v>0</v>
      </c>
      <c r="AU111" s="4">
        <v>0</v>
      </c>
      <c r="AV111" s="4">
        <v>0</v>
      </c>
      <c r="AW111" s="1">
        <f t="shared" si="25"/>
        <v>0.2</v>
      </c>
      <c r="AX111" s="1">
        <f t="shared" si="26"/>
        <v>0.04</v>
      </c>
    </row>
    <row r="112" spans="1:50" x14ac:dyDescent="0.25">
      <c r="A112" s="1" t="s">
        <v>50</v>
      </c>
      <c r="B112" s="1">
        <v>2011</v>
      </c>
      <c r="C112" s="1">
        <f t="shared" si="34"/>
        <v>15</v>
      </c>
      <c r="D112" s="1" t="s">
        <v>24</v>
      </c>
      <c r="E112" s="1" t="s">
        <v>25</v>
      </c>
      <c r="F112" s="2">
        <v>-4.1200000000000001E-2</v>
      </c>
      <c r="G112" s="3">
        <v>2.5000000000000001E-2</v>
      </c>
      <c r="H112" s="1">
        <v>15</v>
      </c>
      <c r="I112" s="1">
        <v>2444</v>
      </c>
      <c r="J112" s="1">
        <f t="shared" si="27"/>
        <v>2429</v>
      </c>
      <c r="K112" s="1">
        <v>5</v>
      </c>
      <c r="L112" s="1">
        <v>1992</v>
      </c>
      <c r="M112" s="1">
        <v>2007</v>
      </c>
      <c r="N112" s="1">
        <f t="shared" si="35"/>
        <v>1999.5</v>
      </c>
      <c r="O112" s="1">
        <f t="shared" si="42"/>
        <v>16</v>
      </c>
      <c r="P112" s="1">
        <f t="shared" si="28"/>
        <v>2.7725887222397811</v>
      </c>
      <c r="Q112" s="1">
        <v>41</v>
      </c>
      <c r="R112" s="1">
        <v>0</v>
      </c>
      <c r="S112" s="1" t="s">
        <v>27</v>
      </c>
      <c r="T112" s="1">
        <f t="shared" si="39"/>
        <v>0</v>
      </c>
      <c r="U112" s="1">
        <v>1</v>
      </c>
      <c r="V112" s="1">
        <v>1</v>
      </c>
      <c r="W112" s="1">
        <v>0</v>
      </c>
      <c r="X112" s="1">
        <v>1</v>
      </c>
      <c r="Y112" s="1">
        <v>0</v>
      </c>
      <c r="Z112" s="1">
        <v>0</v>
      </c>
      <c r="AA112" s="1">
        <v>0</v>
      </c>
      <c r="AB112" s="1" t="s">
        <v>87</v>
      </c>
      <c r="AC112" s="1">
        <f t="shared" si="36"/>
        <v>2</v>
      </c>
      <c r="AD112" s="1">
        <f t="shared" si="30"/>
        <v>0</v>
      </c>
      <c r="AE112" s="1">
        <v>0</v>
      </c>
      <c r="AF112" s="1">
        <v>7.6063879999999999</v>
      </c>
      <c r="AG112" s="1">
        <v>3.73767</v>
      </c>
      <c r="AH112" s="1">
        <f t="shared" si="22"/>
        <v>-1.6479999999999999</v>
      </c>
      <c r="AI112" s="1">
        <f t="shared" si="23"/>
        <v>-3.3419564776367143E-2</v>
      </c>
      <c r="AJ112" s="1">
        <f t="shared" si="31"/>
        <v>2.0278862121582007E-2</v>
      </c>
      <c r="AK112" s="1">
        <f t="shared" si="32"/>
        <v>2431.7159039999997</v>
      </c>
      <c r="AL112" s="1">
        <f t="shared" si="33"/>
        <v>49.312431536074143</v>
      </c>
      <c r="AM112" s="1">
        <v>0</v>
      </c>
      <c r="AN112" s="1">
        <v>1</v>
      </c>
      <c r="AO112" s="1">
        <v>0</v>
      </c>
      <c r="AP112" s="1">
        <f t="shared" si="24"/>
        <v>2.0290196015399928E-2</v>
      </c>
      <c r="AQ112" s="1">
        <v>0</v>
      </c>
      <c r="AR112" s="1">
        <v>1</v>
      </c>
      <c r="AS112" s="1">
        <v>0</v>
      </c>
      <c r="AT112" s="1">
        <v>0</v>
      </c>
      <c r="AU112" s="4">
        <v>0</v>
      </c>
      <c r="AV112" s="4">
        <v>0</v>
      </c>
      <c r="AW112" s="1">
        <f t="shared" si="25"/>
        <v>0.2</v>
      </c>
      <c r="AX112" s="1">
        <f t="shared" si="26"/>
        <v>0.04</v>
      </c>
    </row>
    <row r="113" spans="1:50" x14ac:dyDescent="0.25">
      <c r="A113" s="1" t="s">
        <v>50</v>
      </c>
      <c r="B113" s="1">
        <v>2011</v>
      </c>
      <c r="C113" s="1">
        <f t="shared" si="34"/>
        <v>15</v>
      </c>
      <c r="D113" s="1" t="s">
        <v>24</v>
      </c>
      <c r="E113" s="1" t="s">
        <v>25</v>
      </c>
      <c r="F113" s="2">
        <v>-3.7600000000000001E-2</v>
      </c>
      <c r="G113" s="3">
        <v>1.4999999999999999E-2</v>
      </c>
      <c r="H113" s="1">
        <v>15</v>
      </c>
      <c r="I113" s="1">
        <v>2629</v>
      </c>
      <c r="J113" s="1">
        <f t="shared" si="27"/>
        <v>2614</v>
      </c>
      <c r="K113" s="1">
        <v>5</v>
      </c>
      <c r="L113" s="1">
        <v>1992</v>
      </c>
      <c r="M113" s="1">
        <v>2007</v>
      </c>
      <c r="N113" s="1">
        <f t="shared" si="35"/>
        <v>1999.5</v>
      </c>
      <c r="O113" s="1">
        <f t="shared" si="42"/>
        <v>16</v>
      </c>
      <c r="P113" s="1">
        <f t="shared" si="28"/>
        <v>2.7725887222397811</v>
      </c>
      <c r="Q113" s="1">
        <v>41</v>
      </c>
      <c r="R113" s="1">
        <v>0</v>
      </c>
      <c r="S113" s="1" t="s">
        <v>27</v>
      </c>
      <c r="T113" s="1">
        <f t="shared" si="39"/>
        <v>0</v>
      </c>
      <c r="U113" s="1">
        <v>1</v>
      </c>
      <c r="V113" s="1">
        <v>1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 t="s">
        <v>87</v>
      </c>
      <c r="AC113" s="1">
        <f t="shared" si="36"/>
        <v>2</v>
      </c>
      <c r="AD113" s="1">
        <f t="shared" si="30"/>
        <v>0</v>
      </c>
      <c r="AE113" s="1">
        <v>0</v>
      </c>
      <c r="AF113" s="1">
        <v>7.6063879999999999</v>
      </c>
      <c r="AG113" s="1">
        <v>3.73767</v>
      </c>
      <c r="AH113" s="1">
        <f t="shared" si="22"/>
        <v>-2.5066666666666668</v>
      </c>
      <c r="AI113" s="1">
        <f t="shared" si="23"/>
        <v>-4.896913751758418E-2</v>
      </c>
      <c r="AJ113" s="1">
        <f t="shared" si="31"/>
        <v>1.9535560179887303E-2</v>
      </c>
      <c r="AK113" s="1">
        <f t="shared" si="32"/>
        <v>2620.2833777777778</v>
      </c>
      <c r="AL113" s="1">
        <f t="shared" si="33"/>
        <v>51.188703614936152</v>
      </c>
      <c r="AM113" s="1">
        <v>0</v>
      </c>
      <c r="AN113" s="1">
        <v>1</v>
      </c>
      <c r="AO113" s="1">
        <v>0</v>
      </c>
      <c r="AP113" s="1">
        <f t="shared" si="24"/>
        <v>1.955902529634922E-2</v>
      </c>
      <c r="AQ113" s="1">
        <v>0</v>
      </c>
      <c r="AR113" s="1">
        <v>1</v>
      </c>
      <c r="AS113" s="1">
        <v>0</v>
      </c>
      <c r="AT113" s="1">
        <v>0</v>
      </c>
      <c r="AU113" s="4">
        <v>0</v>
      </c>
      <c r="AV113" s="4">
        <v>0</v>
      </c>
      <c r="AW113" s="1">
        <f t="shared" si="25"/>
        <v>0.2</v>
      </c>
      <c r="AX113" s="1">
        <f t="shared" si="26"/>
        <v>0.04</v>
      </c>
    </row>
    <row r="114" spans="1:50" x14ac:dyDescent="0.25">
      <c r="A114" s="1" t="s">
        <v>50</v>
      </c>
      <c r="B114" s="1">
        <v>2011</v>
      </c>
      <c r="C114" s="1">
        <f t="shared" si="34"/>
        <v>15</v>
      </c>
      <c r="D114" s="1" t="s">
        <v>24</v>
      </c>
      <c r="E114" s="1" t="s">
        <v>25</v>
      </c>
      <c r="F114" s="2">
        <v>-3.2300000000000002E-2</v>
      </c>
      <c r="G114" s="3">
        <v>1.7999999999999999E-2</v>
      </c>
      <c r="H114" s="1">
        <v>15</v>
      </c>
      <c r="I114" s="1">
        <v>2268</v>
      </c>
      <c r="J114" s="1">
        <f t="shared" si="27"/>
        <v>2253</v>
      </c>
      <c r="K114" s="1">
        <v>5</v>
      </c>
      <c r="L114" s="1">
        <v>1992</v>
      </c>
      <c r="M114" s="1">
        <v>2007</v>
      </c>
      <c r="N114" s="1">
        <f t="shared" si="35"/>
        <v>1999.5</v>
      </c>
      <c r="O114" s="1">
        <f t="shared" si="42"/>
        <v>16</v>
      </c>
      <c r="P114" s="1">
        <f t="shared" si="28"/>
        <v>2.7725887222397811</v>
      </c>
      <c r="Q114" s="1">
        <v>41</v>
      </c>
      <c r="R114" s="1">
        <v>0</v>
      </c>
      <c r="S114" s="1" t="s">
        <v>27</v>
      </c>
      <c r="T114" s="1">
        <f t="shared" si="39"/>
        <v>0</v>
      </c>
      <c r="U114" s="1">
        <v>1</v>
      </c>
      <c r="V114" s="1">
        <v>1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 t="s">
        <v>87</v>
      </c>
      <c r="AC114" s="1">
        <f t="shared" si="36"/>
        <v>2</v>
      </c>
      <c r="AD114" s="1">
        <f t="shared" si="30"/>
        <v>0</v>
      </c>
      <c r="AE114" s="1">
        <v>0</v>
      </c>
      <c r="AF114" s="1">
        <v>7.6063879999999999</v>
      </c>
      <c r="AG114" s="1">
        <v>3.73767</v>
      </c>
      <c r="AH114" s="1">
        <f t="shared" si="22"/>
        <v>-1.7944444444444447</v>
      </c>
      <c r="AI114" s="1">
        <f t="shared" si="23"/>
        <v>-3.777802867608944E-2</v>
      </c>
      <c r="AJ114" s="1">
        <f t="shared" si="31"/>
        <v>2.1052771398439932E-2</v>
      </c>
      <c r="AK114" s="1">
        <f t="shared" si="32"/>
        <v>2256.2200308641977</v>
      </c>
      <c r="AL114" s="1">
        <f t="shared" si="33"/>
        <v>47.499684534365045</v>
      </c>
      <c r="AM114" s="1">
        <v>0</v>
      </c>
      <c r="AN114" s="1">
        <v>1</v>
      </c>
      <c r="AO114" s="1">
        <v>0</v>
      </c>
      <c r="AP114" s="1">
        <f t="shared" si="24"/>
        <v>2.1067810539380061E-2</v>
      </c>
      <c r="AQ114" s="1">
        <v>0</v>
      </c>
      <c r="AR114" s="1">
        <v>1</v>
      </c>
      <c r="AS114" s="1">
        <v>0</v>
      </c>
      <c r="AT114" s="1">
        <v>0</v>
      </c>
      <c r="AU114" s="4">
        <v>0</v>
      </c>
      <c r="AV114" s="4">
        <v>0</v>
      </c>
      <c r="AW114" s="1">
        <f t="shared" si="25"/>
        <v>0.2</v>
      </c>
      <c r="AX114" s="1">
        <f t="shared" si="26"/>
        <v>0.04</v>
      </c>
    </row>
    <row r="115" spans="1:50" x14ac:dyDescent="0.25">
      <c r="A115" s="1" t="s">
        <v>64</v>
      </c>
      <c r="B115" s="1">
        <v>1980</v>
      </c>
      <c r="C115" s="1">
        <f t="shared" si="34"/>
        <v>16</v>
      </c>
      <c r="D115" s="1" t="s">
        <v>24</v>
      </c>
      <c r="E115" s="1" t="s">
        <v>25</v>
      </c>
      <c r="F115" s="2">
        <v>-0.1696</v>
      </c>
      <c r="G115" s="3">
        <v>0.13901639344262301</v>
      </c>
      <c r="H115" s="1">
        <v>4</v>
      </c>
      <c r="I115" s="1">
        <v>40</v>
      </c>
      <c r="J115" s="1">
        <f t="shared" si="27"/>
        <v>36</v>
      </c>
      <c r="K115" s="1">
        <v>1</v>
      </c>
      <c r="L115" s="1">
        <v>1973</v>
      </c>
      <c r="M115" s="1">
        <v>1973</v>
      </c>
      <c r="N115" s="1">
        <f t="shared" si="35"/>
        <v>1973</v>
      </c>
      <c r="O115" s="1">
        <f t="shared" si="42"/>
        <v>1</v>
      </c>
      <c r="P115" s="1">
        <f t="shared" si="28"/>
        <v>0</v>
      </c>
      <c r="Q115" s="1">
        <v>8</v>
      </c>
      <c r="R115" s="1">
        <v>0</v>
      </c>
      <c r="S115" s="1" t="s">
        <v>26</v>
      </c>
      <c r="T115" s="1">
        <f t="shared" si="39"/>
        <v>0</v>
      </c>
      <c r="U115" s="1">
        <v>0</v>
      </c>
      <c r="V115" s="1">
        <v>1</v>
      </c>
      <c r="W115" s="1">
        <v>1</v>
      </c>
      <c r="X115" s="1">
        <v>0</v>
      </c>
      <c r="Y115" s="1">
        <v>1</v>
      </c>
      <c r="Z115" s="1">
        <v>0</v>
      </c>
      <c r="AA115" s="1">
        <v>0</v>
      </c>
      <c r="AB115" s="1" t="s">
        <v>85</v>
      </c>
      <c r="AC115" s="1">
        <f t="shared" si="36"/>
        <v>1</v>
      </c>
      <c r="AD115" s="1">
        <f t="shared" si="30"/>
        <v>1</v>
      </c>
      <c r="AE115" s="1">
        <v>1</v>
      </c>
      <c r="AF115" s="1">
        <v>7.5908519999999999</v>
      </c>
      <c r="AG115" s="1">
        <v>2.197225</v>
      </c>
      <c r="AH115" s="1">
        <f t="shared" si="22"/>
        <v>-1.2199999999999995</v>
      </c>
      <c r="AI115" s="1">
        <f t="shared" si="23"/>
        <v>-0.19925598638924069</v>
      </c>
      <c r="AJ115" s="1">
        <f t="shared" si="31"/>
        <v>0.16332457900757441</v>
      </c>
      <c r="AK115" s="1">
        <f t="shared" si="32"/>
        <v>37.488399999999992</v>
      </c>
      <c r="AL115" s="1">
        <f t="shared" si="33"/>
        <v>6.1227771476675512</v>
      </c>
      <c r="AM115" s="1">
        <v>0</v>
      </c>
      <c r="AN115" s="1">
        <v>0</v>
      </c>
      <c r="AO115" s="1">
        <v>1</v>
      </c>
      <c r="AP115" s="1">
        <f t="shared" si="24"/>
        <v>0.16666666666666666</v>
      </c>
      <c r="AQ115" s="1">
        <v>1</v>
      </c>
      <c r="AR115" s="1">
        <v>0</v>
      </c>
      <c r="AS115" s="1">
        <v>0</v>
      </c>
      <c r="AT115" s="1">
        <v>0</v>
      </c>
      <c r="AU115" s="4">
        <v>0</v>
      </c>
      <c r="AV115" s="4">
        <v>1</v>
      </c>
      <c r="AW115" s="1">
        <f t="shared" si="25"/>
        <v>1</v>
      </c>
      <c r="AX115" s="1">
        <f t="shared" si="26"/>
        <v>1</v>
      </c>
    </row>
    <row r="116" spans="1:50" x14ac:dyDescent="0.25">
      <c r="A116" s="1" t="s">
        <v>55</v>
      </c>
      <c r="B116" s="1">
        <v>2013</v>
      </c>
      <c r="C116" s="1">
        <f t="shared" si="34"/>
        <v>17</v>
      </c>
      <c r="D116" s="1" t="s">
        <v>24</v>
      </c>
      <c r="E116" s="1" t="s">
        <v>25</v>
      </c>
      <c r="F116" s="2">
        <v>-0.10199999999999999</v>
      </c>
      <c r="G116" s="3">
        <v>2.9000000000000001E-2</v>
      </c>
      <c r="H116" s="1">
        <v>10</v>
      </c>
      <c r="I116" s="1">
        <v>488</v>
      </c>
      <c r="J116" s="1">
        <f t="shared" si="27"/>
        <v>478</v>
      </c>
      <c r="K116" s="1">
        <v>3</v>
      </c>
      <c r="L116" s="1">
        <v>2004</v>
      </c>
      <c r="M116" s="1">
        <v>2010</v>
      </c>
      <c r="N116" s="1">
        <f t="shared" si="35"/>
        <v>2007</v>
      </c>
      <c r="O116" s="1">
        <f t="shared" si="42"/>
        <v>7</v>
      </c>
      <c r="P116" s="1">
        <f>+LN(O116:O116)</f>
        <v>1.9459101490553132</v>
      </c>
      <c r="Q116" s="1">
        <v>5</v>
      </c>
      <c r="R116" s="1">
        <v>0</v>
      </c>
      <c r="S116" s="1" t="s">
        <v>28</v>
      </c>
      <c r="T116" s="1">
        <f t="shared" si="39"/>
        <v>1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1</v>
      </c>
      <c r="AA116" s="1">
        <v>0</v>
      </c>
      <c r="AB116" s="1" t="s">
        <v>105</v>
      </c>
      <c r="AC116" s="1">
        <f t="shared" si="36"/>
        <v>6</v>
      </c>
      <c r="AD116" s="1">
        <f t="shared" si="30"/>
        <v>0</v>
      </c>
      <c r="AE116" s="1">
        <v>1</v>
      </c>
      <c r="AF116" s="1">
        <v>7.6073810000000002</v>
      </c>
      <c r="AG116" s="1">
        <v>1.7917590000000001</v>
      </c>
      <c r="AH116" s="1">
        <f t="shared" si="22"/>
        <v>-3.5172413793103443</v>
      </c>
      <c r="AI116" s="1">
        <f t="shared" si="23"/>
        <v>-0.15883265312363948</v>
      </c>
      <c r="AJ116" s="1">
        <f t="shared" si="31"/>
        <v>4.5158303339073974E-2</v>
      </c>
      <c r="AK116" s="1">
        <f t="shared" si="32"/>
        <v>490.37098692033283</v>
      </c>
      <c r="AL116" s="1">
        <f t="shared" si="33"/>
        <v>22.144321776029468</v>
      </c>
      <c r="AM116" s="1">
        <v>0</v>
      </c>
      <c r="AN116" s="1">
        <v>1</v>
      </c>
      <c r="AO116" s="1">
        <v>0</v>
      </c>
      <c r="AP116" s="1">
        <f t="shared" si="24"/>
        <v>4.5738935374634825E-2</v>
      </c>
      <c r="AQ116" s="1">
        <v>0</v>
      </c>
      <c r="AR116" s="1">
        <v>0</v>
      </c>
      <c r="AS116" s="1">
        <v>0</v>
      </c>
      <c r="AT116" s="1">
        <v>0</v>
      </c>
      <c r="AU116" s="4">
        <v>0</v>
      </c>
      <c r="AV116" s="4">
        <v>0</v>
      </c>
      <c r="AW116" s="1">
        <f t="shared" si="25"/>
        <v>0.33333333333333331</v>
      </c>
      <c r="AX116" s="1">
        <f t="shared" si="26"/>
        <v>0.1111111111111111</v>
      </c>
    </row>
    <row r="117" spans="1:50" x14ac:dyDescent="0.25">
      <c r="A117" s="1" t="s">
        <v>55</v>
      </c>
      <c r="B117" s="1">
        <v>2013</v>
      </c>
      <c r="C117" s="1">
        <f t="shared" si="34"/>
        <v>17</v>
      </c>
      <c r="D117" s="1" t="s">
        <v>24</v>
      </c>
      <c r="E117" s="1" t="s">
        <v>25</v>
      </c>
      <c r="F117" s="2">
        <v>-0.14000000000000001</v>
      </c>
      <c r="G117" s="3">
        <v>1.7999999999999999E-2</v>
      </c>
      <c r="H117" s="1">
        <v>13</v>
      </c>
      <c r="I117" s="1">
        <v>551</v>
      </c>
      <c r="J117" s="1">
        <f t="shared" si="27"/>
        <v>538</v>
      </c>
      <c r="K117" s="1">
        <v>3</v>
      </c>
      <c r="L117" s="1">
        <v>2001</v>
      </c>
      <c r="M117" s="1">
        <v>2010</v>
      </c>
      <c r="N117" s="1">
        <f t="shared" si="35"/>
        <v>2005.5</v>
      </c>
      <c r="O117" s="1">
        <f t="shared" si="42"/>
        <v>10</v>
      </c>
      <c r="P117" s="1">
        <f t="shared" si="28"/>
        <v>2.3025850929940459</v>
      </c>
      <c r="Q117" s="1">
        <v>5</v>
      </c>
      <c r="R117" s="1">
        <v>0</v>
      </c>
      <c r="S117" s="1" t="s">
        <v>28</v>
      </c>
      <c r="T117" s="1">
        <f t="shared" si="39"/>
        <v>1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 t="s">
        <v>105</v>
      </c>
      <c r="AC117" s="1">
        <f t="shared" si="36"/>
        <v>6</v>
      </c>
      <c r="AD117" s="1">
        <f t="shared" si="30"/>
        <v>0</v>
      </c>
      <c r="AE117" s="1">
        <v>1</v>
      </c>
      <c r="AF117" s="1">
        <v>7.6073810000000002</v>
      </c>
      <c r="AG117" s="1">
        <v>1.7917590000000001</v>
      </c>
      <c r="AH117" s="1">
        <f t="shared" si="22"/>
        <v>-7.7777777777777795</v>
      </c>
      <c r="AI117" s="1">
        <f t="shared" si="23"/>
        <v>-0.31792574147867403</v>
      </c>
      <c r="AJ117" s="1">
        <f t="shared" si="31"/>
        <v>4.0876166761543792E-2</v>
      </c>
      <c r="AK117" s="1">
        <f t="shared" si="32"/>
        <v>598.49382716049399</v>
      </c>
      <c r="AL117" s="1">
        <f t="shared" si="33"/>
        <v>24.464133484766919</v>
      </c>
      <c r="AM117" s="1">
        <v>0</v>
      </c>
      <c r="AN117" s="1">
        <v>1</v>
      </c>
      <c r="AO117" s="1">
        <v>0</v>
      </c>
      <c r="AP117" s="1">
        <f t="shared" si="24"/>
        <v>4.3113061355922688E-2</v>
      </c>
      <c r="AQ117" s="1">
        <v>0</v>
      </c>
      <c r="AR117" s="1">
        <v>0</v>
      </c>
      <c r="AS117" s="1">
        <v>0</v>
      </c>
      <c r="AT117" s="1">
        <v>0</v>
      </c>
      <c r="AU117" s="4">
        <v>0</v>
      </c>
      <c r="AV117" s="4">
        <v>0</v>
      </c>
      <c r="AW117" s="1">
        <f t="shared" si="25"/>
        <v>0.33333333333333331</v>
      </c>
      <c r="AX117" s="1">
        <f t="shared" si="26"/>
        <v>0.1111111111111111</v>
      </c>
    </row>
    <row r="118" spans="1:50" x14ac:dyDescent="0.25">
      <c r="A118" s="1" t="s">
        <v>55</v>
      </c>
      <c r="B118" s="1">
        <v>2013</v>
      </c>
      <c r="C118" s="1">
        <f t="shared" si="34"/>
        <v>17</v>
      </c>
      <c r="D118" s="1" t="s">
        <v>24</v>
      </c>
      <c r="E118" s="1" t="s">
        <v>25</v>
      </c>
      <c r="F118" s="2">
        <v>-0.16500000000000001</v>
      </c>
      <c r="G118" s="3">
        <v>3.6999999999999998E-2</v>
      </c>
      <c r="H118" s="1">
        <v>10</v>
      </c>
      <c r="I118" s="1">
        <v>582</v>
      </c>
      <c r="J118" s="1">
        <f t="shared" si="27"/>
        <v>572</v>
      </c>
      <c r="K118" s="1">
        <v>3</v>
      </c>
      <c r="L118" s="1">
        <v>2006</v>
      </c>
      <c r="M118" s="1">
        <v>2010</v>
      </c>
      <c r="N118" s="1">
        <f t="shared" si="35"/>
        <v>2008</v>
      </c>
      <c r="O118" s="1">
        <f t="shared" si="42"/>
        <v>5</v>
      </c>
      <c r="P118" s="1">
        <f>+LN(O118:O118)</f>
        <v>1.6094379124341003</v>
      </c>
      <c r="Q118" s="1">
        <v>5</v>
      </c>
      <c r="R118" s="1">
        <v>0</v>
      </c>
      <c r="S118" s="1" t="s">
        <v>28</v>
      </c>
      <c r="T118" s="1">
        <f t="shared" ref="T118:T139" si="43">IF(S118="OLS",0,IF(S118="FE",0,IF(S118="Probit model",0,IF(S118="3SLS",1,IF(S118="Logit",0,IF(S118="2SLS",1,IF(S118="SUR method",1,IF(S118="Modified LS",0,IF(S118="Zenner estimates",1,IF(S118="MLE",0,IF(S118="GLS",0,0)))))))))))</f>
        <v>1</v>
      </c>
      <c r="U118" s="1">
        <v>0</v>
      </c>
      <c r="V118" s="1">
        <v>0</v>
      </c>
      <c r="W118" s="1">
        <v>1</v>
      </c>
      <c r="X118" s="1">
        <v>0</v>
      </c>
      <c r="Y118" s="1">
        <v>0</v>
      </c>
      <c r="Z118" s="1">
        <v>1</v>
      </c>
      <c r="AA118" s="1">
        <v>0</v>
      </c>
      <c r="AB118" s="1" t="s">
        <v>105</v>
      </c>
      <c r="AC118" s="1">
        <f t="shared" si="36"/>
        <v>6</v>
      </c>
      <c r="AD118" s="1">
        <f t="shared" si="30"/>
        <v>0</v>
      </c>
      <c r="AE118" s="1">
        <v>1</v>
      </c>
      <c r="AF118" s="1">
        <v>7.6073810000000002</v>
      </c>
      <c r="AG118" s="1">
        <v>1.7917590000000001</v>
      </c>
      <c r="AH118" s="1">
        <f t="shared" si="22"/>
        <v>-4.4594594594594597</v>
      </c>
      <c r="AI118" s="1">
        <f t="shared" si="23"/>
        <v>-0.18330018389016944</v>
      </c>
      <c r="AJ118" s="1">
        <f t="shared" si="31"/>
        <v>4.1103677599613753E-2</v>
      </c>
      <c r="AK118" s="1">
        <f t="shared" si="32"/>
        <v>591.88677867056253</v>
      </c>
      <c r="AL118" s="1">
        <f t="shared" si="33"/>
        <v>24.328723325948744</v>
      </c>
      <c r="AM118" s="1">
        <v>0</v>
      </c>
      <c r="AN118" s="1">
        <v>1</v>
      </c>
      <c r="AO118" s="1">
        <v>0</v>
      </c>
      <c r="AP118" s="1">
        <f t="shared" si="24"/>
        <v>4.181210050035454E-2</v>
      </c>
      <c r="AQ118" s="1">
        <v>0</v>
      </c>
      <c r="AR118" s="1">
        <v>0</v>
      </c>
      <c r="AS118" s="1">
        <v>0</v>
      </c>
      <c r="AT118" s="1">
        <v>0</v>
      </c>
      <c r="AU118" s="4">
        <v>0</v>
      </c>
      <c r="AV118" s="4">
        <v>0</v>
      </c>
      <c r="AW118" s="1">
        <f t="shared" si="25"/>
        <v>0.33333333333333331</v>
      </c>
      <c r="AX118" s="1">
        <f t="shared" si="26"/>
        <v>0.1111111111111111</v>
      </c>
    </row>
    <row r="119" spans="1:50" x14ac:dyDescent="0.25">
      <c r="A119" s="1" t="s">
        <v>41</v>
      </c>
      <c r="B119" s="1">
        <v>1988</v>
      </c>
      <c r="C119" s="1">
        <f t="shared" si="34"/>
        <v>18</v>
      </c>
      <c r="D119" s="1" t="s">
        <v>24</v>
      </c>
      <c r="E119" s="1" t="s">
        <v>25</v>
      </c>
      <c r="F119" s="2">
        <v>-1.68</v>
      </c>
      <c r="G119" s="3">
        <v>0.494117647058823</v>
      </c>
      <c r="H119" s="1">
        <v>16</v>
      </c>
      <c r="I119" s="1">
        <v>48</v>
      </c>
      <c r="J119" s="1">
        <f t="shared" si="27"/>
        <v>32</v>
      </c>
      <c r="K119" s="1">
        <v>21</v>
      </c>
      <c r="L119" s="1">
        <v>1979</v>
      </c>
      <c r="M119" s="1">
        <v>1979</v>
      </c>
      <c r="N119" s="1">
        <f t="shared" si="35"/>
        <v>1979</v>
      </c>
      <c r="O119" s="1">
        <f t="shared" si="42"/>
        <v>1</v>
      </c>
      <c r="P119" s="1">
        <f t="shared" si="28"/>
        <v>0</v>
      </c>
      <c r="Q119" s="1">
        <v>36</v>
      </c>
      <c r="R119" s="1">
        <v>0</v>
      </c>
      <c r="S119" s="1" t="s">
        <v>26</v>
      </c>
      <c r="T119" s="1">
        <f t="shared" si="43"/>
        <v>0</v>
      </c>
      <c r="U119" s="1">
        <v>0</v>
      </c>
      <c r="V119" s="1">
        <v>0</v>
      </c>
      <c r="W119" s="1">
        <v>1</v>
      </c>
      <c r="X119" s="1">
        <v>1</v>
      </c>
      <c r="Y119" s="1">
        <v>0</v>
      </c>
      <c r="Z119" s="1">
        <v>0</v>
      </c>
      <c r="AA119" s="1">
        <v>0</v>
      </c>
      <c r="AB119" s="1" t="s">
        <v>85</v>
      </c>
      <c r="AC119" s="1">
        <f t="shared" si="36"/>
        <v>1</v>
      </c>
      <c r="AD119" s="1">
        <f t="shared" si="30"/>
        <v>1</v>
      </c>
      <c r="AE119" s="1">
        <v>1</v>
      </c>
      <c r="AF119" s="1">
        <v>7.5948840000000004</v>
      </c>
      <c r="AG119" s="1">
        <v>3.6109179999999999</v>
      </c>
      <c r="AH119" s="1">
        <f t="shared" si="22"/>
        <v>-3.4000000000000035</v>
      </c>
      <c r="AI119" s="1">
        <f t="shared" si="23"/>
        <v>-0.51515151515151558</v>
      </c>
      <c r="AJ119" s="1">
        <f t="shared" si="31"/>
        <v>0.15151515151515149</v>
      </c>
      <c r="AK119" s="1">
        <f t="shared" si="32"/>
        <v>43.560000000000016</v>
      </c>
      <c r="AL119" s="1">
        <f t="shared" si="33"/>
        <v>6.6000000000000014</v>
      </c>
      <c r="AM119" s="1">
        <v>0</v>
      </c>
      <c r="AN119" s="1">
        <v>0</v>
      </c>
      <c r="AO119" s="1">
        <v>1</v>
      </c>
      <c r="AP119" s="1">
        <f t="shared" si="24"/>
        <v>0.17677669529663687</v>
      </c>
      <c r="AQ119" s="1">
        <v>1</v>
      </c>
      <c r="AR119" s="1">
        <v>0</v>
      </c>
      <c r="AS119" s="1">
        <v>0</v>
      </c>
      <c r="AT119" s="1">
        <v>0</v>
      </c>
      <c r="AU119" s="4">
        <v>0</v>
      </c>
      <c r="AV119" s="4">
        <v>0</v>
      </c>
      <c r="AW119" s="1">
        <f t="shared" si="25"/>
        <v>4.7619047619047616E-2</v>
      </c>
      <c r="AX119" s="1">
        <f t="shared" si="26"/>
        <v>2.2675736961451248E-3</v>
      </c>
    </row>
    <row r="120" spans="1:50" x14ac:dyDescent="0.25">
      <c r="A120" s="1" t="s">
        <v>41</v>
      </c>
      <c r="B120" s="1">
        <v>1988</v>
      </c>
      <c r="C120" s="1">
        <f t="shared" si="34"/>
        <v>18</v>
      </c>
      <c r="D120" s="1" t="s">
        <v>24</v>
      </c>
      <c r="E120" s="1" t="s">
        <v>25</v>
      </c>
      <c r="F120" s="2">
        <v>-1.69</v>
      </c>
      <c r="G120" s="3">
        <v>0.45308310991957101</v>
      </c>
      <c r="H120" s="1">
        <v>7</v>
      </c>
      <c r="I120" s="1">
        <v>48</v>
      </c>
      <c r="J120" s="1">
        <f t="shared" si="27"/>
        <v>41</v>
      </c>
      <c r="K120" s="1">
        <v>21</v>
      </c>
      <c r="L120" s="1">
        <v>1979</v>
      </c>
      <c r="M120" s="1">
        <v>1979</v>
      </c>
      <c r="N120" s="1">
        <f t="shared" si="35"/>
        <v>1979</v>
      </c>
      <c r="O120" s="1">
        <f t="shared" si="42"/>
        <v>1</v>
      </c>
      <c r="P120" s="1">
        <f t="shared" si="28"/>
        <v>0</v>
      </c>
      <c r="Q120" s="1">
        <v>36</v>
      </c>
      <c r="R120" s="1">
        <v>0</v>
      </c>
      <c r="S120" s="1" t="s">
        <v>26</v>
      </c>
      <c r="T120" s="1">
        <f t="shared" si="43"/>
        <v>0</v>
      </c>
      <c r="U120" s="1">
        <v>0</v>
      </c>
      <c r="V120" s="1">
        <v>0</v>
      </c>
      <c r="W120" s="1">
        <v>1</v>
      </c>
      <c r="X120" s="1">
        <v>1</v>
      </c>
      <c r="Y120" s="1">
        <v>0</v>
      </c>
      <c r="Z120" s="1">
        <v>0</v>
      </c>
      <c r="AA120" s="1">
        <v>0</v>
      </c>
      <c r="AB120" s="1" t="s">
        <v>85</v>
      </c>
      <c r="AC120" s="1">
        <f t="shared" si="36"/>
        <v>1</v>
      </c>
      <c r="AD120" s="1">
        <f t="shared" si="30"/>
        <v>1</v>
      </c>
      <c r="AE120" s="1">
        <v>1</v>
      </c>
      <c r="AF120" s="1">
        <v>7.5948840000000004</v>
      </c>
      <c r="AG120" s="1">
        <v>3.6109179999999999</v>
      </c>
      <c r="AH120" s="1">
        <f t="shared" si="22"/>
        <v>-3.73</v>
      </c>
      <c r="AI120" s="1">
        <f t="shared" si="23"/>
        <v>-0.50335181843910159</v>
      </c>
      <c r="AJ120" s="1">
        <f t="shared" si="31"/>
        <v>0.13494686821423635</v>
      </c>
      <c r="AK120" s="1">
        <f t="shared" si="32"/>
        <v>54.912900000000022</v>
      </c>
      <c r="AL120" s="1">
        <f t="shared" si="33"/>
        <v>7.4103238795615418</v>
      </c>
      <c r="AM120" s="1">
        <v>0</v>
      </c>
      <c r="AN120" s="1">
        <v>0</v>
      </c>
      <c r="AO120" s="1">
        <v>1</v>
      </c>
      <c r="AP120" s="1">
        <f t="shared" si="24"/>
        <v>0.15617376188860607</v>
      </c>
      <c r="AQ120" s="1">
        <v>1</v>
      </c>
      <c r="AR120" s="1">
        <v>0</v>
      </c>
      <c r="AS120" s="1">
        <v>0</v>
      </c>
      <c r="AT120" s="1">
        <v>0</v>
      </c>
      <c r="AU120" s="4">
        <v>0</v>
      </c>
      <c r="AV120" s="4">
        <v>0</v>
      </c>
      <c r="AW120" s="1">
        <f t="shared" si="25"/>
        <v>4.7619047619047616E-2</v>
      </c>
      <c r="AX120" s="1">
        <f t="shared" si="26"/>
        <v>2.2675736961451248E-3</v>
      </c>
    </row>
    <row r="121" spans="1:50" x14ac:dyDescent="0.25">
      <c r="A121" s="1" t="s">
        <v>41</v>
      </c>
      <c r="B121" s="1">
        <v>1988</v>
      </c>
      <c r="C121" s="1">
        <f t="shared" si="34"/>
        <v>18</v>
      </c>
      <c r="D121" s="1" t="s">
        <v>24</v>
      </c>
      <c r="E121" s="1" t="s">
        <v>25</v>
      </c>
      <c r="F121" s="2">
        <v>-1.39</v>
      </c>
      <c r="G121" s="3">
        <v>0.393767705382436</v>
      </c>
      <c r="H121" s="1">
        <v>9</v>
      </c>
      <c r="I121" s="1">
        <v>48</v>
      </c>
      <c r="J121" s="1">
        <f t="shared" si="27"/>
        <v>39</v>
      </c>
      <c r="K121" s="1">
        <v>21</v>
      </c>
      <c r="L121" s="1">
        <v>1979</v>
      </c>
      <c r="M121" s="1">
        <v>1979</v>
      </c>
      <c r="N121" s="1">
        <f t="shared" si="35"/>
        <v>1979</v>
      </c>
      <c r="O121" s="1">
        <f t="shared" si="42"/>
        <v>1</v>
      </c>
      <c r="P121" s="1">
        <f t="shared" si="28"/>
        <v>0</v>
      </c>
      <c r="Q121" s="1">
        <v>36</v>
      </c>
      <c r="R121" s="1">
        <v>0</v>
      </c>
      <c r="S121" s="1" t="s">
        <v>26</v>
      </c>
      <c r="T121" s="1">
        <f t="shared" si="43"/>
        <v>0</v>
      </c>
      <c r="U121" s="1">
        <v>0</v>
      </c>
      <c r="V121" s="1">
        <v>0</v>
      </c>
      <c r="W121" s="1">
        <v>1</v>
      </c>
      <c r="X121" s="1">
        <v>1</v>
      </c>
      <c r="Y121" s="1">
        <v>0</v>
      </c>
      <c r="Z121" s="1">
        <v>0</v>
      </c>
      <c r="AA121" s="1">
        <v>0</v>
      </c>
      <c r="AB121" s="1" t="s">
        <v>85</v>
      </c>
      <c r="AC121" s="1">
        <f t="shared" si="36"/>
        <v>1</v>
      </c>
      <c r="AD121" s="1">
        <f t="shared" si="30"/>
        <v>1</v>
      </c>
      <c r="AE121" s="1">
        <v>1</v>
      </c>
      <c r="AF121" s="1">
        <v>7.5948840000000004</v>
      </c>
      <c r="AG121" s="1">
        <v>3.6109179999999999</v>
      </c>
      <c r="AH121" s="1">
        <f t="shared" si="22"/>
        <v>-3.530000000000002</v>
      </c>
      <c r="AI121" s="1">
        <f t="shared" si="23"/>
        <v>-0.49208034299014214</v>
      </c>
      <c r="AJ121" s="1">
        <f t="shared" si="31"/>
        <v>0.13939953059210816</v>
      </c>
      <c r="AK121" s="1">
        <f t="shared" si="32"/>
        <v>51.460900000000024</v>
      </c>
      <c r="AL121" s="1">
        <f t="shared" si="33"/>
        <v>7.1736253038474223</v>
      </c>
      <c r="AM121" s="1">
        <v>0</v>
      </c>
      <c r="AN121" s="1">
        <v>0</v>
      </c>
      <c r="AO121" s="1">
        <v>1</v>
      </c>
      <c r="AP121" s="1">
        <f t="shared" si="24"/>
        <v>0.16012815380508713</v>
      </c>
      <c r="AQ121" s="1">
        <v>1</v>
      </c>
      <c r="AR121" s="1">
        <v>0</v>
      </c>
      <c r="AS121" s="1">
        <v>0</v>
      </c>
      <c r="AT121" s="1">
        <v>0</v>
      </c>
      <c r="AU121" s="4">
        <v>0</v>
      </c>
      <c r="AV121" s="4">
        <v>0</v>
      </c>
      <c r="AW121" s="1">
        <f t="shared" si="25"/>
        <v>4.7619047619047616E-2</v>
      </c>
      <c r="AX121" s="1">
        <f t="shared" si="26"/>
        <v>2.2675736961451248E-3</v>
      </c>
    </row>
    <row r="122" spans="1:50" x14ac:dyDescent="0.25">
      <c r="A122" s="1" t="s">
        <v>41</v>
      </c>
      <c r="B122" s="1">
        <v>1988</v>
      </c>
      <c r="C122" s="1">
        <f t="shared" si="34"/>
        <v>18</v>
      </c>
      <c r="D122" s="1" t="s">
        <v>24</v>
      </c>
      <c r="E122" s="1" t="s">
        <v>25</v>
      </c>
      <c r="F122" s="2">
        <v>-0.29599999999999999</v>
      </c>
      <c r="G122" s="3">
        <v>0.98338870431893599</v>
      </c>
      <c r="H122" s="1">
        <v>16</v>
      </c>
      <c r="I122" s="1">
        <v>48</v>
      </c>
      <c r="J122" s="1">
        <f t="shared" si="27"/>
        <v>32</v>
      </c>
      <c r="K122" s="1">
        <v>21</v>
      </c>
      <c r="L122" s="1">
        <v>1979</v>
      </c>
      <c r="M122" s="1">
        <v>1979</v>
      </c>
      <c r="N122" s="1">
        <f t="shared" si="35"/>
        <v>1979</v>
      </c>
      <c r="O122" s="1">
        <f t="shared" si="42"/>
        <v>1</v>
      </c>
      <c r="P122" s="1">
        <f t="shared" si="28"/>
        <v>0</v>
      </c>
      <c r="Q122" s="1">
        <v>36</v>
      </c>
      <c r="R122" s="1">
        <v>0</v>
      </c>
      <c r="S122" s="1" t="s">
        <v>26</v>
      </c>
      <c r="T122" s="1">
        <f t="shared" si="43"/>
        <v>0</v>
      </c>
      <c r="U122" s="1">
        <v>0</v>
      </c>
      <c r="V122" s="1">
        <v>0</v>
      </c>
      <c r="W122" s="1">
        <v>1</v>
      </c>
      <c r="X122" s="1">
        <v>1</v>
      </c>
      <c r="Y122" s="1">
        <v>0</v>
      </c>
      <c r="Z122" s="1">
        <v>0</v>
      </c>
      <c r="AA122" s="1">
        <v>0</v>
      </c>
      <c r="AB122" s="1" t="s">
        <v>85</v>
      </c>
      <c r="AC122" s="1">
        <f t="shared" si="36"/>
        <v>1</v>
      </c>
      <c r="AD122" s="1">
        <f t="shared" si="30"/>
        <v>1</v>
      </c>
      <c r="AE122" s="1">
        <v>1</v>
      </c>
      <c r="AF122" s="1">
        <v>7.5948840000000004</v>
      </c>
      <c r="AG122" s="1">
        <v>3.6109179999999999</v>
      </c>
      <c r="AH122" s="1">
        <f t="shared" si="22"/>
        <v>-0.30100000000000027</v>
      </c>
      <c r="AI122" s="1">
        <f t="shared" si="23"/>
        <v>-5.3134618925811977E-2</v>
      </c>
      <c r="AJ122" s="1">
        <f t="shared" si="31"/>
        <v>0.1765269731754549</v>
      </c>
      <c r="AK122" s="1">
        <f t="shared" si="32"/>
        <v>32.090600999999999</v>
      </c>
      <c r="AL122" s="1">
        <f t="shared" si="33"/>
        <v>5.6648566619112257</v>
      </c>
      <c r="AM122" s="1">
        <v>0</v>
      </c>
      <c r="AN122" s="1">
        <v>0</v>
      </c>
      <c r="AO122" s="1">
        <v>1</v>
      </c>
      <c r="AP122" s="1">
        <f t="shared" si="24"/>
        <v>0.17677669529663687</v>
      </c>
      <c r="AQ122" s="1">
        <v>1</v>
      </c>
      <c r="AR122" s="1">
        <v>0</v>
      </c>
      <c r="AS122" s="1">
        <v>0</v>
      </c>
      <c r="AT122" s="1">
        <v>0</v>
      </c>
      <c r="AU122" s="4">
        <v>0</v>
      </c>
      <c r="AV122" s="4">
        <v>1</v>
      </c>
      <c r="AW122" s="1">
        <f t="shared" si="25"/>
        <v>4.7619047619047616E-2</v>
      </c>
      <c r="AX122" s="1">
        <f t="shared" si="26"/>
        <v>2.2675736961451248E-3</v>
      </c>
    </row>
    <row r="123" spans="1:50" x14ac:dyDescent="0.25">
      <c r="A123" s="1" t="s">
        <v>41</v>
      </c>
      <c r="B123" s="1">
        <v>1988</v>
      </c>
      <c r="C123" s="1">
        <f t="shared" si="34"/>
        <v>18</v>
      </c>
      <c r="D123" s="1" t="s">
        <v>24</v>
      </c>
      <c r="E123" s="1" t="s">
        <v>25</v>
      </c>
      <c r="F123" s="2">
        <v>0.30099999999999999</v>
      </c>
      <c r="G123" s="3">
        <v>0.113157894736842</v>
      </c>
      <c r="H123" s="1">
        <v>16</v>
      </c>
      <c r="I123" s="1">
        <v>48</v>
      </c>
      <c r="J123" s="1">
        <f t="shared" si="27"/>
        <v>32</v>
      </c>
      <c r="K123" s="1">
        <v>21</v>
      </c>
      <c r="L123" s="1">
        <v>1979</v>
      </c>
      <c r="M123" s="1">
        <v>1979</v>
      </c>
      <c r="N123" s="1">
        <f t="shared" si="35"/>
        <v>1979</v>
      </c>
      <c r="O123" s="1">
        <f t="shared" si="42"/>
        <v>1</v>
      </c>
      <c r="P123" s="1">
        <f t="shared" si="28"/>
        <v>0</v>
      </c>
      <c r="Q123" s="1">
        <v>36</v>
      </c>
      <c r="R123" s="1">
        <v>0</v>
      </c>
      <c r="S123" s="1" t="s">
        <v>26</v>
      </c>
      <c r="T123" s="1">
        <f t="shared" si="43"/>
        <v>0</v>
      </c>
      <c r="U123" s="1">
        <v>0</v>
      </c>
      <c r="V123" s="1">
        <v>0</v>
      </c>
      <c r="W123" s="1">
        <v>1</v>
      </c>
      <c r="X123" s="1">
        <v>1</v>
      </c>
      <c r="Y123" s="1">
        <v>0</v>
      </c>
      <c r="Z123" s="1">
        <v>0</v>
      </c>
      <c r="AA123" s="1">
        <v>0</v>
      </c>
      <c r="AB123" s="1" t="s">
        <v>85</v>
      </c>
      <c r="AC123" s="1">
        <f t="shared" si="36"/>
        <v>1</v>
      </c>
      <c r="AD123" s="1">
        <f t="shared" si="30"/>
        <v>1</v>
      </c>
      <c r="AE123" s="1">
        <v>1</v>
      </c>
      <c r="AF123" s="1">
        <v>7.5948840000000004</v>
      </c>
      <c r="AG123" s="1">
        <v>3.6109179999999999</v>
      </c>
      <c r="AH123" s="1">
        <f t="shared" si="22"/>
        <v>2.6600000000000024</v>
      </c>
      <c r="AI123" s="1">
        <f t="shared" si="23"/>
        <v>0.42552865333661166</v>
      </c>
      <c r="AJ123" s="1">
        <f t="shared" si="31"/>
        <v>0.15997317794609447</v>
      </c>
      <c r="AK123" s="1">
        <f t="shared" si="32"/>
        <v>39.075600000000009</v>
      </c>
      <c r="AL123" s="1">
        <f t="shared" si="33"/>
        <v>6.251047912150411</v>
      </c>
      <c r="AM123" s="1">
        <v>0</v>
      </c>
      <c r="AN123" s="1">
        <v>0</v>
      </c>
      <c r="AO123" s="1">
        <v>1</v>
      </c>
      <c r="AP123" s="1">
        <f t="shared" si="24"/>
        <v>0.17677669529663687</v>
      </c>
      <c r="AQ123" s="1">
        <v>1</v>
      </c>
      <c r="AR123" s="1">
        <v>0</v>
      </c>
      <c r="AS123" s="1">
        <v>0</v>
      </c>
      <c r="AT123" s="1">
        <v>0</v>
      </c>
      <c r="AU123" s="4">
        <v>1</v>
      </c>
      <c r="AV123" s="4">
        <v>0</v>
      </c>
      <c r="AW123" s="1">
        <f t="shared" si="25"/>
        <v>4.7619047619047616E-2</v>
      </c>
      <c r="AX123" s="1">
        <f t="shared" si="26"/>
        <v>2.2675736961451248E-3</v>
      </c>
    </row>
    <row r="124" spans="1:50" x14ac:dyDescent="0.25">
      <c r="A124" s="1" t="s">
        <v>41</v>
      </c>
      <c r="B124" s="1">
        <v>1988</v>
      </c>
      <c r="C124" s="1">
        <f t="shared" si="34"/>
        <v>18</v>
      </c>
      <c r="D124" s="1" t="s">
        <v>24</v>
      </c>
      <c r="E124" s="1" t="s">
        <v>25</v>
      </c>
      <c r="F124" s="2">
        <v>0.21299999999999999</v>
      </c>
      <c r="G124" s="3">
        <v>7.9182156133828993E-2</v>
      </c>
      <c r="H124" s="1">
        <v>7</v>
      </c>
      <c r="I124" s="1">
        <v>48</v>
      </c>
      <c r="J124" s="1">
        <f t="shared" si="27"/>
        <v>41</v>
      </c>
      <c r="K124" s="1">
        <v>21</v>
      </c>
      <c r="L124" s="1">
        <v>1979</v>
      </c>
      <c r="M124" s="1">
        <v>1979</v>
      </c>
      <c r="N124" s="1">
        <f t="shared" si="35"/>
        <v>1979</v>
      </c>
      <c r="O124" s="1">
        <f t="shared" si="42"/>
        <v>1</v>
      </c>
      <c r="P124" s="1">
        <f t="shared" si="28"/>
        <v>0</v>
      </c>
      <c r="Q124" s="1">
        <v>36</v>
      </c>
      <c r="R124" s="1">
        <v>0</v>
      </c>
      <c r="S124" s="1" t="s">
        <v>26</v>
      </c>
      <c r="T124" s="1">
        <f t="shared" si="43"/>
        <v>0</v>
      </c>
      <c r="U124" s="1">
        <v>0</v>
      </c>
      <c r="V124" s="1">
        <v>0</v>
      </c>
      <c r="W124" s="1">
        <v>1</v>
      </c>
      <c r="X124" s="1">
        <v>1</v>
      </c>
      <c r="Y124" s="1">
        <v>0</v>
      </c>
      <c r="Z124" s="1">
        <v>0</v>
      </c>
      <c r="AA124" s="1">
        <v>0</v>
      </c>
      <c r="AB124" s="1" t="s">
        <v>85</v>
      </c>
      <c r="AC124" s="1">
        <f t="shared" si="36"/>
        <v>1</v>
      </c>
      <c r="AD124" s="1">
        <f t="shared" si="30"/>
        <v>1</v>
      </c>
      <c r="AE124" s="1">
        <v>1</v>
      </c>
      <c r="AF124" s="1">
        <v>7.5948840000000004</v>
      </c>
      <c r="AG124" s="1">
        <v>3.6109179999999999</v>
      </c>
      <c r="AH124" s="1">
        <f t="shared" si="22"/>
        <v>2.69</v>
      </c>
      <c r="AI124" s="1">
        <f t="shared" si="23"/>
        <v>0.38731666757609579</v>
      </c>
      <c r="AJ124" s="1">
        <f t="shared" si="31"/>
        <v>0.14398389129222891</v>
      </c>
      <c r="AK124" s="1">
        <f t="shared" si="32"/>
        <v>48.2361</v>
      </c>
      <c r="AL124" s="1">
        <f t="shared" si="33"/>
        <v>6.945221378761083</v>
      </c>
      <c r="AM124" s="1">
        <v>0</v>
      </c>
      <c r="AN124" s="1">
        <v>0</v>
      </c>
      <c r="AO124" s="1">
        <v>1</v>
      </c>
      <c r="AP124" s="1">
        <f t="shared" si="24"/>
        <v>0.15617376188860607</v>
      </c>
      <c r="AQ124" s="1">
        <v>1</v>
      </c>
      <c r="AR124" s="1">
        <v>0</v>
      </c>
      <c r="AS124" s="1">
        <v>0</v>
      </c>
      <c r="AT124" s="1">
        <v>0</v>
      </c>
      <c r="AU124" s="4">
        <v>1</v>
      </c>
      <c r="AV124" s="4">
        <v>0</v>
      </c>
      <c r="AW124" s="1">
        <f t="shared" si="25"/>
        <v>4.7619047619047616E-2</v>
      </c>
      <c r="AX124" s="1">
        <f t="shared" si="26"/>
        <v>2.2675736961451248E-3</v>
      </c>
    </row>
    <row r="125" spans="1:50" x14ac:dyDescent="0.25">
      <c r="A125" s="1" t="s">
        <v>41</v>
      </c>
      <c r="B125" s="1">
        <v>1988</v>
      </c>
      <c r="C125" s="1">
        <f t="shared" si="34"/>
        <v>18</v>
      </c>
      <c r="D125" s="1" t="s">
        <v>24</v>
      </c>
      <c r="E125" s="1" t="s">
        <v>25</v>
      </c>
      <c r="F125" s="2">
        <v>9.4E-2</v>
      </c>
      <c r="G125" s="3">
        <v>7.4015748031496104E-2</v>
      </c>
      <c r="H125" s="1">
        <v>9</v>
      </c>
      <c r="I125" s="1">
        <v>48</v>
      </c>
      <c r="J125" s="1">
        <f t="shared" si="27"/>
        <v>39</v>
      </c>
      <c r="K125" s="1">
        <v>21</v>
      </c>
      <c r="L125" s="1">
        <v>1979</v>
      </c>
      <c r="M125" s="1">
        <v>1979</v>
      </c>
      <c r="N125" s="1">
        <f t="shared" si="35"/>
        <v>1979</v>
      </c>
      <c r="O125" s="1">
        <f t="shared" si="42"/>
        <v>1</v>
      </c>
      <c r="P125" s="1">
        <f t="shared" si="28"/>
        <v>0</v>
      </c>
      <c r="Q125" s="1">
        <v>36</v>
      </c>
      <c r="R125" s="1">
        <v>0</v>
      </c>
      <c r="S125" s="1" t="s">
        <v>26</v>
      </c>
      <c r="T125" s="1">
        <f t="shared" si="43"/>
        <v>0</v>
      </c>
      <c r="U125" s="1">
        <v>0</v>
      </c>
      <c r="V125" s="1">
        <v>0</v>
      </c>
      <c r="W125" s="1">
        <v>1</v>
      </c>
      <c r="X125" s="1">
        <v>1</v>
      </c>
      <c r="Y125" s="1">
        <v>0</v>
      </c>
      <c r="Z125" s="1">
        <v>0</v>
      </c>
      <c r="AA125" s="1">
        <v>0</v>
      </c>
      <c r="AB125" s="1" t="s">
        <v>85</v>
      </c>
      <c r="AC125" s="1">
        <f t="shared" si="36"/>
        <v>1</v>
      </c>
      <c r="AD125" s="1">
        <f t="shared" si="30"/>
        <v>1</v>
      </c>
      <c r="AE125" s="1">
        <v>1</v>
      </c>
      <c r="AF125" s="1">
        <v>7.5948840000000004</v>
      </c>
      <c r="AG125" s="1">
        <v>3.6109179999999999</v>
      </c>
      <c r="AH125" s="1">
        <f t="shared" si="22"/>
        <v>1.2699999999999994</v>
      </c>
      <c r="AI125" s="1">
        <f t="shared" si="23"/>
        <v>0.19928367344841941</v>
      </c>
      <c r="AJ125" s="1">
        <f t="shared" si="31"/>
        <v>0.15691627830584212</v>
      </c>
      <c r="AK125" s="1">
        <f t="shared" si="32"/>
        <v>40.61290000000001</v>
      </c>
      <c r="AL125" s="1">
        <f t="shared" si="33"/>
        <v>6.3728251192073371</v>
      </c>
      <c r="AM125" s="1">
        <v>0</v>
      </c>
      <c r="AN125" s="1">
        <v>0</v>
      </c>
      <c r="AO125" s="1">
        <v>1</v>
      </c>
      <c r="AP125" s="1">
        <f t="shared" si="24"/>
        <v>0.16012815380508713</v>
      </c>
      <c r="AQ125" s="1">
        <v>1</v>
      </c>
      <c r="AR125" s="1">
        <v>0</v>
      </c>
      <c r="AS125" s="1">
        <v>0</v>
      </c>
      <c r="AT125" s="1">
        <v>0</v>
      </c>
      <c r="AU125" s="4">
        <v>1</v>
      </c>
      <c r="AV125" s="4">
        <v>0</v>
      </c>
      <c r="AW125" s="1">
        <f t="shared" si="25"/>
        <v>4.7619047619047616E-2</v>
      </c>
      <c r="AX125" s="1">
        <f t="shared" si="26"/>
        <v>2.2675736961451248E-3</v>
      </c>
    </row>
    <row r="126" spans="1:50" x14ac:dyDescent="0.25">
      <c r="A126" s="1" t="s">
        <v>41</v>
      </c>
      <c r="B126" s="1">
        <v>1988</v>
      </c>
      <c r="C126" s="1">
        <f t="shared" si="34"/>
        <v>18</v>
      </c>
      <c r="D126" s="1" t="s">
        <v>24</v>
      </c>
      <c r="E126" s="1" t="s">
        <v>25</v>
      </c>
      <c r="F126" s="2">
        <v>-1.64</v>
      </c>
      <c r="G126" s="3">
        <v>0.44086021505376299</v>
      </c>
      <c r="H126" s="1">
        <v>7</v>
      </c>
      <c r="I126" s="1">
        <v>47</v>
      </c>
      <c r="J126" s="1">
        <f t="shared" si="27"/>
        <v>40</v>
      </c>
      <c r="K126" s="1">
        <v>21</v>
      </c>
      <c r="L126" s="1">
        <v>1979</v>
      </c>
      <c r="M126" s="1">
        <v>1979</v>
      </c>
      <c r="N126" s="1">
        <f t="shared" si="35"/>
        <v>1979</v>
      </c>
      <c r="O126" s="1">
        <f t="shared" si="42"/>
        <v>1</v>
      </c>
      <c r="P126" s="1">
        <f t="shared" si="28"/>
        <v>0</v>
      </c>
      <c r="Q126" s="1">
        <v>36</v>
      </c>
      <c r="R126" s="1">
        <v>0</v>
      </c>
      <c r="S126" s="1" t="s">
        <v>42</v>
      </c>
      <c r="T126" s="1">
        <f t="shared" si="43"/>
        <v>1</v>
      </c>
      <c r="U126" s="1">
        <v>0</v>
      </c>
      <c r="V126" s="1">
        <v>0</v>
      </c>
      <c r="W126" s="1">
        <v>1</v>
      </c>
      <c r="X126" s="1">
        <v>1</v>
      </c>
      <c r="Y126" s="1">
        <v>0</v>
      </c>
      <c r="Z126" s="1">
        <v>0</v>
      </c>
      <c r="AA126" s="1">
        <v>0</v>
      </c>
      <c r="AB126" s="1" t="s">
        <v>85</v>
      </c>
      <c r="AC126" s="1">
        <f t="shared" si="36"/>
        <v>1</v>
      </c>
      <c r="AD126" s="1">
        <f t="shared" si="30"/>
        <v>1</v>
      </c>
      <c r="AE126" s="1">
        <v>1</v>
      </c>
      <c r="AF126" s="1">
        <v>7.5948840000000004</v>
      </c>
      <c r="AG126" s="1">
        <v>3.6109179999999999</v>
      </c>
      <c r="AH126" s="1">
        <f t="shared" si="22"/>
        <v>-3.7200000000000037</v>
      </c>
      <c r="AI126" s="1">
        <f t="shared" si="23"/>
        <v>-0.50698705142062739</v>
      </c>
      <c r="AJ126" s="1">
        <f t="shared" si="31"/>
        <v>0.1362868417797384</v>
      </c>
      <c r="AK126" s="1">
        <f t="shared" si="32"/>
        <v>53.838400000000036</v>
      </c>
      <c r="AL126" s="1">
        <f t="shared" si="33"/>
        <v>7.3374655024742728</v>
      </c>
      <c r="AM126" s="1">
        <v>0</v>
      </c>
      <c r="AN126" s="1">
        <v>0</v>
      </c>
      <c r="AO126" s="1">
        <v>1</v>
      </c>
      <c r="AP126" s="1">
        <f t="shared" si="24"/>
        <v>0.15811388300841897</v>
      </c>
      <c r="AQ126" s="1">
        <v>0</v>
      </c>
      <c r="AR126" s="1">
        <v>0</v>
      </c>
      <c r="AS126" s="1">
        <v>0</v>
      </c>
      <c r="AT126" s="1">
        <v>0</v>
      </c>
      <c r="AU126" s="4">
        <v>0</v>
      </c>
      <c r="AV126" s="4">
        <v>0</v>
      </c>
      <c r="AW126" s="1">
        <f t="shared" si="25"/>
        <v>4.7619047619047616E-2</v>
      </c>
      <c r="AX126" s="1">
        <f t="shared" si="26"/>
        <v>2.2675736961451248E-3</v>
      </c>
    </row>
    <row r="127" spans="1:50" x14ac:dyDescent="0.25">
      <c r="A127" s="1" t="s">
        <v>41</v>
      </c>
      <c r="B127" s="1">
        <v>1988</v>
      </c>
      <c r="C127" s="1">
        <f t="shared" si="34"/>
        <v>18</v>
      </c>
      <c r="D127" s="1" t="s">
        <v>24</v>
      </c>
      <c r="E127" s="1" t="s">
        <v>25</v>
      </c>
      <c r="F127" s="2">
        <v>-1.37</v>
      </c>
      <c r="G127" s="3">
        <v>0.38375350140056003</v>
      </c>
      <c r="H127" s="1">
        <v>9</v>
      </c>
      <c r="I127" s="1">
        <v>47</v>
      </c>
      <c r="J127" s="1">
        <f t="shared" ref="J127:J139" si="44">+I127-H127</f>
        <v>38</v>
      </c>
      <c r="K127" s="1">
        <v>21</v>
      </c>
      <c r="L127" s="1">
        <v>1979</v>
      </c>
      <c r="M127" s="1">
        <v>1979</v>
      </c>
      <c r="N127" s="1">
        <f t="shared" si="35"/>
        <v>1979</v>
      </c>
      <c r="O127" s="1">
        <f t="shared" si="42"/>
        <v>1</v>
      </c>
      <c r="P127" s="1">
        <f t="shared" si="28"/>
        <v>0</v>
      </c>
      <c r="Q127" s="1">
        <v>36</v>
      </c>
      <c r="R127" s="1">
        <v>0</v>
      </c>
      <c r="S127" s="1" t="s">
        <v>42</v>
      </c>
      <c r="T127" s="1">
        <f t="shared" si="43"/>
        <v>1</v>
      </c>
      <c r="U127" s="1">
        <v>0</v>
      </c>
      <c r="V127" s="1">
        <v>0</v>
      </c>
      <c r="W127" s="1">
        <v>1</v>
      </c>
      <c r="X127" s="1">
        <v>1</v>
      </c>
      <c r="Y127" s="1">
        <v>0</v>
      </c>
      <c r="Z127" s="1">
        <v>0</v>
      </c>
      <c r="AA127" s="1">
        <v>0</v>
      </c>
      <c r="AB127" s="1" t="s">
        <v>85</v>
      </c>
      <c r="AC127" s="1">
        <f t="shared" si="36"/>
        <v>1</v>
      </c>
      <c r="AD127" s="1">
        <f t="shared" ref="AD127:AD139" si="45">IF(AB127="USA",1,0)</f>
        <v>1</v>
      </c>
      <c r="AE127" s="1">
        <v>1</v>
      </c>
      <c r="AF127" s="1">
        <v>7.5948840000000004</v>
      </c>
      <c r="AG127" s="1">
        <v>3.6109179999999999</v>
      </c>
      <c r="AH127" s="1">
        <f t="shared" si="22"/>
        <v>-3.5700000000000021</v>
      </c>
      <c r="AI127" s="1">
        <f t="shared" si="23"/>
        <v>-0.50115493994616522</v>
      </c>
      <c r="AJ127" s="1">
        <f t="shared" ref="AJ127:AJ139" si="46">+AI127/AH127</f>
        <v>0.14037953499892575</v>
      </c>
      <c r="AK127" s="1">
        <f t="shared" ref="AK127:AK139" si="47">1/AJ127^2</f>
        <v>50.744900000000015</v>
      </c>
      <c r="AL127" s="1">
        <f t="shared" ref="AL127:AL139" si="48">1/AJ127</f>
        <v>7.1235454655669894</v>
      </c>
      <c r="AM127" s="1">
        <v>0</v>
      </c>
      <c r="AN127" s="1">
        <v>0</v>
      </c>
      <c r="AO127" s="1">
        <v>1</v>
      </c>
      <c r="AP127" s="1">
        <f t="shared" si="24"/>
        <v>0.16222142113076254</v>
      </c>
      <c r="AQ127" s="1">
        <v>0</v>
      </c>
      <c r="AR127" s="1">
        <v>0</v>
      </c>
      <c r="AS127" s="1">
        <v>0</v>
      </c>
      <c r="AT127" s="1">
        <v>0</v>
      </c>
      <c r="AU127" s="4">
        <v>0</v>
      </c>
      <c r="AV127" s="4">
        <v>0</v>
      </c>
      <c r="AW127" s="1">
        <f t="shared" si="25"/>
        <v>4.7619047619047616E-2</v>
      </c>
      <c r="AX127" s="1">
        <f t="shared" si="26"/>
        <v>2.2675736961451248E-3</v>
      </c>
    </row>
    <row r="128" spans="1:50" x14ac:dyDescent="0.25">
      <c r="A128" s="1" t="s">
        <v>41</v>
      </c>
      <c r="B128" s="1">
        <v>1988</v>
      </c>
      <c r="C128" s="1">
        <f t="shared" si="34"/>
        <v>18</v>
      </c>
      <c r="D128" s="1" t="s">
        <v>24</v>
      </c>
      <c r="E128" s="1" t="s">
        <v>25</v>
      </c>
      <c r="F128" s="2">
        <v>0.224</v>
      </c>
      <c r="G128" s="3">
        <v>7.8321678321678301E-2</v>
      </c>
      <c r="H128" s="1">
        <v>7</v>
      </c>
      <c r="I128" s="1">
        <v>47</v>
      </c>
      <c r="J128" s="1">
        <f t="shared" si="44"/>
        <v>40</v>
      </c>
      <c r="K128" s="1">
        <v>21</v>
      </c>
      <c r="L128" s="1">
        <v>1979</v>
      </c>
      <c r="M128" s="1">
        <v>1979</v>
      </c>
      <c r="N128" s="1">
        <f t="shared" ref="N128:N139" si="49">+L128+(M128-L128)/2</f>
        <v>1979</v>
      </c>
      <c r="O128" s="1">
        <f t="shared" si="42"/>
        <v>1</v>
      </c>
      <c r="P128" s="1">
        <f t="shared" si="28"/>
        <v>0</v>
      </c>
      <c r="Q128" s="1">
        <v>36</v>
      </c>
      <c r="R128" s="1">
        <v>0</v>
      </c>
      <c r="S128" s="1" t="s">
        <v>42</v>
      </c>
      <c r="T128" s="1">
        <f t="shared" si="43"/>
        <v>1</v>
      </c>
      <c r="U128" s="1">
        <v>0</v>
      </c>
      <c r="V128" s="1">
        <v>0</v>
      </c>
      <c r="W128" s="1">
        <v>1</v>
      </c>
      <c r="X128" s="1">
        <v>1</v>
      </c>
      <c r="Y128" s="1">
        <v>0</v>
      </c>
      <c r="Z128" s="1">
        <v>0</v>
      </c>
      <c r="AA128" s="1">
        <v>0</v>
      </c>
      <c r="AB128" s="1" t="s">
        <v>85</v>
      </c>
      <c r="AC128" s="1">
        <f t="shared" ref="AC128:AC191" si="50">IF(AB128="USA",1,IF(AB128="UK",2,IF(AB128="Canada",3,IF(AB128="Germany",4,IF(AB128="Netherlands",5,IF(AB128="India",20,IF(AB128="Indonesia",7,IF(AB128="Korea",8,IF(AB128="Philippines",9,IF(AB128="Taiwan",10,IF(AB128="Greece",11,IF(AB128="Iran",12,IF(AB128="Israel",13,IF(AB128="Kuwait",14,IF(AB128="Lebanon",15,IF(AB128="Saudi Arabia",16,IF(AB128="Turkey",17,IF(AB128="Ethiopia",18,IF(AB128="Kenya",19,IF(AB128="Nigeria",20,IF(AB128="Multinational",6,"")))))))))))))))))))))</f>
        <v>1</v>
      </c>
      <c r="AD128" s="1">
        <f t="shared" si="45"/>
        <v>1</v>
      </c>
      <c r="AE128" s="1">
        <v>1</v>
      </c>
      <c r="AF128" s="1">
        <v>7.5948840000000004</v>
      </c>
      <c r="AG128" s="1">
        <v>3.6109179999999999</v>
      </c>
      <c r="AH128" s="1">
        <f t="shared" si="22"/>
        <v>2.8600000000000008</v>
      </c>
      <c r="AI128" s="1">
        <f t="shared" si="23"/>
        <v>0.41203531279242739</v>
      </c>
      <c r="AJ128" s="1">
        <f t="shared" si="46"/>
        <v>0.14406829118616338</v>
      </c>
      <c r="AK128" s="1">
        <f t="shared" si="47"/>
        <v>48.179600000000015</v>
      </c>
      <c r="AL128" s="1">
        <f t="shared" si="48"/>
        <v>6.9411526420328782</v>
      </c>
      <c r="AM128" s="1">
        <v>0</v>
      </c>
      <c r="AN128" s="1">
        <v>0</v>
      </c>
      <c r="AO128" s="1">
        <v>1</v>
      </c>
      <c r="AP128" s="1">
        <f t="shared" si="24"/>
        <v>0.15811388300841897</v>
      </c>
      <c r="AQ128" s="1">
        <v>0</v>
      </c>
      <c r="AR128" s="1">
        <v>0</v>
      </c>
      <c r="AS128" s="1">
        <v>0</v>
      </c>
      <c r="AT128" s="1">
        <v>0</v>
      </c>
      <c r="AU128" s="4">
        <v>1</v>
      </c>
      <c r="AV128" s="4">
        <v>0</v>
      </c>
      <c r="AW128" s="1">
        <f t="shared" si="25"/>
        <v>4.7619047619047616E-2</v>
      </c>
      <c r="AX128" s="1">
        <f t="shared" si="26"/>
        <v>2.2675736961451248E-3</v>
      </c>
    </row>
    <row r="129" spans="1:50" x14ac:dyDescent="0.25">
      <c r="A129" s="1" t="s">
        <v>41</v>
      </c>
      <c r="B129" s="1">
        <v>1988</v>
      </c>
      <c r="C129" s="1">
        <f t="shared" si="34"/>
        <v>18</v>
      </c>
      <c r="D129" s="1" t="s">
        <v>24</v>
      </c>
      <c r="E129" s="1" t="s">
        <v>25</v>
      </c>
      <c r="F129" s="2">
        <v>0.113</v>
      </c>
      <c r="G129" s="3">
        <v>7.2903225806451602E-2</v>
      </c>
      <c r="H129" s="1">
        <v>9</v>
      </c>
      <c r="I129" s="1">
        <v>47</v>
      </c>
      <c r="J129" s="1">
        <f t="shared" si="44"/>
        <v>38</v>
      </c>
      <c r="K129" s="1">
        <v>21</v>
      </c>
      <c r="L129" s="1">
        <v>1979</v>
      </c>
      <c r="M129" s="1">
        <v>1979</v>
      </c>
      <c r="N129" s="1">
        <f t="shared" si="49"/>
        <v>1979</v>
      </c>
      <c r="O129" s="1">
        <f t="shared" si="42"/>
        <v>1</v>
      </c>
      <c r="P129" s="1">
        <f t="shared" ref="P129:P192" si="51">+LN(O128:O129)</f>
        <v>0</v>
      </c>
      <c r="Q129" s="1">
        <v>36</v>
      </c>
      <c r="R129" s="1">
        <v>0</v>
      </c>
      <c r="S129" s="1" t="s">
        <v>42</v>
      </c>
      <c r="T129" s="1">
        <f t="shared" si="43"/>
        <v>1</v>
      </c>
      <c r="U129" s="1">
        <v>0</v>
      </c>
      <c r="V129" s="1">
        <v>0</v>
      </c>
      <c r="W129" s="1">
        <v>1</v>
      </c>
      <c r="X129" s="1">
        <v>1</v>
      </c>
      <c r="Y129" s="1">
        <v>0</v>
      </c>
      <c r="Z129" s="1">
        <v>0</v>
      </c>
      <c r="AA129" s="1">
        <v>0</v>
      </c>
      <c r="AB129" s="1" t="s">
        <v>85</v>
      </c>
      <c r="AC129" s="1">
        <f t="shared" si="50"/>
        <v>1</v>
      </c>
      <c r="AD129" s="1">
        <f t="shared" si="45"/>
        <v>1</v>
      </c>
      <c r="AE129" s="1">
        <v>1</v>
      </c>
      <c r="AF129" s="1">
        <v>7.5948840000000004</v>
      </c>
      <c r="AG129" s="1">
        <v>3.6109179999999999</v>
      </c>
      <c r="AH129" s="1">
        <f t="shared" si="22"/>
        <v>1.5500000000000003</v>
      </c>
      <c r="AI129" s="1">
        <f t="shared" si="23"/>
        <v>0.2438527056860687</v>
      </c>
      <c r="AJ129" s="1">
        <f t="shared" si="46"/>
        <v>0.15732432624907655</v>
      </c>
      <c r="AK129" s="1">
        <f t="shared" si="47"/>
        <v>40.402500000000011</v>
      </c>
      <c r="AL129" s="1">
        <f t="shared" si="48"/>
        <v>6.3562960912783169</v>
      </c>
      <c r="AM129" s="1">
        <v>0</v>
      </c>
      <c r="AN129" s="1">
        <v>0</v>
      </c>
      <c r="AO129" s="1">
        <v>1</v>
      </c>
      <c r="AP129" s="1">
        <f t="shared" si="24"/>
        <v>0.16222142113076254</v>
      </c>
      <c r="AQ129" s="1">
        <v>0</v>
      </c>
      <c r="AR129" s="1">
        <v>0</v>
      </c>
      <c r="AS129" s="1">
        <v>0</v>
      </c>
      <c r="AT129" s="1">
        <v>0</v>
      </c>
      <c r="AU129" s="4">
        <v>1</v>
      </c>
      <c r="AV129" s="4">
        <v>0</v>
      </c>
      <c r="AW129" s="1">
        <f t="shared" si="25"/>
        <v>4.7619047619047616E-2</v>
      </c>
      <c r="AX129" s="1">
        <f t="shared" si="26"/>
        <v>2.2675736961451248E-3</v>
      </c>
    </row>
    <row r="130" spans="1:50" x14ac:dyDescent="0.25">
      <c r="A130" s="1" t="s">
        <v>41</v>
      </c>
      <c r="B130" s="1">
        <v>1988</v>
      </c>
      <c r="C130" s="1">
        <f t="shared" si="34"/>
        <v>18</v>
      </c>
      <c r="D130" s="1" t="s">
        <v>24</v>
      </c>
      <c r="E130" s="1" t="s">
        <v>25</v>
      </c>
      <c r="F130" s="2">
        <v>-1.65</v>
      </c>
      <c r="G130" s="3">
        <v>0.43193717277486898</v>
      </c>
      <c r="H130" s="1">
        <v>7</v>
      </c>
      <c r="I130" s="1">
        <v>47</v>
      </c>
      <c r="J130" s="1">
        <f t="shared" si="44"/>
        <v>40</v>
      </c>
      <c r="K130" s="1">
        <v>21</v>
      </c>
      <c r="L130" s="1">
        <v>1979</v>
      </c>
      <c r="M130" s="1">
        <v>1979</v>
      </c>
      <c r="N130" s="1">
        <f t="shared" si="49"/>
        <v>1979</v>
      </c>
      <c r="O130" s="1">
        <f t="shared" si="42"/>
        <v>1</v>
      </c>
      <c r="P130" s="1">
        <f t="shared" si="51"/>
        <v>0</v>
      </c>
      <c r="Q130" s="1">
        <v>36</v>
      </c>
      <c r="R130" s="1">
        <v>0</v>
      </c>
      <c r="S130" s="1" t="s">
        <v>36</v>
      </c>
      <c r="T130" s="1">
        <f t="shared" si="43"/>
        <v>1</v>
      </c>
      <c r="U130" s="1">
        <v>0</v>
      </c>
      <c r="V130" s="1">
        <v>0</v>
      </c>
      <c r="W130" s="1">
        <v>1</v>
      </c>
      <c r="X130" s="1">
        <v>1</v>
      </c>
      <c r="Y130" s="1">
        <v>0</v>
      </c>
      <c r="Z130" s="1">
        <v>0</v>
      </c>
      <c r="AA130" s="1">
        <v>0</v>
      </c>
      <c r="AB130" s="1" t="s">
        <v>85</v>
      </c>
      <c r="AC130" s="1">
        <f t="shared" si="50"/>
        <v>1</v>
      </c>
      <c r="AD130" s="1">
        <f t="shared" si="45"/>
        <v>1</v>
      </c>
      <c r="AE130" s="1">
        <v>1</v>
      </c>
      <c r="AF130" s="1">
        <v>7.5948840000000004</v>
      </c>
      <c r="AG130" s="1">
        <v>3.6109179999999999</v>
      </c>
      <c r="AH130" s="1">
        <f t="shared" ref="AH130:AH193" si="52">+F130/G130</f>
        <v>-3.8200000000000007</v>
      </c>
      <c r="AI130" s="1">
        <f t="shared" ref="AI130:AI193" si="53">AH130/SQRT(AH130^2+J130)</f>
        <v>-0.51700800716700579</v>
      </c>
      <c r="AJ130" s="1">
        <f t="shared" si="46"/>
        <v>0.13534241025314286</v>
      </c>
      <c r="AK130" s="1">
        <f t="shared" si="47"/>
        <v>54.592400000000005</v>
      </c>
      <c r="AL130" s="1">
        <f t="shared" si="48"/>
        <v>7.3886669975036776</v>
      </c>
      <c r="AM130" s="1">
        <v>0</v>
      </c>
      <c r="AN130" s="1">
        <v>0</v>
      </c>
      <c r="AO130" s="1">
        <v>1</v>
      </c>
      <c r="AP130" s="1">
        <f t="shared" ref="AP130:AP193" si="54">1/SQRT(J130)</f>
        <v>0.15811388300841897</v>
      </c>
      <c r="AQ130" s="1">
        <v>0</v>
      </c>
      <c r="AR130" s="1">
        <v>0</v>
      </c>
      <c r="AS130" s="1">
        <v>0</v>
      </c>
      <c r="AT130" s="1">
        <v>0</v>
      </c>
      <c r="AU130" s="4">
        <v>0</v>
      </c>
      <c r="AV130" s="4">
        <v>0</v>
      </c>
      <c r="AW130" s="1">
        <f t="shared" ref="AW130:AW193" si="55">1/K130</f>
        <v>4.7619047619047616E-2</v>
      </c>
      <c r="AX130" s="1">
        <f t="shared" ref="AX130:AX193" si="56">1/(K130*K130)</f>
        <v>2.2675736961451248E-3</v>
      </c>
    </row>
    <row r="131" spans="1:50" x14ac:dyDescent="0.25">
      <c r="A131" s="1" t="s">
        <v>41</v>
      </c>
      <c r="B131" s="1">
        <v>1988</v>
      </c>
      <c r="C131" s="1">
        <f t="shared" si="34"/>
        <v>18</v>
      </c>
      <c r="D131" s="1" t="s">
        <v>24</v>
      </c>
      <c r="E131" s="1" t="s">
        <v>25</v>
      </c>
      <c r="F131" s="2">
        <v>-1.3</v>
      </c>
      <c r="G131" s="3">
        <v>0.34946236559139798</v>
      </c>
      <c r="H131" s="1">
        <v>9</v>
      </c>
      <c r="I131" s="1">
        <v>47</v>
      </c>
      <c r="J131" s="1">
        <f t="shared" si="44"/>
        <v>38</v>
      </c>
      <c r="K131" s="1">
        <v>21</v>
      </c>
      <c r="L131" s="1">
        <v>1979</v>
      </c>
      <c r="M131" s="1">
        <v>1979</v>
      </c>
      <c r="N131" s="1">
        <f t="shared" si="49"/>
        <v>1979</v>
      </c>
      <c r="O131" s="1">
        <f t="shared" si="42"/>
        <v>1</v>
      </c>
      <c r="P131" s="1">
        <f t="shared" si="51"/>
        <v>0</v>
      </c>
      <c r="Q131" s="1">
        <v>36</v>
      </c>
      <c r="R131" s="1">
        <v>0</v>
      </c>
      <c r="S131" s="1" t="s">
        <v>36</v>
      </c>
      <c r="T131" s="1">
        <f t="shared" si="43"/>
        <v>1</v>
      </c>
      <c r="U131" s="1">
        <v>0</v>
      </c>
      <c r="V131" s="1">
        <v>0</v>
      </c>
      <c r="W131" s="1">
        <v>1</v>
      </c>
      <c r="X131" s="1">
        <v>1</v>
      </c>
      <c r="Y131" s="1">
        <v>0</v>
      </c>
      <c r="Z131" s="1">
        <v>0</v>
      </c>
      <c r="AA131" s="1">
        <v>0</v>
      </c>
      <c r="AB131" s="1" t="s">
        <v>85</v>
      </c>
      <c r="AC131" s="1">
        <f t="shared" si="50"/>
        <v>1</v>
      </c>
      <c r="AD131" s="1">
        <f t="shared" si="45"/>
        <v>1</v>
      </c>
      <c r="AE131" s="1">
        <v>1</v>
      </c>
      <c r="AF131" s="1">
        <v>7.5948840000000004</v>
      </c>
      <c r="AG131" s="1">
        <v>3.6109179999999999</v>
      </c>
      <c r="AH131" s="1">
        <f t="shared" si="52"/>
        <v>-3.7199999999999989</v>
      </c>
      <c r="AI131" s="1">
        <f t="shared" si="53"/>
        <v>-0.51667464010226616</v>
      </c>
      <c r="AJ131" s="1">
        <f t="shared" si="46"/>
        <v>0.13889103228555547</v>
      </c>
      <c r="AK131" s="1">
        <f t="shared" si="47"/>
        <v>51.838399999999972</v>
      </c>
      <c r="AL131" s="1">
        <f t="shared" si="48"/>
        <v>7.199888888031535</v>
      </c>
      <c r="AM131" s="1">
        <v>0</v>
      </c>
      <c r="AN131" s="1">
        <v>0</v>
      </c>
      <c r="AO131" s="1">
        <v>1</v>
      </c>
      <c r="AP131" s="1">
        <f t="shared" si="54"/>
        <v>0.16222142113076254</v>
      </c>
      <c r="AQ131" s="1">
        <v>0</v>
      </c>
      <c r="AR131" s="1">
        <v>0</v>
      </c>
      <c r="AS131" s="1">
        <v>0</v>
      </c>
      <c r="AT131" s="1">
        <v>0</v>
      </c>
      <c r="AU131" s="4">
        <v>0</v>
      </c>
      <c r="AV131" s="4">
        <v>0</v>
      </c>
      <c r="AW131" s="1">
        <f t="shared" si="55"/>
        <v>4.7619047619047616E-2</v>
      </c>
      <c r="AX131" s="1">
        <f t="shared" si="56"/>
        <v>2.2675736961451248E-3</v>
      </c>
    </row>
    <row r="132" spans="1:50" x14ac:dyDescent="0.25">
      <c r="A132" s="1" t="s">
        <v>41</v>
      </c>
      <c r="B132" s="1">
        <v>1988</v>
      </c>
      <c r="C132" s="1">
        <f t="shared" ref="C132:C195" si="57">+IF(A132=A131,C131,C131+1)</f>
        <v>18</v>
      </c>
      <c r="D132" s="1" t="s">
        <v>24</v>
      </c>
      <c r="E132" s="1" t="s">
        <v>25</v>
      </c>
      <c r="F132" s="2">
        <v>0.23699999999999999</v>
      </c>
      <c r="G132" s="3">
        <v>7.6205787781350495E-2</v>
      </c>
      <c r="H132" s="1">
        <v>7</v>
      </c>
      <c r="I132" s="1">
        <v>47</v>
      </c>
      <c r="J132" s="1">
        <f t="shared" si="44"/>
        <v>40</v>
      </c>
      <c r="K132" s="1">
        <v>21</v>
      </c>
      <c r="L132" s="1">
        <v>1979</v>
      </c>
      <c r="M132" s="1">
        <v>1979</v>
      </c>
      <c r="N132" s="1">
        <f t="shared" si="49"/>
        <v>1979</v>
      </c>
      <c r="O132" s="1">
        <f t="shared" si="42"/>
        <v>1</v>
      </c>
      <c r="P132" s="1">
        <f t="shared" si="51"/>
        <v>0</v>
      </c>
      <c r="Q132" s="1">
        <v>36</v>
      </c>
      <c r="R132" s="1">
        <v>0</v>
      </c>
      <c r="S132" s="1" t="s">
        <v>36</v>
      </c>
      <c r="T132" s="1">
        <f t="shared" si="43"/>
        <v>1</v>
      </c>
      <c r="U132" s="1">
        <v>0</v>
      </c>
      <c r="V132" s="1">
        <v>0</v>
      </c>
      <c r="W132" s="1">
        <v>1</v>
      </c>
      <c r="X132" s="1">
        <v>1</v>
      </c>
      <c r="Y132" s="1">
        <v>0</v>
      </c>
      <c r="Z132" s="1">
        <v>0</v>
      </c>
      <c r="AA132" s="1">
        <v>0</v>
      </c>
      <c r="AB132" s="1" t="s">
        <v>85</v>
      </c>
      <c r="AC132" s="1">
        <f t="shared" si="50"/>
        <v>1</v>
      </c>
      <c r="AD132" s="1">
        <f t="shared" si="45"/>
        <v>1</v>
      </c>
      <c r="AE132" s="1">
        <v>1</v>
      </c>
      <c r="AF132" s="1">
        <v>7.5948840000000004</v>
      </c>
      <c r="AG132" s="1">
        <v>3.6109179999999999</v>
      </c>
      <c r="AH132" s="1">
        <f t="shared" si="52"/>
        <v>3.1099999999999994</v>
      </c>
      <c r="AI132" s="1">
        <f t="shared" si="53"/>
        <v>0.44126972135587411</v>
      </c>
      <c r="AJ132" s="1">
        <f t="shared" si="46"/>
        <v>0.14188737021089201</v>
      </c>
      <c r="AK132" s="1">
        <f t="shared" si="47"/>
        <v>49.672100000000015</v>
      </c>
      <c r="AL132" s="1">
        <f t="shared" si="48"/>
        <v>7.0478436418524506</v>
      </c>
      <c r="AM132" s="1">
        <v>0</v>
      </c>
      <c r="AN132" s="1">
        <v>0</v>
      </c>
      <c r="AO132" s="1">
        <v>1</v>
      </c>
      <c r="AP132" s="1">
        <f t="shared" si="54"/>
        <v>0.15811388300841897</v>
      </c>
      <c r="AQ132" s="1">
        <v>0</v>
      </c>
      <c r="AR132" s="1">
        <v>0</v>
      </c>
      <c r="AS132" s="1">
        <v>0</v>
      </c>
      <c r="AT132" s="1">
        <v>0</v>
      </c>
      <c r="AU132" s="4">
        <v>1</v>
      </c>
      <c r="AV132" s="4">
        <v>0</v>
      </c>
      <c r="AW132" s="1">
        <f t="shared" si="55"/>
        <v>4.7619047619047616E-2</v>
      </c>
      <c r="AX132" s="1">
        <f t="shared" si="56"/>
        <v>2.2675736961451248E-3</v>
      </c>
    </row>
    <row r="133" spans="1:50" x14ac:dyDescent="0.25">
      <c r="A133" s="1" t="s">
        <v>41</v>
      </c>
      <c r="B133" s="1">
        <v>1988</v>
      </c>
      <c r="C133" s="1">
        <f t="shared" si="57"/>
        <v>18</v>
      </c>
      <c r="D133" s="1" t="s">
        <v>24</v>
      </c>
      <c r="E133" s="1" t="s">
        <v>25</v>
      </c>
      <c r="F133" s="2">
        <v>0.13900000000000001</v>
      </c>
      <c r="G133" s="3">
        <v>6.7475728155339795E-2</v>
      </c>
      <c r="H133" s="1">
        <v>9</v>
      </c>
      <c r="I133" s="1">
        <v>47</v>
      </c>
      <c r="J133" s="1">
        <f t="shared" si="44"/>
        <v>38</v>
      </c>
      <c r="K133" s="1">
        <v>21</v>
      </c>
      <c r="L133" s="1">
        <v>1979</v>
      </c>
      <c r="M133" s="1">
        <v>1979</v>
      </c>
      <c r="N133" s="1">
        <f t="shared" si="49"/>
        <v>1979</v>
      </c>
      <c r="O133" s="1">
        <f t="shared" si="42"/>
        <v>1</v>
      </c>
      <c r="P133" s="1">
        <f t="shared" si="51"/>
        <v>0</v>
      </c>
      <c r="Q133" s="1">
        <v>36</v>
      </c>
      <c r="R133" s="1">
        <v>0</v>
      </c>
      <c r="S133" s="1" t="s">
        <v>36</v>
      </c>
      <c r="T133" s="1">
        <f t="shared" si="43"/>
        <v>1</v>
      </c>
      <c r="U133" s="1">
        <v>0</v>
      </c>
      <c r="V133" s="1">
        <v>0</v>
      </c>
      <c r="W133" s="1">
        <v>1</v>
      </c>
      <c r="X133" s="1">
        <v>1</v>
      </c>
      <c r="Y133" s="1">
        <v>0</v>
      </c>
      <c r="Z133" s="1">
        <v>0</v>
      </c>
      <c r="AA133" s="1">
        <v>0</v>
      </c>
      <c r="AB133" s="1" t="s">
        <v>85</v>
      </c>
      <c r="AC133" s="1">
        <f t="shared" si="50"/>
        <v>1</v>
      </c>
      <c r="AD133" s="1">
        <f t="shared" si="45"/>
        <v>1</v>
      </c>
      <c r="AE133" s="1">
        <v>1</v>
      </c>
      <c r="AF133" s="1">
        <v>7.5948840000000004</v>
      </c>
      <c r="AG133" s="1">
        <v>3.6109179999999999</v>
      </c>
      <c r="AH133" s="1">
        <f t="shared" si="52"/>
        <v>2.0600000000000005</v>
      </c>
      <c r="AI133" s="1">
        <f t="shared" si="53"/>
        <v>0.31694708329179128</v>
      </c>
      <c r="AJ133" s="1">
        <f t="shared" si="46"/>
        <v>0.1538578074231996</v>
      </c>
      <c r="AK133" s="1">
        <f t="shared" si="47"/>
        <v>42.243600000000008</v>
      </c>
      <c r="AL133" s="1">
        <f t="shared" si="48"/>
        <v>6.4995076736626762</v>
      </c>
      <c r="AM133" s="1">
        <v>0</v>
      </c>
      <c r="AN133" s="1">
        <v>0</v>
      </c>
      <c r="AO133" s="1">
        <v>1</v>
      </c>
      <c r="AP133" s="1">
        <f t="shared" si="54"/>
        <v>0.16222142113076254</v>
      </c>
      <c r="AQ133" s="1">
        <v>0</v>
      </c>
      <c r="AR133" s="1">
        <v>0</v>
      </c>
      <c r="AS133" s="1">
        <v>0</v>
      </c>
      <c r="AT133" s="1">
        <v>0</v>
      </c>
      <c r="AU133" s="4">
        <v>1</v>
      </c>
      <c r="AV133" s="4">
        <v>0</v>
      </c>
      <c r="AW133" s="1">
        <f t="shared" si="55"/>
        <v>4.7619047619047616E-2</v>
      </c>
      <c r="AX133" s="1">
        <f t="shared" si="56"/>
        <v>2.2675736961451248E-3</v>
      </c>
    </row>
    <row r="134" spans="1:50" x14ac:dyDescent="0.25">
      <c r="A134" s="1" t="s">
        <v>41</v>
      </c>
      <c r="B134" s="1">
        <v>1988</v>
      </c>
      <c r="C134" s="1">
        <f t="shared" si="57"/>
        <v>18</v>
      </c>
      <c r="D134" s="1" t="s">
        <v>24</v>
      </c>
      <c r="E134" s="1" t="s">
        <v>25</v>
      </c>
      <c r="F134" s="2">
        <v>2.4E-2</v>
      </c>
      <c r="G134" s="3">
        <v>4.4444444444444398E-2</v>
      </c>
      <c r="H134" s="1">
        <v>16</v>
      </c>
      <c r="I134" s="1">
        <v>48</v>
      </c>
      <c r="J134" s="1">
        <f t="shared" si="44"/>
        <v>32</v>
      </c>
      <c r="K134" s="1">
        <v>21</v>
      </c>
      <c r="L134" s="1">
        <v>1979</v>
      </c>
      <c r="M134" s="1">
        <v>1979</v>
      </c>
      <c r="N134" s="1">
        <f t="shared" si="49"/>
        <v>1979</v>
      </c>
      <c r="O134" s="1">
        <f t="shared" si="42"/>
        <v>1</v>
      </c>
      <c r="P134" s="1">
        <f t="shared" si="51"/>
        <v>0</v>
      </c>
      <c r="Q134" s="1">
        <v>36</v>
      </c>
      <c r="R134" s="1">
        <v>0</v>
      </c>
      <c r="S134" s="1" t="s">
        <v>26</v>
      </c>
      <c r="T134" s="1">
        <f t="shared" si="43"/>
        <v>0</v>
      </c>
      <c r="U134" s="1">
        <v>0</v>
      </c>
      <c r="V134" s="1">
        <v>0</v>
      </c>
      <c r="W134" s="1">
        <v>1</v>
      </c>
      <c r="X134" s="1">
        <v>1</v>
      </c>
      <c r="Y134" s="1">
        <v>0</v>
      </c>
      <c r="Z134" s="1">
        <v>0</v>
      </c>
      <c r="AA134" s="1">
        <v>0</v>
      </c>
      <c r="AB134" s="1" t="s">
        <v>85</v>
      </c>
      <c r="AC134" s="1">
        <f t="shared" si="50"/>
        <v>1</v>
      </c>
      <c r="AD134" s="1">
        <f t="shared" si="45"/>
        <v>1</v>
      </c>
      <c r="AE134" s="1">
        <v>1</v>
      </c>
      <c r="AF134" s="1">
        <v>7.5948840000000004</v>
      </c>
      <c r="AG134" s="1">
        <v>3.6109179999999999</v>
      </c>
      <c r="AH134" s="1">
        <f t="shared" si="52"/>
        <v>0.54000000000000059</v>
      </c>
      <c r="AI134" s="1">
        <f t="shared" si="53"/>
        <v>9.5027428626717203E-2</v>
      </c>
      <c r="AJ134" s="1">
        <f t="shared" si="46"/>
        <v>0.17597671967910575</v>
      </c>
      <c r="AK134" s="1">
        <f t="shared" si="47"/>
        <v>32.291600000000003</v>
      </c>
      <c r="AL134" s="1">
        <f t="shared" si="48"/>
        <v>5.682569841189812</v>
      </c>
      <c r="AM134" s="1">
        <v>0</v>
      </c>
      <c r="AN134" s="1">
        <v>0</v>
      </c>
      <c r="AO134" s="1">
        <v>1</v>
      </c>
      <c r="AP134" s="1">
        <f t="shared" si="54"/>
        <v>0.17677669529663687</v>
      </c>
      <c r="AQ134" s="1">
        <v>1</v>
      </c>
      <c r="AR134" s="1">
        <v>0</v>
      </c>
      <c r="AS134" s="1">
        <v>0</v>
      </c>
      <c r="AT134" s="1">
        <v>0</v>
      </c>
      <c r="AU134" s="4">
        <v>0</v>
      </c>
      <c r="AV134" s="4">
        <v>0</v>
      </c>
      <c r="AW134" s="1">
        <f t="shared" si="55"/>
        <v>4.7619047619047616E-2</v>
      </c>
      <c r="AX134" s="1">
        <f t="shared" si="56"/>
        <v>2.2675736961451248E-3</v>
      </c>
    </row>
    <row r="135" spans="1:50" x14ac:dyDescent="0.25">
      <c r="A135" s="1" t="s">
        <v>41</v>
      </c>
      <c r="B135" s="1">
        <v>1988</v>
      </c>
      <c r="C135" s="1">
        <f t="shared" si="57"/>
        <v>18</v>
      </c>
      <c r="D135" s="1" t="s">
        <v>24</v>
      </c>
      <c r="E135" s="1" t="s">
        <v>25</v>
      </c>
      <c r="F135" s="2">
        <v>-3.6999999999999998E-2</v>
      </c>
      <c r="G135" s="3">
        <v>4.9333333333333299E-2</v>
      </c>
      <c r="H135" s="1">
        <v>16</v>
      </c>
      <c r="I135" s="1">
        <v>48</v>
      </c>
      <c r="J135" s="1">
        <f t="shared" si="44"/>
        <v>32</v>
      </c>
      <c r="K135" s="1">
        <v>21</v>
      </c>
      <c r="L135" s="1">
        <v>1980</v>
      </c>
      <c r="M135" s="1">
        <v>1980</v>
      </c>
      <c r="N135" s="1">
        <f t="shared" si="49"/>
        <v>1980</v>
      </c>
      <c r="O135" s="1">
        <f t="shared" si="42"/>
        <v>1</v>
      </c>
      <c r="P135" s="1">
        <f t="shared" si="51"/>
        <v>0</v>
      </c>
      <c r="Q135" s="1">
        <v>36</v>
      </c>
      <c r="R135" s="1">
        <v>0</v>
      </c>
      <c r="S135" s="1" t="s">
        <v>26</v>
      </c>
      <c r="T135" s="1">
        <f t="shared" si="43"/>
        <v>0</v>
      </c>
      <c r="U135" s="1">
        <v>0</v>
      </c>
      <c r="V135" s="1">
        <v>0</v>
      </c>
      <c r="W135" s="1">
        <v>1</v>
      </c>
      <c r="X135" s="1">
        <v>1</v>
      </c>
      <c r="Y135" s="1">
        <v>0</v>
      </c>
      <c r="Z135" s="1">
        <v>0</v>
      </c>
      <c r="AA135" s="1">
        <v>0</v>
      </c>
      <c r="AB135" s="1" t="s">
        <v>85</v>
      </c>
      <c r="AC135" s="1">
        <f t="shared" si="50"/>
        <v>1</v>
      </c>
      <c r="AD135" s="1">
        <f t="shared" si="45"/>
        <v>1</v>
      </c>
      <c r="AE135" s="1">
        <v>1</v>
      </c>
      <c r="AF135" s="1">
        <v>7.5948840000000004</v>
      </c>
      <c r="AG135" s="1">
        <v>3.6109179999999999</v>
      </c>
      <c r="AH135" s="1">
        <f t="shared" si="52"/>
        <v>-0.75000000000000044</v>
      </c>
      <c r="AI135" s="1">
        <f t="shared" si="53"/>
        <v>-0.13143238630149714</v>
      </c>
      <c r="AJ135" s="1">
        <f t="shared" si="46"/>
        <v>0.17524318173532943</v>
      </c>
      <c r="AK135" s="1">
        <f t="shared" si="47"/>
        <v>32.562499999999993</v>
      </c>
      <c r="AL135" s="1">
        <f t="shared" si="48"/>
        <v>5.7063561052566625</v>
      </c>
      <c r="AM135" s="1">
        <v>0</v>
      </c>
      <c r="AN135" s="1">
        <v>0</v>
      </c>
      <c r="AO135" s="1">
        <v>1</v>
      </c>
      <c r="AP135" s="1">
        <f t="shared" si="54"/>
        <v>0.17677669529663687</v>
      </c>
      <c r="AQ135" s="1">
        <v>1</v>
      </c>
      <c r="AR135" s="1">
        <v>0</v>
      </c>
      <c r="AS135" s="1">
        <v>0</v>
      </c>
      <c r="AT135" s="1">
        <v>0</v>
      </c>
      <c r="AU135" s="4">
        <v>0</v>
      </c>
      <c r="AV135" s="4">
        <v>1</v>
      </c>
      <c r="AW135" s="1">
        <f t="shared" si="55"/>
        <v>4.7619047619047616E-2</v>
      </c>
      <c r="AX135" s="1">
        <f t="shared" si="56"/>
        <v>2.2675736961451248E-3</v>
      </c>
    </row>
    <row r="136" spans="1:50" x14ac:dyDescent="0.25">
      <c r="A136" s="1" t="s">
        <v>41</v>
      </c>
      <c r="B136" s="1">
        <v>1988</v>
      </c>
      <c r="C136" s="1">
        <f t="shared" si="57"/>
        <v>18</v>
      </c>
      <c r="D136" s="1" t="s">
        <v>24</v>
      </c>
      <c r="E136" s="1" t="s">
        <v>25</v>
      </c>
      <c r="F136" s="2">
        <v>1.7000000000000001E-2</v>
      </c>
      <c r="G136" s="3">
        <v>1.04938271604938E-2</v>
      </c>
      <c r="H136" s="1">
        <v>16</v>
      </c>
      <c r="I136" s="1">
        <v>48</v>
      </c>
      <c r="J136" s="1">
        <f t="shared" si="44"/>
        <v>32</v>
      </c>
      <c r="K136" s="1">
        <v>21</v>
      </c>
      <c r="L136" s="1">
        <v>1980</v>
      </c>
      <c r="M136" s="1">
        <v>1980</v>
      </c>
      <c r="N136" s="1">
        <f t="shared" si="49"/>
        <v>1980</v>
      </c>
      <c r="O136" s="1">
        <f t="shared" si="42"/>
        <v>1</v>
      </c>
      <c r="P136" s="1">
        <f t="shared" si="51"/>
        <v>0</v>
      </c>
      <c r="Q136" s="1">
        <v>36</v>
      </c>
      <c r="R136" s="1">
        <v>0</v>
      </c>
      <c r="S136" s="1" t="s">
        <v>26</v>
      </c>
      <c r="T136" s="1">
        <f t="shared" si="43"/>
        <v>0</v>
      </c>
      <c r="U136" s="1">
        <v>0</v>
      </c>
      <c r="V136" s="1">
        <v>0</v>
      </c>
      <c r="W136" s="1">
        <v>1</v>
      </c>
      <c r="X136" s="1">
        <v>1</v>
      </c>
      <c r="Y136" s="1">
        <v>0</v>
      </c>
      <c r="Z136" s="1">
        <v>0</v>
      </c>
      <c r="AA136" s="1">
        <v>0</v>
      </c>
      <c r="AB136" s="1" t="s">
        <v>85</v>
      </c>
      <c r="AC136" s="1">
        <f t="shared" si="50"/>
        <v>1</v>
      </c>
      <c r="AD136" s="1">
        <f t="shared" si="45"/>
        <v>1</v>
      </c>
      <c r="AE136" s="1">
        <v>1</v>
      </c>
      <c r="AF136" s="1">
        <v>7.5948840000000004</v>
      </c>
      <c r="AG136" s="1">
        <v>3.6109179999999999</v>
      </c>
      <c r="AH136" s="1">
        <f t="shared" si="52"/>
        <v>1.6200000000000043</v>
      </c>
      <c r="AI136" s="1">
        <f t="shared" si="53"/>
        <v>0.27531120443120333</v>
      </c>
      <c r="AJ136" s="1">
        <f t="shared" si="46"/>
        <v>0.16994518792049543</v>
      </c>
      <c r="AK136" s="1">
        <f t="shared" si="47"/>
        <v>34.624400000000016</v>
      </c>
      <c r="AL136" s="1">
        <f t="shared" si="48"/>
        <v>5.8842501646344045</v>
      </c>
      <c r="AM136" s="1">
        <v>0</v>
      </c>
      <c r="AN136" s="1">
        <v>0</v>
      </c>
      <c r="AO136" s="1">
        <v>1</v>
      </c>
      <c r="AP136" s="1">
        <f t="shared" si="54"/>
        <v>0.17677669529663687</v>
      </c>
      <c r="AQ136" s="1">
        <v>1</v>
      </c>
      <c r="AR136" s="1">
        <v>0</v>
      </c>
      <c r="AS136" s="1">
        <v>0</v>
      </c>
      <c r="AT136" s="1">
        <v>0</v>
      </c>
      <c r="AU136" s="4">
        <v>1</v>
      </c>
      <c r="AV136" s="4">
        <v>0</v>
      </c>
      <c r="AW136" s="1">
        <f t="shared" si="55"/>
        <v>4.7619047619047616E-2</v>
      </c>
      <c r="AX136" s="1">
        <f t="shared" si="56"/>
        <v>2.2675736961451248E-3</v>
      </c>
    </row>
    <row r="137" spans="1:50" x14ac:dyDescent="0.25">
      <c r="A137" s="1" t="s">
        <v>41</v>
      </c>
      <c r="B137" s="1">
        <v>1988</v>
      </c>
      <c r="C137" s="1">
        <f t="shared" si="57"/>
        <v>18</v>
      </c>
      <c r="D137" s="1" t="s">
        <v>24</v>
      </c>
      <c r="E137" s="1" t="s">
        <v>25</v>
      </c>
      <c r="F137" s="2">
        <v>1.4999999999999999E-2</v>
      </c>
      <c r="G137" s="3">
        <v>7.6923076923076997E-3</v>
      </c>
      <c r="H137" s="1">
        <v>9</v>
      </c>
      <c r="I137" s="1">
        <v>48</v>
      </c>
      <c r="J137" s="1">
        <f t="shared" si="44"/>
        <v>39</v>
      </c>
      <c r="K137" s="1">
        <v>21</v>
      </c>
      <c r="L137" s="1">
        <v>1980</v>
      </c>
      <c r="M137" s="1">
        <v>1980</v>
      </c>
      <c r="N137" s="1">
        <f t="shared" si="49"/>
        <v>1980</v>
      </c>
      <c r="O137" s="1">
        <f t="shared" si="42"/>
        <v>1</v>
      </c>
      <c r="P137" s="1">
        <f t="shared" si="51"/>
        <v>0</v>
      </c>
      <c r="Q137" s="1">
        <v>36</v>
      </c>
      <c r="R137" s="1">
        <v>0</v>
      </c>
      <c r="S137" s="1" t="s">
        <v>26</v>
      </c>
      <c r="T137" s="1">
        <f t="shared" si="43"/>
        <v>0</v>
      </c>
      <c r="U137" s="1">
        <v>0</v>
      </c>
      <c r="V137" s="1">
        <v>0</v>
      </c>
      <c r="W137" s="1">
        <v>1</v>
      </c>
      <c r="X137" s="1">
        <v>1</v>
      </c>
      <c r="Y137" s="1">
        <v>0</v>
      </c>
      <c r="Z137" s="1">
        <v>0</v>
      </c>
      <c r="AA137" s="1">
        <v>0</v>
      </c>
      <c r="AB137" s="1" t="s">
        <v>85</v>
      </c>
      <c r="AC137" s="1">
        <f t="shared" si="50"/>
        <v>1</v>
      </c>
      <c r="AD137" s="1">
        <f t="shared" si="45"/>
        <v>1</v>
      </c>
      <c r="AE137" s="1">
        <v>1</v>
      </c>
      <c r="AF137" s="1">
        <v>7.5948840000000004</v>
      </c>
      <c r="AG137" s="1">
        <v>3.6109179999999999</v>
      </c>
      <c r="AH137" s="1">
        <f t="shared" si="52"/>
        <v>1.949999999999998</v>
      </c>
      <c r="AI137" s="1">
        <f t="shared" si="53"/>
        <v>0.29805749242840807</v>
      </c>
      <c r="AJ137" s="1">
        <f t="shared" si="46"/>
        <v>0.15284999611713251</v>
      </c>
      <c r="AK137" s="1">
        <f t="shared" si="47"/>
        <v>42.802499999999988</v>
      </c>
      <c r="AL137" s="1">
        <f t="shared" si="48"/>
        <v>6.5423619588035624</v>
      </c>
      <c r="AM137" s="1">
        <v>0</v>
      </c>
      <c r="AN137" s="1">
        <v>0</v>
      </c>
      <c r="AO137" s="1">
        <v>1</v>
      </c>
      <c r="AP137" s="1">
        <f t="shared" si="54"/>
        <v>0.16012815380508713</v>
      </c>
      <c r="AQ137" s="1">
        <v>1</v>
      </c>
      <c r="AR137" s="1">
        <v>0</v>
      </c>
      <c r="AS137" s="1">
        <v>0</v>
      </c>
      <c r="AT137" s="1">
        <v>0</v>
      </c>
      <c r="AU137" s="4">
        <v>1</v>
      </c>
      <c r="AV137" s="4">
        <v>0</v>
      </c>
      <c r="AW137" s="1">
        <f t="shared" si="55"/>
        <v>4.7619047619047616E-2</v>
      </c>
      <c r="AX137" s="1">
        <f t="shared" si="56"/>
        <v>2.2675736961451248E-3</v>
      </c>
    </row>
    <row r="138" spans="1:50" x14ac:dyDescent="0.25">
      <c r="A138" s="1" t="s">
        <v>41</v>
      </c>
      <c r="B138" s="1">
        <v>1988</v>
      </c>
      <c r="C138" s="1">
        <f t="shared" si="57"/>
        <v>18</v>
      </c>
      <c r="D138" s="1" t="s">
        <v>24</v>
      </c>
      <c r="E138" s="1" t="s">
        <v>25</v>
      </c>
      <c r="F138" s="2">
        <v>6.6E-3</v>
      </c>
      <c r="G138" s="3">
        <v>6.9473684210525997E-3</v>
      </c>
      <c r="H138" s="1">
        <v>10</v>
      </c>
      <c r="I138" s="1">
        <v>48</v>
      </c>
      <c r="J138" s="1">
        <f t="shared" si="44"/>
        <v>38</v>
      </c>
      <c r="K138" s="1">
        <v>21</v>
      </c>
      <c r="L138" s="1">
        <v>1980</v>
      </c>
      <c r="M138" s="1">
        <v>1980</v>
      </c>
      <c r="N138" s="1">
        <f t="shared" si="49"/>
        <v>1980</v>
      </c>
      <c r="O138" s="1">
        <f t="shared" si="42"/>
        <v>1</v>
      </c>
      <c r="P138" s="1">
        <f t="shared" si="51"/>
        <v>0</v>
      </c>
      <c r="Q138" s="1">
        <v>36</v>
      </c>
      <c r="R138" s="1">
        <v>0</v>
      </c>
      <c r="S138" s="1" t="s">
        <v>26</v>
      </c>
      <c r="T138" s="1">
        <f t="shared" si="43"/>
        <v>0</v>
      </c>
      <c r="U138" s="1">
        <v>0</v>
      </c>
      <c r="V138" s="1">
        <v>0</v>
      </c>
      <c r="W138" s="1">
        <v>1</v>
      </c>
      <c r="X138" s="1">
        <v>1</v>
      </c>
      <c r="Y138" s="1">
        <v>0</v>
      </c>
      <c r="Z138" s="1">
        <v>0</v>
      </c>
      <c r="AA138" s="1">
        <v>0</v>
      </c>
      <c r="AB138" s="1" t="s">
        <v>85</v>
      </c>
      <c r="AC138" s="1">
        <f t="shared" si="50"/>
        <v>1</v>
      </c>
      <c r="AD138" s="1">
        <f t="shared" si="45"/>
        <v>1</v>
      </c>
      <c r="AE138" s="1">
        <v>1</v>
      </c>
      <c r="AF138" s="1">
        <v>7.5948840000000004</v>
      </c>
      <c r="AG138" s="1">
        <v>3.6109179999999999</v>
      </c>
      <c r="AH138" s="1">
        <f t="shared" si="52"/>
        <v>0.9500000000000044</v>
      </c>
      <c r="AI138" s="1">
        <f t="shared" si="53"/>
        <v>0.15231225557722994</v>
      </c>
      <c r="AJ138" s="1">
        <f t="shared" si="46"/>
        <v>0.16032869008129394</v>
      </c>
      <c r="AK138" s="1">
        <f t="shared" si="47"/>
        <v>38.902499999999996</v>
      </c>
      <c r="AL138" s="1">
        <f t="shared" si="48"/>
        <v>6.2371868658875371</v>
      </c>
      <c r="AM138" s="1">
        <v>0</v>
      </c>
      <c r="AN138" s="1">
        <v>0</v>
      </c>
      <c r="AO138" s="1">
        <v>1</v>
      </c>
      <c r="AP138" s="1">
        <f t="shared" si="54"/>
        <v>0.16222142113076254</v>
      </c>
      <c r="AQ138" s="1">
        <v>1</v>
      </c>
      <c r="AR138" s="1">
        <v>0</v>
      </c>
      <c r="AS138" s="1">
        <v>0</v>
      </c>
      <c r="AT138" s="1">
        <v>0</v>
      </c>
      <c r="AU138" s="4">
        <v>1</v>
      </c>
      <c r="AV138" s="4">
        <v>0</v>
      </c>
      <c r="AW138" s="1">
        <f t="shared" si="55"/>
        <v>4.7619047619047616E-2</v>
      </c>
      <c r="AX138" s="1">
        <f t="shared" si="56"/>
        <v>2.2675736961451248E-3</v>
      </c>
    </row>
    <row r="139" spans="1:50" x14ac:dyDescent="0.25">
      <c r="A139" s="1" t="s">
        <v>41</v>
      </c>
      <c r="B139" s="1">
        <v>1988</v>
      </c>
      <c r="C139" s="1">
        <f t="shared" si="57"/>
        <v>18</v>
      </c>
      <c r="D139" s="1" t="s">
        <v>24</v>
      </c>
      <c r="E139" s="1" t="s">
        <v>25</v>
      </c>
      <c r="F139" s="2">
        <v>3.0000000000000001E-3</v>
      </c>
      <c r="G139" s="3">
        <v>4.2857142857142998E-3</v>
      </c>
      <c r="H139" s="1">
        <v>11</v>
      </c>
      <c r="I139" s="1">
        <v>48</v>
      </c>
      <c r="J139" s="1">
        <f t="shared" si="44"/>
        <v>37</v>
      </c>
      <c r="K139" s="1">
        <v>21</v>
      </c>
      <c r="L139" s="1">
        <v>1980</v>
      </c>
      <c r="M139" s="1">
        <v>1980</v>
      </c>
      <c r="N139" s="1">
        <f t="shared" si="49"/>
        <v>1980</v>
      </c>
      <c r="O139" s="1">
        <f t="shared" si="42"/>
        <v>1</v>
      </c>
      <c r="P139" s="1">
        <f t="shared" si="51"/>
        <v>0</v>
      </c>
      <c r="Q139" s="1">
        <v>36</v>
      </c>
      <c r="R139" s="1">
        <v>0</v>
      </c>
      <c r="S139" s="1" t="s">
        <v>26</v>
      </c>
      <c r="T139" s="1">
        <f t="shared" si="43"/>
        <v>0</v>
      </c>
      <c r="U139" s="1">
        <v>0</v>
      </c>
      <c r="V139" s="1">
        <v>0</v>
      </c>
      <c r="W139" s="1">
        <v>1</v>
      </c>
      <c r="X139" s="1">
        <v>1</v>
      </c>
      <c r="Y139" s="1">
        <v>0</v>
      </c>
      <c r="Z139" s="1">
        <v>0</v>
      </c>
      <c r="AA139" s="1">
        <v>0</v>
      </c>
      <c r="AB139" s="1" t="s">
        <v>85</v>
      </c>
      <c r="AC139" s="1">
        <f t="shared" si="50"/>
        <v>1</v>
      </c>
      <c r="AD139" s="1">
        <f t="shared" si="45"/>
        <v>1</v>
      </c>
      <c r="AE139" s="1">
        <v>1</v>
      </c>
      <c r="AF139" s="1">
        <v>7.5948840000000004</v>
      </c>
      <c r="AG139" s="1">
        <v>3.6109179999999999</v>
      </c>
      <c r="AH139" s="1">
        <f t="shared" si="52"/>
        <v>0.69999999999999774</v>
      </c>
      <c r="AI139" s="1">
        <f t="shared" si="53"/>
        <v>0.11432476564832338</v>
      </c>
      <c r="AJ139" s="1">
        <f t="shared" si="46"/>
        <v>0.16332109378331963</v>
      </c>
      <c r="AK139" s="1">
        <f t="shared" si="47"/>
        <v>37.49</v>
      </c>
      <c r="AL139" s="1">
        <f t="shared" si="48"/>
        <v>6.1229078059366531</v>
      </c>
      <c r="AM139" s="1">
        <v>0</v>
      </c>
      <c r="AN139" s="1">
        <v>0</v>
      </c>
      <c r="AO139" s="1">
        <v>1</v>
      </c>
      <c r="AP139" s="1">
        <f t="shared" si="54"/>
        <v>0.16439898730535729</v>
      </c>
      <c r="AQ139" s="1">
        <v>1</v>
      </c>
      <c r="AR139" s="1">
        <v>0</v>
      </c>
      <c r="AS139" s="1">
        <v>0</v>
      </c>
      <c r="AT139" s="1">
        <v>0</v>
      </c>
      <c r="AU139" s="4">
        <v>1</v>
      </c>
      <c r="AV139" s="4">
        <v>0</v>
      </c>
      <c r="AW139" s="1">
        <f t="shared" si="55"/>
        <v>4.7619047619047616E-2</v>
      </c>
      <c r="AX139" s="1">
        <f t="shared" si="56"/>
        <v>2.2675736961451248E-3</v>
      </c>
    </row>
    <row r="140" spans="1:50" x14ac:dyDescent="0.25">
      <c r="A140" s="1" t="s">
        <v>56</v>
      </c>
      <c r="B140" s="1">
        <v>2011</v>
      </c>
      <c r="C140" s="1">
        <f t="shared" si="57"/>
        <v>19</v>
      </c>
      <c r="D140" s="1" t="s">
        <v>24</v>
      </c>
      <c r="E140" s="1" t="s">
        <v>25</v>
      </c>
      <c r="F140" s="2">
        <v>-9.5799999999999996E-2</v>
      </c>
      <c r="G140" s="3">
        <v>3.1199999999999999E-2</v>
      </c>
      <c r="H140" s="1">
        <v>8</v>
      </c>
      <c r="I140" s="1">
        <v>7075</v>
      </c>
      <c r="J140" s="1">
        <f t="shared" ref="J140:J173" si="58">+I140-H140</f>
        <v>7067</v>
      </c>
      <c r="K140" s="1">
        <v>105</v>
      </c>
      <c r="L140" s="1">
        <v>1991</v>
      </c>
      <c r="M140" s="1">
        <v>2006</v>
      </c>
      <c r="N140" s="1">
        <f t="shared" ref="N140:N146" si="59">+L140+(M140-L140)/2</f>
        <v>1998.5</v>
      </c>
      <c r="O140" s="1">
        <f t="shared" si="42"/>
        <v>16</v>
      </c>
      <c r="P140" s="1">
        <f t="shared" si="51"/>
        <v>2.7725887222397811</v>
      </c>
      <c r="Q140" s="1">
        <v>59</v>
      </c>
      <c r="R140" s="1">
        <v>0</v>
      </c>
      <c r="S140" s="1" t="s">
        <v>27</v>
      </c>
      <c r="T140" s="1">
        <f t="shared" ref="T140:T164" si="60">IF(S140="OLS",0,IF(S140="FE",0,IF(S140="Probit model",0,IF(S140="3SLS",1,IF(S140="Logit",0,IF(S140="2SLS",1,IF(S140="SUR method",1,IF(S140="Modified LS",0,IF(S140="Zenner estimates",1,IF(S140="MLE",0,IF(S140="GLS",0,0)))))))))))</f>
        <v>0</v>
      </c>
      <c r="U140" s="1">
        <v>1</v>
      </c>
      <c r="V140" s="1">
        <v>1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 t="s">
        <v>85</v>
      </c>
      <c r="AC140" s="1">
        <f t="shared" si="50"/>
        <v>1</v>
      </c>
      <c r="AD140" s="1">
        <f t="shared" ref="AD140:AD173" si="61">IF(AB140="USA",1,0)</f>
        <v>1</v>
      </c>
      <c r="AE140" s="1">
        <v>0</v>
      </c>
      <c r="AF140" s="1">
        <v>7.6063879999999999</v>
      </c>
      <c r="AG140" s="1">
        <v>4.0943449999999997</v>
      </c>
      <c r="AH140" s="1">
        <f t="shared" si="52"/>
        <v>-3.0705128205128207</v>
      </c>
      <c r="AI140" s="1">
        <f t="shared" si="53"/>
        <v>-3.6500924749938164E-2</v>
      </c>
      <c r="AJ140" s="1">
        <f t="shared" ref="AJ140:AJ173" si="62">+AI140/AH140</f>
        <v>1.1887566306869213E-2</v>
      </c>
      <c r="AK140" s="1">
        <f t="shared" ref="AK140:AK173" si="63">1/AJ140^2</f>
        <v>7076.4280489809353</v>
      </c>
      <c r="AL140" s="1">
        <f t="shared" ref="AL140:AL173" si="64">1/AJ140</f>
        <v>84.121507648049999</v>
      </c>
      <c r="AM140" s="1">
        <v>0</v>
      </c>
      <c r="AN140" s="1">
        <v>1</v>
      </c>
      <c r="AO140" s="1">
        <v>0</v>
      </c>
      <c r="AP140" s="1">
        <f t="shared" si="54"/>
        <v>1.1895493234994774E-2</v>
      </c>
      <c r="AQ140" s="1">
        <v>0</v>
      </c>
      <c r="AR140" s="1">
        <v>1</v>
      </c>
      <c r="AS140" s="1">
        <v>0</v>
      </c>
      <c r="AT140" s="1">
        <v>0</v>
      </c>
      <c r="AU140" s="4">
        <v>0</v>
      </c>
      <c r="AV140" s="4">
        <v>0</v>
      </c>
      <c r="AW140" s="1">
        <f t="shared" si="55"/>
        <v>9.5238095238095247E-3</v>
      </c>
      <c r="AX140" s="1">
        <f t="shared" si="56"/>
        <v>9.0702947845804991E-5</v>
      </c>
    </row>
    <row r="141" spans="1:50" x14ac:dyDescent="0.25">
      <c r="A141" s="1" t="s">
        <v>56</v>
      </c>
      <c r="B141" s="1">
        <v>2011</v>
      </c>
      <c r="C141" s="1">
        <f t="shared" si="57"/>
        <v>19</v>
      </c>
      <c r="D141" s="1" t="s">
        <v>24</v>
      </c>
      <c r="E141" s="1" t="s">
        <v>25</v>
      </c>
      <c r="F141" s="2">
        <v>9.1000000000000004E-3</v>
      </c>
      <c r="G141" s="3">
        <v>3.2599999999999997E-2</v>
      </c>
      <c r="H141" s="1">
        <v>8</v>
      </c>
      <c r="I141" s="1">
        <v>7075</v>
      </c>
      <c r="J141" s="1">
        <f t="shared" si="58"/>
        <v>7067</v>
      </c>
      <c r="K141" s="1">
        <v>105</v>
      </c>
      <c r="L141" s="1">
        <v>1991</v>
      </c>
      <c r="M141" s="1">
        <v>2006</v>
      </c>
      <c r="N141" s="1">
        <f t="shared" ref="N141:N145" si="65">+L141+(M141-L141)/2</f>
        <v>1998.5</v>
      </c>
      <c r="O141" s="1">
        <f t="shared" ref="O141:O146" si="66">+M141-L141+1</f>
        <v>16</v>
      </c>
      <c r="P141" s="1">
        <f t="shared" si="51"/>
        <v>2.7725887222397811</v>
      </c>
      <c r="Q141" s="1">
        <v>59</v>
      </c>
      <c r="R141" s="1">
        <v>0</v>
      </c>
      <c r="S141" s="1" t="s">
        <v>27</v>
      </c>
      <c r="T141" s="1">
        <f t="shared" si="60"/>
        <v>0</v>
      </c>
      <c r="U141" s="1">
        <v>1</v>
      </c>
      <c r="V141" s="1">
        <v>1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 t="s">
        <v>85</v>
      </c>
      <c r="AC141" s="1">
        <f t="shared" si="50"/>
        <v>1</v>
      </c>
      <c r="AD141" s="1">
        <f t="shared" si="61"/>
        <v>1</v>
      </c>
      <c r="AE141" s="1">
        <v>0</v>
      </c>
      <c r="AF141" s="1">
        <v>7.6063879999999999</v>
      </c>
      <c r="AG141" s="1">
        <v>4.0943449999999997</v>
      </c>
      <c r="AH141" s="1">
        <f t="shared" si="52"/>
        <v>0.27914110429447858</v>
      </c>
      <c r="AI141" s="1">
        <f t="shared" si="53"/>
        <v>3.3205028120940122E-3</v>
      </c>
      <c r="AJ141" s="1">
        <f t="shared" si="62"/>
        <v>1.1895427656512613E-2</v>
      </c>
      <c r="AK141" s="1">
        <f t="shared" si="63"/>
        <v>7067.0779197561069</v>
      </c>
      <c r="AL141" s="1">
        <f t="shared" si="64"/>
        <v>84.065914137396419</v>
      </c>
      <c r="AM141" s="1">
        <v>0</v>
      </c>
      <c r="AN141" s="1">
        <v>1</v>
      </c>
      <c r="AO141" s="1">
        <v>0</v>
      </c>
      <c r="AP141" s="1">
        <f t="shared" si="54"/>
        <v>1.1895493234994774E-2</v>
      </c>
      <c r="AQ141" s="1">
        <v>0</v>
      </c>
      <c r="AR141" s="1">
        <v>1</v>
      </c>
      <c r="AS141" s="1">
        <v>0</v>
      </c>
      <c r="AT141" s="1">
        <v>0</v>
      </c>
      <c r="AU141" s="4">
        <v>1</v>
      </c>
      <c r="AV141" s="4">
        <v>0</v>
      </c>
      <c r="AW141" s="1">
        <f t="shared" si="55"/>
        <v>9.5238095238095247E-3</v>
      </c>
      <c r="AX141" s="1">
        <f t="shared" si="56"/>
        <v>9.0702947845804991E-5</v>
      </c>
    </row>
    <row r="142" spans="1:50" x14ac:dyDescent="0.25">
      <c r="A142" s="1" t="s">
        <v>56</v>
      </c>
      <c r="B142" s="1">
        <v>2011</v>
      </c>
      <c r="C142" s="1">
        <f t="shared" si="57"/>
        <v>19</v>
      </c>
      <c r="D142" s="1" t="s">
        <v>24</v>
      </c>
      <c r="E142" s="1" t="s">
        <v>25</v>
      </c>
      <c r="F142" s="2">
        <v>9.2999999999999992E-3</v>
      </c>
      <c r="G142" s="3">
        <v>2.8000000000000001E-2</v>
      </c>
      <c r="H142" s="1">
        <v>8</v>
      </c>
      <c r="I142" s="1">
        <v>7075</v>
      </c>
      <c r="J142" s="1">
        <f t="shared" si="58"/>
        <v>7067</v>
      </c>
      <c r="K142" s="1">
        <v>105</v>
      </c>
      <c r="L142" s="1">
        <v>1991</v>
      </c>
      <c r="M142" s="1">
        <v>2006</v>
      </c>
      <c r="N142" s="1">
        <f t="shared" si="65"/>
        <v>1998.5</v>
      </c>
      <c r="O142" s="1">
        <f t="shared" si="66"/>
        <v>16</v>
      </c>
      <c r="P142" s="1">
        <f t="shared" si="51"/>
        <v>2.7725887222397811</v>
      </c>
      <c r="Q142" s="1">
        <v>59</v>
      </c>
      <c r="R142" s="1">
        <v>0</v>
      </c>
      <c r="S142" s="1" t="s">
        <v>27</v>
      </c>
      <c r="T142" s="1">
        <f t="shared" si="60"/>
        <v>0</v>
      </c>
      <c r="U142" s="1">
        <v>1</v>
      </c>
      <c r="V142" s="1">
        <v>1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 t="s">
        <v>85</v>
      </c>
      <c r="AC142" s="1">
        <f t="shared" si="50"/>
        <v>1</v>
      </c>
      <c r="AD142" s="1">
        <f t="shared" si="61"/>
        <v>1</v>
      </c>
      <c r="AE142" s="1">
        <v>0</v>
      </c>
      <c r="AF142" s="1">
        <v>7.6063879999999999</v>
      </c>
      <c r="AG142" s="1">
        <v>4.0943449999999997</v>
      </c>
      <c r="AH142" s="1">
        <f t="shared" si="52"/>
        <v>0.33214285714285713</v>
      </c>
      <c r="AI142" s="1">
        <f t="shared" si="53"/>
        <v>3.9509722721357355E-3</v>
      </c>
      <c r="AJ142" s="1">
        <f t="shared" si="62"/>
        <v>1.1895400389225871E-2</v>
      </c>
      <c r="AK142" s="1">
        <f t="shared" si="63"/>
        <v>7067.1103188775514</v>
      </c>
      <c r="AL142" s="1">
        <f t="shared" si="64"/>
        <v>84.066106837878209</v>
      </c>
      <c r="AM142" s="1">
        <v>0</v>
      </c>
      <c r="AN142" s="1">
        <v>1</v>
      </c>
      <c r="AO142" s="1">
        <v>0</v>
      </c>
      <c r="AP142" s="1">
        <f t="shared" si="54"/>
        <v>1.1895493234994774E-2</v>
      </c>
      <c r="AQ142" s="1">
        <v>0</v>
      </c>
      <c r="AR142" s="1">
        <v>1</v>
      </c>
      <c r="AS142" s="1">
        <v>0</v>
      </c>
      <c r="AT142" s="1">
        <v>0</v>
      </c>
      <c r="AU142" s="4">
        <v>0</v>
      </c>
      <c r="AV142" s="4">
        <v>1</v>
      </c>
      <c r="AW142" s="1">
        <f t="shared" si="55"/>
        <v>9.5238095238095247E-3</v>
      </c>
      <c r="AX142" s="1">
        <f t="shared" si="56"/>
        <v>9.0702947845804991E-5</v>
      </c>
    </row>
    <row r="143" spans="1:50" x14ac:dyDescent="0.25">
      <c r="A143" s="1" t="s">
        <v>56</v>
      </c>
      <c r="B143" s="1">
        <v>2011</v>
      </c>
      <c r="C143" s="1">
        <f t="shared" si="57"/>
        <v>19</v>
      </c>
      <c r="D143" s="1" t="s">
        <v>24</v>
      </c>
      <c r="E143" s="1" t="s">
        <v>25</v>
      </c>
      <c r="F143" s="2">
        <v>-0.1089</v>
      </c>
      <c r="G143" s="3">
        <v>3.39E-2</v>
      </c>
      <c r="H143" s="1">
        <v>8</v>
      </c>
      <c r="I143" s="1">
        <v>7188</v>
      </c>
      <c r="J143" s="1">
        <f t="shared" si="58"/>
        <v>7180</v>
      </c>
      <c r="K143" s="1">
        <v>105</v>
      </c>
      <c r="L143" s="1">
        <v>1991</v>
      </c>
      <c r="M143" s="1">
        <v>2006</v>
      </c>
      <c r="N143" s="1">
        <f t="shared" si="65"/>
        <v>1998.5</v>
      </c>
      <c r="O143" s="1">
        <f t="shared" si="66"/>
        <v>16</v>
      </c>
      <c r="P143" s="1">
        <f t="shared" si="51"/>
        <v>2.7725887222397811</v>
      </c>
      <c r="Q143" s="1">
        <v>59</v>
      </c>
      <c r="R143" s="1">
        <v>0</v>
      </c>
      <c r="S143" s="1" t="s">
        <v>27</v>
      </c>
      <c r="T143" s="1">
        <f t="shared" si="60"/>
        <v>0</v>
      </c>
      <c r="U143" s="1">
        <v>1</v>
      </c>
      <c r="V143" s="1">
        <v>1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 t="s">
        <v>85</v>
      </c>
      <c r="AC143" s="1">
        <f t="shared" si="50"/>
        <v>1</v>
      </c>
      <c r="AD143" s="1">
        <f t="shared" si="61"/>
        <v>1</v>
      </c>
      <c r="AE143" s="1">
        <v>0</v>
      </c>
      <c r="AF143" s="1">
        <v>7.6063879999999999</v>
      </c>
      <c r="AG143" s="1">
        <v>4.0943449999999997</v>
      </c>
      <c r="AH143" s="1">
        <f t="shared" si="52"/>
        <v>-3.2123893805309733</v>
      </c>
      <c r="AI143" s="1">
        <f t="shared" si="53"/>
        <v>-3.7883848302752612E-2</v>
      </c>
      <c r="AJ143" s="1">
        <f t="shared" si="62"/>
        <v>1.1793043686531805E-2</v>
      </c>
      <c r="AK143" s="1">
        <f t="shared" si="63"/>
        <v>7190.3194455321463</v>
      </c>
      <c r="AL143" s="1">
        <f t="shared" si="64"/>
        <v>84.795751341279754</v>
      </c>
      <c r="AM143" s="1">
        <v>0</v>
      </c>
      <c r="AN143" s="1">
        <v>1</v>
      </c>
      <c r="AO143" s="1">
        <v>0</v>
      </c>
      <c r="AP143" s="1">
        <f t="shared" si="54"/>
        <v>1.1801515411874575E-2</v>
      </c>
      <c r="AQ143" s="1">
        <v>0</v>
      </c>
      <c r="AR143" s="1">
        <v>1</v>
      </c>
      <c r="AS143" s="1">
        <v>0</v>
      </c>
      <c r="AT143" s="1">
        <v>0</v>
      </c>
      <c r="AU143" s="4">
        <v>0</v>
      </c>
      <c r="AV143" s="4">
        <v>0</v>
      </c>
      <c r="AW143" s="1">
        <f t="shared" si="55"/>
        <v>9.5238095238095247E-3</v>
      </c>
      <c r="AX143" s="1">
        <f t="shared" si="56"/>
        <v>9.0702947845804991E-5</v>
      </c>
    </row>
    <row r="144" spans="1:50" x14ac:dyDescent="0.25">
      <c r="A144" s="1" t="s">
        <v>56</v>
      </c>
      <c r="B144" s="1">
        <v>2011</v>
      </c>
      <c r="C144" s="1">
        <f t="shared" si="57"/>
        <v>19</v>
      </c>
      <c r="D144" s="1" t="s">
        <v>24</v>
      </c>
      <c r="E144" s="1" t="s">
        <v>25</v>
      </c>
      <c r="F144" s="2">
        <v>3.3500000000000002E-2</v>
      </c>
      <c r="G144" s="3">
        <v>4.3700000000000003E-2</v>
      </c>
      <c r="H144" s="1">
        <v>8</v>
      </c>
      <c r="I144" s="1">
        <v>7188</v>
      </c>
      <c r="J144" s="1">
        <f t="shared" si="58"/>
        <v>7180</v>
      </c>
      <c r="K144" s="1">
        <v>105</v>
      </c>
      <c r="L144" s="1">
        <v>1991</v>
      </c>
      <c r="M144" s="1">
        <v>2006</v>
      </c>
      <c r="N144" s="1">
        <f t="shared" si="65"/>
        <v>1998.5</v>
      </c>
      <c r="O144" s="1">
        <f t="shared" si="66"/>
        <v>16</v>
      </c>
      <c r="P144" s="1">
        <f t="shared" si="51"/>
        <v>2.7725887222397811</v>
      </c>
      <c r="Q144" s="1">
        <v>59</v>
      </c>
      <c r="R144" s="1">
        <v>0</v>
      </c>
      <c r="S144" s="1" t="s">
        <v>27</v>
      </c>
      <c r="T144" s="1">
        <f t="shared" si="60"/>
        <v>0</v>
      </c>
      <c r="U144" s="1">
        <v>1</v>
      </c>
      <c r="V144" s="1">
        <v>1</v>
      </c>
      <c r="W144" s="1">
        <v>0</v>
      </c>
      <c r="X144" s="1">
        <v>0</v>
      </c>
      <c r="Y144" s="1">
        <v>1</v>
      </c>
      <c r="Z144" s="1">
        <v>0</v>
      </c>
      <c r="AA144" s="1">
        <v>0</v>
      </c>
      <c r="AB144" s="1" t="s">
        <v>85</v>
      </c>
      <c r="AC144" s="1">
        <f t="shared" si="50"/>
        <v>1</v>
      </c>
      <c r="AD144" s="1">
        <f t="shared" si="61"/>
        <v>1</v>
      </c>
      <c r="AE144" s="1">
        <v>0</v>
      </c>
      <c r="AF144" s="1">
        <v>7.6063879999999999</v>
      </c>
      <c r="AG144" s="1">
        <v>4.0943449999999997</v>
      </c>
      <c r="AH144" s="1">
        <f t="shared" si="52"/>
        <v>0.76659038901601828</v>
      </c>
      <c r="AI144" s="1">
        <f t="shared" si="53"/>
        <v>9.0465580817230985E-3</v>
      </c>
      <c r="AJ144" s="1">
        <f t="shared" si="62"/>
        <v>1.1801032482725356E-2</v>
      </c>
      <c r="AK144" s="1">
        <f t="shared" si="63"/>
        <v>7180.5876608245335</v>
      </c>
      <c r="AL144" s="1">
        <f t="shared" si="64"/>
        <v>84.738348230447187</v>
      </c>
      <c r="AM144" s="1">
        <v>0</v>
      </c>
      <c r="AN144" s="1">
        <v>1</v>
      </c>
      <c r="AO144" s="1">
        <v>0</v>
      </c>
      <c r="AP144" s="1">
        <f t="shared" si="54"/>
        <v>1.1801515411874575E-2</v>
      </c>
      <c r="AQ144" s="1">
        <v>0</v>
      </c>
      <c r="AR144" s="1">
        <v>1</v>
      </c>
      <c r="AS144" s="1">
        <v>0</v>
      </c>
      <c r="AT144" s="1">
        <v>0</v>
      </c>
      <c r="AU144" s="4">
        <v>1</v>
      </c>
      <c r="AV144" s="4">
        <v>0</v>
      </c>
      <c r="AW144" s="1">
        <f t="shared" si="55"/>
        <v>9.5238095238095247E-3</v>
      </c>
      <c r="AX144" s="1">
        <f t="shared" si="56"/>
        <v>9.0702947845804991E-5</v>
      </c>
    </row>
    <row r="145" spans="1:50" x14ac:dyDescent="0.25">
      <c r="A145" s="1" t="s">
        <v>56</v>
      </c>
      <c r="B145" s="1">
        <v>2011</v>
      </c>
      <c r="C145" s="1">
        <f t="shared" si="57"/>
        <v>19</v>
      </c>
      <c r="D145" s="1" t="s">
        <v>24</v>
      </c>
      <c r="E145" s="1" t="s">
        <v>25</v>
      </c>
      <c r="F145" s="2">
        <v>2.0000000000000001E-4</v>
      </c>
      <c r="G145" s="3">
        <v>3.4200000000000001E-2</v>
      </c>
      <c r="H145" s="1">
        <v>8</v>
      </c>
      <c r="I145" s="1">
        <v>7188</v>
      </c>
      <c r="J145" s="1">
        <f t="shared" si="58"/>
        <v>7180</v>
      </c>
      <c r="K145" s="1">
        <v>105</v>
      </c>
      <c r="L145" s="1">
        <v>1991</v>
      </c>
      <c r="M145" s="1">
        <v>2006</v>
      </c>
      <c r="N145" s="1">
        <f t="shared" si="65"/>
        <v>1998.5</v>
      </c>
      <c r="O145" s="1">
        <f t="shared" si="66"/>
        <v>16</v>
      </c>
      <c r="P145" s="1">
        <f t="shared" si="51"/>
        <v>2.7725887222397811</v>
      </c>
      <c r="Q145" s="1">
        <v>59</v>
      </c>
      <c r="R145" s="1">
        <v>0</v>
      </c>
      <c r="S145" s="1" t="s">
        <v>27</v>
      </c>
      <c r="T145" s="1">
        <f t="shared" si="60"/>
        <v>0</v>
      </c>
      <c r="U145" s="1">
        <v>1</v>
      </c>
      <c r="V145" s="1">
        <v>1</v>
      </c>
      <c r="W145" s="1">
        <v>0</v>
      </c>
      <c r="X145" s="1">
        <v>0</v>
      </c>
      <c r="Y145" s="1">
        <v>1</v>
      </c>
      <c r="Z145" s="1">
        <v>0</v>
      </c>
      <c r="AA145" s="1">
        <v>0</v>
      </c>
      <c r="AB145" s="1" t="s">
        <v>85</v>
      </c>
      <c r="AC145" s="1">
        <f t="shared" si="50"/>
        <v>1</v>
      </c>
      <c r="AD145" s="1">
        <f t="shared" si="61"/>
        <v>1</v>
      </c>
      <c r="AE145" s="1">
        <v>0</v>
      </c>
      <c r="AF145" s="1">
        <v>7.6063879999999999</v>
      </c>
      <c r="AG145" s="1">
        <v>4.0943449999999997</v>
      </c>
      <c r="AH145" s="1">
        <f t="shared" si="52"/>
        <v>5.8479532163742687E-3</v>
      </c>
      <c r="AI145" s="1">
        <f t="shared" si="53"/>
        <v>6.9014709846602844E-5</v>
      </c>
      <c r="AJ145" s="1">
        <f t="shared" si="62"/>
        <v>1.1801515383769086E-2</v>
      </c>
      <c r="AK145" s="1">
        <f t="shared" si="63"/>
        <v>7180.0000341985569</v>
      </c>
      <c r="AL145" s="1">
        <f t="shared" si="64"/>
        <v>84.734880859056844</v>
      </c>
      <c r="AM145" s="1">
        <v>0</v>
      </c>
      <c r="AN145" s="1">
        <v>1</v>
      </c>
      <c r="AO145" s="1">
        <v>0</v>
      </c>
      <c r="AP145" s="1">
        <f t="shared" si="54"/>
        <v>1.1801515411874575E-2</v>
      </c>
      <c r="AQ145" s="1">
        <v>0</v>
      </c>
      <c r="AR145" s="1">
        <v>1</v>
      </c>
      <c r="AS145" s="1">
        <v>0</v>
      </c>
      <c r="AT145" s="1">
        <v>0</v>
      </c>
      <c r="AU145" s="4">
        <v>0</v>
      </c>
      <c r="AV145" s="4">
        <v>1</v>
      </c>
      <c r="AW145" s="1">
        <f t="shared" si="55"/>
        <v>9.5238095238095247E-3</v>
      </c>
      <c r="AX145" s="1">
        <f t="shared" si="56"/>
        <v>9.0702947845804991E-5</v>
      </c>
    </row>
    <row r="146" spans="1:50" x14ac:dyDescent="0.25">
      <c r="A146" s="1" t="s">
        <v>56</v>
      </c>
      <c r="B146" s="1">
        <v>2011</v>
      </c>
      <c r="C146" s="1">
        <f t="shared" si="57"/>
        <v>19</v>
      </c>
      <c r="D146" s="1" t="s">
        <v>24</v>
      </c>
      <c r="E146" s="1" t="s">
        <v>25</v>
      </c>
      <c r="F146" s="2">
        <v>-0.1147</v>
      </c>
      <c r="G146" s="3">
        <v>9.64E-2</v>
      </c>
      <c r="H146" s="1">
        <v>8</v>
      </c>
      <c r="I146" s="1">
        <v>3831</v>
      </c>
      <c r="J146" s="1">
        <f t="shared" si="58"/>
        <v>3823</v>
      </c>
      <c r="K146" s="1">
        <v>105</v>
      </c>
      <c r="L146" s="1">
        <v>1999</v>
      </c>
      <c r="M146" s="1">
        <v>2006</v>
      </c>
      <c r="N146" s="1">
        <f t="shared" si="59"/>
        <v>2002.5</v>
      </c>
      <c r="O146" s="1">
        <f t="shared" si="66"/>
        <v>8</v>
      </c>
      <c r="P146" s="1">
        <f t="shared" si="51"/>
        <v>2.0794415416798357</v>
      </c>
      <c r="Q146" s="1">
        <v>59</v>
      </c>
      <c r="R146" s="1">
        <v>0</v>
      </c>
      <c r="S146" s="1" t="s">
        <v>27</v>
      </c>
      <c r="T146" s="1">
        <f t="shared" si="60"/>
        <v>0</v>
      </c>
      <c r="U146" s="1">
        <v>1</v>
      </c>
      <c r="V146" s="1">
        <v>1</v>
      </c>
      <c r="W146" s="1">
        <v>1</v>
      </c>
      <c r="X146" s="1">
        <v>0</v>
      </c>
      <c r="Y146" s="1">
        <v>1</v>
      </c>
      <c r="Z146" s="1">
        <v>0</v>
      </c>
      <c r="AA146" s="1">
        <v>0</v>
      </c>
      <c r="AB146" s="1" t="s">
        <v>85</v>
      </c>
      <c r="AC146" s="1">
        <f t="shared" si="50"/>
        <v>1</v>
      </c>
      <c r="AD146" s="1">
        <f t="shared" si="61"/>
        <v>1</v>
      </c>
      <c r="AE146" s="1">
        <v>0</v>
      </c>
      <c r="AF146" s="1">
        <v>7.6063879999999999</v>
      </c>
      <c r="AG146" s="1">
        <v>4.0943449999999997</v>
      </c>
      <c r="AH146" s="1">
        <f t="shared" si="52"/>
        <v>-1.1898340248962656</v>
      </c>
      <c r="AI146" s="1">
        <f t="shared" si="53"/>
        <v>-1.9239945500811359E-2</v>
      </c>
      <c r="AJ146" s="1">
        <f t="shared" si="62"/>
        <v>1.6170276776619138E-2</v>
      </c>
      <c r="AK146" s="1">
        <f t="shared" si="63"/>
        <v>3824.4157050068002</v>
      </c>
      <c r="AL146" s="1">
        <f t="shared" si="64"/>
        <v>61.841860458808966</v>
      </c>
      <c r="AM146" s="1">
        <v>0</v>
      </c>
      <c r="AN146" s="1">
        <v>1</v>
      </c>
      <c r="AO146" s="1">
        <v>0</v>
      </c>
      <c r="AP146" s="1">
        <f t="shared" si="54"/>
        <v>1.617327052797354E-2</v>
      </c>
      <c r="AQ146" s="1">
        <v>0</v>
      </c>
      <c r="AR146" s="1">
        <v>1</v>
      </c>
      <c r="AS146" s="1">
        <v>0</v>
      </c>
      <c r="AT146" s="1">
        <v>0</v>
      </c>
      <c r="AU146" s="4">
        <v>0</v>
      </c>
      <c r="AV146" s="4">
        <v>0</v>
      </c>
      <c r="AW146" s="1">
        <f t="shared" si="55"/>
        <v>9.5238095238095247E-3</v>
      </c>
      <c r="AX146" s="1">
        <f t="shared" si="56"/>
        <v>9.0702947845804991E-5</v>
      </c>
    </row>
    <row r="147" spans="1:50" x14ac:dyDescent="0.25">
      <c r="A147" s="1" t="s">
        <v>56</v>
      </c>
      <c r="B147" s="1">
        <v>2011</v>
      </c>
      <c r="C147" s="1">
        <f t="shared" si="57"/>
        <v>19</v>
      </c>
      <c r="D147" s="1" t="s">
        <v>24</v>
      </c>
      <c r="E147" s="1" t="s">
        <v>25</v>
      </c>
      <c r="F147" s="2">
        <v>0.1376</v>
      </c>
      <c r="G147" s="3">
        <v>0.1162</v>
      </c>
      <c r="H147" s="1">
        <v>8</v>
      </c>
      <c r="I147" s="1">
        <v>3831</v>
      </c>
      <c r="J147" s="1">
        <f t="shared" si="58"/>
        <v>3823</v>
      </c>
      <c r="K147" s="1">
        <v>105</v>
      </c>
      <c r="L147" s="1">
        <v>1999</v>
      </c>
      <c r="M147" s="1">
        <v>2006</v>
      </c>
      <c r="N147" s="1">
        <f t="shared" ref="N147:N155" si="67">+L147+(M147-L147)/2</f>
        <v>2002.5</v>
      </c>
      <c r="O147" s="1">
        <f t="shared" ref="O147:O155" si="68">+M147-L147+1</f>
        <v>8</v>
      </c>
      <c r="P147" s="1">
        <f t="shared" si="51"/>
        <v>2.0794415416798357</v>
      </c>
      <c r="Q147" s="1">
        <v>59</v>
      </c>
      <c r="R147" s="1">
        <v>0</v>
      </c>
      <c r="S147" s="1" t="s">
        <v>27</v>
      </c>
      <c r="T147" s="1">
        <f t="shared" si="60"/>
        <v>0</v>
      </c>
      <c r="U147" s="1">
        <v>1</v>
      </c>
      <c r="V147" s="1">
        <v>1</v>
      </c>
      <c r="W147" s="1">
        <v>1</v>
      </c>
      <c r="X147" s="1">
        <v>0</v>
      </c>
      <c r="Y147" s="1">
        <v>1</v>
      </c>
      <c r="Z147" s="1">
        <v>0</v>
      </c>
      <c r="AA147" s="1">
        <v>0</v>
      </c>
      <c r="AB147" s="1" t="s">
        <v>85</v>
      </c>
      <c r="AC147" s="1">
        <f t="shared" si="50"/>
        <v>1</v>
      </c>
      <c r="AD147" s="1">
        <f t="shared" si="61"/>
        <v>1</v>
      </c>
      <c r="AE147" s="1">
        <v>0</v>
      </c>
      <c r="AF147" s="1">
        <v>7.6063879999999999</v>
      </c>
      <c r="AG147" s="1">
        <v>4.0943449999999997</v>
      </c>
      <c r="AH147" s="1">
        <f t="shared" si="52"/>
        <v>1.1841652323580034</v>
      </c>
      <c r="AI147" s="1">
        <f t="shared" si="53"/>
        <v>1.914831324693984E-2</v>
      </c>
      <c r="AJ147" s="1">
        <f t="shared" si="62"/>
        <v>1.6170305227430303E-2</v>
      </c>
      <c r="AK147" s="1">
        <f t="shared" si="63"/>
        <v>3824.4022472975253</v>
      </c>
      <c r="AL147" s="1">
        <f t="shared" si="64"/>
        <v>61.841751651271366</v>
      </c>
      <c r="AM147" s="1">
        <v>0</v>
      </c>
      <c r="AN147" s="1">
        <v>1</v>
      </c>
      <c r="AO147" s="1">
        <v>0</v>
      </c>
      <c r="AP147" s="1">
        <f t="shared" si="54"/>
        <v>1.617327052797354E-2</v>
      </c>
      <c r="AQ147" s="1">
        <v>0</v>
      </c>
      <c r="AR147" s="1">
        <v>1</v>
      </c>
      <c r="AS147" s="1">
        <v>0</v>
      </c>
      <c r="AT147" s="1">
        <v>0</v>
      </c>
      <c r="AU147" s="4">
        <v>1</v>
      </c>
      <c r="AV147" s="4">
        <v>0</v>
      </c>
      <c r="AW147" s="1">
        <f t="shared" si="55"/>
        <v>9.5238095238095247E-3</v>
      </c>
      <c r="AX147" s="1">
        <f t="shared" si="56"/>
        <v>9.0702947845804991E-5</v>
      </c>
    </row>
    <row r="148" spans="1:50" x14ac:dyDescent="0.25">
      <c r="A148" s="1" t="s">
        <v>56</v>
      </c>
      <c r="B148" s="1">
        <v>2011</v>
      </c>
      <c r="C148" s="1">
        <f t="shared" si="57"/>
        <v>19</v>
      </c>
      <c r="D148" s="1" t="s">
        <v>24</v>
      </c>
      <c r="E148" s="1" t="s">
        <v>25</v>
      </c>
      <c r="F148" s="2">
        <v>3.9100000000000003E-2</v>
      </c>
      <c r="G148" s="3">
        <v>6.7599999999999993E-2</v>
      </c>
      <c r="H148" s="1">
        <v>8</v>
      </c>
      <c r="I148" s="1">
        <v>3831</v>
      </c>
      <c r="J148" s="1">
        <f t="shared" si="58"/>
        <v>3823</v>
      </c>
      <c r="K148" s="1">
        <v>105</v>
      </c>
      <c r="L148" s="1">
        <v>1999</v>
      </c>
      <c r="M148" s="1">
        <v>2006</v>
      </c>
      <c r="N148" s="1">
        <f t="shared" si="67"/>
        <v>2002.5</v>
      </c>
      <c r="O148" s="1">
        <f t="shared" si="68"/>
        <v>8</v>
      </c>
      <c r="P148" s="1">
        <f t="shared" si="51"/>
        <v>2.0794415416798357</v>
      </c>
      <c r="Q148" s="1">
        <v>59</v>
      </c>
      <c r="R148" s="1">
        <v>0</v>
      </c>
      <c r="S148" s="1" t="s">
        <v>27</v>
      </c>
      <c r="T148" s="1">
        <f t="shared" si="60"/>
        <v>0</v>
      </c>
      <c r="U148" s="1">
        <v>1</v>
      </c>
      <c r="V148" s="1">
        <v>1</v>
      </c>
      <c r="W148" s="1">
        <v>1</v>
      </c>
      <c r="X148" s="1">
        <v>0</v>
      </c>
      <c r="Y148" s="1">
        <v>1</v>
      </c>
      <c r="Z148" s="1">
        <v>0</v>
      </c>
      <c r="AA148" s="1">
        <v>0</v>
      </c>
      <c r="AB148" s="1" t="s">
        <v>85</v>
      </c>
      <c r="AC148" s="1">
        <f t="shared" si="50"/>
        <v>1</v>
      </c>
      <c r="AD148" s="1">
        <f t="shared" si="61"/>
        <v>1</v>
      </c>
      <c r="AE148" s="1">
        <v>0</v>
      </c>
      <c r="AF148" s="1">
        <v>7.6063879999999999</v>
      </c>
      <c r="AG148" s="1">
        <v>4.0943449999999997</v>
      </c>
      <c r="AH148" s="1">
        <f t="shared" si="52"/>
        <v>0.57840236686390545</v>
      </c>
      <c r="AI148" s="1">
        <f t="shared" si="53"/>
        <v>9.3542486688654621E-3</v>
      </c>
      <c r="AJ148" s="1">
        <f t="shared" si="62"/>
        <v>1.6172562915992457E-2</v>
      </c>
      <c r="AK148" s="1">
        <f t="shared" si="63"/>
        <v>3823.3345492979947</v>
      </c>
      <c r="AL148" s="1">
        <f t="shared" si="64"/>
        <v>61.833118547409484</v>
      </c>
      <c r="AM148" s="1">
        <v>0</v>
      </c>
      <c r="AN148" s="1">
        <v>1</v>
      </c>
      <c r="AO148" s="1">
        <v>0</v>
      </c>
      <c r="AP148" s="1">
        <f t="shared" si="54"/>
        <v>1.617327052797354E-2</v>
      </c>
      <c r="AQ148" s="1">
        <v>0</v>
      </c>
      <c r="AR148" s="1">
        <v>1</v>
      </c>
      <c r="AS148" s="1">
        <v>0</v>
      </c>
      <c r="AT148" s="1">
        <v>0</v>
      </c>
      <c r="AU148" s="4">
        <v>0</v>
      </c>
      <c r="AV148" s="4">
        <v>1</v>
      </c>
      <c r="AW148" s="1">
        <f t="shared" si="55"/>
        <v>9.5238095238095247E-3</v>
      </c>
      <c r="AX148" s="1">
        <f t="shared" si="56"/>
        <v>9.0702947845804991E-5</v>
      </c>
    </row>
    <row r="149" spans="1:50" x14ac:dyDescent="0.25">
      <c r="A149" s="1" t="s">
        <v>56</v>
      </c>
      <c r="B149" s="1">
        <v>2011</v>
      </c>
      <c r="C149" s="1">
        <f t="shared" si="57"/>
        <v>19</v>
      </c>
      <c r="D149" s="1" t="s">
        <v>24</v>
      </c>
      <c r="E149" s="1" t="s">
        <v>25</v>
      </c>
      <c r="F149" s="2">
        <v>-0.2142</v>
      </c>
      <c r="G149" s="3">
        <v>6.6299999999999998E-2</v>
      </c>
      <c r="H149" s="1">
        <v>8</v>
      </c>
      <c r="I149" s="1">
        <v>1343</v>
      </c>
      <c r="J149" s="1">
        <f t="shared" si="58"/>
        <v>1335</v>
      </c>
      <c r="K149" s="1">
        <v>105</v>
      </c>
      <c r="L149" s="1">
        <v>1991</v>
      </c>
      <c r="M149" s="1">
        <v>2006</v>
      </c>
      <c r="N149" s="1">
        <f t="shared" si="67"/>
        <v>1998.5</v>
      </c>
      <c r="O149" s="1">
        <f t="shared" si="68"/>
        <v>16</v>
      </c>
      <c r="P149" s="1">
        <f t="shared" si="51"/>
        <v>2.7725887222397811</v>
      </c>
      <c r="Q149" s="1">
        <v>59</v>
      </c>
      <c r="R149" s="1">
        <v>0</v>
      </c>
      <c r="S149" s="1" t="s">
        <v>27</v>
      </c>
      <c r="T149" s="1">
        <f t="shared" si="60"/>
        <v>0</v>
      </c>
      <c r="U149" s="1">
        <v>1</v>
      </c>
      <c r="V149" s="1">
        <v>1</v>
      </c>
      <c r="W149" s="1">
        <v>0</v>
      </c>
      <c r="X149" s="1">
        <v>0</v>
      </c>
      <c r="Y149" s="1">
        <v>1</v>
      </c>
      <c r="Z149" s="1">
        <v>0</v>
      </c>
      <c r="AA149" s="1">
        <v>0</v>
      </c>
      <c r="AB149" s="1" t="s">
        <v>85</v>
      </c>
      <c r="AC149" s="1">
        <f t="shared" si="50"/>
        <v>1</v>
      </c>
      <c r="AD149" s="1">
        <f t="shared" si="61"/>
        <v>1</v>
      </c>
      <c r="AE149" s="1">
        <v>0</v>
      </c>
      <c r="AF149" s="1">
        <v>7.6063879999999999</v>
      </c>
      <c r="AG149" s="1">
        <v>4.0943449999999997</v>
      </c>
      <c r="AH149" s="1">
        <f t="shared" si="52"/>
        <v>-3.2307692307692308</v>
      </c>
      <c r="AI149" s="1">
        <f t="shared" si="53"/>
        <v>-8.8079352700384889E-2</v>
      </c>
      <c r="AJ149" s="1">
        <f t="shared" si="62"/>
        <v>2.7262656788214368E-2</v>
      </c>
      <c r="AK149" s="1">
        <f t="shared" si="63"/>
        <v>1345.437869822485</v>
      </c>
      <c r="AL149" s="1">
        <f t="shared" si="64"/>
        <v>36.680210874836654</v>
      </c>
      <c r="AM149" s="1">
        <v>0</v>
      </c>
      <c r="AN149" s="1">
        <v>1</v>
      </c>
      <c r="AO149" s="1">
        <v>0</v>
      </c>
      <c r="AP149" s="1">
        <f t="shared" si="54"/>
        <v>2.7369027575198667E-2</v>
      </c>
      <c r="AQ149" s="1">
        <v>0</v>
      </c>
      <c r="AR149" s="1">
        <v>1</v>
      </c>
      <c r="AS149" s="1">
        <v>0</v>
      </c>
      <c r="AT149" s="1">
        <v>0</v>
      </c>
      <c r="AU149" s="4">
        <v>0</v>
      </c>
      <c r="AV149" s="4">
        <v>0</v>
      </c>
      <c r="AW149" s="1">
        <f t="shared" si="55"/>
        <v>9.5238095238095247E-3</v>
      </c>
      <c r="AX149" s="1">
        <f t="shared" si="56"/>
        <v>9.0702947845804991E-5</v>
      </c>
    </row>
    <row r="150" spans="1:50" x14ac:dyDescent="0.25">
      <c r="A150" s="1" t="s">
        <v>56</v>
      </c>
      <c r="B150" s="1">
        <v>2011</v>
      </c>
      <c r="C150" s="1">
        <f t="shared" si="57"/>
        <v>19</v>
      </c>
      <c r="D150" s="1" t="s">
        <v>24</v>
      </c>
      <c r="E150" s="1" t="s">
        <v>25</v>
      </c>
      <c r="F150" s="2">
        <v>9.7600000000000006E-2</v>
      </c>
      <c r="G150" s="3">
        <v>3.7900000000000003E-2</v>
      </c>
      <c r="H150" s="1">
        <v>8</v>
      </c>
      <c r="I150" s="1">
        <v>1343</v>
      </c>
      <c r="J150" s="1">
        <f t="shared" si="58"/>
        <v>1335</v>
      </c>
      <c r="K150" s="1">
        <v>105</v>
      </c>
      <c r="L150" s="1">
        <v>1991</v>
      </c>
      <c r="M150" s="1">
        <v>2006</v>
      </c>
      <c r="N150" s="1">
        <f t="shared" si="67"/>
        <v>1998.5</v>
      </c>
      <c r="O150" s="1">
        <f t="shared" si="68"/>
        <v>16</v>
      </c>
      <c r="P150" s="1">
        <f t="shared" si="51"/>
        <v>2.7725887222397811</v>
      </c>
      <c r="Q150" s="1">
        <v>59</v>
      </c>
      <c r="R150" s="1">
        <v>0</v>
      </c>
      <c r="S150" s="1" t="s">
        <v>27</v>
      </c>
      <c r="T150" s="1">
        <f t="shared" si="60"/>
        <v>0</v>
      </c>
      <c r="U150" s="1">
        <v>1</v>
      </c>
      <c r="V150" s="1">
        <v>1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 t="s">
        <v>85</v>
      </c>
      <c r="AC150" s="1">
        <f t="shared" si="50"/>
        <v>1</v>
      </c>
      <c r="AD150" s="1">
        <f t="shared" si="61"/>
        <v>1</v>
      </c>
      <c r="AE150" s="1">
        <v>0</v>
      </c>
      <c r="AF150" s="1">
        <v>7.6063879999999999</v>
      </c>
      <c r="AG150" s="1">
        <v>4.0943449999999997</v>
      </c>
      <c r="AH150" s="1">
        <f t="shared" si="52"/>
        <v>2.5751978891820579</v>
      </c>
      <c r="AI150" s="1">
        <f t="shared" si="53"/>
        <v>7.0306254372667229E-2</v>
      </c>
      <c r="AJ150" s="1">
        <f t="shared" si="62"/>
        <v>2.7301301646763199E-2</v>
      </c>
      <c r="AK150" s="1">
        <f t="shared" si="63"/>
        <v>1341.6316441684478</v>
      </c>
      <c r="AL150" s="1">
        <f t="shared" si="64"/>
        <v>36.628290216285656</v>
      </c>
      <c r="AM150" s="1">
        <v>0</v>
      </c>
      <c r="AN150" s="1">
        <v>1</v>
      </c>
      <c r="AO150" s="1">
        <v>0</v>
      </c>
      <c r="AP150" s="1">
        <f t="shared" si="54"/>
        <v>2.7369027575198667E-2</v>
      </c>
      <c r="AQ150" s="1">
        <v>0</v>
      </c>
      <c r="AR150" s="1">
        <v>1</v>
      </c>
      <c r="AS150" s="1">
        <v>0</v>
      </c>
      <c r="AT150" s="1">
        <v>0</v>
      </c>
      <c r="AU150" s="4">
        <v>1</v>
      </c>
      <c r="AV150" s="4">
        <v>0</v>
      </c>
      <c r="AW150" s="1">
        <f t="shared" si="55"/>
        <v>9.5238095238095247E-3</v>
      </c>
      <c r="AX150" s="1">
        <f t="shared" si="56"/>
        <v>9.0702947845804991E-5</v>
      </c>
    </row>
    <row r="151" spans="1:50" x14ac:dyDescent="0.25">
      <c r="A151" s="1" t="s">
        <v>56</v>
      </c>
      <c r="B151" s="1">
        <v>2011</v>
      </c>
      <c r="C151" s="1">
        <f t="shared" si="57"/>
        <v>19</v>
      </c>
      <c r="D151" s="1" t="s">
        <v>24</v>
      </c>
      <c r="E151" s="1" t="s">
        <v>25</v>
      </c>
      <c r="F151" s="2">
        <v>3.3300000000000003E-2</v>
      </c>
      <c r="G151" s="3">
        <v>4.6300000000000001E-2</v>
      </c>
      <c r="H151" s="1">
        <v>8</v>
      </c>
      <c r="I151" s="1">
        <v>1343</v>
      </c>
      <c r="J151" s="1">
        <f t="shared" si="58"/>
        <v>1335</v>
      </c>
      <c r="K151" s="1">
        <v>105</v>
      </c>
      <c r="L151" s="1">
        <v>1991</v>
      </c>
      <c r="M151" s="1">
        <v>2006</v>
      </c>
      <c r="N151" s="1">
        <f t="shared" si="67"/>
        <v>1998.5</v>
      </c>
      <c r="O151" s="1">
        <f t="shared" si="68"/>
        <v>16</v>
      </c>
      <c r="P151" s="1">
        <f t="shared" si="51"/>
        <v>2.7725887222397811</v>
      </c>
      <c r="Q151" s="1">
        <v>59</v>
      </c>
      <c r="R151" s="1">
        <v>0</v>
      </c>
      <c r="S151" s="1" t="s">
        <v>27</v>
      </c>
      <c r="T151" s="1">
        <f t="shared" si="60"/>
        <v>0</v>
      </c>
      <c r="U151" s="1">
        <v>1</v>
      </c>
      <c r="V151" s="1">
        <v>1</v>
      </c>
      <c r="W151" s="1">
        <v>0</v>
      </c>
      <c r="X151" s="1">
        <v>0</v>
      </c>
      <c r="Y151" s="1">
        <v>1</v>
      </c>
      <c r="Z151" s="1">
        <v>0</v>
      </c>
      <c r="AA151" s="1">
        <v>0</v>
      </c>
      <c r="AB151" s="1" t="s">
        <v>85</v>
      </c>
      <c r="AC151" s="1">
        <f t="shared" si="50"/>
        <v>1</v>
      </c>
      <c r="AD151" s="1">
        <f t="shared" si="61"/>
        <v>1</v>
      </c>
      <c r="AE151" s="1">
        <v>0</v>
      </c>
      <c r="AF151" s="1">
        <v>7.6063879999999999</v>
      </c>
      <c r="AG151" s="1">
        <v>4.0943449999999997</v>
      </c>
      <c r="AH151" s="1">
        <f t="shared" si="52"/>
        <v>0.71922246220302377</v>
      </c>
      <c r="AI151" s="1">
        <f t="shared" si="53"/>
        <v>1.9680606884986514E-2</v>
      </c>
      <c r="AJ151" s="1">
        <f t="shared" si="62"/>
        <v>2.7363726689936203E-2</v>
      </c>
      <c r="AK151" s="1">
        <f t="shared" si="63"/>
        <v>1335.5172809501375</v>
      </c>
      <c r="AL151" s="1">
        <f t="shared" si="64"/>
        <v>36.544729865606307</v>
      </c>
      <c r="AM151" s="1">
        <v>0</v>
      </c>
      <c r="AN151" s="1">
        <v>1</v>
      </c>
      <c r="AO151" s="1">
        <v>0</v>
      </c>
      <c r="AP151" s="1">
        <f t="shared" si="54"/>
        <v>2.7369027575198667E-2</v>
      </c>
      <c r="AQ151" s="1">
        <v>0</v>
      </c>
      <c r="AR151" s="1">
        <v>1</v>
      </c>
      <c r="AS151" s="1">
        <v>0</v>
      </c>
      <c r="AT151" s="1">
        <v>0</v>
      </c>
      <c r="AU151" s="4">
        <v>0</v>
      </c>
      <c r="AV151" s="4">
        <v>1</v>
      </c>
      <c r="AW151" s="1">
        <f t="shared" si="55"/>
        <v>9.5238095238095247E-3</v>
      </c>
      <c r="AX151" s="1">
        <f t="shared" si="56"/>
        <v>9.0702947845804991E-5</v>
      </c>
    </row>
    <row r="152" spans="1:50" x14ac:dyDescent="0.25">
      <c r="A152" s="1" t="s">
        <v>56</v>
      </c>
      <c r="B152" s="1">
        <v>2011</v>
      </c>
      <c r="C152" s="1">
        <f t="shared" si="57"/>
        <v>19</v>
      </c>
      <c r="D152" s="1" t="s">
        <v>24</v>
      </c>
      <c r="E152" s="1" t="s">
        <v>25</v>
      </c>
      <c r="F152" s="2">
        <v>-0.17630000000000001</v>
      </c>
      <c r="G152" s="3">
        <v>6.4399999999999999E-2</v>
      </c>
      <c r="H152" s="1">
        <v>8</v>
      </c>
      <c r="I152" s="1">
        <v>1358</v>
      </c>
      <c r="J152" s="1">
        <f t="shared" si="58"/>
        <v>1350</v>
      </c>
      <c r="K152" s="1">
        <v>105</v>
      </c>
      <c r="L152" s="1">
        <v>1991</v>
      </c>
      <c r="M152" s="1">
        <v>2006</v>
      </c>
      <c r="N152" s="1">
        <f t="shared" si="67"/>
        <v>1998.5</v>
      </c>
      <c r="O152" s="1">
        <f t="shared" si="68"/>
        <v>16</v>
      </c>
      <c r="P152" s="1">
        <f t="shared" si="51"/>
        <v>2.7725887222397811</v>
      </c>
      <c r="Q152" s="1">
        <v>59</v>
      </c>
      <c r="R152" s="1">
        <v>0</v>
      </c>
      <c r="S152" s="1" t="s">
        <v>27</v>
      </c>
      <c r="T152" s="1">
        <f t="shared" si="60"/>
        <v>0</v>
      </c>
      <c r="U152" s="1">
        <v>1</v>
      </c>
      <c r="V152" s="1">
        <v>1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 t="s">
        <v>85</v>
      </c>
      <c r="AC152" s="1">
        <f t="shared" si="50"/>
        <v>1</v>
      </c>
      <c r="AD152" s="1">
        <f t="shared" si="61"/>
        <v>1</v>
      </c>
      <c r="AE152" s="1">
        <v>0</v>
      </c>
      <c r="AF152" s="1">
        <v>7.6063879999999999</v>
      </c>
      <c r="AG152" s="1">
        <v>4.0943449999999997</v>
      </c>
      <c r="AH152" s="1">
        <f t="shared" si="52"/>
        <v>-2.737577639751553</v>
      </c>
      <c r="AI152" s="1">
        <f t="shared" si="53"/>
        <v>-7.4301474539651996E-2</v>
      </c>
      <c r="AJ152" s="1">
        <f t="shared" si="62"/>
        <v>2.7141321386010143E-2</v>
      </c>
      <c r="AK152" s="1">
        <f t="shared" si="63"/>
        <v>1357.4943313336676</v>
      </c>
      <c r="AL152" s="1">
        <f t="shared" si="64"/>
        <v>36.84418992641401</v>
      </c>
      <c r="AM152" s="1">
        <v>0</v>
      </c>
      <c r="AN152" s="1">
        <v>1</v>
      </c>
      <c r="AO152" s="1">
        <v>0</v>
      </c>
      <c r="AP152" s="1">
        <f t="shared" si="54"/>
        <v>2.7216552697590865E-2</v>
      </c>
      <c r="AQ152" s="1">
        <v>0</v>
      </c>
      <c r="AR152" s="1">
        <v>1</v>
      </c>
      <c r="AS152" s="1">
        <v>0</v>
      </c>
      <c r="AT152" s="1">
        <v>0</v>
      </c>
      <c r="AU152" s="4">
        <v>0</v>
      </c>
      <c r="AV152" s="4">
        <v>0</v>
      </c>
      <c r="AW152" s="1">
        <f t="shared" si="55"/>
        <v>9.5238095238095247E-3</v>
      </c>
      <c r="AX152" s="1">
        <f t="shared" si="56"/>
        <v>9.0702947845804991E-5</v>
      </c>
    </row>
    <row r="153" spans="1:50" x14ac:dyDescent="0.25">
      <c r="A153" s="1" t="s">
        <v>56</v>
      </c>
      <c r="B153" s="1">
        <v>2011</v>
      </c>
      <c r="C153" s="1">
        <f t="shared" si="57"/>
        <v>19</v>
      </c>
      <c r="D153" s="1" t="s">
        <v>24</v>
      </c>
      <c r="E153" s="1" t="s">
        <v>25</v>
      </c>
      <c r="F153" s="2">
        <v>1.49E-2</v>
      </c>
      <c r="G153" s="3">
        <v>4.4499999999999998E-2</v>
      </c>
      <c r="H153" s="1">
        <v>8</v>
      </c>
      <c r="I153" s="1">
        <v>1358</v>
      </c>
      <c r="J153" s="1">
        <f t="shared" si="58"/>
        <v>1350</v>
      </c>
      <c r="K153" s="1">
        <v>105</v>
      </c>
      <c r="L153" s="1">
        <v>1991</v>
      </c>
      <c r="M153" s="1">
        <v>2006</v>
      </c>
      <c r="N153" s="1">
        <f t="shared" si="67"/>
        <v>1998.5</v>
      </c>
      <c r="O153" s="1">
        <f t="shared" si="68"/>
        <v>16</v>
      </c>
      <c r="P153" s="1">
        <f t="shared" si="51"/>
        <v>2.7725887222397811</v>
      </c>
      <c r="Q153" s="1">
        <v>59</v>
      </c>
      <c r="R153" s="1">
        <v>0</v>
      </c>
      <c r="S153" s="1" t="s">
        <v>27</v>
      </c>
      <c r="T153" s="1">
        <f t="shared" si="60"/>
        <v>0</v>
      </c>
      <c r="U153" s="1">
        <v>1</v>
      </c>
      <c r="V153" s="1">
        <v>1</v>
      </c>
      <c r="W153" s="1">
        <v>0</v>
      </c>
      <c r="X153" s="1">
        <v>0</v>
      </c>
      <c r="Y153" s="1">
        <v>1</v>
      </c>
      <c r="Z153" s="1">
        <v>0</v>
      </c>
      <c r="AA153" s="1">
        <v>0</v>
      </c>
      <c r="AB153" s="1" t="s">
        <v>85</v>
      </c>
      <c r="AC153" s="1">
        <f t="shared" si="50"/>
        <v>1</v>
      </c>
      <c r="AD153" s="1">
        <f t="shared" si="61"/>
        <v>1</v>
      </c>
      <c r="AE153" s="1">
        <v>0</v>
      </c>
      <c r="AF153" s="1">
        <v>7.6063879999999999</v>
      </c>
      <c r="AG153" s="1">
        <v>4.0943449999999997</v>
      </c>
      <c r="AH153" s="1">
        <f t="shared" si="52"/>
        <v>0.33483146067415731</v>
      </c>
      <c r="AI153" s="1">
        <f t="shared" si="53"/>
        <v>9.1125797204334238E-3</v>
      </c>
      <c r="AJ153" s="1">
        <f t="shared" si="62"/>
        <v>2.7215422654985728E-2</v>
      </c>
      <c r="AK153" s="1">
        <f t="shared" si="63"/>
        <v>1350.1121121070569</v>
      </c>
      <c r="AL153" s="1">
        <f t="shared" si="64"/>
        <v>36.743871762609025</v>
      </c>
      <c r="AM153" s="1">
        <v>0</v>
      </c>
      <c r="AN153" s="1">
        <v>1</v>
      </c>
      <c r="AO153" s="1">
        <v>0</v>
      </c>
      <c r="AP153" s="1">
        <f t="shared" si="54"/>
        <v>2.7216552697590865E-2</v>
      </c>
      <c r="AQ153" s="1">
        <v>0</v>
      </c>
      <c r="AR153" s="1">
        <v>1</v>
      </c>
      <c r="AS153" s="1">
        <v>0</v>
      </c>
      <c r="AT153" s="1">
        <v>0</v>
      </c>
      <c r="AU153" s="4">
        <v>1</v>
      </c>
      <c r="AV153" s="4">
        <v>0</v>
      </c>
      <c r="AW153" s="1">
        <f t="shared" si="55"/>
        <v>9.5238095238095247E-3</v>
      </c>
      <c r="AX153" s="1">
        <f t="shared" si="56"/>
        <v>9.0702947845804991E-5</v>
      </c>
    </row>
    <row r="154" spans="1:50" x14ac:dyDescent="0.25">
      <c r="A154" s="1" t="s">
        <v>56</v>
      </c>
      <c r="B154" s="1">
        <v>2011</v>
      </c>
      <c r="C154" s="1">
        <f t="shared" si="57"/>
        <v>19</v>
      </c>
      <c r="D154" s="1" t="s">
        <v>24</v>
      </c>
      <c r="E154" s="1" t="s">
        <v>25</v>
      </c>
      <c r="F154" s="2">
        <v>1.6400000000000001E-2</v>
      </c>
      <c r="G154" s="3">
        <v>5.3699999999999998E-2</v>
      </c>
      <c r="H154" s="1">
        <v>8</v>
      </c>
      <c r="I154" s="1">
        <v>1358</v>
      </c>
      <c r="J154" s="1">
        <f t="shared" si="58"/>
        <v>1350</v>
      </c>
      <c r="K154" s="1">
        <v>105</v>
      </c>
      <c r="L154" s="1">
        <v>1991</v>
      </c>
      <c r="M154" s="1">
        <v>2006</v>
      </c>
      <c r="N154" s="1">
        <f t="shared" si="67"/>
        <v>1998.5</v>
      </c>
      <c r="O154" s="1">
        <f t="shared" si="68"/>
        <v>16</v>
      </c>
      <c r="P154" s="1">
        <f t="shared" si="51"/>
        <v>2.7725887222397811</v>
      </c>
      <c r="Q154" s="1">
        <v>59</v>
      </c>
      <c r="R154" s="1">
        <v>0</v>
      </c>
      <c r="S154" s="1" t="s">
        <v>27</v>
      </c>
      <c r="T154" s="1">
        <f t="shared" si="60"/>
        <v>0</v>
      </c>
      <c r="U154" s="1">
        <v>1</v>
      </c>
      <c r="V154" s="1">
        <v>1</v>
      </c>
      <c r="W154" s="1">
        <v>0</v>
      </c>
      <c r="X154" s="1">
        <v>0</v>
      </c>
      <c r="Y154" s="1">
        <v>1</v>
      </c>
      <c r="Z154" s="1">
        <v>0</v>
      </c>
      <c r="AA154" s="1">
        <v>0</v>
      </c>
      <c r="AB154" s="1" t="s">
        <v>85</v>
      </c>
      <c r="AC154" s="1">
        <f t="shared" si="50"/>
        <v>1</v>
      </c>
      <c r="AD154" s="1">
        <f t="shared" si="61"/>
        <v>1</v>
      </c>
      <c r="AE154" s="1">
        <v>0</v>
      </c>
      <c r="AF154" s="1">
        <v>7.6063879999999999</v>
      </c>
      <c r="AG154" s="1">
        <v>4.0943449999999997</v>
      </c>
      <c r="AH154" s="1">
        <f t="shared" si="52"/>
        <v>0.3054003724394786</v>
      </c>
      <c r="AI154" s="1">
        <f t="shared" si="53"/>
        <v>8.3116582155920282E-3</v>
      </c>
      <c r="AJ154" s="1">
        <f t="shared" si="62"/>
        <v>2.7215612571786091E-2</v>
      </c>
      <c r="AK154" s="1">
        <f t="shared" si="63"/>
        <v>1350.0932693874856</v>
      </c>
      <c r="AL154" s="1">
        <f t="shared" si="64"/>
        <v>36.743615355425845</v>
      </c>
      <c r="AM154" s="1">
        <v>0</v>
      </c>
      <c r="AN154" s="1">
        <v>1</v>
      </c>
      <c r="AO154" s="1">
        <v>0</v>
      </c>
      <c r="AP154" s="1">
        <f t="shared" si="54"/>
        <v>2.7216552697590865E-2</v>
      </c>
      <c r="AQ154" s="1">
        <v>0</v>
      </c>
      <c r="AR154" s="1">
        <v>1</v>
      </c>
      <c r="AS154" s="1">
        <v>0</v>
      </c>
      <c r="AT154" s="1">
        <v>0</v>
      </c>
      <c r="AU154" s="4">
        <v>0</v>
      </c>
      <c r="AV154" s="4">
        <v>1</v>
      </c>
      <c r="AW154" s="1">
        <f t="shared" si="55"/>
        <v>9.5238095238095247E-3</v>
      </c>
      <c r="AX154" s="1">
        <f t="shared" si="56"/>
        <v>9.0702947845804991E-5</v>
      </c>
    </row>
    <row r="155" spans="1:50" x14ac:dyDescent="0.25">
      <c r="A155" s="1" t="s">
        <v>56</v>
      </c>
      <c r="B155" s="1">
        <v>2011</v>
      </c>
      <c r="C155" s="1">
        <f t="shared" si="57"/>
        <v>19</v>
      </c>
      <c r="D155" s="1" t="s">
        <v>24</v>
      </c>
      <c r="E155" s="1" t="s">
        <v>25</v>
      </c>
      <c r="F155" s="2">
        <v>-0.22989999999999999</v>
      </c>
      <c r="G155" s="3">
        <v>0.16059999999999999</v>
      </c>
      <c r="H155" s="1">
        <v>8</v>
      </c>
      <c r="I155" s="1">
        <v>741</v>
      </c>
      <c r="J155" s="1">
        <f t="shared" si="58"/>
        <v>733</v>
      </c>
      <c r="K155" s="1">
        <v>105</v>
      </c>
      <c r="L155" s="1">
        <v>1999</v>
      </c>
      <c r="M155" s="1">
        <v>2006</v>
      </c>
      <c r="N155" s="1">
        <f t="shared" si="67"/>
        <v>2002.5</v>
      </c>
      <c r="O155" s="1">
        <f t="shared" si="68"/>
        <v>8</v>
      </c>
      <c r="P155" s="1">
        <f t="shared" si="51"/>
        <v>2.0794415416798357</v>
      </c>
      <c r="Q155" s="1">
        <v>59</v>
      </c>
      <c r="R155" s="1">
        <v>0</v>
      </c>
      <c r="S155" s="1" t="s">
        <v>27</v>
      </c>
      <c r="T155" s="1">
        <f t="shared" si="60"/>
        <v>0</v>
      </c>
      <c r="U155" s="1">
        <v>1</v>
      </c>
      <c r="V155" s="1">
        <v>1</v>
      </c>
      <c r="W155" s="1">
        <v>1</v>
      </c>
      <c r="X155" s="1">
        <v>0</v>
      </c>
      <c r="Y155" s="1">
        <v>1</v>
      </c>
      <c r="Z155" s="1">
        <v>0</v>
      </c>
      <c r="AA155" s="1">
        <v>0</v>
      </c>
      <c r="AB155" s="1" t="s">
        <v>85</v>
      </c>
      <c r="AC155" s="1">
        <f t="shared" si="50"/>
        <v>1</v>
      </c>
      <c r="AD155" s="1">
        <f t="shared" si="61"/>
        <v>1</v>
      </c>
      <c r="AE155" s="1">
        <v>0</v>
      </c>
      <c r="AF155" s="1">
        <v>7.6063879999999999</v>
      </c>
      <c r="AG155" s="1">
        <v>4.0943449999999997</v>
      </c>
      <c r="AH155" s="1">
        <f t="shared" si="52"/>
        <v>-1.4315068493150684</v>
      </c>
      <c r="AI155" s="1">
        <f t="shared" si="53"/>
        <v>-5.2800158008731432E-2</v>
      </c>
      <c r="AJ155" s="1">
        <f t="shared" si="62"/>
        <v>3.6884320905621E-2</v>
      </c>
      <c r="AK155" s="1">
        <f t="shared" si="63"/>
        <v>735.04921185963622</v>
      </c>
      <c r="AL155" s="1">
        <f t="shared" si="64"/>
        <v>27.111791011654621</v>
      </c>
      <c r="AM155" s="1">
        <v>0</v>
      </c>
      <c r="AN155" s="1">
        <v>1</v>
      </c>
      <c r="AO155" s="1">
        <v>0</v>
      </c>
      <c r="AP155" s="1">
        <f t="shared" si="54"/>
        <v>3.6935842757655886E-2</v>
      </c>
      <c r="AQ155" s="1">
        <v>0</v>
      </c>
      <c r="AR155" s="1">
        <v>1</v>
      </c>
      <c r="AS155" s="1">
        <v>0</v>
      </c>
      <c r="AT155" s="1">
        <v>0</v>
      </c>
      <c r="AU155" s="4">
        <v>0</v>
      </c>
      <c r="AV155" s="4">
        <v>0</v>
      </c>
      <c r="AW155" s="1">
        <f t="shared" si="55"/>
        <v>9.5238095238095247E-3</v>
      </c>
      <c r="AX155" s="1">
        <f t="shared" si="56"/>
        <v>9.0702947845804991E-5</v>
      </c>
    </row>
    <row r="156" spans="1:50" x14ac:dyDescent="0.25">
      <c r="A156" s="1" t="s">
        <v>56</v>
      </c>
      <c r="B156" s="1">
        <v>2011</v>
      </c>
      <c r="C156" s="1">
        <f t="shared" si="57"/>
        <v>19</v>
      </c>
      <c r="D156" s="1" t="s">
        <v>24</v>
      </c>
      <c r="E156" s="1" t="s">
        <v>25</v>
      </c>
      <c r="F156" s="2">
        <v>-2.6800000000000001E-2</v>
      </c>
      <c r="G156" s="3">
        <v>0.1143</v>
      </c>
      <c r="H156" s="1">
        <v>8</v>
      </c>
      <c r="I156" s="1">
        <v>741</v>
      </c>
      <c r="J156" s="1">
        <f t="shared" si="58"/>
        <v>733</v>
      </c>
      <c r="K156" s="1">
        <v>105</v>
      </c>
      <c r="L156" s="1">
        <v>1999</v>
      </c>
      <c r="M156" s="1">
        <v>2006</v>
      </c>
      <c r="N156" s="1">
        <f t="shared" ref="N156:N219" si="69">+L156+(M156-L156)/2</f>
        <v>2002.5</v>
      </c>
      <c r="O156" s="1">
        <f t="shared" ref="O156:O219" si="70">+M156-L156+1</f>
        <v>8</v>
      </c>
      <c r="P156" s="1">
        <f t="shared" si="51"/>
        <v>2.0794415416798357</v>
      </c>
      <c r="Q156" s="1">
        <v>59</v>
      </c>
      <c r="R156" s="1">
        <v>0</v>
      </c>
      <c r="S156" s="1" t="s">
        <v>27</v>
      </c>
      <c r="T156" s="1">
        <f t="shared" si="60"/>
        <v>0</v>
      </c>
      <c r="U156" s="1">
        <v>1</v>
      </c>
      <c r="V156" s="1">
        <v>1</v>
      </c>
      <c r="W156" s="1">
        <v>1</v>
      </c>
      <c r="X156" s="1">
        <v>0</v>
      </c>
      <c r="Y156" s="1">
        <v>1</v>
      </c>
      <c r="Z156" s="1">
        <v>0</v>
      </c>
      <c r="AA156" s="1">
        <v>0</v>
      </c>
      <c r="AB156" s="1" t="s">
        <v>85</v>
      </c>
      <c r="AC156" s="1">
        <f t="shared" si="50"/>
        <v>1</v>
      </c>
      <c r="AD156" s="1">
        <f t="shared" si="61"/>
        <v>1</v>
      </c>
      <c r="AE156" s="1">
        <v>0</v>
      </c>
      <c r="AF156" s="1">
        <v>7.6063879999999999</v>
      </c>
      <c r="AG156" s="1">
        <v>4.0943449999999997</v>
      </c>
      <c r="AH156" s="1">
        <f t="shared" si="52"/>
        <v>-0.23447069116360456</v>
      </c>
      <c r="AI156" s="1">
        <f t="shared" si="53"/>
        <v>-8.6600478255030207E-3</v>
      </c>
      <c r="AJ156" s="1">
        <f t="shared" si="62"/>
        <v>3.6934457703544601E-2</v>
      </c>
      <c r="AK156" s="1">
        <f t="shared" si="63"/>
        <v>733.05497650501468</v>
      </c>
      <c r="AL156" s="1">
        <f t="shared" si="64"/>
        <v>27.074988024097344</v>
      </c>
      <c r="AM156" s="1">
        <v>0</v>
      </c>
      <c r="AN156" s="1">
        <v>1</v>
      </c>
      <c r="AO156" s="1">
        <v>0</v>
      </c>
      <c r="AP156" s="1">
        <f t="shared" si="54"/>
        <v>3.6935842757655886E-2</v>
      </c>
      <c r="AQ156" s="1">
        <v>0</v>
      </c>
      <c r="AR156" s="1">
        <v>1</v>
      </c>
      <c r="AS156" s="1">
        <v>0</v>
      </c>
      <c r="AT156" s="1">
        <v>0</v>
      </c>
      <c r="AU156" s="4">
        <v>1</v>
      </c>
      <c r="AV156" s="4">
        <v>0</v>
      </c>
      <c r="AW156" s="1">
        <f t="shared" si="55"/>
        <v>9.5238095238095247E-3</v>
      </c>
      <c r="AX156" s="1">
        <f t="shared" si="56"/>
        <v>9.0702947845804991E-5</v>
      </c>
    </row>
    <row r="157" spans="1:50" x14ac:dyDescent="0.25">
      <c r="A157" s="1" t="s">
        <v>56</v>
      </c>
      <c r="B157" s="1">
        <v>2011</v>
      </c>
      <c r="C157" s="1">
        <f t="shared" si="57"/>
        <v>19</v>
      </c>
      <c r="D157" s="1" t="s">
        <v>24</v>
      </c>
      <c r="E157" s="1" t="s">
        <v>25</v>
      </c>
      <c r="F157" s="2">
        <v>-4.02E-2</v>
      </c>
      <c r="G157" s="3">
        <v>0.13930000000000001</v>
      </c>
      <c r="H157" s="1">
        <v>8</v>
      </c>
      <c r="I157" s="1">
        <v>741</v>
      </c>
      <c r="J157" s="1">
        <f t="shared" si="58"/>
        <v>733</v>
      </c>
      <c r="K157" s="1">
        <v>105</v>
      </c>
      <c r="L157" s="1">
        <v>1999</v>
      </c>
      <c r="M157" s="1">
        <v>2006</v>
      </c>
      <c r="N157" s="1">
        <f t="shared" si="69"/>
        <v>2002.5</v>
      </c>
      <c r="O157" s="1">
        <f t="shared" si="70"/>
        <v>8</v>
      </c>
      <c r="P157" s="1">
        <f t="shared" si="51"/>
        <v>2.0794415416798357</v>
      </c>
      <c r="Q157" s="1">
        <v>59</v>
      </c>
      <c r="R157" s="1">
        <v>0</v>
      </c>
      <c r="S157" s="1" t="s">
        <v>27</v>
      </c>
      <c r="T157" s="1">
        <f t="shared" si="60"/>
        <v>0</v>
      </c>
      <c r="U157" s="1">
        <v>1</v>
      </c>
      <c r="V157" s="1">
        <v>1</v>
      </c>
      <c r="W157" s="1">
        <v>1</v>
      </c>
      <c r="X157" s="1">
        <v>0</v>
      </c>
      <c r="Y157" s="1">
        <v>1</v>
      </c>
      <c r="Z157" s="1">
        <v>0</v>
      </c>
      <c r="AA157" s="1">
        <v>0</v>
      </c>
      <c r="AB157" s="1" t="s">
        <v>85</v>
      </c>
      <c r="AC157" s="1">
        <f t="shared" si="50"/>
        <v>1</v>
      </c>
      <c r="AD157" s="1">
        <f t="shared" si="61"/>
        <v>1</v>
      </c>
      <c r="AE157" s="1">
        <v>0</v>
      </c>
      <c r="AF157" s="1">
        <v>7.6063879999999999</v>
      </c>
      <c r="AG157" s="1">
        <v>4.0943449999999997</v>
      </c>
      <c r="AH157" s="1">
        <f t="shared" si="52"/>
        <v>-0.28858578607322322</v>
      </c>
      <c r="AI157" s="1">
        <f t="shared" si="53"/>
        <v>-1.0658553733644873E-2</v>
      </c>
      <c r="AJ157" s="1">
        <f t="shared" si="62"/>
        <v>3.6933744654147539E-2</v>
      </c>
      <c r="AK157" s="1">
        <f t="shared" si="63"/>
        <v>733.08328175592362</v>
      </c>
      <c r="AL157" s="1">
        <f t="shared" si="64"/>
        <v>27.075510738597778</v>
      </c>
      <c r="AM157" s="1">
        <v>0</v>
      </c>
      <c r="AN157" s="1">
        <v>1</v>
      </c>
      <c r="AO157" s="1">
        <v>0</v>
      </c>
      <c r="AP157" s="1">
        <f t="shared" si="54"/>
        <v>3.6935842757655886E-2</v>
      </c>
      <c r="AQ157" s="1">
        <v>0</v>
      </c>
      <c r="AR157" s="1">
        <v>1</v>
      </c>
      <c r="AS157" s="1">
        <v>0</v>
      </c>
      <c r="AT157" s="1">
        <v>0</v>
      </c>
      <c r="AU157" s="4">
        <v>0</v>
      </c>
      <c r="AV157" s="4">
        <v>1</v>
      </c>
      <c r="AW157" s="1">
        <f t="shared" si="55"/>
        <v>9.5238095238095247E-3</v>
      </c>
      <c r="AX157" s="1">
        <f t="shared" si="56"/>
        <v>9.0702947845804991E-5</v>
      </c>
    </row>
    <row r="158" spans="1:50" x14ac:dyDescent="0.25">
      <c r="A158" s="1" t="s">
        <v>56</v>
      </c>
      <c r="B158" s="1">
        <v>2011</v>
      </c>
      <c r="C158" s="1">
        <f t="shared" si="57"/>
        <v>19</v>
      </c>
      <c r="D158" s="1" t="s">
        <v>24</v>
      </c>
      <c r="E158" s="1" t="s">
        <v>25</v>
      </c>
      <c r="F158" s="2">
        <v>-0.1381</v>
      </c>
      <c r="G158" s="3">
        <v>6.8599999999999994E-2</v>
      </c>
      <c r="H158" s="1">
        <v>8</v>
      </c>
      <c r="I158" s="1">
        <v>832</v>
      </c>
      <c r="J158" s="1">
        <f t="shared" si="58"/>
        <v>824</v>
      </c>
      <c r="K158" s="1">
        <v>105</v>
      </c>
      <c r="L158" s="1">
        <v>1991</v>
      </c>
      <c r="M158" s="1">
        <v>2006</v>
      </c>
      <c r="N158" s="1">
        <f t="shared" si="69"/>
        <v>1998.5</v>
      </c>
      <c r="O158" s="1">
        <f t="shared" si="70"/>
        <v>16</v>
      </c>
      <c r="P158" s="1">
        <f t="shared" si="51"/>
        <v>2.7725887222397811</v>
      </c>
      <c r="Q158" s="1">
        <v>59</v>
      </c>
      <c r="R158" s="1">
        <v>0</v>
      </c>
      <c r="S158" s="1" t="s">
        <v>27</v>
      </c>
      <c r="T158" s="1">
        <f t="shared" si="60"/>
        <v>0</v>
      </c>
      <c r="U158" s="1">
        <v>1</v>
      </c>
      <c r="V158" s="1">
        <v>1</v>
      </c>
      <c r="W158" s="1">
        <v>0</v>
      </c>
      <c r="X158" s="1">
        <v>0</v>
      </c>
      <c r="Y158" s="1">
        <v>1</v>
      </c>
      <c r="Z158" s="1">
        <v>0</v>
      </c>
      <c r="AA158" s="1">
        <v>0</v>
      </c>
      <c r="AB158" s="1" t="s">
        <v>85</v>
      </c>
      <c r="AC158" s="1">
        <f t="shared" si="50"/>
        <v>1</v>
      </c>
      <c r="AD158" s="1">
        <f t="shared" si="61"/>
        <v>1</v>
      </c>
      <c r="AE158" s="1">
        <v>0</v>
      </c>
      <c r="AF158" s="1">
        <v>7.6063879999999999</v>
      </c>
      <c r="AG158" s="1">
        <v>4.0943449999999997</v>
      </c>
      <c r="AH158" s="1">
        <f t="shared" si="52"/>
        <v>-2.0131195335276968</v>
      </c>
      <c r="AI158" s="1">
        <f t="shared" si="53"/>
        <v>-6.9958515793376377E-2</v>
      </c>
      <c r="AJ158" s="1">
        <f t="shared" si="62"/>
        <v>3.4751297490409991E-2</v>
      </c>
      <c r="AK158" s="1">
        <f t="shared" si="63"/>
        <v>828.05265025627068</v>
      </c>
      <c r="AL158" s="1">
        <f t="shared" si="64"/>
        <v>28.775903986778083</v>
      </c>
      <c r="AM158" s="1">
        <v>0</v>
      </c>
      <c r="AN158" s="1">
        <v>1</v>
      </c>
      <c r="AO158" s="1">
        <v>0</v>
      </c>
      <c r="AP158" s="1">
        <f t="shared" si="54"/>
        <v>3.4836650714580884E-2</v>
      </c>
      <c r="AQ158" s="1">
        <v>0</v>
      </c>
      <c r="AR158" s="1">
        <v>1</v>
      </c>
      <c r="AS158" s="1">
        <v>0</v>
      </c>
      <c r="AT158" s="1">
        <v>0</v>
      </c>
      <c r="AU158" s="4">
        <v>0</v>
      </c>
      <c r="AV158" s="4">
        <v>0</v>
      </c>
      <c r="AW158" s="1">
        <f t="shared" si="55"/>
        <v>9.5238095238095247E-3</v>
      </c>
      <c r="AX158" s="1">
        <f t="shared" si="56"/>
        <v>9.0702947845804991E-5</v>
      </c>
    </row>
    <row r="159" spans="1:50" x14ac:dyDescent="0.25">
      <c r="A159" s="1" t="s">
        <v>56</v>
      </c>
      <c r="B159" s="1">
        <v>2011</v>
      </c>
      <c r="C159" s="1">
        <f t="shared" si="57"/>
        <v>19</v>
      </c>
      <c r="D159" s="1" t="s">
        <v>24</v>
      </c>
      <c r="E159" s="1" t="s">
        <v>25</v>
      </c>
      <c r="F159" s="2">
        <v>-2.7400000000000001E-2</v>
      </c>
      <c r="G159" s="3">
        <v>8.09E-2</v>
      </c>
      <c r="H159" s="1">
        <v>8</v>
      </c>
      <c r="I159" s="1">
        <v>832</v>
      </c>
      <c r="J159" s="1">
        <f t="shared" si="58"/>
        <v>824</v>
      </c>
      <c r="K159" s="1">
        <v>105</v>
      </c>
      <c r="L159" s="1">
        <v>1991</v>
      </c>
      <c r="M159" s="1">
        <v>2006</v>
      </c>
      <c r="N159" s="1">
        <f t="shared" si="69"/>
        <v>1998.5</v>
      </c>
      <c r="O159" s="1">
        <f t="shared" si="70"/>
        <v>16</v>
      </c>
      <c r="P159" s="1">
        <f t="shared" si="51"/>
        <v>2.7725887222397811</v>
      </c>
      <c r="Q159" s="1">
        <v>59</v>
      </c>
      <c r="R159" s="1">
        <v>0</v>
      </c>
      <c r="S159" s="1" t="s">
        <v>27</v>
      </c>
      <c r="T159" s="1">
        <f t="shared" si="60"/>
        <v>0</v>
      </c>
      <c r="U159" s="1">
        <v>1</v>
      </c>
      <c r="V159" s="1">
        <v>1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 t="s">
        <v>85</v>
      </c>
      <c r="AC159" s="1">
        <f t="shared" si="50"/>
        <v>1</v>
      </c>
      <c r="AD159" s="1">
        <f t="shared" si="61"/>
        <v>1</v>
      </c>
      <c r="AE159" s="1">
        <v>0</v>
      </c>
      <c r="AF159" s="1">
        <v>7.6063879999999999</v>
      </c>
      <c r="AG159" s="1">
        <v>4.0943449999999997</v>
      </c>
      <c r="AH159" s="1">
        <f t="shared" si="52"/>
        <v>-0.33868974042027195</v>
      </c>
      <c r="AI159" s="1">
        <f t="shared" si="53"/>
        <v>-1.1797995004597271E-2</v>
      </c>
      <c r="AJ159" s="1">
        <f t="shared" si="62"/>
        <v>3.483422612671238E-2</v>
      </c>
      <c r="AK159" s="1">
        <f t="shared" si="63"/>
        <v>824.1147107402661</v>
      </c>
      <c r="AL159" s="1">
        <f t="shared" si="64"/>
        <v>28.707398188276589</v>
      </c>
      <c r="AM159" s="1">
        <v>0</v>
      </c>
      <c r="AN159" s="1">
        <v>1</v>
      </c>
      <c r="AO159" s="1">
        <v>0</v>
      </c>
      <c r="AP159" s="1">
        <f t="shared" si="54"/>
        <v>3.4836650714580884E-2</v>
      </c>
      <c r="AQ159" s="1">
        <v>0</v>
      </c>
      <c r="AR159" s="1">
        <v>1</v>
      </c>
      <c r="AS159" s="1">
        <v>0</v>
      </c>
      <c r="AT159" s="1">
        <v>0</v>
      </c>
      <c r="AU159" s="4">
        <v>1</v>
      </c>
      <c r="AV159" s="4">
        <v>0</v>
      </c>
      <c r="AW159" s="1">
        <f t="shared" si="55"/>
        <v>9.5238095238095247E-3</v>
      </c>
      <c r="AX159" s="1">
        <f t="shared" si="56"/>
        <v>9.0702947845804991E-5</v>
      </c>
    </row>
    <row r="160" spans="1:50" x14ac:dyDescent="0.25">
      <c r="A160" s="1" t="s">
        <v>56</v>
      </c>
      <c r="B160" s="1">
        <v>2011</v>
      </c>
      <c r="C160" s="1">
        <f t="shared" si="57"/>
        <v>19</v>
      </c>
      <c r="D160" s="1" t="s">
        <v>24</v>
      </c>
      <c r="E160" s="1" t="s">
        <v>25</v>
      </c>
      <c r="F160" s="2">
        <v>-3.27E-2</v>
      </c>
      <c r="G160" s="3">
        <v>6.6000000000000003E-2</v>
      </c>
      <c r="H160" s="1">
        <v>8</v>
      </c>
      <c r="I160" s="1">
        <v>832</v>
      </c>
      <c r="J160" s="1">
        <f t="shared" si="58"/>
        <v>824</v>
      </c>
      <c r="K160" s="1">
        <v>105</v>
      </c>
      <c r="L160" s="1">
        <v>1991</v>
      </c>
      <c r="M160" s="1">
        <v>2006</v>
      </c>
      <c r="N160" s="1">
        <f t="shared" si="69"/>
        <v>1998.5</v>
      </c>
      <c r="O160" s="1">
        <f t="shared" si="70"/>
        <v>16</v>
      </c>
      <c r="P160" s="1">
        <f t="shared" si="51"/>
        <v>2.7725887222397811</v>
      </c>
      <c r="Q160" s="1">
        <v>59</v>
      </c>
      <c r="R160" s="1">
        <v>0</v>
      </c>
      <c r="S160" s="1" t="s">
        <v>27</v>
      </c>
      <c r="T160" s="1">
        <f t="shared" si="60"/>
        <v>0</v>
      </c>
      <c r="U160" s="1">
        <v>1</v>
      </c>
      <c r="V160" s="1">
        <v>1</v>
      </c>
      <c r="W160" s="1">
        <v>0</v>
      </c>
      <c r="X160" s="1">
        <v>0</v>
      </c>
      <c r="Y160" s="1">
        <v>1</v>
      </c>
      <c r="Z160" s="1">
        <v>0</v>
      </c>
      <c r="AA160" s="1">
        <v>0</v>
      </c>
      <c r="AB160" s="1" t="s">
        <v>85</v>
      </c>
      <c r="AC160" s="1">
        <f t="shared" si="50"/>
        <v>1</v>
      </c>
      <c r="AD160" s="1">
        <f t="shared" si="61"/>
        <v>1</v>
      </c>
      <c r="AE160" s="1">
        <v>0</v>
      </c>
      <c r="AF160" s="1">
        <v>7.6063879999999999</v>
      </c>
      <c r="AG160" s="1">
        <v>4.0943449999999997</v>
      </c>
      <c r="AH160" s="1">
        <f t="shared" si="52"/>
        <v>-0.49545454545454543</v>
      </c>
      <c r="AI160" s="1">
        <f t="shared" si="53"/>
        <v>-1.7257406586946931E-2</v>
      </c>
      <c r="AJ160" s="1">
        <f t="shared" si="62"/>
        <v>3.4831462836039682E-2</v>
      </c>
      <c r="AK160" s="1">
        <f t="shared" si="63"/>
        <v>824.24547520661167</v>
      </c>
      <c r="AL160" s="1">
        <f t="shared" si="64"/>
        <v>28.709675637432959</v>
      </c>
      <c r="AM160" s="1">
        <v>0</v>
      </c>
      <c r="AN160" s="1">
        <v>1</v>
      </c>
      <c r="AO160" s="1">
        <v>0</v>
      </c>
      <c r="AP160" s="1">
        <f t="shared" si="54"/>
        <v>3.4836650714580884E-2</v>
      </c>
      <c r="AQ160" s="1">
        <v>0</v>
      </c>
      <c r="AR160" s="1">
        <v>1</v>
      </c>
      <c r="AS160" s="1">
        <v>0</v>
      </c>
      <c r="AT160" s="1">
        <v>0</v>
      </c>
      <c r="AU160" s="4">
        <v>0</v>
      </c>
      <c r="AV160" s="4">
        <v>1</v>
      </c>
      <c r="AW160" s="1">
        <f t="shared" si="55"/>
        <v>9.5238095238095247E-3</v>
      </c>
      <c r="AX160" s="1">
        <f t="shared" si="56"/>
        <v>9.0702947845804991E-5</v>
      </c>
    </row>
    <row r="161" spans="1:50" x14ac:dyDescent="0.25">
      <c r="A161" s="1" t="s">
        <v>56</v>
      </c>
      <c r="B161" s="1">
        <v>2011</v>
      </c>
      <c r="C161" s="1">
        <f t="shared" si="57"/>
        <v>19</v>
      </c>
      <c r="D161" s="1" t="s">
        <v>24</v>
      </c>
      <c r="E161" s="1" t="s">
        <v>25</v>
      </c>
      <c r="F161" s="2">
        <v>-0.1986</v>
      </c>
      <c r="G161" s="3">
        <v>0.1052</v>
      </c>
      <c r="H161" s="1">
        <v>8</v>
      </c>
      <c r="I161" s="1">
        <v>848</v>
      </c>
      <c r="J161" s="1">
        <f t="shared" si="58"/>
        <v>840</v>
      </c>
      <c r="K161" s="1">
        <v>105</v>
      </c>
      <c r="L161" s="1">
        <v>1991</v>
      </c>
      <c r="M161" s="1">
        <v>2006</v>
      </c>
      <c r="N161" s="1">
        <f t="shared" si="69"/>
        <v>1998.5</v>
      </c>
      <c r="O161" s="1">
        <f t="shared" si="70"/>
        <v>16</v>
      </c>
      <c r="P161" s="1">
        <f t="shared" si="51"/>
        <v>2.7725887222397811</v>
      </c>
      <c r="Q161" s="1">
        <v>59</v>
      </c>
      <c r="R161" s="1">
        <v>0</v>
      </c>
      <c r="S161" s="1" t="s">
        <v>27</v>
      </c>
      <c r="T161" s="1">
        <f t="shared" si="60"/>
        <v>0</v>
      </c>
      <c r="U161" s="1">
        <v>1</v>
      </c>
      <c r="V161" s="1">
        <v>1</v>
      </c>
      <c r="W161" s="1">
        <v>0</v>
      </c>
      <c r="X161" s="1">
        <v>0</v>
      </c>
      <c r="Y161" s="1">
        <v>1</v>
      </c>
      <c r="Z161" s="1">
        <v>0</v>
      </c>
      <c r="AA161" s="1">
        <v>0</v>
      </c>
      <c r="AB161" s="1" t="s">
        <v>85</v>
      </c>
      <c r="AC161" s="1">
        <f t="shared" si="50"/>
        <v>1</v>
      </c>
      <c r="AD161" s="1">
        <f t="shared" si="61"/>
        <v>1</v>
      </c>
      <c r="AE161" s="1">
        <v>0</v>
      </c>
      <c r="AF161" s="1">
        <v>7.6063879999999999</v>
      </c>
      <c r="AG161" s="1">
        <v>4.0943449999999997</v>
      </c>
      <c r="AH161" s="1">
        <f t="shared" si="52"/>
        <v>-1.8878326996197718</v>
      </c>
      <c r="AI161" s="1">
        <f t="shared" si="53"/>
        <v>-6.4998675681022688E-2</v>
      </c>
      <c r="AJ161" s="1">
        <f t="shared" si="62"/>
        <v>3.4430315617540716E-2</v>
      </c>
      <c r="AK161" s="1">
        <f t="shared" si="63"/>
        <v>843.56391230175359</v>
      </c>
      <c r="AL161" s="1">
        <f t="shared" si="64"/>
        <v>29.044171744116817</v>
      </c>
      <c r="AM161" s="1">
        <v>0</v>
      </c>
      <c r="AN161" s="1">
        <v>1</v>
      </c>
      <c r="AO161" s="1">
        <v>0</v>
      </c>
      <c r="AP161" s="1">
        <f t="shared" si="54"/>
        <v>3.4503277967117711E-2</v>
      </c>
      <c r="AQ161" s="1">
        <v>0</v>
      </c>
      <c r="AR161" s="1">
        <v>1</v>
      </c>
      <c r="AS161" s="1">
        <v>0</v>
      </c>
      <c r="AT161" s="1">
        <v>0</v>
      </c>
      <c r="AU161" s="4">
        <v>0</v>
      </c>
      <c r="AV161" s="4">
        <v>0</v>
      </c>
      <c r="AW161" s="1">
        <f t="shared" si="55"/>
        <v>9.5238095238095247E-3</v>
      </c>
      <c r="AX161" s="1">
        <f t="shared" si="56"/>
        <v>9.0702947845804991E-5</v>
      </c>
    </row>
    <row r="162" spans="1:50" x14ac:dyDescent="0.25">
      <c r="A162" s="1" t="s">
        <v>56</v>
      </c>
      <c r="B162" s="1">
        <v>2011</v>
      </c>
      <c r="C162" s="1">
        <f t="shared" si="57"/>
        <v>19</v>
      </c>
      <c r="D162" s="1" t="s">
        <v>24</v>
      </c>
      <c r="E162" s="1" t="s">
        <v>25</v>
      </c>
      <c r="F162" s="2">
        <v>5.1799999999999999E-2</v>
      </c>
      <c r="G162" s="3">
        <v>0.1187</v>
      </c>
      <c r="H162" s="1">
        <v>8</v>
      </c>
      <c r="I162" s="1">
        <v>848</v>
      </c>
      <c r="J162" s="1">
        <f t="shared" si="58"/>
        <v>840</v>
      </c>
      <c r="K162" s="1">
        <v>105</v>
      </c>
      <c r="L162" s="1">
        <v>1991</v>
      </c>
      <c r="M162" s="1">
        <v>2006</v>
      </c>
      <c r="N162" s="1">
        <f t="shared" si="69"/>
        <v>1998.5</v>
      </c>
      <c r="O162" s="1">
        <f t="shared" si="70"/>
        <v>16</v>
      </c>
      <c r="P162" s="1">
        <f t="shared" si="51"/>
        <v>2.7725887222397811</v>
      </c>
      <c r="Q162" s="1">
        <v>59</v>
      </c>
      <c r="R162" s="1">
        <v>0</v>
      </c>
      <c r="S162" s="1" t="s">
        <v>27</v>
      </c>
      <c r="T162" s="1">
        <f t="shared" si="60"/>
        <v>0</v>
      </c>
      <c r="U162" s="1">
        <v>1</v>
      </c>
      <c r="V162" s="1">
        <v>1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 t="s">
        <v>85</v>
      </c>
      <c r="AC162" s="1">
        <f t="shared" si="50"/>
        <v>1</v>
      </c>
      <c r="AD162" s="1">
        <f t="shared" si="61"/>
        <v>1</v>
      </c>
      <c r="AE162" s="1">
        <v>0</v>
      </c>
      <c r="AF162" s="1">
        <v>7.6063879999999999</v>
      </c>
      <c r="AG162" s="1">
        <v>4.0943449999999997</v>
      </c>
      <c r="AH162" s="1">
        <f t="shared" si="52"/>
        <v>0.43639427127211455</v>
      </c>
      <c r="AI162" s="1">
        <f t="shared" si="53"/>
        <v>1.505532631326063E-2</v>
      </c>
      <c r="AJ162" s="1">
        <f t="shared" si="62"/>
        <v>3.4499367439846274E-2</v>
      </c>
      <c r="AK162" s="1">
        <f t="shared" si="63"/>
        <v>840.19043995999914</v>
      </c>
      <c r="AL162" s="1">
        <f t="shared" si="64"/>
        <v>28.986038707626111</v>
      </c>
      <c r="AM162" s="1">
        <v>0</v>
      </c>
      <c r="AN162" s="1">
        <v>1</v>
      </c>
      <c r="AO162" s="1">
        <v>0</v>
      </c>
      <c r="AP162" s="1">
        <f t="shared" si="54"/>
        <v>3.4503277967117711E-2</v>
      </c>
      <c r="AQ162" s="1">
        <v>0</v>
      </c>
      <c r="AR162" s="1">
        <v>1</v>
      </c>
      <c r="AS162" s="1">
        <v>0</v>
      </c>
      <c r="AT162" s="1">
        <v>0</v>
      </c>
      <c r="AU162" s="4">
        <v>1</v>
      </c>
      <c r="AV162" s="4">
        <v>0</v>
      </c>
      <c r="AW162" s="1">
        <f t="shared" si="55"/>
        <v>9.5238095238095247E-3</v>
      </c>
      <c r="AX162" s="1">
        <f t="shared" si="56"/>
        <v>9.0702947845804991E-5</v>
      </c>
    </row>
    <row r="163" spans="1:50" x14ac:dyDescent="0.25">
      <c r="A163" s="1" t="s">
        <v>56</v>
      </c>
      <c r="B163" s="1">
        <v>2011</v>
      </c>
      <c r="C163" s="1">
        <f t="shared" si="57"/>
        <v>19</v>
      </c>
      <c r="D163" s="1" t="s">
        <v>24</v>
      </c>
      <c r="E163" s="1" t="s">
        <v>25</v>
      </c>
      <c r="F163" s="2">
        <v>1.2999999999999999E-3</v>
      </c>
      <c r="G163" s="3">
        <v>8.1699999999999995E-2</v>
      </c>
      <c r="H163" s="1">
        <v>8</v>
      </c>
      <c r="I163" s="1">
        <v>848</v>
      </c>
      <c r="J163" s="1">
        <f t="shared" si="58"/>
        <v>840</v>
      </c>
      <c r="K163" s="1">
        <v>105</v>
      </c>
      <c r="L163" s="1">
        <v>1991</v>
      </c>
      <c r="M163" s="1">
        <v>2006</v>
      </c>
      <c r="N163" s="1">
        <f t="shared" si="69"/>
        <v>1998.5</v>
      </c>
      <c r="O163" s="1">
        <f t="shared" si="70"/>
        <v>16</v>
      </c>
      <c r="P163" s="1">
        <f t="shared" si="51"/>
        <v>2.7725887222397811</v>
      </c>
      <c r="Q163" s="1">
        <v>59</v>
      </c>
      <c r="R163" s="1">
        <v>0</v>
      </c>
      <c r="S163" s="1" t="s">
        <v>27</v>
      </c>
      <c r="T163" s="1">
        <f t="shared" si="60"/>
        <v>0</v>
      </c>
      <c r="U163" s="1">
        <v>1</v>
      </c>
      <c r="V163" s="1">
        <v>1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 t="s">
        <v>85</v>
      </c>
      <c r="AC163" s="1">
        <f t="shared" si="50"/>
        <v>1</v>
      </c>
      <c r="AD163" s="1">
        <f t="shared" si="61"/>
        <v>1</v>
      </c>
      <c r="AE163" s="1">
        <v>0</v>
      </c>
      <c r="AF163" s="1">
        <v>7.6063879999999999</v>
      </c>
      <c r="AG163" s="1">
        <v>4.0943449999999997</v>
      </c>
      <c r="AH163" s="1">
        <f t="shared" si="52"/>
        <v>1.591187270501836E-2</v>
      </c>
      <c r="AI163" s="1">
        <f t="shared" si="53"/>
        <v>5.4901168417876591E-4</v>
      </c>
      <c r="AJ163" s="1">
        <f t="shared" si="62"/>
        <v>3.4503272767234749E-2</v>
      </c>
      <c r="AK163" s="1">
        <f t="shared" si="63"/>
        <v>840.00025318769303</v>
      </c>
      <c r="AL163" s="1">
        <f t="shared" si="64"/>
        <v>28.982757860281222</v>
      </c>
      <c r="AM163" s="1">
        <v>0</v>
      </c>
      <c r="AN163" s="1">
        <v>1</v>
      </c>
      <c r="AO163" s="1">
        <v>0</v>
      </c>
      <c r="AP163" s="1">
        <f t="shared" si="54"/>
        <v>3.4503277967117711E-2</v>
      </c>
      <c r="AQ163" s="1">
        <v>0</v>
      </c>
      <c r="AR163" s="1">
        <v>1</v>
      </c>
      <c r="AS163" s="1">
        <v>0</v>
      </c>
      <c r="AT163" s="1">
        <v>0</v>
      </c>
      <c r="AU163" s="4">
        <v>0</v>
      </c>
      <c r="AV163" s="4">
        <v>1</v>
      </c>
      <c r="AW163" s="1">
        <f t="shared" si="55"/>
        <v>9.5238095238095247E-3</v>
      </c>
      <c r="AX163" s="1">
        <f t="shared" si="56"/>
        <v>9.0702947845804991E-5</v>
      </c>
    </row>
    <row r="164" spans="1:50" x14ac:dyDescent="0.25">
      <c r="A164" s="1" t="s">
        <v>56</v>
      </c>
      <c r="B164" s="1">
        <v>2011</v>
      </c>
      <c r="C164" s="1">
        <f t="shared" si="57"/>
        <v>19</v>
      </c>
      <c r="D164" s="1" t="s">
        <v>24</v>
      </c>
      <c r="E164" s="1" t="s">
        <v>25</v>
      </c>
      <c r="F164" s="2">
        <v>-3.6499999999999998E-2</v>
      </c>
      <c r="G164" s="3">
        <v>0.186</v>
      </c>
      <c r="H164" s="1">
        <v>8</v>
      </c>
      <c r="I164" s="1">
        <v>463</v>
      </c>
      <c r="J164" s="1">
        <f t="shared" si="58"/>
        <v>455</v>
      </c>
      <c r="K164" s="1">
        <v>105</v>
      </c>
      <c r="L164" s="1">
        <v>1999</v>
      </c>
      <c r="M164" s="1">
        <v>2006</v>
      </c>
      <c r="N164" s="1">
        <f t="shared" si="69"/>
        <v>2002.5</v>
      </c>
      <c r="O164" s="1">
        <f t="shared" si="70"/>
        <v>8</v>
      </c>
      <c r="P164" s="1">
        <f t="shared" si="51"/>
        <v>2.0794415416798357</v>
      </c>
      <c r="Q164" s="1">
        <v>59</v>
      </c>
      <c r="R164" s="1">
        <v>0</v>
      </c>
      <c r="S164" s="1" t="s">
        <v>27</v>
      </c>
      <c r="T164" s="1">
        <f t="shared" si="60"/>
        <v>0</v>
      </c>
      <c r="U164" s="1">
        <v>1</v>
      </c>
      <c r="V164" s="1">
        <v>1</v>
      </c>
      <c r="W164" s="1">
        <v>1</v>
      </c>
      <c r="X164" s="1">
        <v>0</v>
      </c>
      <c r="Y164" s="1">
        <v>1</v>
      </c>
      <c r="Z164" s="1">
        <v>0</v>
      </c>
      <c r="AA164" s="1">
        <v>0</v>
      </c>
      <c r="AB164" s="1" t="s">
        <v>85</v>
      </c>
      <c r="AC164" s="1">
        <f t="shared" si="50"/>
        <v>1</v>
      </c>
      <c r="AD164" s="1">
        <f t="shared" si="61"/>
        <v>1</v>
      </c>
      <c r="AE164" s="1">
        <v>0</v>
      </c>
      <c r="AF164" s="1">
        <v>7.6063879999999999</v>
      </c>
      <c r="AG164" s="1">
        <v>4.0943449999999997</v>
      </c>
      <c r="AH164" s="1">
        <f t="shared" si="52"/>
        <v>-0.19623655913978494</v>
      </c>
      <c r="AI164" s="1">
        <f t="shared" si="53"/>
        <v>-9.1993225072220363E-3</v>
      </c>
      <c r="AJ164" s="1">
        <f t="shared" si="62"/>
        <v>4.6878739351871201E-2</v>
      </c>
      <c r="AK164" s="1">
        <f t="shared" si="63"/>
        <v>455.03850878714292</v>
      </c>
      <c r="AL164" s="1">
        <f t="shared" si="64"/>
        <v>21.331631648496629</v>
      </c>
      <c r="AM164" s="1">
        <v>0</v>
      </c>
      <c r="AN164" s="1">
        <v>1</v>
      </c>
      <c r="AO164" s="1">
        <v>0</v>
      </c>
      <c r="AP164" s="1">
        <f t="shared" si="54"/>
        <v>4.6880723093849538E-2</v>
      </c>
      <c r="AQ164" s="1">
        <v>0</v>
      </c>
      <c r="AR164" s="1">
        <v>1</v>
      </c>
      <c r="AS164" s="1">
        <v>0</v>
      </c>
      <c r="AT164" s="1">
        <v>0</v>
      </c>
      <c r="AU164" s="4">
        <v>0</v>
      </c>
      <c r="AV164" s="4">
        <v>0</v>
      </c>
      <c r="AW164" s="1">
        <f t="shared" si="55"/>
        <v>9.5238095238095247E-3</v>
      </c>
      <c r="AX164" s="1">
        <f t="shared" si="56"/>
        <v>9.0702947845804991E-5</v>
      </c>
    </row>
    <row r="165" spans="1:50" x14ac:dyDescent="0.25">
      <c r="A165" s="1" t="s">
        <v>56</v>
      </c>
      <c r="B165" s="1">
        <v>2011</v>
      </c>
      <c r="C165" s="1">
        <f t="shared" si="57"/>
        <v>19</v>
      </c>
      <c r="D165" s="1" t="s">
        <v>24</v>
      </c>
      <c r="E165" s="1" t="s">
        <v>25</v>
      </c>
      <c r="F165" s="2">
        <v>4.7600000000000003E-2</v>
      </c>
      <c r="G165" s="3">
        <v>0.18479999999999999</v>
      </c>
      <c r="H165" s="1">
        <v>8</v>
      </c>
      <c r="I165" s="1">
        <v>463</v>
      </c>
      <c r="J165" s="1">
        <f t="shared" si="58"/>
        <v>455</v>
      </c>
      <c r="K165" s="1">
        <v>105</v>
      </c>
      <c r="L165" s="1">
        <v>1999</v>
      </c>
      <c r="M165" s="1">
        <v>2006</v>
      </c>
      <c r="N165" s="1">
        <f t="shared" si="69"/>
        <v>2002.5</v>
      </c>
      <c r="O165" s="1">
        <f t="shared" si="70"/>
        <v>8</v>
      </c>
      <c r="P165" s="1">
        <f t="shared" si="51"/>
        <v>2.0794415416798357</v>
      </c>
      <c r="Q165" s="1">
        <v>59</v>
      </c>
      <c r="R165" s="1">
        <v>0</v>
      </c>
      <c r="S165" s="1" t="s">
        <v>27</v>
      </c>
      <c r="T165" s="1">
        <f t="shared" ref="T165:T228" si="71">IF(S165="OLS",0,IF(S165="FE",0,IF(S165="Probit model",0,IF(S165="3SLS",1,IF(S165="Logit",0,IF(S165="2SLS",1,IF(S165="SUR method",1,IF(S165="Modified LS",0,IF(S165="Zenner estimates",1,IF(S165="MLE",0,IF(S165="GLS",0,0)))))))))))</f>
        <v>0</v>
      </c>
      <c r="U165" s="1">
        <v>1</v>
      </c>
      <c r="V165" s="1">
        <v>1</v>
      </c>
      <c r="W165" s="1">
        <v>1</v>
      </c>
      <c r="X165" s="1">
        <v>0</v>
      </c>
      <c r="Y165" s="1">
        <v>1</v>
      </c>
      <c r="Z165" s="1">
        <v>0</v>
      </c>
      <c r="AA165" s="1">
        <v>0</v>
      </c>
      <c r="AB165" s="1" t="s">
        <v>85</v>
      </c>
      <c r="AC165" s="1">
        <f t="shared" si="50"/>
        <v>1</v>
      </c>
      <c r="AD165" s="1">
        <f t="shared" si="61"/>
        <v>1</v>
      </c>
      <c r="AE165" s="1">
        <v>0</v>
      </c>
      <c r="AF165" s="1">
        <v>7.6063879999999999</v>
      </c>
      <c r="AG165" s="1">
        <v>4.0943449999999997</v>
      </c>
      <c r="AH165" s="1">
        <f t="shared" si="52"/>
        <v>0.25757575757575762</v>
      </c>
      <c r="AI165" s="1">
        <f t="shared" si="53"/>
        <v>1.207445748752865E-2</v>
      </c>
      <c r="AJ165" s="1">
        <f t="shared" si="62"/>
        <v>4.6877305539817102E-2</v>
      </c>
      <c r="AK165" s="1">
        <f t="shared" si="63"/>
        <v>455.06634527089068</v>
      </c>
      <c r="AL165" s="1">
        <f t="shared" si="64"/>
        <v>21.332284108151445</v>
      </c>
      <c r="AM165" s="1">
        <v>0</v>
      </c>
      <c r="AN165" s="1">
        <v>1</v>
      </c>
      <c r="AO165" s="1">
        <v>0</v>
      </c>
      <c r="AP165" s="1">
        <f t="shared" si="54"/>
        <v>4.6880723093849538E-2</v>
      </c>
      <c r="AQ165" s="1">
        <v>0</v>
      </c>
      <c r="AR165" s="1">
        <v>1</v>
      </c>
      <c r="AS165" s="1">
        <v>0</v>
      </c>
      <c r="AT165" s="1">
        <v>0</v>
      </c>
      <c r="AU165" s="4">
        <v>1</v>
      </c>
      <c r="AV165" s="4">
        <v>0</v>
      </c>
      <c r="AW165" s="1">
        <f t="shared" si="55"/>
        <v>9.5238095238095247E-3</v>
      </c>
      <c r="AX165" s="1">
        <f t="shared" si="56"/>
        <v>9.0702947845804991E-5</v>
      </c>
    </row>
    <row r="166" spans="1:50" x14ac:dyDescent="0.25">
      <c r="A166" s="1" t="s">
        <v>56</v>
      </c>
      <c r="B166" s="1">
        <v>2011</v>
      </c>
      <c r="C166" s="1">
        <f t="shared" si="57"/>
        <v>19</v>
      </c>
      <c r="D166" s="1" t="s">
        <v>24</v>
      </c>
      <c r="E166" s="1" t="s">
        <v>25</v>
      </c>
      <c r="F166" s="2">
        <v>-3.7900000000000003E-2</v>
      </c>
      <c r="G166" s="3">
        <v>0.1691</v>
      </c>
      <c r="H166" s="1">
        <v>8</v>
      </c>
      <c r="I166" s="1">
        <v>463</v>
      </c>
      <c r="J166" s="1">
        <f t="shared" si="58"/>
        <v>455</v>
      </c>
      <c r="K166" s="1">
        <v>105</v>
      </c>
      <c r="L166" s="1">
        <v>1999</v>
      </c>
      <c r="M166" s="1">
        <v>2006</v>
      </c>
      <c r="N166" s="1">
        <f t="shared" si="69"/>
        <v>2002.5</v>
      </c>
      <c r="O166" s="1">
        <f t="shared" si="70"/>
        <v>8</v>
      </c>
      <c r="P166" s="1">
        <f t="shared" si="51"/>
        <v>2.0794415416798357</v>
      </c>
      <c r="Q166" s="1">
        <v>59</v>
      </c>
      <c r="R166" s="1">
        <v>0</v>
      </c>
      <c r="S166" s="1" t="s">
        <v>27</v>
      </c>
      <c r="T166" s="1">
        <f t="shared" si="71"/>
        <v>0</v>
      </c>
      <c r="U166" s="1">
        <v>1</v>
      </c>
      <c r="V166" s="1">
        <v>1</v>
      </c>
      <c r="W166" s="1">
        <v>1</v>
      </c>
      <c r="X166" s="1">
        <v>0</v>
      </c>
      <c r="Y166" s="1">
        <v>1</v>
      </c>
      <c r="Z166" s="1">
        <v>0</v>
      </c>
      <c r="AA166" s="1">
        <v>0</v>
      </c>
      <c r="AB166" s="1" t="s">
        <v>85</v>
      </c>
      <c r="AC166" s="1">
        <f t="shared" si="50"/>
        <v>1</v>
      </c>
      <c r="AD166" s="1">
        <f t="shared" si="61"/>
        <v>1</v>
      </c>
      <c r="AE166" s="1">
        <v>0</v>
      </c>
      <c r="AF166" s="1">
        <v>7.6063879999999999</v>
      </c>
      <c r="AG166" s="1">
        <v>4.0943449999999997</v>
      </c>
      <c r="AH166" s="1">
        <f t="shared" si="52"/>
        <v>-0.22412773506800712</v>
      </c>
      <c r="AI166" s="1">
        <f t="shared" si="53"/>
        <v>-1.0506690317740845E-2</v>
      </c>
      <c r="AJ166" s="1">
        <f t="shared" si="62"/>
        <v>4.6878135428231577E-2</v>
      </c>
      <c r="AK166" s="1">
        <f t="shared" si="63"/>
        <v>455.05023324162659</v>
      </c>
      <c r="AL166" s="1">
        <f t="shared" si="64"/>
        <v>21.331906460549337</v>
      </c>
      <c r="AM166" s="1">
        <v>0</v>
      </c>
      <c r="AN166" s="1">
        <v>1</v>
      </c>
      <c r="AO166" s="1">
        <v>0</v>
      </c>
      <c r="AP166" s="1">
        <f t="shared" si="54"/>
        <v>4.6880723093849538E-2</v>
      </c>
      <c r="AQ166" s="1">
        <v>0</v>
      </c>
      <c r="AR166" s="1">
        <v>1</v>
      </c>
      <c r="AS166" s="1">
        <v>0</v>
      </c>
      <c r="AT166" s="1">
        <v>0</v>
      </c>
      <c r="AU166" s="4">
        <v>0</v>
      </c>
      <c r="AV166" s="4">
        <v>1</v>
      </c>
      <c r="AW166" s="1">
        <f t="shared" si="55"/>
        <v>9.5238095238095247E-3</v>
      </c>
      <c r="AX166" s="1">
        <f t="shared" si="56"/>
        <v>9.0702947845804991E-5</v>
      </c>
    </row>
    <row r="167" spans="1:50" x14ac:dyDescent="0.25">
      <c r="A167" s="1" t="s">
        <v>56</v>
      </c>
      <c r="B167" s="1">
        <v>2011</v>
      </c>
      <c r="C167" s="1">
        <f t="shared" si="57"/>
        <v>19</v>
      </c>
      <c r="D167" s="1" t="s">
        <v>24</v>
      </c>
      <c r="E167" s="1" t="s">
        <v>25</v>
      </c>
      <c r="F167" s="2">
        <v>-5.8200000000000002E-2</v>
      </c>
      <c r="G167" s="3">
        <v>5.8099999999999999E-2</v>
      </c>
      <c r="H167" s="1">
        <v>8</v>
      </c>
      <c r="I167" s="1">
        <v>3532</v>
      </c>
      <c r="J167" s="1">
        <f t="shared" si="58"/>
        <v>3524</v>
      </c>
      <c r="K167" s="1">
        <v>105</v>
      </c>
      <c r="L167" s="1">
        <v>1991</v>
      </c>
      <c r="M167" s="1">
        <v>2006</v>
      </c>
      <c r="N167" s="1">
        <f t="shared" si="69"/>
        <v>1998.5</v>
      </c>
      <c r="O167" s="1">
        <f t="shared" si="70"/>
        <v>16</v>
      </c>
      <c r="P167" s="1">
        <f t="shared" si="51"/>
        <v>2.7725887222397811</v>
      </c>
      <c r="Q167" s="1">
        <v>59</v>
      </c>
      <c r="R167" s="1">
        <v>0</v>
      </c>
      <c r="S167" s="1" t="s">
        <v>27</v>
      </c>
      <c r="T167" s="1">
        <f t="shared" si="71"/>
        <v>0</v>
      </c>
      <c r="U167" s="1">
        <v>1</v>
      </c>
      <c r="V167" s="1">
        <v>1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 t="s">
        <v>85</v>
      </c>
      <c r="AC167" s="1">
        <f t="shared" si="50"/>
        <v>1</v>
      </c>
      <c r="AD167" s="1">
        <f t="shared" si="61"/>
        <v>1</v>
      </c>
      <c r="AE167" s="1">
        <v>0</v>
      </c>
      <c r="AF167" s="1">
        <v>7.6063879999999999</v>
      </c>
      <c r="AG167" s="1">
        <v>4.0943449999999997</v>
      </c>
      <c r="AH167" s="1">
        <f t="shared" si="52"/>
        <v>-1.0017211703958693</v>
      </c>
      <c r="AI167" s="1">
        <f t="shared" si="53"/>
        <v>-1.6872019915159603E-2</v>
      </c>
      <c r="AJ167" s="1">
        <f t="shared" si="62"/>
        <v>1.6843030190219464E-2</v>
      </c>
      <c r="AK167" s="1">
        <f t="shared" si="63"/>
        <v>3525.003445303219</v>
      </c>
      <c r="AL167" s="1">
        <f t="shared" si="64"/>
        <v>59.371739449869743</v>
      </c>
      <c r="AM167" s="1">
        <v>0</v>
      </c>
      <c r="AN167" s="1">
        <v>1</v>
      </c>
      <c r="AO167" s="1">
        <v>0</v>
      </c>
      <c r="AP167" s="1">
        <f t="shared" si="54"/>
        <v>1.6845428013230229E-2</v>
      </c>
      <c r="AQ167" s="1">
        <v>0</v>
      </c>
      <c r="AR167" s="1">
        <v>1</v>
      </c>
      <c r="AS167" s="1">
        <v>0</v>
      </c>
      <c r="AT167" s="1">
        <v>0</v>
      </c>
      <c r="AU167" s="4">
        <v>0</v>
      </c>
      <c r="AV167" s="4">
        <v>0</v>
      </c>
      <c r="AW167" s="1">
        <f t="shared" si="55"/>
        <v>9.5238095238095247E-3</v>
      </c>
      <c r="AX167" s="1">
        <f t="shared" si="56"/>
        <v>9.0702947845804991E-5</v>
      </c>
    </row>
    <row r="168" spans="1:50" x14ac:dyDescent="0.25">
      <c r="A168" s="1" t="s">
        <v>56</v>
      </c>
      <c r="B168" s="1">
        <v>2011</v>
      </c>
      <c r="C168" s="1">
        <f t="shared" si="57"/>
        <v>19</v>
      </c>
      <c r="D168" s="1" t="s">
        <v>24</v>
      </c>
      <c r="E168" s="1" t="s">
        <v>25</v>
      </c>
      <c r="F168" s="2">
        <v>3.3500000000000002E-2</v>
      </c>
      <c r="G168" s="3">
        <v>4.6899999999999997E-2</v>
      </c>
      <c r="H168" s="1">
        <v>8</v>
      </c>
      <c r="I168" s="1">
        <v>3532</v>
      </c>
      <c r="J168" s="1">
        <f t="shared" si="58"/>
        <v>3524</v>
      </c>
      <c r="K168" s="1">
        <v>105</v>
      </c>
      <c r="L168" s="1">
        <v>1991</v>
      </c>
      <c r="M168" s="1">
        <v>2006</v>
      </c>
      <c r="N168" s="1">
        <f t="shared" si="69"/>
        <v>1998.5</v>
      </c>
      <c r="O168" s="1">
        <f t="shared" si="70"/>
        <v>16</v>
      </c>
      <c r="P168" s="1">
        <f t="shared" si="51"/>
        <v>2.7725887222397811</v>
      </c>
      <c r="Q168" s="1">
        <v>59</v>
      </c>
      <c r="R168" s="1">
        <v>0</v>
      </c>
      <c r="S168" s="1" t="s">
        <v>27</v>
      </c>
      <c r="T168" s="1">
        <f t="shared" si="71"/>
        <v>0</v>
      </c>
      <c r="U168" s="1">
        <v>1</v>
      </c>
      <c r="V168" s="1">
        <v>1</v>
      </c>
      <c r="W168" s="1">
        <v>0</v>
      </c>
      <c r="X168" s="1">
        <v>0</v>
      </c>
      <c r="Y168" s="1">
        <v>1</v>
      </c>
      <c r="Z168" s="1">
        <v>0</v>
      </c>
      <c r="AA168" s="1">
        <v>0</v>
      </c>
      <c r="AB168" s="1" t="s">
        <v>85</v>
      </c>
      <c r="AC168" s="1">
        <f t="shared" si="50"/>
        <v>1</v>
      </c>
      <c r="AD168" s="1">
        <f t="shared" si="61"/>
        <v>1</v>
      </c>
      <c r="AE168" s="1">
        <v>0</v>
      </c>
      <c r="AF168" s="1">
        <v>7.6063879999999999</v>
      </c>
      <c r="AG168" s="1">
        <v>4.0943449999999997</v>
      </c>
      <c r="AH168" s="1">
        <f t="shared" si="52"/>
        <v>0.71428571428571441</v>
      </c>
      <c r="AI168" s="1">
        <f t="shared" si="53"/>
        <v>1.2031577647584829E-2</v>
      </c>
      <c r="AJ168" s="1">
        <f t="shared" si="62"/>
        <v>1.6844208706618759E-2</v>
      </c>
      <c r="AK168" s="1">
        <f t="shared" si="63"/>
        <v>3524.5102040816314</v>
      </c>
      <c r="AL168" s="1">
        <f t="shared" si="64"/>
        <v>59.367585466158481</v>
      </c>
      <c r="AM168" s="1">
        <v>0</v>
      </c>
      <c r="AN168" s="1">
        <v>1</v>
      </c>
      <c r="AO168" s="1">
        <v>0</v>
      </c>
      <c r="AP168" s="1">
        <f t="shared" si="54"/>
        <v>1.6845428013230229E-2</v>
      </c>
      <c r="AQ168" s="1">
        <v>0</v>
      </c>
      <c r="AR168" s="1">
        <v>1</v>
      </c>
      <c r="AS168" s="1">
        <v>0</v>
      </c>
      <c r="AT168" s="1">
        <v>0</v>
      </c>
      <c r="AU168" s="4">
        <v>1</v>
      </c>
      <c r="AV168" s="4">
        <v>0</v>
      </c>
      <c r="AW168" s="1">
        <f t="shared" si="55"/>
        <v>9.5238095238095247E-3</v>
      </c>
      <c r="AX168" s="1">
        <f t="shared" si="56"/>
        <v>9.0702947845804991E-5</v>
      </c>
    </row>
    <row r="169" spans="1:50" x14ac:dyDescent="0.25">
      <c r="A169" s="1" t="s">
        <v>56</v>
      </c>
      <c r="B169" s="1">
        <v>2011</v>
      </c>
      <c r="C169" s="1">
        <f t="shared" si="57"/>
        <v>19</v>
      </c>
      <c r="D169" s="1" t="s">
        <v>24</v>
      </c>
      <c r="E169" s="1" t="s">
        <v>25</v>
      </c>
      <c r="F169" s="2">
        <v>5.7200000000000001E-2</v>
      </c>
      <c r="G169" s="3">
        <v>4.1399999999999999E-2</v>
      </c>
      <c r="H169" s="1">
        <v>8</v>
      </c>
      <c r="I169" s="1">
        <v>3532</v>
      </c>
      <c r="J169" s="1">
        <f t="shared" si="58"/>
        <v>3524</v>
      </c>
      <c r="K169" s="1">
        <v>105</v>
      </c>
      <c r="L169" s="1">
        <v>1991</v>
      </c>
      <c r="M169" s="1">
        <v>2006</v>
      </c>
      <c r="N169" s="1">
        <f t="shared" si="69"/>
        <v>1998.5</v>
      </c>
      <c r="O169" s="1">
        <f t="shared" si="70"/>
        <v>16</v>
      </c>
      <c r="P169" s="1">
        <f t="shared" si="51"/>
        <v>2.7725887222397811</v>
      </c>
      <c r="Q169" s="1">
        <v>59</v>
      </c>
      <c r="R169" s="1">
        <v>0</v>
      </c>
      <c r="S169" s="1" t="s">
        <v>27</v>
      </c>
      <c r="T169" s="1">
        <f t="shared" si="71"/>
        <v>0</v>
      </c>
      <c r="U169" s="1">
        <v>1</v>
      </c>
      <c r="V169" s="1">
        <v>1</v>
      </c>
      <c r="W169" s="1">
        <v>0</v>
      </c>
      <c r="X169" s="1">
        <v>0</v>
      </c>
      <c r="Y169" s="1">
        <v>1</v>
      </c>
      <c r="Z169" s="1">
        <v>0</v>
      </c>
      <c r="AA169" s="1">
        <v>0</v>
      </c>
      <c r="AB169" s="1" t="s">
        <v>85</v>
      </c>
      <c r="AC169" s="1">
        <f t="shared" si="50"/>
        <v>1</v>
      </c>
      <c r="AD169" s="1">
        <f t="shared" si="61"/>
        <v>1</v>
      </c>
      <c r="AE169" s="1">
        <v>0</v>
      </c>
      <c r="AF169" s="1">
        <v>7.6063879999999999</v>
      </c>
      <c r="AG169" s="1">
        <v>4.0943449999999997</v>
      </c>
      <c r="AH169" s="1">
        <f t="shared" si="52"/>
        <v>1.3816425120772948</v>
      </c>
      <c r="AI169" s="1">
        <f t="shared" si="53"/>
        <v>2.3268058225628444E-2</v>
      </c>
      <c r="AJ169" s="1">
        <f t="shared" si="62"/>
        <v>1.6840867317150655E-2</v>
      </c>
      <c r="AK169" s="1">
        <f t="shared" si="63"/>
        <v>3525.9089360311787</v>
      </c>
      <c r="AL169" s="1">
        <f t="shared" si="64"/>
        <v>59.379364564056921</v>
      </c>
      <c r="AM169" s="1">
        <v>0</v>
      </c>
      <c r="AN169" s="1">
        <v>1</v>
      </c>
      <c r="AO169" s="1">
        <v>0</v>
      </c>
      <c r="AP169" s="1">
        <f t="shared" si="54"/>
        <v>1.6845428013230229E-2</v>
      </c>
      <c r="AQ169" s="1">
        <v>0</v>
      </c>
      <c r="AR169" s="1">
        <v>1</v>
      </c>
      <c r="AS169" s="1">
        <v>0</v>
      </c>
      <c r="AT169" s="1">
        <v>0</v>
      </c>
      <c r="AU169" s="4">
        <v>0</v>
      </c>
      <c r="AV169" s="4">
        <v>1</v>
      </c>
      <c r="AW169" s="1">
        <f t="shared" si="55"/>
        <v>9.5238095238095247E-3</v>
      </c>
      <c r="AX169" s="1">
        <f t="shared" si="56"/>
        <v>9.0702947845804991E-5</v>
      </c>
    </row>
    <row r="170" spans="1:50" x14ac:dyDescent="0.25">
      <c r="A170" s="1" t="s">
        <v>56</v>
      </c>
      <c r="B170" s="1">
        <v>2011</v>
      </c>
      <c r="C170" s="1">
        <f t="shared" si="57"/>
        <v>19</v>
      </c>
      <c r="D170" s="1" t="s">
        <v>24</v>
      </c>
      <c r="E170" s="1" t="s">
        <v>25</v>
      </c>
      <c r="F170" s="2">
        <v>-2.9000000000000001E-2</v>
      </c>
      <c r="G170" s="3">
        <v>6.3399999999999998E-2</v>
      </c>
      <c r="H170" s="1">
        <v>8</v>
      </c>
      <c r="I170" s="1">
        <v>3582</v>
      </c>
      <c r="J170" s="1">
        <f t="shared" si="58"/>
        <v>3574</v>
      </c>
      <c r="K170" s="1">
        <v>105</v>
      </c>
      <c r="L170" s="1">
        <v>1991</v>
      </c>
      <c r="M170" s="1">
        <v>2006</v>
      </c>
      <c r="N170" s="1">
        <f t="shared" si="69"/>
        <v>1998.5</v>
      </c>
      <c r="O170" s="1">
        <f t="shared" si="70"/>
        <v>16</v>
      </c>
      <c r="P170" s="1">
        <f t="shared" si="51"/>
        <v>2.7725887222397811</v>
      </c>
      <c r="Q170" s="1">
        <v>59</v>
      </c>
      <c r="R170" s="1">
        <v>0</v>
      </c>
      <c r="S170" s="1" t="s">
        <v>27</v>
      </c>
      <c r="T170" s="1">
        <f t="shared" si="71"/>
        <v>0</v>
      </c>
      <c r="U170" s="1">
        <v>1</v>
      </c>
      <c r="V170" s="1">
        <v>1</v>
      </c>
      <c r="W170" s="1">
        <v>0</v>
      </c>
      <c r="X170" s="1">
        <v>0</v>
      </c>
      <c r="Y170" s="1">
        <v>1</v>
      </c>
      <c r="Z170" s="1">
        <v>0</v>
      </c>
      <c r="AA170" s="1">
        <v>0</v>
      </c>
      <c r="AB170" s="1" t="s">
        <v>85</v>
      </c>
      <c r="AC170" s="1">
        <f t="shared" si="50"/>
        <v>1</v>
      </c>
      <c r="AD170" s="1">
        <f t="shared" si="61"/>
        <v>1</v>
      </c>
      <c r="AE170" s="1">
        <v>0</v>
      </c>
      <c r="AF170" s="1">
        <v>7.6063879999999999</v>
      </c>
      <c r="AG170" s="1">
        <v>4.0943449999999997</v>
      </c>
      <c r="AH170" s="1">
        <f t="shared" si="52"/>
        <v>-0.45741324921135651</v>
      </c>
      <c r="AI170" s="1">
        <f t="shared" si="53"/>
        <v>-7.6510097288983326E-3</v>
      </c>
      <c r="AJ170" s="1">
        <f t="shared" si="62"/>
        <v>1.6726690234901871E-2</v>
      </c>
      <c r="AK170" s="1">
        <f t="shared" si="63"/>
        <v>3574.2092268805536</v>
      </c>
      <c r="AL170" s="1">
        <f t="shared" si="64"/>
        <v>59.784690572759125</v>
      </c>
      <c r="AM170" s="1">
        <v>0</v>
      </c>
      <c r="AN170" s="1">
        <v>1</v>
      </c>
      <c r="AO170" s="1">
        <v>0</v>
      </c>
      <c r="AP170" s="1">
        <f t="shared" si="54"/>
        <v>1.6727179829474116E-2</v>
      </c>
      <c r="AQ170" s="1">
        <v>0</v>
      </c>
      <c r="AR170" s="1">
        <v>1</v>
      </c>
      <c r="AS170" s="1">
        <v>0</v>
      </c>
      <c r="AT170" s="1">
        <v>0</v>
      </c>
      <c r="AU170" s="4">
        <v>0</v>
      </c>
      <c r="AV170" s="4">
        <v>0</v>
      </c>
      <c r="AW170" s="1">
        <f t="shared" si="55"/>
        <v>9.5238095238095247E-3</v>
      </c>
      <c r="AX170" s="1">
        <f t="shared" si="56"/>
        <v>9.0702947845804991E-5</v>
      </c>
    </row>
    <row r="171" spans="1:50" x14ac:dyDescent="0.25">
      <c r="A171" s="1" t="s">
        <v>56</v>
      </c>
      <c r="B171" s="1">
        <v>2011</v>
      </c>
      <c r="C171" s="1">
        <f t="shared" si="57"/>
        <v>19</v>
      </c>
      <c r="D171" s="1" t="s">
        <v>24</v>
      </c>
      <c r="E171" s="1" t="s">
        <v>25</v>
      </c>
      <c r="F171" s="2">
        <v>6.2600000000000003E-2</v>
      </c>
      <c r="G171" s="3">
        <v>5.2499999999999998E-2</v>
      </c>
      <c r="H171" s="1">
        <v>8</v>
      </c>
      <c r="I171" s="1">
        <v>3582</v>
      </c>
      <c r="J171" s="1">
        <f t="shared" si="58"/>
        <v>3574</v>
      </c>
      <c r="K171" s="1">
        <v>105</v>
      </c>
      <c r="L171" s="1">
        <v>1991</v>
      </c>
      <c r="M171" s="1">
        <v>2006</v>
      </c>
      <c r="N171" s="1">
        <f t="shared" si="69"/>
        <v>1998.5</v>
      </c>
      <c r="O171" s="1">
        <f t="shared" si="70"/>
        <v>16</v>
      </c>
      <c r="P171" s="1">
        <f t="shared" si="51"/>
        <v>2.7725887222397811</v>
      </c>
      <c r="Q171" s="1">
        <v>59</v>
      </c>
      <c r="R171" s="1">
        <v>0</v>
      </c>
      <c r="S171" s="1" t="s">
        <v>27</v>
      </c>
      <c r="T171" s="1">
        <f t="shared" si="71"/>
        <v>0</v>
      </c>
      <c r="U171" s="1">
        <v>1</v>
      </c>
      <c r="V171" s="1">
        <v>1</v>
      </c>
      <c r="W171" s="1">
        <v>0</v>
      </c>
      <c r="X171" s="1">
        <v>0</v>
      </c>
      <c r="Y171" s="1">
        <v>1</v>
      </c>
      <c r="Z171" s="1">
        <v>0</v>
      </c>
      <c r="AA171" s="1">
        <v>0</v>
      </c>
      <c r="AB171" s="1" t="s">
        <v>85</v>
      </c>
      <c r="AC171" s="1">
        <f t="shared" si="50"/>
        <v>1</v>
      </c>
      <c r="AD171" s="1">
        <f t="shared" si="61"/>
        <v>1</v>
      </c>
      <c r="AE171" s="1">
        <v>0</v>
      </c>
      <c r="AF171" s="1">
        <v>7.6063879999999999</v>
      </c>
      <c r="AG171" s="1">
        <v>4.0943449999999997</v>
      </c>
      <c r="AH171" s="1">
        <f t="shared" si="52"/>
        <v>1.1923809523809525</v>
      </c>
      <c r="AI171" s="1">
        <f t="shared" si="53"/>
        <v>1.9941204606489828E-2</v>
      </c>
      <c r="AJ171" s="1">
        <f t="shared" si="62"/>
        <v>1.6723853703525811E-2</v>
      </c>
      <c r="AK171" s="1">
        <f t="shared" si="63"/>
        <v>3575.421772335601</v>
      </c>
      <c r="AL171" s="1">
        <f t="shared" si="64"/>
        <v>59.794830648941563</v>
      </c>
      <c r="AM171" s="1">
        <v>0</v>
      </c>
      <c r="AN171" s="1">
        <v>1</v>
      </c>
      <c r="AO171" s="1">
        <v>0</v>
      </c>
      <c r="AP171" s="1">
        <f t="shared" si="54"/>
        <v>1.6727179829474116E-2</v>
      </c>
      <c r="AQ171" s="1">
        <v>0</v>
      </c>
      <c r="AR171" s="1">
        <v>1</v>
      </c>
      <c r="AS171" s="1">
        <v>0</v>
      </c>
      <c r="AT171" s="1">
        <v>0</v>
      </c>
      <c r="AU171" s="4">
        <v>1</v>
      </c>
      <c r="AV171" s="4">
        <v>0</v>
      </c>
      <c r="AW171" s="1">
        <f t="shared" si="55"/>
        <v>9.5238095238095247E-3</v>
      </c>
      <c r="AX171" s="1">
        <f t="shared" si="56"/>
        <v>9.0702947845804991E-5</v>
      </c>
    </row>
    <row r="172" spans="1:50" x14ac:dyDescent="0.25">
      <c r="A172" s="1" t="s">
        <v>56</v>
      </c>
      <c r="B172" s="1">
        <v>2011</v>
      </c>
      <c r="C172" s="1">
        <f t="shared" si="57"/>
        <v>19</v>
      </c>
      <c r="D172" s="1" t="s">
        <v>24</v>
      </c>
      <c r="E172" s="1" t="s">
        <v>25</v>
      </c>
      <c r="F172" s="2">
        <v>-2.2000000000000001E-3</v>
      </c>
      <c r="G172" s="3">
        <v>5.5500000000000001E-2</v>
      </c>
      <c r="H172" s="1">
        <v>8</v>
      </c>
      <c r="I172" s="1">
        <v>3582</v>
      </c>
      <c r="J172" s="1">
        <f t="shared" si="58"/>
        <v>3574</v>
      </c>
      <c r="K172" s="1">
        <v>105</v>
      </c>
      <c r="L172" s="1">
        <v>1991</v>
      </c>
      <c r="M172" s="1">
        <v>2006</v>
      </c>
      <c r="N172" s="1">
        <f t="shared" si="69"/>
        <v>1998.5</v>
      </c>
      <c r="O172" s="1">
        <f t="shared" si="70"/>
        <v>16</v>
      </c>
      <c r="P172" s="1">
        <f t="shared" si="51"/>
        <v>2.7725887222397811</v>
      </c>
      <c r="Q172" s="1">
        <v>59</v>
      </c>
      <c r="R172" s="1">
        <v>0</v>
      </c>
      <c r="S172" s="1" t="s">
        <v>27</v>
      </c>
      <c r="T172" s="1">
        <f t="shared" si="71"/>
        <v>0</v>
      </c>
      <c r="U172" s="1">
        <v>1</v>
      </c>
      <c r="V172" s="1">
        <v>1</v>
      </c>
      <c r="W172" s="1">
        <v>0</v>
      </c>
      <c r="X172" s="1">
        <v>0</v>
      </c>
      <c r="Y172" s="1">
        <v>1</v>
      </c>
      <c r="Z172" s="1">
        <v>0</v>
      </c>
      <c r="AA172" s="1">
        <v>0</v>
      </c>
      <c r="AB172" s="1" t="s">
        <v>85</v>
      </c>
      <c r="AC172" s="1">
        <f t="shared" si="50"/>
        <v>1</v>
      </c>
      <c r="AD172" s="1">
        <f t="shared" si="61"/>
        <v>1</v>
      </c>
      <c r="AE172" s="1">
        <v>0</v>
      </c>
      <c r="AF172" s="1">
        <v>7.6063879999999999</v>
      </c>
      <c r="AG172" s="1">
        <v>4.0943449999999997</v>
      </c>
      <c r="AH172" s="1">
        <f t="shared" si="52"/>
        <v>-3.9639639639639644E-2</v>
      </c>
      <c r="AI172" s="1">
        <f t="shared" si="53"/>
        <v>-6.6305923487157111E-4</v>
      </c>
      <c r="AJ172" s="1">
        <f t="shared" si="62"/>
        <v>1.6727176152441906E-2</v>
      </c>
      <c r="AK172" s="1">
        <f t="shared" si="63"/>
        <v>3574.0015713010312</v>
      </c>
      <c r="AL172" s="1">
        <f t="shared" si="64"/>
        <v>59.782953852256504</v>
      </c>
      <c r="AM172" s="1">
        <v>0</v>
      </c>
      <c r="AN172" s="1">
        <v>1</v>
      </c>
      <c r="AO172" s="1">
        <v>0</v>
      </c>
      <c r="AP172" s="1">
        <f t="shared" si="54"/>
        <v>1.6727179829474116E-2</v>
      </c>
      <c r="AQ172" s="1">
        <v>0</v>
      </c>
      <c r="AR172" s="1">
        <v>1</v>
      </c>
      <c r="AS172" s="1">
        <v>0</v>
      </c>
      <c r="AT172" s="1">
        <v>0</v>
      </c>
      <c r="AU172" s="4">
        <v>0</v>
      </c>
      <c r="AV172" s="4">
        <v>1</v>
      </c>
      <c r="AW172" s="1">
        <f t="shared" si="55"/>
        <v>9.5238095238095247E-3</v>
      </c>
      <c r="AX172" s="1">
        <f t="shared" si="56"/>
        <v>9.0702947845804991E-5</v>
      </c>
    </row>
    <row r="173" spans="1:50" x14ac:dyDescent="0.25">
      <c r="A173" s="1" t="s">
        <v>56</v>
      </c>
      <c r="B173" s="1">
        <v>2011</v>
      </c>
      <c r="C173" s="1">
        <f t="shared" si="57"/>
        <v>19</v>
      </c>
      <c r="D173" s="1" t="s">
        <v>24</v>
      </c>
      <c r="E173" s="1" t="s">
        <v>25</v>
      </c>
      <c r="F173" s="2">
        <v>9.0999999999999998E-2</v>
      </c>
      <c r="G173" s="3">
        <v>0.1706</v>
      </c>
      <c r="H173" s="1">
        <v>8</v>
      </c>
      <c r="I173" s="1">
        <v>1969</v>
      </c>
      <c r="J173" s="1">
        <f t="shared" si="58"/>
        <v>1961</v>
      </c>
      <c r="K173" s="1">
        <v>105</v>
      </c>
      <c r="L173" s="1">
        <v>1999</v>
      </c>
      <c r="M173" s="1">
        <v>2006</v>
      </c>
      <c r="N173" s="1">
        <f t="shared" si="69"/>
        <v>2002.5</v>
      </c>
      <c r="O173" s="1">
        <f t="shared" si="70"/>
        <v>8</v>
      </c>
      <c r="P173" s="1">
        <f t="shared" si="51"/>
        <v>2.0794415416798357</v>
      </c>
      <c r="Q173" s="1">
        <v>59</v>
      </c>
      <c r="R173" s="1">
        <v>0</v>
      </c>
      <c r="S173" s="1" t="s">
        <v>27</v>
      </c>
      <c r="T173" s="1">
        <f t="shared" si="71"/>
        <v>0</v>
      </c>
      <c r="U173" s="1">
        <v>1</v>
      </c>
      <c r="V173" s="1">
        <v>1</v>
      </c>
      <c r="W173" s="1">
        <v>1</v>
      </c>
      <c r="X173" s="1">
        <v>0</v>
      </c>
      <c r="Y173" s="1">
        <v>1</v>
      </c>
      <c r="Z173" s="1">
        <v>0</v>
      </c>
      <c r="AA173" s="1">
        <v>0</v>
      </c>
      <c r="AB173" s="1" t="s">
        <v>85</v>
      </c>
      <c r="AC173" s="1">
        <f t="shared" si="50"/>
        <v>1</v>
      </c>
      <c r="AD173" s="1">
        <f t="shared" si="61"/>
        <v>1</v>
      </c>
      <c r="AE173" s="1">
        <v>0</v>
      </c>
      <c r="AF173" s="1">
        <v>7.6063879999999999</v>
      </c>
      <c r="AG173" s="1">
        <v>4.0943449999999997</v>
      </c>
      <c r="AH173" s="1">
        <f t="shared" si="52"/>
        <v>0.53341148886283707</v>
      </c>
      <c r="AI173" s="1">
        <f t="shared" si="53"/>
        <v>1.2044591198744094E-2</v>
      </c>
      <c r="AJ173" s="1">
        <f t="shared" si="62"/>
        <v>2.2580299544019147E-2</v>
      </c>
      <c r="AK173" s="1">
        <f t="shared" si="63"/>
        <v>1961.2845278164509</v>
      </c>
      <c r="AL173" s="1">
        <f t="shared" si="64"/>
        <v>44.286392129145618</v>
      </c>
      <c r="AM173" s="1">
        <v>0</v>
      </c>
      <c r="AN173" s="1">
        <v>1</v>
      </c>
      <c r="AO173" s="1">
        <v>0</v>
      </c>
      <c r="AP173" s="1">
        <f t="shared" si="54"/>
        <v>2.2581937608857242E-2</v>
      </c>
      <c r="AQ173" s="1">
        <v>0</v>
      </c>
      <c r="AR173" s="1">
        <v>1</v>
      </c>
      <c r="AS173" s="1">
        <v>0</v>
      </c>
      <c r="AT173" s="1">
        <v>0</v>
      </c>
      <c r="AU173" s="4">
        <v>0</v>
      </c>
      <c r="AV173" s="4">
        <v>0</v>
      </c>
      <c r="AW173" s="1">
        <f t="shared" si="55"/>
        <v>9.5238095238095247E-3</v>
      </c>
      <c r="AX173" s="1">
        <f t="shared" si="56"/>
        <v>9.0702947845804991E-5</v>
      </c>
    </row>
    <row r="174" spans="1:50" x14ac:dyDescent="0.25">
      <c r="A174" s="1" t="s">
        <v>56</v>
      </c>
      <c r="B174" s="1">
        <v>2011</v>
      </c>
      <c r="C174" s="1">
        <f t="shared" si="57"/>
        <v>19</v>
      </c>
      <c r="D174" s="1" t="s">
        <v>24</v>
      </c>
      <c r="E174" s="1" t="s">
        <v>25</v>
      </c>
      <c r="F174" s="2">
        <v>0.28089999999999998</v>
      </c>
      <c r="G174" s="3">
        <v>0.21820000000000001</v>
      </c>
      <c r="H174" s="1">
        <v>8</v>
      </c>
      <c r="I174" s="1">
        <v>1969</v>
      </c>
      <c r="J174" s="1">
        <f t="shared" ref="J174:J237" si="72">+I174-H174</f>
        <v>1961</v>
      </c>
      <c r="K174" s="1">
        <v>105</v>
      </c>
      <c r="L174" s="1">
        <v>1999</v>
      </c>
      <c r="M174" s="1">
        <v>2006</v>
      </c>
      <c r="N174" s="1">
        <f t="shared" si="69"/>
        <v>2002.5</v>
      </c>
      <c r="O174" s="1">
        <f t="shared" si="70"/>
        <v>8</v>
      </c>
      <c r="P174" s="1">
        <f t="shared" si="51"/>
        <v>2.0794415416798357</v>
      </c>
      <c r="Q174" s="1">
        <v>59</v>
      </c>
      <c r="R174" s="1">
        <v>0</v>
      </c>
      <c r="S174" s="1" t="s">
        <v>27</v>
      </c>
      <c r="T174" s="1">
        <f t="shared" si="71"/>
        <v>0</v>
      </c>
      <c r="U174" s="1">
        <v>1</v>
      </c>
      <c r="V174" s="1">
        <v>1</v>
      </c>
      <c r="W174" s="1">
        <v>1</v>
      </c>
      <c r="X174" s="1">
        <v>0</v>
      </c>
      <c r="Y174" s="1">
        <v>1</v>
      </c>
      <c r="Z174" s="1">
        <v>0</v>
      </c>
      <c r="AA174" s="1">
        <v>0</v>
      </c>
      <c r="AB174" s="1" t="s">
        <v>85</v>
      </c>
      <c r="AC174" s="1">
        <f t="shared" si="50"/>
        <v>1</v>
      </c>
      <c r="AD174" s="1">
        <f t="shared" ref="AD174:AD237" si="73">IF(AB174="USA",1,0)</f>
        <v>1</v>
      </c>
      <c r="AE174" s="1">
        <v>0</v>
      </c>
      <c r="AF174" s="1">
        <v>7.6063879999999999</v>
      </c>
      <c r="AG174" s="1">
        <v>4.0943449999999997</v>
      </c>
      <c r="AH174" s="1">
        <f t="shared" si="52"/>
        <v>1.2873510540788267</v>
      </c>
      <c r="AI174" s="1">
        <f t="shared" si="53"/>
        <v>2.9058604829224205E-2</v>
      </c>
      <c r="AJ174" s="1">
        <f t="shared" ref="AJ174:AJ237" si="74">+AI174/AH174</f>
        <v>2.2572401472896839E-2</v>
      </c>
      <c r="AK174" s="1">
        <f t="shared" ref="AK174:AK237" si="75">1/AJ174^2</f>
        <v>1962.657272736438</v>
      </c>
      <c r="AL174" s="1">
        <f t="shared" ref="AL174:AL237" si="76">1/AJ174</f>
        <v>44.301887913907663</v>
      </c>
      <c r="AM174" s="1">
        <v>0</v>
      </c>
      <c r="AN174" s="1">
        <v>1</v>
      </c>
      <c r="AO174" s="1">
        <v>0</v>
      </c>
      <c r="AP174" s="1">
        <f t="shared" si="54"/>
        <v>2.2581937608857242E-2</v>
      </c>
      <c r="AQ174" s="1">
        <v>0</v>
      </c>
      <c r="AR174" s="1">
        <v>1</v>
      </c>
      <c r="AS174" s="1">
        <v>0</v>
      </c>
      <c r="AT174" s="1">
        <v>0</v>
      </c>
      <c r="AU174" s="4">
        <v>1</v>
      </c>
      <c r="AV174" s="4">
        <v>0</v>
      </c>
      <c r="AW174" s="1">
        <f t="shared" si="55"/>
        <v>9.5238095238095247E-3</v>
      </c>
      <c r="AX174" s="1">
        <f t="shared" si="56"/>
        <v>9.0702947845804991E-5</v>
      </c>
    </row>
    <row r="175" spans="1:50" x14ac:dyDescent="0.25">
      <c r="A175" s="1" t="s">
        <v>56</v>
      </c>
      <c r="B175" s="1">
        <v>2011</v>
      </c>
      <c r="C175" s="1">
        <f t="shared" si="57"/>
        <v>19</v>
      </c>
      <c r="D175" s="1" t="s">
        <v>24</v>
      </c>
      <c r="E175" s="1" t="s">
        <v>25</v>
      </c>
      <c r="F175" s="2">
        <v>5.2999999999999999E-2</v>
      </c>
      <c r="G175" s="3">
        <v>9.7900000000000001E-2</v>
      </c>
      <c r="H175" s="1">
        <v>8</v>
      </c>
      <c r="I175" s="1">
        <v>1969</v>
      </c>
      <c r="J175" s="1">
        <f t="shared" si="72"/>
        <v>1961</v>
      </c>
      <c r="K175" s="1">
        <v>105</v>
      </c>
      <c r="L175" s="1">
        <v>1999</v>
      </c>
      <c r="M175" s="1">
        <v>2006</v>
      </c>
      <c r="N175" s="1">
        <f t="shared" si="69"/>
        <v>2002.5</v>
      </c>
      <c r="O175" s="1">
        <f t="shared" si="70"/>
        <v>8</v>
      </c>
      <c r="P175" s="1">
        <f t="shared" si="51"/>
        <v>2.0794415416798357</v>
      </c>
      <c r="Q175" s="1">
        <v>59</v>
      </c>
      <c r="R175" s="1">
        <v>0</v>
      </c>
      <c r="S175" s="1" t="s">
        <v>27</v>
      </c>
      <c r="T175" s="1">
        <f t="shared" si="71"/>
        <v>0</v>
      </c>
      <c r="U175" s="1">
        <v>1</v>
      </c>
      <c r="V175" s="1">
        <v>1</v>
      </c>
      <c r="W175" s="1">
        <v>1</v>
      </c>
      <c r="X175" s="1">
        <v>0</v>
      </c>
      <c r="Y175" s="1">
        <v>1</v>
      </c>
      <c r="Z175" s="1">
        <v>0</v>
      </c>
      <c r="AA175" s="1">
        <v>0</v>
      </c>
      <c r="AB175" s="1" t="s">
        <v>85</v>
      </c>
      <c r="AC175" s="1">
        <f t="shared" si="50"/>
        <v>1</v>
      </c>
      <c r="AD175" s="1">
        <f t="shared" si="73"/>
        <v>1</v>
      </c>
      <c r="AE175" s="1">
        <v>0</v>
      </c>
      <c r="AF175" s="1">
        <v>7.6063879999999999</v>
      </c>
      <c r="AG175" s="1">
        <v>4.0943449999999997</v>
      </c>
      <c r="AH175" s="1">
        <f t="shared" si="52"/>
        <v>0.54136874361593457</v>
      </c>
      <c r="AI175" s="1">
        <f t="shared" si="53"/>
        <v>1.2224241742372471E-2</v>
      </c>
      <c r="AJ175" s="1">
        <f t="shared" si="74"/>
        <v>2.2580250312797454E-2</v>
      </c>
      <c r="AK175" s="1">
        <f t="shared" si="75"/>
        <v>1961.2930801165644</v>
      </c>
      <c r="AL175" s="1">
        <f t="shared" si="76"/>
        <v>44.286488685789529</v>
      </c>
      <c r="AM175" s="1">
        <v>0</v>
      </c>
      <c r="AN175" s="1">
        <v>1</v>
      </c>
      <c r="AO175" s="1">
        <v>0</v>
      </c>
      <c r="AP175" s="1">
        <f t="shared" si="54"/>
        <v>2.2581937608857242E-2</v>
      </c>
      <c r="AQ175" s="1">
        <v>0</v>
      </c>
      <c r="AR175" s="1">
        <v>1</v>
      </c>
      <c r="AS175" s="1">
        <v>0</v>
      </c>
      <c r="AT175" s="1">
        <v>0</v>
      </c>
      <c r="AU175" s="4">
        <v>0</v>
      </c>
      <c r="AV175" s="4">
        <v>1</v>
      </c>
      <c r="AW175" s="1">
        <f t="shared" si="55"/>
        <v>9.5238095238095247E-3</v>
      </c>
      <c r="AX175" s="1">
        <f t="shared" si="56"/>
        <v>9.0702947845804991E-5</v>
      </c>
    </row>
    <row r="176" spans="1:50" x14ac:dyDescent="0.25">
      <c r="A176" s="1" t="s">
        <v>56</v>
      </c>
      <c r="B176" s="1">
        <v>2011</v>
      </c>
      <c r="C176" s="1">
        <f t="shared" si="57"/>
        <v>19</v>
      </c>
      <c r="D176" s="1" t="s">
        <v>24</v>
      </c>
      <c r="E176" s="1" t="s">
        <v>25</v>
      </c>
      <c r="F176" s="2">
        <v>-1.9300000000000001E-2</v>
      </c>
      <c r="G176" s="3">
        <v>9.9699999999999997E-2</v>
      </c>
      <c r="H176" s="1">
        <v>8</v>
      </c>
      <c r="I176" s="1">
        <v>862</v>
      </c>
      <c r="J176" s="1">
        <f t="shared" si="72"/>
        <v>854</v>
      </c>
      <c r="K176" s="1">
        <v>105</v>
      </c>
      <c r="L176" s="1">
        <v>1991</v>
      </c>
      <c r="M176" s="1">
        <v>2006</v>
      </c>
      <c r="N176" s="1">
        <f t="shared" si="69"/>
        <v>1998.5</v>
      </c>
      <c r="O176" s="1">
        <f t="shared" si="70"/>
        <v>16</v>
      </c>
      <c r="P176" s="1">
        <f t="shared" si="51"/>
        <v>2.7725887222397811</v>
      </c>
      <c r="Q176" s="1">
        <v>59</v>
      </c>
      <c r="R176" s="1">
        <v>0</v>
      </c>
      <c r="S176" s="1" t="s">
        <v>27</v>
      </c>
      <c r="T176" s="1">
        <f t="shared" si="71"/>
        <v>0</v>
      </c>
      <c r="U176" s="1">
        <v>1</v>
      </c>
      <c r="V176" s="1">
        <v>1</v>
      </c>
      <c r="W176" s="1">
        <v>0</v>
      </c>
      <c r="X176" s="1">
        <v>0</v>
      </c>
      <c r="Y176" s="1">
        <v>1</v>
      </c>
      <c r="Z176" s="1">
        <v>0</v>
      </c>
      <c r="AA176" s="1">
        <v>0</v>
      </c>
      <c r="AB176" s="1" t="s">
        <v>85</v>
      </c>
      <c r="AC176" s="1">
        <f t="shared" si="50"/>
        <v>1</v>
      </c>
      <c r="AD176" s="1">
        <f t="shared" si="73"/>
        <v>1</v>
      </c>
      <c r="AE176" s="1">
        <v>0</v>
      </c>
      <c r="AF176" s="1">
        <v>7.6063879999999999</v>
      </c>
      <c r="AG176" s="1">
        <v>4.0943449999999997</v>
      </c>
      <c r="AH176" s="1">
        <f t="shared" si="52"/>
        <v>-0.19358074222668006</v>
      </c>
      <c r="AI176" s="1">
        <f t="shared" si="53"/>
        <v>-6.6240512993612369E-3</v>
      </c>
      <c r="AJ176" s="1">
        <f t="shared" si="74"/>
        <v>3.4218544795145869E-2</v>
      </c>
      <c r="AK176" s="1">
        <f t="shared" si="75"/>
        <v>854.03747350376113</v>
      </c>
      <c r="AL176" s="1">
        <f t="shared" si="76"/>
        <v>29.223919543821651</v>
      </c>
      <c r="AM176" s="1">
        <v>0</v>
      </c>
      <c r="AN176" s="1">
        <v>1</v>
      </c>
      <c r="AO176" s="1">
        <v>0</v>
      </c>
      <c r="AP176" s="1">
        <f t="shared" si="54"/>
        <v>3.4219295541457743E-2</v>
      </c>
      <c r="AQ176" s="1">
        <v>0</v>
      </c>
      <c r="AR176" s="1">
        <v>1</v>
      </c>
      <c r="AS176" s="1">
        <v>0</v>
      </c>
      <c r="AT176" s="1">
        <v>0</v>
      </c>
      <c r="AU176" s="4">
        <v>0</v>
      </c>
      <c r="AV176" s="4">
        <v>0</v>
      </c>
      <c r="AW176" s="1">
        <f t="shared" si="55"/>
        <v>9.5238095238095247E-3</v>
      </c>
      <c r="AX176" s="1">
        <f t="shared" si="56"/>
        <v>9.0702947845804991E-5</v>
      </c>
    </row>
    <row r="177" spans="1:50" x14ac:dyDescent="0.25">
      <c r="A177" s="1" t="s">
        <v>56</v>
      </c>
      <c r="B177" s="1">
        <v>2011</v>
      </c>
      <c r="C177" s="1">
        <f t="shared" si="57"/>
        <v>19</v>
      </c>
      <c r="D177" s="1" t="s">
        <v>24</v>
      </c>
      <c r="E177" s="1" t="s">
        <v>25</v>
      </c>
      <c r="F177" s="2">
        <v>-1.47E-2</v>
      </c>
      <c r="G177" s="3">
        <v>0.1028</v>
      </c>
      <c r="H177" s="1">
        <v>8</v>
      </c>
      <c r="I177" s="1">
        <v>862</v>
      </c>
      <c r="J177" s="1">
        <f t="shared" si="72"/>
        <v>854</v>
      </c>
      <c r="K177" s="1">
        <v>105</v>
      </c>
      <c r="L177" s="1">
        <v>1991</v>
      </c>
      <c r="M177" s="1">
        <v>2006</v>
      </c>
      <c r="N177" s="1">
        <f t="shared" si="69"/>
        <v>1998.5</v>
      </c>
      <c r="O177" s="1">
        <f t="shared" si="70"/>
        <v>16</v>
      </c>
      <c r="P177" s="1">
        <f t="shared" si="51"/>
        <v>2.7725887222397811</v>
      </c>
      <c r="Q177" s="1">
        <v>59</v>
      </c>
      <c r="R177" s="1">
        <v>0</v>
      </c>
      <c r="S177" s="1" t="s">
        <v>27</v>
      </c>
      <c r="T177" s="1">
        <f t="shared" si="71"/>
        <v>0</v>
      </c>
      <c r="U177" s="1">
        <v>1</v>
      </c>
      <c r="V177" s="1">
        <v>1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 t="s">
        <v>85</v>
      </c>
      <c r="AC177" s="1">
        <f t="shared" si="50"/>
        <v>1</v>
      </c>
      <c r="AD177" s="1">
        <f t="shared" si="73"/>
        <v>1</v>
      </c>
      <c r="AE177" s="1">
        <v>0</v>
      </c>
      <c r="AF177" s="1">
        <v>7.6063879999999999</v>
      </c>
      <c r="AG177" s="1">
        <v>4.0943449999999997</v>
      </c>
      <c r="AH177" s="1">
        <f t="shared" si="52"/>
        <v>-0.14299610894941633</v>
      </c>
      <c r="AI177" s="1">
        <f t="shared" si="53"/>
        <v>-4.8931675335949498E-3</v>
      </c>
      <c r="AJ177" s="1">
        <f t="shared" si="74"/>
        <v>3.4218885881194615E-2</v>
      </c>
      <c r="AK177" s="1">
        <f t="shared" si="75"/>
        <v>854.02044788717478</v>
      </c>
      <c r="AL177" s="1">
        <f t="shared" si="76"/>
        <v>29.223628246457949</v>
      </c>
      <c r="AM177" s="1">
        <v>0</v>
      </c>
      <c r="AN177" s="1">
        <v>1</v>
      </c>
      <c r="AO177" s="1">
        <v>0</v>
      </c>
      <c r="AP177" s="1">
        <f t="shared" si="54"/>
        <v>3.4219295541457743E-2</v>
      </c>
      <c r="AQ177" s="1">
        <v>0</v>
      </c>
      <c r="AR177" s="1">
        <v>1</v>
      </c>
      <c r="AS177" s="1">
        <v>0</v>
      </c>
      <c r="AT177" s="1">
        <v>0</v>
      </c>
      <c r="AU177" s="4">
        <v>1</v>
      </c>
      <c r="AV177" s="4">
        <v>0</v>
      </c>
      <c r="AW177" s="1">
        <f t="shared" si="55"/>
        <v>9.5238095238095247E-3</v>
      </c>
      <c r="AX177" s="1">
        <f t="shared" si="56"/>
        <v>9.0702947845804991E-5</v>
      </c>
    </row>
    <row r="178" spans="1:50" x14ac:dyDescent="0.25">
      <c r="A178" s="1" t="s">
        <v>56</v>
      </c>
      <c r="B178" s="1">
        <v>2011</v>
      </c>
      <c r="C178" s="1">
        <f t="shared" si="57"/>
        <v>19</v>
      </c>
      <c r="D178" s="1" t="s">
        <v>24</v>
      </c>
      <c r="E178" s="1" t="s">
        <v>25</v>
      </c>
      <c r="F178" s="2">
        <v>-9.1899999999999996E-2</v>
      </c>
      <c r="G178" s="3">
        <v>8.5199999999999998E-2</v>
      </c>
      <c r="H178" s="1">
        <v>8</v>
      </c>
      <c r="I178" s="1">
        <v>862</v>
      </c>
      <c r="J178" s="1">
        <f t="shared" si="72"/>
        <v>854</v>
      </c>
      <c r="K178" s="1">
        <v>105</v>
      </c>
      <c r="L178" s="1">
        <v>1991</v>
      </c>
      <c r="M178" s="1">
        <v>2006</v>
      </c>
      <c r="N178" s="1">
        <f t="shared" si="69"/>
        <v>1998.5</v>
      </c>
      <c r="O178" s="1">
        <f t="shared" si="70"/>
        <v>16</v>
      </c>
      <c r="P178" s="1">
        <f t="shared" si="51"/>
        <v>2.7725887222397811</v>
      </c>
      <c r="Q178" s="1">
        <v>59</v>
      </c>
      <c r="R178" s="1">
        <v>0</v>
      </c>
      <c r="S178" s="1" t="s">
        <v>27</v>
      </c>
      <c r="T178" s="1">
        <f t="shared" si="71"/>
        <v>0</v>
      </c>
      <c r="U178" s="1">
        <v>1</v>
      </c>
      <c r="V178" s="1">
        <v>1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 t="s">
        <v>85</v>
      </c>
      <c r="AC178" s="1">
        <f t="shared" si="50"/>
        <v>1</v>
      </c>
      <c r="AD178" s="1">
        <f t="shared" si="73"/>
        <v>1</v>
      </c>
      <c r="AE178" s="1">
        <v>0</v>
      </c>
      <c r="AF178" s="1">
        <v>7.6063879999999999</v>
      </c>
      <c r="AG178" s="1">
        <v>4.0943449999999997</v>
      </c>
      <c r="AH178" s="1">
        <f t="shared" si="52"/>
        <v>-1.0786384976525822</v>
      </c>
      <c r="AI178" s="1">
        <f t="shared" si="53"/>
        <v>-3.6885132550442394E-2</v>
      </c>
      <c r="AJ178" s="1">
        <f t="shared" si="74"/>
        <v>3.4196009720323085E-2</v>
      </c>
      <c r="AK178" s="1">
        <f t="shared" si="75"/>
        <v>855.16346100861858</v>
      </c>
      <c r="AL178" s="1">
        <f t="shared" si="76"/>
        <v>29.243178025115849</v>
      </c>
      <c r="AM178" s="1">
        <v>0</v>
      </c>
      <c r="AN178" s="1">
        <v>1</v>
      </c>
      <c r="AO178" s="1">
        <v>0</v>
      </c>
      <c r="AP178" s="1">
        <f t="shared" si="54"/>
        <v>3.4219295541457743E-2</v>
      </c>
      <c r="AQ178" s="1">
        <v>0</v>
      </c>
      <c r="AR178" s="1">
        <v>1</v>
      </c>
      <c r="AS178" s="1">
        <v>0</v>
      </c>
      <c r="AT178" s="1">
        <v>0</v>
      </c>
      <c r="AU178" s="4">
        <v>0</v>
      </c>
      <c r="AV178" s="4">
        <v>1</v>
      </c>
      <c r="AW178" s="1">
        <f t="shared" si="55"/>
        <v>9.5238095238095247E-3</v>
      </c>
      <c r="AX178" s="1">
        <f t="shared" si="56"/>
        <v>9.0702947845804991E-5</v>
      </c>
    </row>
    <row r="179" spans="1:50" x14ac:dyDescent="0.25">
      <c r="A179" s="1" t="s">
        <v>56</v>
      </c>
      <c r="B179" s="1">
        <v>2011</v>
      </c>
      <c r="C179" s="1">
        <f t="shared" si="57"/>
        <v>19</v>
      </c>
      <c r="D179" s="1" t="s">
        <v>24</v>
      </c>
      <c r="E179" s="1" t="s">
        <v>25</v>
      </c>
      <c r="F179" s="2">
        <v>-1.43E-2</v>
      </c>
      <c r="G179" s="3">
        <v>9.69E-2</v>
      </c>
      <c r="H179" s="1">
        <v>8</v>
      </c>
      <c r="I179" s="1">
        <v>887</v>
      </c>
      <c r="J179" s="1">
        <f t="shared" si="72"/>
        <v>879</v>
      </c>
      <c r="K179" s="1">
        <v>105</v>
      </c>
      <c r="L179" s="1">
        <v>1991</v>
      </c>
      <c r="M179" s="1">
        <v>2006</v>
      </c>
      <c r="N179" s="1">
        <f t="shared" si="69"/>
        <v>1998.5</v>
      </c>
      <c r="O179" s="1">
        <f t="shared" si="70"/>
        <v>16</v>
      </c>
      <c r="P179" s="1">
        <f t="shared" si="51"/>
        <v>2.7725887222397811</v>
      </c>
      <c r="Q179" s="1">
        <v>59</v>
      </c>
      <c r="R179" s="1">
        <v>0</v>
      </c>
      <c r="S179" s="1" t="s">
        <v>27</v>
      </c>
      <c r="T179" s="1">
        <f t="shared" si="71"/>
        <v>0</v>
      </c>
      <c r="U179" s="1">
        <v>1</v>
      </c>
      <c r="V179" s="1">
        <v>1</v>
      </c>
      <c r="W179" s="1">
        <v>0</v>
      </c>
      <c r="X179" s="1">
        <v>0</v>
      </c>
      <c r="Y179" s="1">
        <v>1</v>
      </c>
      <c r="Z179" s="1">
        <v>0</v>
      </c>
      <c r="AA179" s="1">
        <v>0</v>
      </c>
      <c r="AB179" s="1" t="s">
        <v>85</v>
      </c>
      <c r="AC179" s="1">
        <f t="shared" si="50"/>
        <v>1</v>
      </c>
      <c r="AD179" s="1">
        <f t="shared" si="73"/>
        <v>1</v>
      </c>
      <c r="AE179" s="1">
        <v>0</v>
      </c>
      <c r="AF179" s="1">
        <v>7.6063879999999999</v>
      </c>
      <c r="AG179" s="1">
        <v>4.0943449999999997</v>
      </c>
      <c r="AH179" s="1">
        <f t="shared" si="52"/>
        <v>-0.14757481940144479</v>
      </c>
      <c r="AI179" s="1">
        <f t="shared" si="53"/>
        <v>-4.9775134570822005E-3</v>
      </c>
      <c r="AJ179" s="1">
        <f t="shared" si="74"/>
        <v>3.3728745034354211E-2</v>
      </c>
      <c r="AK179" s="1">
        <f t="shared" si="75"/>
        <v>879.0217783273215</v>
      </c>
      <c r="AL179" s="1">
        <f t="shared" si="76"/>
        <v>29.648301440846851</v>
      </c>
      <c r="AM179" s="1">
        <v>0</v>
      </c>
      <c r="AN179" s="1">
        <v>1</v>
      </c>
      <c r="AO179" s="1">
        <v>0</v>
      </c>
      <c r="AP179" s="1">
        <f t="shared" si="54"/>
        <v>3.3729162867744238E-2</v>
      </c>
      <c r="AQ179" s="1">
        <v>0</v>
      </c>
      <c r="AR179" s="1">
        <v>1</v>
      </c>
      <c r="AS179" s="1">
        <v>0</v>
      </c>
      <c r="AT179" s="1">
        <v>0</v>
      </c>
      <c r="AU179" s="4">
        <v>0</v>
      </c>
      <c r="AV179" s="4">
        <v>0</v>
      </c>
      <c r="AW179" s="1">
        <f t="shared" si="55"/>
        <v>9.5238095238095247E-3</v>
      </c>
      <c r="AX179" s="1">
        <f t="shared" si="56"/>
        <v>9.0702947845804991E-5</v>
      </c>
    </row>
    <row r="180" spans="1:50" x14ac:dyDescent="0.25">
      <c r="A180" s="1" t="s">
        <v>56</v>
      </c>
      <c r="B180" s="1">
        <v>2011</v>
      </c>
      <c r="C180" s="1">
        <f t="shared" si="57"/>
        <v>19</v>
      </c>
      <c r="D180" s="1" t="s">
        <v>24</v>
      </c>
      <c r="E180" s="1" t="s">
        <v>25</v>
      </c>
      <c r="F180" s="2">
        <v>0.11169999999999999</v>
      </c>
      <c r="G180" s="3">
        <v>8.1199999999999994E-2</v>
      </c>
      <c r="H180" s="1">
        <v>8</v>
      </c>
      <c r="I180" s="1">
        <v>887</v>
      </c>
      <c r="J180" s="1">
        <f t="shared" si="72"/>
        <v>879</v>
      </c>
      <c r="K180" s="1">
        <v>105</v>
      </c>
      <c r="L180" s="1">
        <v>1991</v>
      </c>
      <c r="M180" s="1">
        <v>2006</v>
      </c>
      <c r="N180" s="1">
        <f t="shared" si="69"/>
        <v>1998.5</v>
      </c>
      <c r="O180" s="1">
        <f t="shared" si="70"/>
        <v>16</v>
      </c>
      <c r="P180" s="1">
        <f t="shared" si="51"/>
        <v>2.7725887222397811</v>
      </c>
      <c r="Q180" s="1">
        <v>59</v>
      </c>
      <c r="R180" s="1">
        <v>0</v>
      </c>
      <c r="S180" s="1" t="s">
        <v>27</v>
      </c>
      <c r="T180" s="1">
        <f t="shared" si="71"/>
        <v>0</v>
      </c>
      <c r="U180" s="1">
        <v>1</v>
      </c>
      <c r="V180" s="1">
        <v>1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 t="s">
        <v>85</v>
      </c>
      <c r="AC180" s="1">
        <f t="shared" si="50"/>
        <v>1</v>
      </c>
      <c r="AD180" s="1">
        <f t="shared" si="73"/>
        <v>1</v>
      </c>
      <c r="AE180" s="1">
        <v>0</v>
      </c>
      <c r="AF180" s="1">
        <v>7.6063879999999999</v>
      </c>
      <c r="AG180" s="1">
        <v>4.0943449999999997</v>
      </c>
      <c r="AH180" s="1">
        <f t="shared" si="52"/>
        <v>1.375615763546798</v>
      </c>
      <c r="AI180" s="1">
        <f t="shared" si="53"/>
        <v>4.6348505224483534E-2</v>
      </c>
      <c r="AJ180" s="1">
        <f t="shared" si="74"/>
        <v>3.3692915167663949E-2</v>
      </c>
      <c r="AK180" s="1">
        <f t="shared" si="75"/>
        <v>880.89231872891844</v>
      </c>
      <c r="AL180" s="1">
        <f t="shared" si="76"/>
        <v>29.679830166780242</v>
      </c>
      <c r="AM180" s="1">
        <v>0</v>
      </c>
      <c r="AN180" s="1">
        <v>1</v>
      </c>
      <c r="AO180" s="1">
        <v>0</v>
      </c>
      <c r="AP180" s="1">
        <f t="shared" si="54"/>
        <v>3.3729162867744238E-2</v>
      </c>
      <c r="AQ180" s="1">
        <v>0</v>
      </c>
      <c r="AR180" s="1">
        <v>1</v>
      </c>
      <c r="AS180" s="1">
        <v>0</v>
      </c>
      <c r="AT180" s="1">
        <v>0</v>
      </c>
      <c r="AU180" s="4">
        <v>1</v>
      </c>
      <c r="AV180" s="4">
        <v>0</v>
      </c>
      <c r="AW180" s="1">
        <f t="shared" si="55"/>
        <v>9.5238095238095247E-3</v>
      </c>
      <c r="AX180" s="1">
        <f t="shared" si="56"/>
        <v>9.0702947845804991E-5</v>
      </c>
    </row>
    <row r="181" spans="1:50" x14ac:dyDescent="0.25">
      <c r="A181" s="1" t="s">
        <v>56</v>
      </c>
      <c r="B181" s="1">
        <v>2011</v>
      </c>
      <c r="C181" s="1">
        <f t="shared" si="57"/>
        <v>19</v>
      </c>
      <c r="D181" s="1" t="s">
        <v>24</v>
      </c>
      <c r="E181" s="1" t="s">
        <v>25</v>
      </c>
      <c r="F181" s="2">
        <v>-9.2499999999999999E-2</v>
      </c>
      <c r="G181" s="3">
        <v>7.5600000000000001E-2</v>
      </c>
      <c r="H181" s="1">
        <v>8</v>
      </c>
      <c r="I181" s="1">
        <v>887</v>
      </c>
      <c r="J181" s="1">
        <f t="shared" si="72"/>
        <v>879</v>
      </c>
      <c r="K181" s="1">
        <v>105</v>
      </c>
      <c r="L181" s="1">
        <v>1991</v>
      </c>
      <c r="M181" s="1">
        <v>2006</v>
      </c>
      <c r="N181" s="1">
        <f t="shared" si="69"/>
        <v>1998.5</v>
      </c>
      <c r="O181" s="1">
        <f t="shared" si="70"/>
        <v>16</v>
      </c>
      <c r="P181" s="1">
        <f t="shared" si="51"/>
        <v>2.7725887222397811</v>
      </c>
      <c r="Q181" s="1">
        <v>59</v>
      </c>
      <c r="R181" s="1">
        <v>0</v>
      </c>
      <c r="S181" s="1" t="s">
        <v>27</v>
      </c>
      <c r="T181" s="1">
        <f t="shared" si="71"/>
        <v>0</v>
      </c>
      <c r="U181" s="1">
        <v>1</v>
      </c>
      <c r="V181" s="1">
        <v>1</v>
      </c>
      <c r="W181" s="1">
        <v>0</v>
      </c>
      <c r="X181" s="1">
        <v>0</v>
      </c>
      <c r="Y181" s="1">
        <v>1</v>
      </c>
      <c r="Z181" s="1">
        <v>0</v>
      </c>
      <c r="AA181" s="1">
        <v>0</v>
      </c>
      <c r="AB181" s="1" t="s">
        <v>85</v>
      </c>
      <c r="AC181" s="1">
        <f t="shared" si="50"/>
        <v>1</v>
      </c>
      <c r="AD181" s="1">
        <f t="shared" si="73"/>
        <v>1</v>
      </c>
      <c r="AE181" s="1">
        <v>0</v>
      </c>
      <c r="AF181" s="1">
        <v>7.6063879999999999</v>
      </c>
      <c r="AG181" s="1">
        <v>4.0943449999999997</v>
      </c>
      <c r="AH181" s="1">
        <f t="shared" si="52"/>
        <v>-1.2235449735449735</v>
      </c>
      <c r="AI181" s="1">
        <f t="shared" si="53"/>
        <v>-4.1234048895301773E-2</v>
      </c>
      <c r="AJ181" s="1">
        <f t="shared" si="74"/>
        <v>3.370047671875475E-2</v>
      </c>
      <c r="AK181" s="1">
        <f t="shared" si="75"/>
        <v>880.49706230228719</v>
      </c>
      <c r="AL181" s="1">
        <f t="shared" si="76"/>
        <v>29.673170749050179</v>
      </c>
      <c r="AM181" s="1">
        <v>0</v>
      </c>
      <c r="AN181" s="1">
        <v>1</v>
      </c>
      <c r="AO181" s="1">
        <v>0</v>
      </c>
      <c r="AP181" s="1">
        <f t="shared" si="54"/>
        <v>3.3729162867744238E-2</v>
      </c>
      <c r="AQ181" s="1">
        <v>0</v>
      </c>
      <c r="AR181" s="1">
        <v>1</v>
      </c>
      <c r="AS181" s="1">
        <v>0</v>
      </c>
      <c r="AT181" s="1">
        <v>0</v>
      </c>
      <c r="AU181" s="4">
        <v>0</v>
      </c>
      <c r="AV181" s="4">
        <v>1</v>
      </c>
      <c r="AW181" s="1">
        <f t="shared" si="55"/>
        <v>9.5238095238095247E-3</v>
      </c>
      <c r="AX181" s="1">
        <f t="shared" si="56"/>
        <v>9.0702947845804991E-5</v>
      </c>
    </row>
    <row r="182" spans="1:50" x14ac:dyDescent="0.25">
      <c r="A182" s="1" t="s">
        <v>56</v>
      </c>
      <c r="B182" s="1">
        <v>2011</v>
      </c>
      <c r="C182" s="1">
        <f t="shared" si="57"/>
        <v>19</v>
      </c>
      <c r="D182" s="1" t="s">
        <v>24</v>
      </c>
      <c r="E182" s="1" t="s">
        <v>25</v>
      </c>
      <c r="F182" s="2">
        <v>1.7000000000000001E-2</v>
      </c>
      <c r="G182" s="3">
        <v>0.31380000000000002</v>
      </c>
      <c r="H182" s="1">
        <v>8</v>
      </c>
      <c r="I182" s="1">
        <v>467</v>
      </c>
      <c r="J182" s="1">
        <f t="shared" si="72"/>
        <v>459</v>
      </c>
      <c r="K182" s="1">
        <v>105</v>
      </c>
      <c r="L182" s="1">
        <v>1999</v>
      </c>
      <c r="M182" s="1">
        <v>2006</v>
      </c>
      <c r="N182" s="1">
        <f t="shared" si="69"/>
        <v>2002.5</v>
      </c>
      <c r="O182" s="1">
        <f t="shared" si="70"/>
        <v>8</v>
      </c>
      <c r="P182" s="1">
        <f t="shared" si="51"/>
        <v>2.0794415416798357</v>
      </c>
      <c r="Q182" s="1">
        <v>59</v>
      </c>
      <c r="R182" s="1">
        <v>0</v>
      </c>
      <c r="S182" s="1" t="s">
        <v>27</v>
      </c>
      <c r="T182" s="1">
        <f t="shared" si="71"/>
        <v>0</v>
      </c>
      <c r="U182" s="1">
        <v>1</v>
      </c>
      <c r="V182" s="1">
        <v>1</v>
      </c>
      <c r="W182" s="1">
        <v>1</v>
      </c>
      <c r="X182" s="1">
        <v>0</v>
      </c>
      <c r="Y182" s="1">
        <v>1</v>
      </c>
      <c r="Z182" s="1">
        <v>0</v>
      </c>
      <c r="AA182" s="1">
        <v>0</v>
      </c>
      <c r="AB182" s="1" t="s">
        <v>85</v>
      </c>
      <c r="AC182" s="1">
        <f t="shared" si="50"/>
        <v>1</v>
      </c>
      <c r="AD182" s="1">
        <f t="shared" si="73"/>
        <v>1</v>
      </c>
      <c r="AE182" s="1">
        <v>0</v>
      </c>
      <c r="AF182" s="1">
        <v>7.6063879999999999</v>
      </c>
      <c r="AG182" s="1">
        <v>4.0943449999999997</v>
      </c>
      <c r="AH182" s="1">
        <f t="shared" si="52"/>
        <v>5.417463352453792E-2</v>
      </c>
      <c r="AI182" s="1">
        <f t="shared" si="53"/>
        <v>2.5286472619347865E-3</v>
      </c>
      <c r="AJ182" s="1">
        <f t="shared" si="74"/>
        <v>4.6675853576184471E-2</v>
      </c>
      <c r="AK182" s="1">
        <f t="shared" si="75"/>
        <v>459.00293489091769</v>
      </c>
      <c r="AL182" s="1">
        <f t="shared" si="76"/>
        <v>21.424353780007408</v>
      </c>
      <c r="AM182" s="1">
        <v>0</v>
      </c>
      <c r="AN182" s="1">
        <v>1</v>
      </c>
      <c r="AO182" s="1">
        <v>0</v>
      </c>
      <c r="AP182" s="1">
        <f t="shared" si="54"/>
        <v>4.6676002800933661E-2</v>
      </c>
      <c r="AQ182" s="1">
        <v>0</v>
      </c>
      <c r="AR182" s="1">
        <v>1</v>
      </c>
      <c r="AS182" s="1">
        <v>0</v>
      </c>
      <c r="AT182" s="1">
        <v>0</v>
      </c>
      <c r="AU182" s="4">
        <v>0</v>
      </c>
      <c r="AV182" s="4">
        <v>0</v>
      </c>
      <c r="AW182" s="1">
        <f t="shared" si="55"/>
        <v>9.5238095238095247E-3</v>
      </c>
      <c r="AX182" s="1">
        <f t="shared" si="56"/>
        <v>9.0702947845804991E-5</v>
      </c>
    </row>
    <row r="183" spans="1:50" x14ac:dyDescent="0.25">
      <c r="A183" s="1" t="s">
        <v>56</v>
      </c>
      <c r="B183" s="1">
        <v>2011</v>
      </c>
      <c r="C183" s="1">
        <f t="shared" si="57"/>
        <v>19</v>
      </c>
      <c r="D183" s="1" t="s">
        <v>24</v>
      </c>
      <c r="E183" s="1" t="s">
        <v>25</v>
      </c>
      <c r="F183" s="2">
        <v>8.6099999999999996E-2</v>
      </c>
      <c r="G183" s="3">
        <v>0.1346</v>
      </c>
      <c r="H183" s="1">
        <v>8</v>
      </c>
      <c r="I183" s="1">
        <v>467</v>
      </c>
      <c r="J183" s="1">
        <f t="shared" si="72"/>
        <v>459</v>
      </c>
      <c r="K183" s="1">
        <v>105</v>
      </c>
      <c r="L183" s="1">
        <v>1999</v>
      </c>
      <c r="M183" s="1">
        <v>2006</v>
      </c>
      <c r="N183" s="1">
        <f t="shared" si="69"/>
        <v>2002.5</v>
      </c>
      <c r="O183" s="1">
        <f t="shared" si="70"/>
        <v>8</v>
      </c>
      <c r="P183" s="1">
        <f t="shared" si="51"/>
        <v>2.0794415416798357</v>
      </c>
      <c r="Q183" s="1">
        <v>59</v>
      </c>
      <c r="R183" s="1">
        <v>0</v>
      </c>
      <c r="S183" s="1" t="s">
        <v>27</v>
      </c>
      <c r="T183" s="1">
        <f t="shared" si="71"/>
        <v>0</v>
      </c>
      <c r="U183" s="1">
        <v>1</v>
      </c>
      <c r="V183" s="1">
        <v>1</v>
      </c>
      <c r="W183" s="1">
        <v>1</v>
      </c>
      <c r="X183" s="1">
        <v>0</v>
      </c>
      <c r="Y183" s="1">
        <v>1</v>
      </c>
      <c r="Z183" s="1">
        <v>0</v>
      </c>
      <c r="AA183" s="1">
        <v>0</v>
      </c>
      <c r="AB183" s="1" t="s">
        <v>85</v>
      </c>
      <c r="AC183" s="1">
        <f t="shared" si="50"/>
        <v>1</v>
      </c>
      <c r="AD183" s="1">
        <f t="shared" si="73"/>
        <v>1</v>
      </c>
      <c r="AE183" s="1">
        <v>0</v>
      </c>
      <c r="AF183" s="1">
        <v>7.6063879999999999</v>
      </c>
      <c r="AG183" s="1">
        <v>4.0943449999999997</v>
      </c>
      <c r="AH183" s="1">
        <f t="shared" si="52"/>
        <v>0.63967310549777112</v>
      </c>
      <c r="AI183" s="1">
        <f t="shared" si="53"/>
        <v>2.9844084173472164E-2</v>
      </c>
      <c r="AJ183" s="1">
        <f t="shared" si="74"/>
        <v>4.6655211727634767E-2</v>
      </c>
      <c r="AK183" s="1">
        <f t="shared" si="75"/>
        <v>459.40918168189717</v>
      </c>
      <c r="AL183" s="1">
        <f t="shared" si="76"/>
        <v>21.433832640988339</v>
      </c>
      <c r="AM183" s="1">
        <v>0</v>
      </c>
      <c r="AN183" s="1">
        <v>1</v>
      </c>
      <c r="AO183" s="1">
        <v>0</v>
      </c>
      <c r="AP183" s="1">
        <f t="shared" si="54"/>
        <v>4.6676002800933661E-2</v>
      </c>
      <c r="AQ183" s="1">
        <v>0</v>
      </c>
      <c r="AR183" s="1">
        <v>1</v>
      </c>
      <c r="AS183" s="1">
        <v>0</v>
      </c>
      <c r="AT183" s="1">
        <v>0</v>
      </c>
      <c r="AU183" s="4">
        <v>1</v>
      </c>
      <c r="AV183" s="4">
        <v>0</v>
      </c>
      <c r="AW183" s="1">
        <f t="shared" si="55"/>
        <v>9.5238095238095247E-3</v>
      </c>
      <c r="AX183" s="1">
        <f t="shared" si="56"/>
        <v>9.0702947845804991E-5</v>
      </c>
    </row>
    <row r="184" spans="1:50" x14ac:dyDescent="0.25">
      <c r="A184" s="1" t="s">
        <v>56</v>
      </c>
      <c r="B184" s="1">
        <v>2011</v>
      </c>
      <c r="C184" s="1">
        <f t="shared" si="57"/>
        <v>19</v>
      </c>
      <c r="D184" s="1" t="s">
        <v>24</v>
      </c>
      <c r="E184" s="1" t="s">
        <v>25</v>
      </c>
      <c r="F184" s="2">
        <v>0.25340000000000001</v>
      </c>
      <c r="G184" s="3">
        <v>0.23980000000000001</v>
      </c>
      <c r="H184" s="1">
        <v>8</v>
      </c>
      <c r="I184" s="1">
        <v>467</v>
      </c>
      <c r="J184" s="1">
        <f t="shared" si="72"/>
        <v>459</v>
      </c>
      <c r="K184" s="1">
        <v>105</v>
      </c>
      <c r="L184" s="1">
        <v>1999</v>
      </c>
      <c r="M184" s="1">
        <v>2006</v>
      </c>
      <c r="N184" s="1">
        <f t="shared" si="69"/>
        <v>2002.5</v>
      </c>
      <c r="O184" s="1">
        <f t="shared" si="70"/>
        <v>8</v>
      </c>
      <c r="P184" s="1">
        <f t="shared" si="51"/>
        <v>2.0794415416798357</v>
      </c>
      <c r="Q184" s="1">
        <v>59</v>
      </c>
      <c r="R184" s="1">
        <v>0</v>
      </c>
      <c r="S184" s="1" t="s">
        <v>27</v>
      </c>
      <c r="T184" s="1">
        <f t="shared" si="71"/>
        <v>0</v>
      </c>
      <c r="U184" s="1">
        <v>1</v>
      </c>
      <c r="V184" s="1">
        <v>1</v>
      </c>
      <c r="W184" s="1">
        <v>1</v>
      </c>
      <c r="X184" s="1">
        <v>0</v>
      </c>
      <c r="Y184" s="1">
        <v>1</v>
      </c>
      <c r="Z184" s="1">
        <v>0</v>
      </c>
      <c r="AA184" s="1">
        <v>0</v>
      </c>
      <c r="AB184" s="1" t="s">
        <v>85</v>
      </c>
      <c r="AC184" s="1">
        <f t="shared" si="50"/>
        <v>1</v>
      </c>
      <c r="AD184" s="1">
        <f t="shared" si="73"/>
        <v>1</v>
      </c>
      <c r="AE184" s="1">
        <v>0</v>
      </c>
      <c r="AF184" s="1">
        <v>7.6063879999999999</v>
      </c>
      <c r="AG184" s="1">
        <v>4.0943449999999997</v>
      </c>
      <c r="AH184" s="1">
        <f t="shared" si="52"/>
        <v>1.0567139282735614</v>
      </c>
      <c r="AI184" s="1">
        <f t="shared" si="53"/>
        <v>4.926329538762652E-2</v>
      </c>
      <c r="AJ184" s="1">
        <f t="shared" si="74"/>
        <v>4.6619330047169845E-2</v>
      </c>
      <c r="AK184" s="1">
        <f t="shared" si="75"/>
        <v>460.11664432620734</v>
      </c>
      <c r="AL184" s="1">
        <f t="shared" si="76"/>
        <v>21.450329702039717</v>
      </c>
      <c r="AM184" s="1">
        <v>0</v>
      </c>
      <c r="AN184" s="1">
        <v>1</v>
      </c>
      <c r="AO184" s="1">
        <v>0</v>
      </c>
      <c r="AP184" s="1">
        <f t="shared" si="54"/>
        <v>4.6676002800933661E-2</v>
      </c>
      <c r="AQ184" s="1">
        <v>0</v>
      </c>
      <c r="AR184" s="1">
        <v>1</v>
      </c>
      <c r="AS184" s="1">
        <v>0</v>
      </c>
      <c r="AT184" s="1">
        <v>0</v>
      </c>
      <c r="AU184" s="4">
        <v>0</v>
      </c>
      <c r="AV184" s="4">
        <v>1</v>
      </c>
      <c r="AW184" s="1">
        <f t="shared" si="55"/>
        <v>9.5238095238095247E-3</v>
      </c>
      <c r="AX184" s="1">
        <f t="shared" si="56"/>
        <v>9.0702947845804991E-5</v>
      </c>
    </row>
    <row r="185" spans="1:50" x14ac:dyDescent="0.25">
      <c r="A185" s="1" t="s">
        <v>56</v>
      </c>
      <c r="B185" s="1">
        <v>2011</v>
      </c>
      <c r="C185" s="1">
        <f t="shared" si="57"/>
        <v>19</v>
      </c>
      <c r="D185" s="1" t="s">
        <v>24</v>
      </c>
      <c r="E185" s="1" t="s">
        <v>25</v>
      </c>
      <c r="F185" s="2">
        <v>-0.2505</v>
      </c>
      <c r="G185" s="3">
        <v>6.93E-2</v>
      </c>
      <c r="H185" s="1">
        <v>8</v>
      </c>
      <c r="I185" s="1">
        <v>768</v>
      </c>
      <c r="J185" s="1">
        <f t="shared" si="72"/>
        <v>760</v>
      </c>
      <c r="K185" s="1">
        <v>105</v>
      </c>
      <c r="L185" s="1">
        <v>1991</v>
      </c>
      <c r="M185" s="1">
        <v>2006</v>
      </c>
      <c r="N185" s="1">
        <f t="shared" si="69"/>
        <v>1998.5</v>
      </c>
      <c r="O185" s="1">
        <f t="shared" si="70"/>
        <v>16</v>
      </c>
      <c r="P185" s="1">
        <f t="shared" si="51"/>
        <v>2.7725887222397811</v>
      </c>
      <c r="Q185" s="1">
        <v>59</v>
      </c>
      <c r="R185" s="1">
        <v>0</v>
      </c>
      <c r="S185" s="1" t="s">
        <v>27</v>
      </c>
      <c r="T185" s="1">
        <f t="shared" si="71"/>
        <v>0</v>
      </c>
      <c r="U185" s="1">
        <v>1</v>
      </c>
      <c r="V185" s="1">
        <v>1</v>
      </c>
      <c r="W185" s="1">
        <v>0</v>
      </c>
      <c r="X185" s="1">
        <v>0</v>
      </c>
      <c r="Y185" s="1">
        <v>1</v>
      </c>
      <c r="Z185" s="1">
        <v>0</v>
      </c>
      <c r="AA185" s="1">
        <v>0</v>
      </c>
      <c r="AB185" s="1" t="s">
        <v>85</v>
      </c>
      <c r="AC185" s="1">
        <f t="shared" si="50"/>
        <v>1</v>
      </c>
      <c r="AD185" s="1">
        <f t="shared" si="73"/>
        <v>1</v>
      </c>
      <c r="AE185" s="1">
        <v>0</v>
      </c>
      <c r="AF185" s="1">
        <v>7.6063879999999999</v>
      </c>
      <c r="AG185" s="1">
        <v>4.0943449999999997</v>
      </c>
      <c r="AH185" s="1">
        <f t="shared" si="52"/>
        <v>-3.6147186147186146</v>
      </c>
      <c r="AI185" s="1">
        <f t="shared" si="53"/>
        <v>-0.13000682599206762</v>
      </c>
      <c r="AJ185" s="1">
        <f t="shared" si="74"/>
        <v>3.5965960244512117E-2</v>
      </c>
      <c r="AK185" s="1">
        <f t="shared" si="75"/>
        <v>773.0661906635936</v>
      </c>
      <c r="AL185" s="1">
        <f t="shared" si="76"/>
        <v>27.804067879783233</v>
      </c>
      <c r="AM185" s="1">
        <v>0</v>
      </c>
      <c r="AN185" s="1">
        <v>1</v>
      </c>
      <c r="AO185" s="1">
        <v>0</v>
      </c>
      <c r="AP185" s="1">
        <f t="shared" si="54"/>
        <v>3.6273812505500581E-2</v>
      </c>
      <c r="AQ185" s="1">
        <v>0</v>
      </c>
      <c r="AR185" s="1">
        <v>1</v>
      </c>
      <c r="AS185" s="1">
        <v>0</v>
      </c>
      <c r="AT185" s="1">
        <v>0</v>
      </c>
      <c r="AU185" s="4">
        <v>0</v>
      </c>
      <c r="AV185" s="4">
        <v>0</v>
      </c>
      <c r="AW185" s="1">
        <f t="shared" si="55"/>
        <v>9.5238095238095247E-3</v>
      </c>
      <c r="AX185" s="1">
        <f t="shared" si="56"/>
        <v>9.0702947845804991E-5</v>
      </c>
    </row>
    <row r="186" spans="1:50" x14ac:dyDescent="0.25">
      <c r="A186" s="1" t="s">
        <v>56</v>
      </c>
      <c r="B186" s="1">
        <v>2011</v>
      </c>
      <c r="C186" s="1">
        <f t="shared" si="57"/>
        <v>19</v>
      </c>
      <c r="D186" s="1" t="s">
        <v>24</v>
      </c>
      <c r="E186" s="1" t="s">
        <v>25</v>
      </c>
      <c r="F186" s="2">
        <v>0.2389</v>
      </c>
      <c r="G186" s="3">
        <v>0.12870000000000001</v>
      </c>
      <c r="H186" s="1">
        <v>8</v>
      </c>
      <c r="I186" s="1">
        <v>768</v>
      </c>
      <c r="J186" s="1">
        <f t="shared" si="72"/>
        <v>760</v>
      </c>
      <c r="K186" s="1">
        <v>105</v>
      </c>
      <c r="L186" s="1">
        <v>1991</v>
      </c>
      <c r="M186" s="1">
        <v>2006</v>
      </c>
      <c r="N186" s="1">
        <f t="shared" si="69"/>
        <v>1998.5</v>
      </c>
      <c r="O186" s="1">
        <f t="shared" si="70"/>
        <v>16</v>
      </c>
      <c r="P186" s="1">
        <f t="shared" si="51"/>
        <v>2.7725887222397811</v>
      </c>
      <c r="Q186" s="1">
        <v>59</v>
      </c>
      <c r="R186" s="1">
        <v>0</v>
      </c>
      <c r="S186" s="1" t="s">
        <v>27</v>
      </c>
      <c r="T186" s="1">
        <f t="shared" si="71"/>
        <v>0</v>
      </c>
      <c r="U186" s="1">
        <v>1</v>
      </c>
      <c r="V186" s="1">
        <v>1</v>
      </c>
      <c r="W186" s="1">
        <v>0</v>
      </c>
      <c r="X186" s="1">
        <v>0</v>
      </c>
      <c r="Y186" s="1">
        <v>1</v>
      </c>
      <c r="Z186" s="1">
        <v>0</v>
      </c>
      <c r="AA186" s="1">
        <v>0</v>
      </c>
      <c r="AB186" s="1" t="s">
        <v>85</v>
      </c>
      <c r="AC186" s="1">
        <f t="shared" si="50"/>
        <v>1</v>
      </c>
      <c r="AD186" s="1">
        <f t="shared" si="73"/>
        <v>1</v>
      </c>
      <c r="AE186" s="1">
        <v>0</v>
      </c>
      <c r="AF186" s="1">
        <v>7.6063879999999999</v>
      </c>
      <c r="AG186" s="1">
        <v>4.0943449999999997</v>
      </c>
      <c r="AH186" s="1">
        <f t="shared" si="52"/>
        <v>1.8562548562548562</v>
      </c>
      <c r="AI186" s="1">
        <f t="shared" si="53"/>
        <v>6.7181319771663542E-2</v>
      </c>
      <c r="AJ186" s="1">
        <f t="shared" si="74"/>
        <v>3.6191862095492251E-2</v>
      </c>
      <c r="AK186" s="1">
        <f t="shared" si="75"/>
        <v>763.44568209136946</v>
      </c>
      <c r="AL186" s="1">
        <f t="shared" si="76"/>
        <v>27.630520843649862</v>
      </c>
      <c r="AM186" s="1">
        <v>0</v>
      </c>
      <c r="AN186" s="1">
        <v>1</v>
      </c>
      <c r="AO186" s="1">
        <v>0</v>
      </c>
      <c r="AP186" s="1">
        <f t="shared" si="54"/>
        <v>3.6273812505500581E-2</v>
      </c>
      <c r="AQ186" s="1">
        <v>0</v>
      </c>
      <c r="AR186" s="1">
        <v>1</v>
      </c>
      <c r="AS186" s="1">
        <v>0</v>
      </c>
      <c r="AT186" s="1">
        <v>0</v>
      </c>
      <c r="AU186" s="4">
        <v>1</v>
      </c>
      <c r="AV186" s="4">
        <v>0</v>
      </c>
      <c r="AW186" s="1">
        <f t="shared" si="55"/>
        <v>9.5238095238095247E-3</v>
      </c>
      <c r="AX186" s="1">
        <f t="shared" si="56"/>
        <v>9.0702947845804991E-5</v>
      </c>
    </row>
    <row r="187" spans="1:50" x14ac:dyDescent="0.25">
      <c r="A187" s="1" t="s">
        <v>56</v>
      </c>
      <c r="B187" s="1">
        <v>2011</v>
      </c>
      <c r="C187" s="1">
        <f t="shared" si="57"/>
        <v>19</v>
      </c>
      <c r="D187" s="1" t="s">
        <v>24</v>
      </c>
      <c r="E187" s="1" t="s">
        <v>25</v>
      </c>
      <c r="F187" s="2">
        <v>5.04E-2</v>
      </c>
      <c r="G187" s="3">
        <v>3.9300000000000002E-2</v>
      </c>
      <c r="H187" s="1">
        <v>8</v>
      </c>
      <c r="I187" s="1">
        <v>768</v>
      </c>
      <c r="J187" s="1">
        <f t="shared" si="72"/>
        <v>760</v>
      </c>
      <c r="K187" s="1">
        <v>105</v>
      </c>
      <c r="L187" s="1">
        <v>1991</v>
      </c>
      <c r="M187" s="1">
        <v>2006</v>
      </c>
      <c r="N187" s="1">
        <f t="shared" si="69"/>
        <v>1998.5</v>
      </c>
      <c r="O187" s="1">
        <f t="shared" si="70"/>
        <v>16</v>
      </c>
      <c r="P187" s="1">
        <f t="shared" si="51"/>
        <v>2.7725887222397811</v>
      </c>
      <c r="Q187" s="1">
        <v>59</v>
      </c>
      <c r="R187" s="1">
        <v>0</v>
      </c>
      <c r="S187" s="1" t="s">
        <v>27</v>
      </c>
      <c r="T187" s="1">
        <f t="shared" si="71"/>
        <v>0</v>
      </c>
      <c r="U187" s="1">
        <v>1</v>
      </c>
      <c r="V187" s="1">
        <v>1</v>
      </c>
      <c r="W187" s="1">
        <v>0</v>
      </c>
      <c r="X187" s="1">
        <v>0</v>
      </c>
      <c r="Y187" s="1">
        <v>1</v>
      </c>
      <c r="Z187" s="1">
        <v>0</v>
      </c>
      <c r="AA187" s="1">
        <v>0</v>
      </c>
      <c r="AB187" s="1" t="s">
        <v>85</v>
      </c>
      <c r="AC187" s="1">
        <f t="shared" si="50"/>
        <v>1</v>
      </c>
      <c r="AD187" s="1">
        <f t="shared" si="73"/>
        <v>1</v>
      </c>
      <c r="AE187" s="1">
        <v>0</v>
      </c>
      <c r="AF187" s="1">
        <v>7.6063879999999999</v>
      </c>
      <c r="AG187" s="1">
        <v>4.0943449999999997</v>
      </c>
      <c r="AH187" s="1">
        <f t="shared" si="52"/>
        <v>1.282442748091603</v>
      </c>
      <c r="AI187" s="1">
        <f t="shared" si="53"/>
        <v>4.6468835092928061E-2</v>
      </c>
      <c r="AJ187" s="1">
        <f t="shared" si="74"/>
        <v>3.6234627364128434E-2</v>
      </c>
      <c r="AK187" s="1">
        <f t="shared" si="75"/>
        <v>761.64465940213279</v>
      </c>
      <c r="AL187" s="1">
        <f t="shared" si="76"/>
        <v>27.5979104173148</v>
      </c>
      <c r="AM187" s="1">
        <v>0</v>
      </c>
      <c r="AN187" s="1">
        <v>1</v>
      </c>
      <c r="AO187" s="1">
        <v>0</v>
      </c>
      <c r="AP187" s="1">
        <f t="shared" si="54"/>
        <v>3.6273812505500581E-2</v>
      </c>
      <c r="AQ187" s="1">
        <v>0</v>
      </c>
      <c r="AR187" s="1">
        <v>1</v>
      </c>
      <c r="AS187" s="1">
        <v>0</v>
      </c>
      <c r="AT187" s="1">
        <v>0</v>
      </c>
      <c r="AU187" s="4">
        <v>0</v>
      </c>
      <c r="AV187" s="4">
        <v>1</v>
      </c>
      <c r="AW187" s="1">
        <f t="shared" si="55"/>
        <v>9.5238095238095247E-3</v>
      </c>
      <c r="AX187" s="1">
        <f t="shared" si="56"/>
        <v>9.0702947845804991E-5</v>
      </c>
    </row>
    <row r="188" spans="1:50" x14ac:dyDescent="0.25">
      <c r="A188" s="1" t="s">
        <v>56</v>
      </c>
      <c r="B188" s="1">
        <v>2011</v>
      </c>
      <c r="C188" s="1">
        <f t="shared" si="57"/>
        <v>19</v>
      </c>
      <c r="D188" s="1" t="s">
        <v>24</v>
      </c>
      <c r="E188" s="1" t="s">
        <v>25</v>
      </c>
      <c r="F188" s="2">
        <v>-0.30509999999999998</v>
      </c>
      <c r="G188" s="3">
        <v>9.0300000000000005E-2</v>
      </c>
      <c r="H188" s="1">
        <v>8</v>
      </c>
      <c r="I188" s="1">
        <v>777</v>
      </c>
      <c r="J188" s="1">
        <f t="shared" si="72"/>
        <v>769</v>
      </c>
      <c r="K188" s="1">
        <v>105</v>
      </c>
      <c r="L188" s="1">
        <v>1991</v>
      </c>
      <c r="M188" s="1">
        <v>2006</v>
      </c>
      <c r="N188" s="1">
        <f t="shared" si="69"/>
        <v>1998.5</v>
      </c>
      <c r="O188" s="1">
        <f t="shared" si="70"/>
        <v>16</v>
      </c>
      <c r="P188" s="1">
        <f t="shared" si="51"/>
        <v>2.7725887222397811</v>
      </c>
      <c r="Q188" s="1">
        <v>59</v>
      </c>
      <c r="R188" s="1">
        <v>0</v>
      </c>
      <c r="S188" s="1" t="s">
        <v>27</v>
      </c>
      <c r="T188" s="1">
        <f t="shared" si="71"/>
        <v>0</v>
      </c>
      <c r="U188" s="1">
        <v>1</v>
      </c>
      <c r="V188" s="1">
        <v>1</v>
      </c>
      <c r="W188" s="1">
        <v>0</v>
      </c>
      <c r="X188" s="1">
        <v>0</v>
      </c>
      <c r="Y188" s="1">
        <v>1</v>
      </c>
      <c r="Z188" s="1">
        <v>0</v>
      </c>
      <c r="AA188" s="1">
        <v>0</v>
      </c>
      <c r="AB188" s="1" t="s">
        <v>85</v>
      </c>
      <c r="AC188" s="1">
        <f t="shared" si="50"/>
        <v>1</v>
      </c>
      <c r="AD188" s="1">
        <f t="shared" si="73"/>
        <v>1</v>
      </c>
      <c r="AE188" s="1">
        <v>0</v>
      </c>
      <c r="AF188" s="1">
        <v>7.6063879999999999</v>
      </c>
      <c r="AG188" s="1">
        <v>4.0943449999999997</v>
      </c>
      <c r="AH188" s="1">
        <f t="shared" si="52"/>
        <v>-3.3787375415282388</v>
      </c>
      <c r="AI188" s="1">
        <f t="shared" si="53"/>
        <v>-0.12094597276758184</v>
      </c>
      <c r="AJ188" s="1">
        <f t="shared" si="74"/>
        <v>3.5796202362873293E-2</v>
      </c>
      <c r="AK188" s="1">
        <f t="shared" si="75"/>
        <v>780.41586737453224</v>
      </c>
      <c r="AL188" s="1">
        <f t="shared" si="76"/>
        <v>27.935924315736042</v>
      </c>
      <c r="AM188" s="1">
        <v>0</v>
      </c>
      <c r="AN188" s="1">
        <v>1</v>
      </c>
      <c r="AO188" s="1">
        <v>0</v>
      </c>
      <c r="AP188" s="1">
        <f t="shared" si="54"/>
        <v>3.6060922298730945E-2</v>
      </c>
      <c r="AQ188" s="1">
        <v>0</v>
      </c>
      <c r="AR188" s="1">
        <v>1</v>
      </c>
      <c r="AS188" s="1">
        <v>0</v>
      </c>
      <c r="AT188" s="1">
        <v>0</v>
      </c>
      <c r="AU188" s="4">
        <v>0</v>
      </c>
      <c r="AV188" s="4">
        <v>0</v>
      </c>
      <c r="AW188" s="1">
        <f t="shared" si="55"/>
        <v>9.5238095238095247E-3</v>
      </c>
      <c r="AX188" s="1">
        <f t="shared" si="56"/>
        <v>9.0702947845804991E-5</v>
      </c>
    </row>
    <row r="189" spans="1:50" x14ac:dyDescent="0.25">
      <c r="A189" s="1" t="s">
        <v>56</v>
      </c>
      <c r="B189" s="1">
        <v>2011</v>
      </c>
      <c r="C189" s="1">
        <f t="shared" si="57"/>
        <v>19</v>
      </c>
      <c r="D189" s="1" t="s">
        <v>24</v>
      </c>
      <c r="E189" s="1" t="s">
        <v>25</v>
      </c>
      <c r="F189" s="2">
        <v>5.4399999999999997E-2</v>
      </c>
      <c r="G189" s="3">
        <v>0.2306</v>
      </c>
      <c r="H189" s="1">
        <v>8</v>
      </c>
      <c r="I189" s="1">
        <v>777</v>
      </c>
      <c r="J189" s="1">
        <f t="shared" si="72"/>
        <v>769</v>
      </c>
      <c r="K189" s="1">
        <v>105</v>
      </c>
      <c r="L189" s="1">
        <v>1991</v>
      </c>
      <c r="M189" s="1">
        <v>2006</v>
      </c>
      <c r="N189" s="1">
        <f t="shared" si="69"/>
        <v>1998.5</v>
      </c>
      <c r="O189" s="1">
        <f t="shared" si="70"/>
        <v>16</v>
      </c>
      <c r="P189" s="1">
        <f t="shared" si="51"/>
        <v>2.7725887222397811</v>
      </c>
      <c r="Q189" s="1">
        <v>59</v>
      </c>
      <c r="R189" s="1">
        <v>0</v>
      </c>
      <c r="S189" s="1" t="s">
        <v>27</v>
      </c>
      <c r="T189" s="1">
        <f t="shared" si="71"/>
        <v>0</v>
      </c>
      <c r="U189" s="1">
        <v>1</v>
      </c>
      <c r="V189" s="1">
        <v>1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  <c r="AB189" s="1" t="s">
        <v>85</v>
      </c>
      <c r="AC189" s="1">
        <f t="shared" si="50"/>
        <v>1</v>
      </c>
      <c r="AD189" s="1">
        <f t="shared" si="73"/>
        <v>1</v>
      </c>
      <c r="AE189" s="1">
        <v>0</v>
      </c>
      <c r="AF189" s="1">
        <v>7.6063879999999999</v>
      </c>
      <c r="AG189" s="1">
        <v>4.0943449999999997</v>
      </c>
      <c r="AH189" s="1">
        <f t="shared" si="52"/>
        <v>0.23590633130962704</v>
      </c>
      <c r="AI189" s="1">
        <f t="shared" si="53"/>
        <v>8.5066920781044705E-3</v>
      </c>
      <c r="AJ189" s="1">
        <f t="shared" si="74"/>
        <v>3.605961752225903E-2</v>
      </c>
      <c r="AK189" s="1">
        <f t="shared" si="75"/>
        <v>769.05565179715188</v>
      </c>
      <c r="AL189" s="1">
        <f t="shared" si="76"/>
        <v>27.731852657136915</v>
      </c>
      <c r="AM189" s="1">
        <v>0</v>
      </c>
      <c r="AN189" s="1">
        <v>1</v>
      </c>
      <c r="AO189" s="1">
        <v>0</v>
      </c>
      <c r="AP189" s="1">
        <f t="shared" si="54"/>
        <v>3.6060922298730945E-2</v>
      </c>
      <c r="AQ189" s="1">
        <v>0</v>
      </c>
      <c r="AR189" s="1">
        <v>1</v>
      </c>
      <c r="AS189" s="1">
        <v>0</v>
      </c>
      <c r="AT189" s="1">
        <v>0</v>
      </c>
      <c r="AU189" s="4">
        <v>1</v>
      </c>
      <c r="AV189" s="4">
        <v>0</v>
      </c>
      <c r="AW189" s="1">
        <f t="shared" si="55"/>
        <v>9.5238095238095247E-3</v>
      </c>
      <c r="AX189" s="1">
        <f t="shared" si="56"/>
        <v>9.0702947845804991E-5</v>
      </c>
    </row>
    <row r="190" spans="1:50" x14ac:dyDescent="0.25">
      <c r="A190" s="1" t="s">
        <v>56</v>
      </c>
      <c r="B190" s="1">
        <v>2011</v>
      </c>
      <c r="C190" s="1">
        <f t="shared" si="57"/>
        <v>19</v>
      </c>
      <c r="D190" s="1" t="s">
        <v>24</v>
      </c>
      <c r="E190" s="1" t="s">
        <v>25</v>
      </c>
      <c r="F190" s="2">
        <v>4.5199999999999997E-2</v>
      </c>
      <c r="G190" s="3">
        <v>6.1600000000000002E-2</v>
      </c>
      <c r="H190" s="1">
        <v>8</v>
      </c>
      <c r="I190" s="1">
        <v>777</v>
      </c>
      <c r="J190" s="1">
        <f t="shared" si="72"/>
        <v>769</v>
      </c>
      <c r="K190" s="1">
        <v>105</v>
      </c>
      <c r="L190" s="1">
        <v>1991</v>
      </c>
      <c r="M190" s="1">
        <v>2006</v>
      </c>
      <c r="N190" s="1">
        <f t="shared" si="69"/>
        <v>1998.5</v>
      </c>
      <c r="O190" s="1">
        <f t="shared" si="70"/>
        <v>16</v>
      </c>
      <c r="P190" s="1">
        <f t="shared" si="51"/>
        <v>2.7725887222397811</v>
      </c>
      <c r="Q190" s="1">
        <v>59</v>
      </c>
      <c r="R190" s="1">
        <v>0</v>
      </c>
      <c r="S190" s="1" t="s">
        <v>27</v>
      </c>
      <c r="T190" s="1">
        <f t="shared" si="71"/>
        <v>0</v>
      </c>
      <c r="U190" s="1">
        <v>1</v>
      </c>
      <c r="V190" s="1">
        <v>1</v>
      </c>
      <c r="W190" s="1">
        <v>0</v>
      </c>
      <c r="X190" s="1">
        <v>0</v>
      </c>
      <c r="Y190" s="1">
        <v>1</v>
      </c>
      <c r="Z190" s="1">
        <v>0</v>
      </c>
      <c r="AA190" s="1">
        <v>0</v>
      </c>
      <c r="AB190" s="1" t="s">
        <v>85</v>
      </c>
      <c r="AC190" s="1">
        <f t="shared" si="50"/>
        <v>1</v>
      </c>
      <c r="AD190" s="1">
        <f t="shared" si="73"/>
        <v>1</v>
      </c>
      <c r="AE190" s="1">
        <v>0</v>
      </c>
      <c r="AF190" s="1">
        <v>7.6063879999999999</v>
      </c>
      <c r="AG190" s="1">
        <v>4.0943449999999997</v>
      </c>
      <c r="AH190" s="1">
        <f t="shared" si="52"/>
        <v>0.73376623376623373</v>
      </c>
      <c r="AI190" s="1">
        <f t="shared" si="53"/>
        <v>2.6451028959931257E-2</v>
      </c>
      <c r="AJ190" s="1">
        <f t="shared" si="74"/>
        <v>3.6048304954242598E-2</v>
      </c>
      <c r="AK190" s="1">
        <f t="shared" si="75"/>
        <v>769.53841288581543</v>
      </c>
      <c r="AL190" s="1">
        <f t="shared" si="76"/>
        <v>27.740555381711726</v>
      </c>
      <c r="AM190" s="1">
        <v>0</v>
      </c>
      <c r="AN190" s="1">
        <v>1</v>
      </c>
      <c r="AO190" s="1">
        <v>0</v>
      </c>
      <c r="AP190" s="1">
        <f t="shared" si="54"/>
        <v>3.6060922298730945E-2</v>
      </c>
      <c r="AQ190" s="1">
        <v>0</v>
      </c>
      <c r="AR190" s="1">
        <v>1</v>
      </c>
      <c r="AS190" s="1">
        <v>0</v>
      </c>
      <c r="AT190" s="1">
        <v>0</v>
      </c>
      <c r="AU190" s="4">
        <v>0</v>
      </c>
      <c r="AV190" s="4">
        <v>1</v>
      </c>
      <c r="AW190" s="1">
        <f t="shared" si="55"/>
        <v>9.5238095238095247E-3</v>
      </c>
      <c r="AX190" s="1">
        <f t="shared" si="56"/>
        <v>9.0702947845804991E-5</v>
      </c>
    </row>
    <row r="191" spans="1:50" x14ac:dyDescent="0.25">
      <c r="A191" s="1" t="s">
        <v>56</v>
      </c>
      <c r="B191" s="1">
        <v>2011</v>
      </c>
      <c r="C191" s="1">
        <f t="shared" si="57"/>
        <v>19</v>
      </c>
      <c r="D191" s="1" t="s">
        <v>24</v>
      </c>
      <c r="E191" s="1" t="s">
        <v>25</v>
      </c>
      <c r="F191" s="2">
        <v>-0.2581</v>
      </c>
      <c r="G191" s="3">
        <v>7.2599999999999998E-2</v>
      </c>
      <c r="H191" s="1">
        <v>8</v>
      </c>
      <c r="I191" s="1">
        <v>417</v>
      </c>
      <c r="J191" s="1">
        <f t="shared" si="72"/>
        <v>409</v>
      </c>
      <c r="K191" s="1">
        <v>105</v>
      </c>
      <c r="L191" s="1">
        <v>1999</v>
      </c>
      <c r="M191" s="1">
        <v>2006</v>
      </c>
      <c r="N191" s="1">
        <f t="shared" si="69"/>
        <v>2002.5</v>
      </c>
      <c r="O191" s="1">
        <f t="shared" si="70"/>
        <v>8</v>
      </c>
      <c r="P191" s="1">
        <f t="shared" si="51"/>
        <v>2.0794415416798357</v>
      </c>
      <c r="Q191" s="1">
        <v>59</v>
      </c>
      <c r="R191" s="1">
        <v>0</v>
      </c>
      <c r="S191" s="1" t="s">
        <v>27</v>
      </c>
      <c r="T191" s="1">
        <f t="shared" si="71"/>
        <v>0</v>
      </c>
      <c r="U191" s="1">
        <v>1</v>
      </c>
      <c r="V191" s="1">
        <v>1</v>
      </c>
      <c r="W191" s="1">
        <v>1</v>
      </c>
      <c r="X191" s="1">
        <v>0</v>
      </c>
      <c r="Y191" s="1">
        <v>1</v>
      </c>
      <c r="Z191" s="1">
        <v>0</v>
      </c>
      <c r="AA191" s="1">
        <v>0</v>
      </c>
      <c r="AB191" s="1" t="s">
        <v>85</v>
      </c>
      <c r="AC191" s="1">
        <f t="shared" si="50"/>
        <v>1</v>
      </c>
      <c r="AD191" s="1">
        <f t="shared" si="73"/>
        <v>1</v>
      </c>
      <c r="AE191" s="1">
        <v>0</v>
      </c>
      <c r="AF191" s="1">
        <v>7.6063879999999999</v>
      </c>
      <c r="AG191" s="1">
        <v>4.0943449999999997</v>
      </c>
      <c r="AH191" s="1">
        <f t="shared" si="52"/>
        <v>-3.5550964187327825</v>
      </c>
      <c r="AI191" s="1">
        <f t="shared" si="53"/>
        <v>-0.17313351472820351</v>
      </c>
      <c r="AJ191" s="1">
        <f t="shared" si="74"/>
        <v>4.8700089768568676E-2</v>
      </c>
      <c r="AK191" s="1">
        <f t="shared" si="75"/>
        <v>421.63871054648672</v>
      </c>
      <c r="AL191" s="1">
        <f t="shared" si="76"/>
        <v>20.533843053517447</v>
      </c>
      <c r="AM191" s="1">
        <v>0</v>
      </c>
      <c r="AN191" s="1">
        <v>1</v>
      </c>
      <c r="AO191" s="1">
        <v>0</v>
      </c>
      <c r="AP191" s="1">
        <f t="shared" si="54"/>
        <v>4.9446817643414874E-2</v>
      </c>
      <c r="AQ191" s="1">
        <v>0</v>
      </c>
      <c r="AR191" s="1">
        <v>1</v>
      </c>
      <c r="AS191" s="1">
        <v>0</v>
      </c>
      <c r="AT191" s="1">
        <v>0</v>
      </c>
      <c r="AU191" s="4">
        <v>0</v>
      </c>
      <c r="AV191" s="4">
        <v>0</v>
      </c>
      <c r="AW191" s="1">
        <f t="shared" si="55"/>
        <v>9.5238095238095247E-3</v>
      </c>
      <c r="AX191" s="1">
        <f t="shared" si="56"/>
        <v>9.0702947845804991E-5</v>
      </c>
    </row>
    <row r="192" spans="1:50" x14ac:dyDescent="0.25">
      <c r="A192" s="1" t="s">
        <v>56</v>
      </c>
      <c r="B192" s="1">
        <v>2011</v>
      </c>
      <c r="C192" s="1">
        <f t="shared" si="57"/>
        <v>19</v>
      </c>
      <c r="D192" s="1" t="s">
        <v>24</v>
      </c>
      <c r="E192" s="1" t="s">
        <v>25</v>
      </c>
      <c r="F192" s="2">
        <v>0.19350000000000001</v>
      </c>
      <c r="G192" s="3">
        <v>0.1245</v>
      </c>
      <c r="H192" s="1">
        <v>8</v>
      </c>
      <c r="I192" s="1">
        <v>417</v>
      </c>
      <c r="J192" s="1">
        <f t="shared" si="72"/>
        <v>409</v>
      </c>
      <c r="K192" s="1">
        <v>105</v>
      </c>
      <c r="L192" s="1">
        <v>1999</v>
      </c>
      <c r="M192" s="1">
        <v>2006</v>
      </c>
      <c r="N192" s="1">
        <f t="shared" si="69"/>
        <v>2002.5</v>
      </c>
      <c r="O192" s="1">
        <f t="shared" si="70"/>
        <v>8</v>
      </c>
      <c r="P192" s="1">
        <f t="shared" si="51"/>
        <v>2.0794415416798357</v>
      </c>
      <c r="Q192" s="1">
        <v>59</v>
      </c>
      <c r="R192" s="1">
        <v>0</v>
      </c>
      <c r="S192" s="1" t="s">
        <v>27</v>
      </c>
      <c r="T192" s="1">
        <f t="shared" si="71"/>
        <v>0</v>
      </c>
      <c r="U192" s="1">
        <v>1</v>
      </c>
      <c r="V192" s="1">
        <v>1</v>
      </c>
      <c r="W192" s="1">
        <v>1</v>
      </c>
      <c r="X192" s="1">
        <v>0</v>
      </c>
      <c r="Y192" s="1">
        <v>1</v>
      </c>
      <c r="Z192" s="1">
        <v>0</v>
      </c>
      <c r="AA192" s="1">
        <v>0</v>
      </c>
      <c r="AB192" s="1" t="s">
        <v>85</v>
      </c>
      <c r="AC192" s="1">
        <f t="shared" ref="AC192:AC255" si="77">IF(AB192="USA",1,IF(AB192="UK",2,IF(AB192="Canada",3,IF(AB192="Germany",4,IF(AB192="Netherlands",5,IF(AB192="India",20,IF(AB192="Indonesia",7,IF(AB192="Korea",8,IF(AB192="Philippines",9,IF(AB192="Taiwan",10,IF(AB192="Greece",11,IF(AB192="Iran",12,IF(AB192="Israel",13,IF(AB192="Kuwait",14,IF(AB192="Lebanon",15,IF(AB192="Saudi Arabia",16,IF(AB192="Turkey",17,IF(AB192="Ethiopia",18,IF(AB192="Kenya",19,IF(AB192="Nigeria",20,IF(AB192="Multinational",6,"")))))))))))))))))))))</f>
        <v>1</v>
      </c>
      <c r="AD192" s="1">
        <f t="shared" si="73"/>
        <v>1</v>
      </c>
      <c r="AE192" s="1">
        <v>0</v>
      </c>
      <c r="AF192" s="1">
        <v>7.6063879999999999</v>
      </c>
      <c r="AG192" s="1">
        <v>4.0943449999999997</v>
      </c>
      <c r="AH192" s="1">
        <f t="shared" si="52"/>
        <v>1.5542168674698795</v>
      </c>
      <c r="AI192" s="1">
        <f t="shared" si="53"/>
        <v>7.6625133745806026E-2</v>
      </c>
      <c r="AJ192" s="1">
        <f t="shared" si="74"/>
        <v>4.9301442642650385E-2</v>
      </c>
      <c r="AK192" s="1">
        <f t="shared" si="75"/>
        <v>411.41559007112789</v>
      </c>
      <c r="AL192" s="1">
        <f t="shared" si="76"/>
        <v>20.283382116183876</v>
      </c>
      <c r="AM192" s="1">
        <v>0</v>
      </c>
      <c r="AN192" s="1">
        <v>1</v>
      </c>
      <c r="AO192" s="1">
        <v>0</v>
      </c>
      <c r="AP192" s="1">
        <f t="shared" si="54"/>
        <v>4.9446817643414874E-2</v>
      </c>
      <c r="AQ192" s="1">
        <v>0</v>
      </c>
      <c r="AR192" s="1">
        <v>1</v>
      </c>
      <c r="AS192" s="1">
        <v>0</v>
      </c>
      <c r="AT192" s="1">
        <v>0</v>
      </c>
      <c r="AU192" s="4">
        <v>1</v>
      </c>
      <c r="AV192" s="4">
        <v>0</v>
      </c>
      <c r="AW192" s="1">
        <f t="shared" si="55"/>
        <v>9.5238095238095247E-3</v>
      </c>
      <c r="AX192" s="1">
        <f t="shared" si="56"/>
        <v>9.0702947845804991E-5</v>
      </c>
    </row>
    <row r="193" spans="1:50" x14ac:dyDescent="0.25">
      <c r="A193" s="1" t="s">
        <v>56</v>
      </c>
      <c r="B193" s="1">
        <v>2011</v>
      </c>
      <c r="C193" s="1">
        <f t="shared" si="57"/>
        <v>19</v>
      </c>
      <c r="D193" s="1" t="s">
        <v>24</v>
      </c>
      <c r="E193" s="1" t="s">
        <v>25</v>
      </c>
      <c r="F193" s="2">
        <v>0.12790000000000001</v>
      </c>
      <c r="G193" s="3">
        <v>6.3100000000000003E-2</v>
      </c>
      <c r="H193" s="1">
        <v>8</v>
      </c>
      <c r="I193" s="1">
        <v>417</v>
      </c>
      <c r="J193" s="1">
        <f t="shared" si="72"/>
        <v>409</v>
      </c>
      <c r="K193" s="1">
        <v>105</v>
      </c>
      <c r="L193" s="1">
        <v>1999</v>
      </c>
      <c r="M193" s="1">
        <v>2006</v>
      </c>
      <c r="N193" s="1">
        <f t="shared" si="69"/>
        <v>2002.5</v>
      </c>
      <c r="O193" s="1">
        <f t="shared" si="70"/>
        <v>8</v>
      </c>
      <c r="P193" s="1">
        <f t="shared" ref="P193:P256" si="78">+LN(O192:O193)</f>
        <v>2.0794415416798357</v>
      </c>
      <c r="Q193" s="1">
        <v>59</v>
      </c>
      <c r="R193" s="1">
        <v>0</v>
      </c>
      <c r="S193" s="1" t="s">
        <v>27</v>
      </c>
      <c r="T193" s="1">
        <f t="shared" si="71"/>
        <v>0</v>
      </c>
      <c r="U193" s="1">
        <v>1</v>
      </c>
      <c r="V193" s="1">
        <v>1</v>
      </c>
      <c r="W193" s="1">
        <v>1</v>
      </c>
      <c r="X193" s="1">
        <v>0</v>
      </c>
      <c r="Y193" s="1">
        <v>1</v>
      </c>
      <c r="Z193" s="1">
        <v>0</v>
      </c>
      <c r="AA193" s="1">
        <v>0</v>
      </c>
      <c r="AB193" s="1" t="s">
        <v>85</v>
      </c>
      <c r="AC193" s="1">
        <f t="shared" si="77"/>
        <v>1</v>
      </c>
      <c r="AD193" s="1">
        <f t="shared" si="73"/>
        <v>1</v>
      </c>
      <c r="AE193" s="1">
        <v>0</v>
      </c>
      <c r="AF193" s="1">
        <v>7.6063879999999999</v>
      </c>
      <c r="AG193" s="1">
        <v>4.0943449999999997</v>
      </c>
      <c r="AH193" s="1">
        <f t="shared" si="52"/>
        <v>2.0269413629160065</v>
      </c>
      <c r="AI193" s="1">
        <f t="shared" si="53"/>
        <v>9.9726166351581144E-2</v>
      </c>
      <c r="AJ193" s="1">
        <f t="shared" si="74"/>
        <v>4.9200321319662003E-2</v>
      </c>
      <c r="AK193" s="1">
        <f t="shared" si="75"/>
        <v>413.10849128869978</v>
      </c>
      <c r="AL193" s="1">
        <f t="shared" si="76"/>
        <v>20.325070511284821</v>
      </c>
      <c r="AM193" s="1">
        <v>0</v>
      </c>
      <c r="AN193" s="1">
        <v>1</v>
      </c>
      <c r="AO193" s="1">
        <v>0</v>
      </c>
      <c r="AP193" s="1">
        <f t="shared" si="54"/>
        <v>4.9446817643414874E-2</v>
      </c>
      <c r="AQ193" s="1">
        <v>0</v>
      </c>
      <c r="AR193" s="1">
        <v>1</v>
      </c>
      <c r="AS193" s="1">
        <v>0</v>
      </c>
      <c r="AT193" s="1">
        <v>0</v>
      </c>
      <c r="AU193" s="4">
        <v>0</v>
      </c>
      <c r="AV193" s="4">
        <v>1</v>
      </c>
      <c r="AW193" s="1">
        <f t="shared" si="55"/>
        <v>9.5238095238095247E-3</v>
      </c>
      <c r="AX193" s="1">
        <f t="shared" si="56"/>
        <v>9.0702947845804991E-5</v>
      </c>
    </row>
    <row r="194" spans="1:50" x14ac:dyDescent="0.25">
      <c r="A194" s="1" t="s">
        <v>56</v>
      </c>
      <c r="B194" s="1">
        <v>2011</v>
      </c>
      <c r="C194" s="1">
        <f t="shared" si="57"/>
        <v>19</v>
      </c>
      <c r="D194" s="1" t="s">
        <v>24</v>
      </c>
      <c r="E194" s="1" t="s">
        <v>25</v>
      </c>
      <c r="F194" s="2">
        <v>-7.6999999999999999E-2</v>
      </c>
      <c r="G194" s="3">
        <v>3.32E-2</v>
      </c>
      <c r="H194" s="1">
        <v>8</v>
      </c>
      <c r="I194" s="1">
        <v>6307</v>
      </c>
      <c r="J194" s="1">
        <f t="shared" si="72"/>
        <v>6299</v>
      </c>
      <c r="K194" s="1">
        <v>105</v>
      </c>
      <c r="L194" s="1">
        <v>1991</v>
      </c>
      <c r="M194" s="1">
        <v>2006</v>
      </c>
      <c r="N194" s="1">
        <f t="shared" si="69"/>
        <v>1998.5</v>
      </c>
      <c r="O194" s="1">
        <f t="shared" si="70"/>
        <v>16</v>
      </c>
      <c r="P194" s="1">
        <f t="shared" si="78"/>
        <v>2.7725887222397811</v>
      </c>
      <c r="Q194" s="1">
        <v>59</v>
      </c>
      <c r="R194" s="1">
        <v>0</v>
      </c>
      <c r="S194" s="1" t="s">
        <v>27</v>
      </c>
      <c r="T194" s="1">
        <f t="shared" si="71"/>
        <v>0</v>
      </c>
      <c r="U194" s="1">
        <v>1</v>
      </c>
      <c r="V194" s="1">
        <v>1</v>
      </c>
      <c r="W194" s="1">
        <v>0</v>
      </c>
      <c r="X194" s="1">
        <v>0</v>
      </c>
      <c r="Y194" s="1">
        <v>1</v>
      </c>
      <c r="Z194" s="1">
        <v>0</v>
      </c>
      <c r="AA194" s="1">
        <v>0</v>
      </c>
      <c r="AB194" s="1" t="s">
        <v>85</v>
      </c>
      <c r="AC194" s="1">
        <f t="shared" si="77"/>
        <v>1</v>
      </c>
      <c r="AD194" s="1">
        <f t="shared" si="73"/>
        <v>1</v>
      </c>
      <c r="AE194" s="1">
        <v>0</v>
      </c>
      <c r="AF194" s="1">
        <v>7.6063879999999999</v>
      </c>
      <c r="AG194" s="1">
        <v>4.0943449999999997</v>
      </c>
      <c r="AH194" s="1">
        <f t="shared" ref="AH194:AH249" si="79">+F194/G194</f>
        <v>-2.3192771084337349</v>
      </c>
      <c r="AI194" s="1">
        <f t="shared" ref="AI194:AI257" si="80">AH194/SQRT(AH194^2+J194)</f>
        <v>-2.92099950254429E-2</v>
      </c>
      <c r="AJ194" s="1">
        <f t="shared" si="74"/>
        <v>1.2594439413567589E-2</v>
      </c>
      <c r="AK194" s="1">
        <f t="shared" si="75"/>
        <v>6304.3790463057048</v>
      </c>
      <c r="AL194" s="1">
        <f t="shared" si="76"/>
        <v>79.400119938862204</v>
      </c>
      <c r="AM194" s="1">
        <v>0</v>
      </c>
      <c r="AN194" s="1">
        <v>1</v>
      </c>
      <c r="AO194" s="1">
        <v>0</v>
      </c>
      <c r="AP194" s="1">
        <f t="shared" ref="AP194:AP257" si="81">1/SQRT(J194)</f>
        <v>1.2599815792039672E-2</v>
      </c>
      <c r="AQ194" s="1">
        <v>0</v>
      </c>
      <c r="AR194" s="1">
        <v>1</v>
      </c>
      <c r="AS194" s="1">
        <v>0</v>
      </c>
      <c r="AT194" s="1">
        <v>0</v>
      </c>
      <c r="AU194" s="4">
        <v>0</v>
      </c>
      <c r="AV194" s="4">
        <v>0</v>
      </c>
      <c r="AW194" s="1">
        <f t="shared" ref="AW194:AW257" si="82">1/K194</f>
        <v>9.5238095238095247E-3</v>
      </c>
      <c r="AX194" s="1">
        <f t="shared" ref="AX194:AX257" si="83">1/(K194*K194)</f>
        <v>9.0702947845804991E-5</v>
      </c>
    </row>
    <row r="195" spans="1:50" x14ac:dyDescent="0.25">
      <c r="A195" s="1" t="s">
        <v>56</v>
      </c>
      <c r="B195" s="1">
        <v>2011</v>
      </c>
      <c r="C195" s="1">
        <f t="shared" si="57"/>
        <v>19</v>
      </c>
      <c r="D195" s="1" t="s">
        <v>24</v>
      </c>
      <c r="E195" s="1" t="s">
        <v>25</v>
      </c>
      <c r="F195" s="2">
        <v>1E-4</v>
      </c>
      <c r="G195" s="3">
        <v>3.39E-2</v>
      </c>
      <c r="H195" s="1">
        <v>8</v>
      </c>
      <c r="I195" s="1">
        <v>6307</v>
      </c>
      <c r="J195" s="1">
        <f t="shared" si="72"/>
        <v>6299</v>
      </c>
      <c r="K195" s="1">
        <v>105</v>
      </c>
      <c r="L195" s="1">
        <v>1991</v>
      </c>
      <c r="M195" s="1">
        <v>2006</v>
      </c>
      <c r="N195" s="1">
        <f t="shared" si="69"/>
        <v>1998.5</v>
      </c>
      <c r="O195" s="1">
        <f t="shared" si="70"/>
        <v>16</v>
      </c>
      <c r="P195" s="1">
        <f t="shared" si="78"/>
        <v>2.7725887222397811</v>
      </c>
      <c r="Q195" s="1">
        <v>59</v>
      </c>
      <c r="R195" s="1">
        <v>0</v>
      </c>
      <c r="S195" s="1" t="s">
        <v>27</v>
      </c>
      <c r="T195" s="1">
        <f t="shared" si="71"/>
        <v>0</v>
      </c>
      <c r="U195" s="1">
        <v>1</v>
      </c>
      <c r="V195" s="1">
        <v>1</v>
      </c>
      <c r="W195" s="1">
        <v>0</v>
      </c>
      <c r="X195" s="1">
        <v>0</v>
      </c>
      <c r="Y195" s="1">
        <v>1</v>
      </c>
      <c r="Z195" s="1">
        <v>0</v>
      </c>
      <c r="AA195" s="1">
        <v>0</v>
      </c>
      <c r="AB195" s="1" t="s">
        <v>85</v>
      </c>
      <c r="AC195" s="1">
        <f t="shared" si="77"/>
        <v>1</v>
      </c>
      <c r="AD195" s="1">
        <f t="shared" si="73"/>
        <v>1</v>
      </c>
      <c r="AE195" s="1">
        <v>0</v>
      </c>
      <c r="AF195" s="1">
        <v>7.6063879999999999</v>
      </c>
      <c r="AG195" s="1">
        <v>4.0943449999999997</v>
      </c>
      <c r="AH195" s="1">
        <f t="shared" si="79"/>
        <v>2.9498525073746317E-3</v>
      </c>
      <c r="AI195" s="1">
        <f t="shared" si="80"/>
        <v>3.7167598180934485E-5</v>
      </c>
      <c r="AJ195" s="1">
        <f t="shared" si="74"/>
        <v>1.2599815783336788E-2</v>
      </c>
      <c r="AK195" s="1">
        <f t="shared" si="75"/>
        <v>6299.0000087016278</v>
      </c>
      <c r="AL195" s="1">
        <f t="shared" si="76"/>
        <v>79.366239728877346</v>
      </c>
      <c r="AM195" s="1">
        <v>0</v>
      </c>
      <c r="AN195" s="1">
        <v>1</v>
      </c>
      <c r="AO195" s="1">
        <v>0</v>
      </c>
      <c r="AP195" s="1">
        <f t="shared" si="81"/>
        <v>1.2599815792039672E-2</v>
      </c>
      <c r="AQ195" s="1">
        <v>0</v>
      </c>
      <c r="AR195" s="1">
        <v>1</v>
      </c>
      <c r="AS195" s="1">
        <v>0</v>
      </c>
      <c r="AT195" s="1">
        <v>0</v>
      </c>
      <c r="AU195" s="4">
        <v>1</v>
      </c>
      <c r="AV195" s="4">
        <v>0</v>
      </c>
      <c r="AW195" s="1">
        <f t="shared" si="82"/>
        <v>9.5238095238095247E-3</v>
      </c>
      <c r="AX195" s="1">
        <f t="shared" si="83"/>
        <v>9.0702947845804991E-5</v>
      </c>
    </row>
    <row r="196" spans="1:50" x14ac:dyDescent="0.25">
      <c r="A196" s="1" t="s">
        <v>56</v>
      </c>
      <c r="B196" s="1">
        <v>2011</v>
      </c>
      <c r="C196" s="1">
        <f t="shared" ref="C196:C259" si="84">+IF(A196=A195,C195,C195+1)</f>
        <v>19</v>
      </c>
      <c r="D196" s="1" t="s">
        <v>24</v>
      </c>
      <c r="E196" s="1" t="s">
        <v>25</v>
      </c>
      <c r="F196" s="2">
        <v>2.7000000000000001E-3</v>
      </c>
      <c r="G196" s="3">
        <v>3.09E-2</v>
      </c>
      <c r="H196" s="1">
        <v>8</v>
      </c>
      <c r="I196" s="1">
        <v>6307</v>
      </c>
      <c r="J196" s="1">
        <f t="shared" si="72"/>
        <v>6299</v>
      </c>
      <c r="K196" s="1">
        <v>105</v>
      </c>
      <c r="L196" s="1">
        <v>1991</v>
      </c>
      <c r="M196" s="1">
        <v>2006</v>
      </c>
      <c r="N196" s="1">
        <f t="shared" si="69"/>
        <v>1998.5</v>
      </c>
      <c r="O196" s="1">
        <f t="shared" si="70"/>
        <v>16</v>
      </c>
      <c r="P196" s="1">
        <f t="shared" si="78"/>
        <v>2.7725887222397811</v>
      </c>
      <c r="Q196" s="1">
        <v>59</v>
      </c>
      <c r="R196" s="1">
        <v>0</v>
      </c>
      <c r="S196" s="1" t="s">
        <v>27</v>
      </c>
      <c r="T196" s="1">
        <f t="shared" si="71"/>
        <v>0</v>
      </c>
      <c r="U196" s="1">
        <v>1</v>
      </c>
      <c r="V196" s="1">
        <v>1</v>
      </c>
      <c r="W196" s="1">
        <v>0</v>
      </c>
      <c r="X196" s="1">
        <v>0</v>
      </c>
      <c r="Y196" s="1">
        <v>1</v>
      </c>
      <c r="Z196" s="1">
        <v>0</v>
      </c>
      <c r="AA196" s="1">
        <v>0</v>
      </c>
      <c r="AB196" s="1" t="s">
        <v>85</v>
      </c>
      <c r="AC196" s="1">
        <f t="shared" si="77"/>
        <v>1</v>
      </c>
      <c r="AD196" s="1">
        <f t="shared" si="73"/>
        <v>1</v>
      </c>
      <c r="AE196" s="1">
        <v>0</v>
      </c>
      <c r="AF196" s="1">
        <v>7.6063879999999999</v>
      </c>
      <c r="AG196" s="1">
        <v>4.0943449999999997</v>
      </c>
      <c r="AH196" s="1">
        <f t="shared" si="79"/>
        <v>8.7378640776699032E-2</v>
      </c>
      <c r="AI196" s="1">
        <f t="shared" si="80"/>
        <v>1.100954110711394E-3</v>
      </c>
      <c r="AJ196" s="1">
        <f t="shared" si="74"/>
        <v>1.2599808155919287E-2</v>
      </c>
      <c r="AK196" s="1">
        <f t="shared" si="75"/>
        <v>6299.0076350268637</v>
      </c>
      <c r="AL196" s="1">
        <f t="shared" si="76"/>
        <v>79.366287774009336</v>
      </c>
      <c r="AM196" s="1">
        <v>0</v>
      </c>
      <c r="AN196" s="1">
        <v>1</v>
      </c>
      <c r="AO196" s="1">
        <v>0</v>
      </c>
      <c r="AP196" s="1">
        <f t="shared" si="81"/>
        <v>1.2599815792039672E-2</v>
      </c>
      <c r="AQ196" s="1">
        <v>0</v>
      </c>
      <c r="AR196" s="1">
        <v>1</v>
      </c>
      <c r="AS196" s="1">
        <v>0</v>
      </c>
      <c r="AT196" s="1">
        <v>0</v>
      </c>
      <c r="AU196" s="4">
        <v>0</v>
      </c>
      <c r="AV196" s="4">
        <v>1</v>
      </c>
      <c r="AW196" s="1">
        <f t="shared" si="82"/>
        <v>9.5238095238095247E-3</v>
      </c>
      <c r="AX196" s="1">
        <f t="shared" si="83"/>
        <v>9.0702947845804991E-5</v>
      </c>
    </row>
    <row r="197" spans="1:50" x14ac:dyDescent="0.25">
      <c r="A197" s="1" t="s">
        <v>56</v>
      </c>
      <c r="B197" s="1">
        <v>2011</v>
      </c>
      <c r="C197" s="1">
        <f t="shared" si="84"/>
        <v>19</v>
      </c>
      <c r="D197" s="1" t="s">
        <v>24</v>
      </c>
      <c r="E197" s="1" t="s">
        <v>25</v>
      </c>
      <c r="F197" s="2">
        <v>-8.4400000000000003E-2</v>
      </c>
      <c r="G197" s="3">
        <v>3.6799999999999999E-2</v>
      </c>
      <c r="H197" s="1">
        <v>8</v>
      </c>
      <c r="I197" s="1">
        <v>6411</v>
      </c>
      <c r="J197" s="1">
        <f t="shared" si="72"/>
        <v>6403</v>
      </c>
      <c r="K197" s="1">
        <v>105</v>
      </c>
      <c r="L197" s="1">
        <v>1991</v>
      </c>
      <c r="M197" s="1">
        <v>2006</v>
      </c>
      <c r="N197" s="1">
        <f t="shared" si="69"/>
        <v>1998.5</v>
      </c>
      <c r="O197" s="1">
        <f t="shared" si="70"/>
        <v>16</v>
      </c>
      <c r="P197" s="1">
        <f t="shared" si="78"/>
        <v>2.7725887222397811</v>
      </c>
      <c r="Q197" s="1">
        <v>59</v>
      </c>
      <c r="R197" s="1">
        <v>0</v>
      </c>
      <c r="S197" s="1" t="s">
        <v>27</v>
      </c>
      <c r="T197" s="1">
        <f t="shared" si="71"/>
        <v>0</v>
      </c>
      <c r="U197" s="1">
        <v>1</v>
      </c>
      <c r="V197" s="1">
        <v>1</v>
      </c>
      <c r="W197" s="1">
        <v>0</v>
      </c>
      <c r="X197" s="1">
        <v>0</v>
      </c>
      <c r="Y197" s="1">
        <v>1</v>
      </c>
      <c r="Z197" s="1">
        <v>0</v>
      </c>
      <c r="AA197" s="1">
        <v>0</v>
      </c>
      <c r="AB197" s="1" t="s">
        <v>85</v>
      </c>
      <c r="AC197" s="1">
        <f t="shared" si="77"/>
        <v>1</v>
      </c>
      <c r="AD197" s="1">
        <f t="shared" si="73"/>
        <v>1</v>
      </c>
      <c r="AE197" s="1">
        <v>0</v>
      </c>
      <c r="AF197" s="1">
        <v>7.6063879999999999</v>
      </c>
      <c r="AG197" s="1">
        <v>4.0943449999999997</v>
      </c>
      <c r="AH197" s="1">
        <f t="shared" si="79"/>
        <v>-2.2934782608695654</v>
      </c>
      <c r="AI197" s="1">
        <f t="shared" si="80"/>
        <v>-2.8649995926720538E-2</v>
      </c>
      <c r="AJ197" s="1">
        <f t="shared" si="74"/>
        <v>1.2491941351935021E-2</v>
      </c>
      <c r="AK197" s="1">
        <f t="shared" si="75"/>
        <v>6408.2600425330802</v>
      </c>
      <c r="AL197" s="1">
        <f t="shared" si="76"/>
        <v>80.05160861927186</v>
      </c>
      <c r="AM197" s="1">
        <v>0</v>
      </c>
      <c r="AN197" s="1">
        <v>1</v>
      </c>
      <c r="AO197" s="1">
        <v>0</v>
      </c>
      <c r="AP197" s="1">
        <f t="shared" si="81"/>
        <v>1.2497071342066094E-2</v>
      </c>
      <c r="AQ197" s="1">
        <v>0</v>
      </c>
      <c r="AR197" s="1">
        <v>1</v>
      </c>
      <c r="AS197" s="1">
        <v>0</v>
      </c>
      <c r="AT197" s="1">
        <v>0</v>
      </c>
      <c r="AU197" s="4">
        <v>0</v>
      </c>
      <c r="AV197" s="4">
        <v>0</v>
      </c>
      <c r="AW197" s="1">
        <f t="shared" si="82"/>
        <v>9.5238095238095247E-3</v>
      </c>
      <c r="AX197" s="1">
        <f t="shared" si="83"/>
        <v>9.0702947845804991E-5</v>
      </c>
    </row>
    <row r="198" spans="1:50" x14ac:dyDescent="0.25">
      <c r="A198" s="1" t="s">
        <v>56</v>
      </c>
      <c r="B198" s="1">
        <v>2011</v>
      </c>
      <c r="C198" s="1">
        <f t="shared" si="84"/>
        <v>19</v>
      </c>
      <c r="D198" s="1" t="s">
        <v>24</v>
      </c>
      <c r="E198" s="1" t="s">
        <v>25</v>
      </c>
      <c r="F198" s="2">
        <v>3.4500000000000003E-2</v>
      </c>
      <c r="G198" s="3">
        <v>4.4699999999999997E-2</v>
      </c>
      <c r="H198" s="1">
        <v>8</v>
      </c>
      <c r="I198" s="1">
        <v>6411</v>
      </c>
      <c r="J198" s="1">
        <f t="shared" si="72"/>
        <v>6403</v>
      </c>
      <c r="K198" s="1">
        <v>105</v>
      </c>
      <c r="L198" s="1">
        <v>1991</v>
      </c>
      <c r="M198" s="1">
        <v>2006</v>
      </c>
      <c r="N198" s="1">
        <f t="shared" si="69"/>
        <v>1998.5</v>
      </c>
      <c r="O198" s="1">
        <f t="shared" si="70"/>
        <v>16</v>
      </c>
      <c r="P198" s="1">
        <f t="shared" si="78"/>
        <v>2.7725887222397811</v>
      </c>
      <c r="Q198" s="1">
        <v>59</v>
      </c>
      <c r="R198" s="1">
        <v>0</v>
      </c>
      <c r="S198" s="1" t="s">
        <v>27</v>
      </c>
      <c r="T198" s="1">
        <f t="shared" si="71"/>
        <v>0</v>
      </c>
      <c r="U198" s="1">
        <v>1</v>
      </c>
      <c r="V198" s="1">
        <v>1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 t="s">
        <v>85</v>
      </c>
      <c r="AC198" s="1">
        <f t="shared" si="77"/>
        <v>1</v>
      </c>
      <c r="AD198" s="1">
        <f t="shared" si="73"/>
        <v>1</v>
      </c>
      <c r="AE198" s="1">
        <v>0</v>
      </c>
      <c r="AF198" s="1">
        <v>7.6063879999999999</v>
      </c>
      <c r="AG198" s="1">
        <v>4.0943449999999997</v>
      </c>
      <c r="AH198" s="1">
        <f t="shared" si="79"/>
        <v>0.77181208053691286</v>
      </c>
      <c r="AI198" s="1">
        <f t="shared" si="80"/>
        <v>9.644941991925695E-3</v>
      </c>
      <c r="AJ198" s="1">
        <f t="shared" si="74"/>
        <v>1.2496490059103724E-2</v>
      </c>
      <c r="AK198" s="1">
        <f t="shared" si="75"/>
        <v>6403.5956938876625</v>
      </c>
      <c r="AL198" s="1">
        <f t="shared" si="76"/>
        <v>80.022469931186592</v>
      </c>
      <c r="AM198" s="1">
        <v>0</v>
      </c>
      <c r="AN198" s="1">
        <v>1</v>
      </c>
      <c r="AO198" s="1">
        <v>0</v>
      </c>
      <c r="AP198" s="1">
        <f t="shared" si="81"/>
        <v>1.2497071342066094E-2</v>
      </c>
      <c r="AQ198" s="1">
        <v>0</v>
      </c>
      <c r="AR198" s="1">
        <v>1</v>
      </c>
      <c r="AS198" s="1">
        <v>0</v>
      </c>
      <c r="AT198" s="1">
        <v>0</v>
      </c>
      <c r="AU198" s="4">
        <v>1</v>
      </c>
      <c r="AV198" s="4">
        <v>0</v>
      </c>
      <c r="AW198" s="1">
        <f t="shared" si="82"/>
        <v>9.5238095238095247E-3</v>
      </c>
      <c r="AX198" s="1">
        <f t="shared" si="83"/>
        <v>9.0702947845804991E-5</v>
      </c>
    </row>
    <row r="199" spans="1:50" x14ac:dyDescent="0.25">
      <c r="A199" s="1" t="s">
        <v>56</v>
      </c>
      <c r="B199" s="1">
        <v>2011</v>
      </c>
      <c r="C199" s="1">
        <f t="shared" si="84"/>
        <v>19</v>
      </c>
      <c r="D199" s="1" t="s">
        <v>24</v>
      </c>
      <c r="E199" s="1" t="s">
        <v>25</v>
      </c>
      <c r="F199" s="2">
        <v>-7.7000000000000002E-3</v>
      </c>
      <c r="G199" s="3">
        <v>3.78E-2</v>
      </c>
      <c r="H199" s="1">
        <v>8</v>
      </c>
      <c r="I199" s="1">
        <v>6411</v>
      </c>
      <c r="J199" s="1">
        <f t="shared" si="72"/>
        <v>6403</v>
      </c>
      <c r="K199" s="1">
        <v>105</v>
      </c>
      <c r="L199" s="1">
        <v>1991</v>
      </c>
      <c r="M199" s="1">
        <v>2006</v>
      </c>
      <c r="N199" s="1">
        <f t="shared" si="69"/>
        <v>1998.5</v>
      </c>
      <c r="O199" s="1">
        <f t="shared" si="70"/>
        <v>16</v>
      </c>
      <c r="P199" s="1">
        <f t="shared" si="78"/>
        <v>2.7725887222397811</v>
      </c>
      <c r="Q199" s="1">
        <v>59</v>
      </c>
      <c r="R199" s="1">
        <v>0</v>
      </c>
      <c r="S199" s="1" t="s">
        <v>27</v>
      </c>
      <c r="T199" s="1">
        <f t="shared" si="71"/>
        <v>0</v>
      </c>
      <c r="U199" s="1">
        <v>1</v>
      </c>
      <c r="V199" s="1">
        <v>1</v>
      </c>
      <c r="W199" s="1">
        <v>0</v>
      </c>
      <c r="X199" s="1">
        <v>0</v>
      </c>
      <c r="Y199" s="1">
        <v>1</v>
      </c>
      <c r="Z199" s="1">
        <v>0</v>
      </c>
      <c r="AA199" s="1">
        <v>0</v>
      </c>
      <c r="AB199" s="1" t="s">
        <v>85</v>
      </c>
      <c r="AC199" s="1">
        <f t="shared" si="77"/>
        <v>1</v>
      </c>
      <c r="AD199" s="1">
        <f t="shared" si="73"/>
        <v>1</v>
      </c>
      <c r="AE199" s="1">
        <v>0</v>
      </c>
      <c r="AF199" s="1">
        <v>7.6063879999999999</v>
      </c>
      <c r="AG199" s="1">
        <v>4.0943449999999997</v>
      </c>
      <c r="AH199" s="1">
        <f t="shared" si="79"/>
        <v>-0.20370370370370372</v>
      </c>
      <c r="AI199" s="1">
        <f t="shared" si="80"/>
        <v>-2.5456914690540552E-3</v>
      </c>
      <c r="AJ199" s="1">
        <f t="shared" si="74"/>
        <v>1.2497030848083544E-2</v>
      </c>
      <c r="AK199" s="1">
        <f t="shared" si="75"/>
        <v>6403.0414951989005</v>
      </c>
      <c r="AL199" s="1">
        <f t="shared" si="76"/>
        <v>80.019007087059634</v>
      </c>
      <c r="AM199" s="1">
        <v>0</v>
      </c>
      <c r="AN199" s="1">
        <v>1</v>
      </c>
      <c r="AO199" s="1">
        <v>0</v>
      </c>
      <c r="AP199" s="1">
        <f t="shared" si="81"/>
        <v>1.2497071342066094E-2</v>
      </c>
      <c r="AQ199" s="1">
        <v>0</v>
      </c>
      <c r="AR199" s="1">
        <v>1</v>
      </c>
      <c r="AS199" s="1">
        <v>0</v>
      </c>
      <c r="AT199" s="1">
        <v>0</v>
      </c>
      <c r="AU199" s="4">
        <v>0</v>
      </c>
      <c r="AV199" s="4">
        <v>1</v>
      </c>
      <c r="AW199" s="1">
        <f t="shared" si="82"/>
        <v>9.5238095238095247E-3</v>
      </c>
      <c r="AX199" s="1">
        <f t="shared" si="83"/>
        <v>9.0702947845804991E-5</v>
      </c>
    </row>
    <row r="200" spans="1:50" x14ac:dyDescent="0.25">
      <c r="A200" s="1" t="s">
        <v>56</v>
      </c>
      <c r="B200" s="1">
        <v>2011</v>
      </c>
      <c r="C200" s="1">
        <f t="shared" si="84"/>
        <v>19</v>
      </c>
      <c r="D200" s="1" t="s">
        <v>24</v>
      </c>
      <c r="E200" s="1" t="s">
        <v>25</v>
      </c>
      <c r="F200" s="2">
        <v>-7.8399999999999997E-2</v>
      </c>
      <c r="G200" s="3">
        <v>0.10780000000000001</v>
      </c>
      <c r="H200" s="1">
        <v>8</v>
      </c>
      <c r="I200" s="1">
        <v>3414</v>
      </c>
      <c r="J200" s="1">
        <f t="shared" si="72"/>
        <v>3406</v>
      </c>
      <c r="K200" s="1">
        <v>105</v>
      </c>
      <c r="L200" s="1">
        <v>1999</v>
      </c>
      <c r="M200" s="1">
        <v>2006</v>
      </c>
      <c r="N200" s="1">
        <f t="shared" si="69"/>
        <v>2002.5</v>
      </c>
      <c r="O200" s="1">
        <f t="shared" si="70"/>
        <v>8</v>
      </c>
      <c r="P200" s="1">
        <f t="shared" si="78"/>
        <v>2.0794415416798357</v>
      </c>
      <c r="Q200" s="1">
        <v>59</v>
      </c>
      <c r="R200" s="1">
        <v>0</v>
      </c>
      <c r="S200" s="1" t="s">
        <v>27</v>
      </c>
      <c r="T200" s="1">
        <f t="shared" si="71"/>
        <v>0</v>
      </c>
      <c r="U200" s="1">
        <v>1</v>
      </c>
      <c r="V200" s="1">
        <v>1</v>
      </c>
      <c r="W200" s="1">
        <v>1</v>
      </c>
      <c r="X200" s="1">
        <v>0</v>
      </c>
      <c r="Y200" s="1">
        <v>1</v>
      </c>
      <c r="Z200" s="1">
        <v>0</v>
      </c>
      <c r="AA200" s="1">
        <v>0</v>
      </c>
      <c r="AB200" s="1" t="s">
        <v>85</v>
      </c>
      <c r="AC200" s="1">
        <f t="shared" si="77"/>
        <v>1</v>
      </c>
      <c r="AD200" s="1">
        <f t="shared" si="73"/>
        <v>1</v>
      </c>
      <c r="AE200" s="1">
        <v>0</v>
      </c>
      <c r="AF200" s="1">
        <v>7.6063879999999999</v>
      </c>
      <c r="AG200" s="1">
        <v>4.0943449999999997</v>
      </c>
      <c r="AH200" s="1">
        <f t="shared" si="79"/>
        <v>-0.72727272727272718</v>
      </c>
      <c r="AI200" s="1">
        <f t="shared" si="80"/>
        <v>-1.2460666176313933E-2</v>
      </c>
      <c r="AJ200" s="1">
        <f t="shared" si="74"/>
        <v>1.713341599243166E-2</v>
      </c>
      <c r="AK200" s="1">
        <f t="shared" si="75"/>
        <v>3406.5289256198348</v>
      </c>
      <c r="AL200" s="1">
        <f t="shared" si="76"/>
        <v>58.365477172895922</v>
      </c>
      <c r="AM200" s="1">
        <v>0</v>
      </c>
      <c r="AN200" s="1">
        <v>1</v>
      </c>
      <c r="AO200" s="1">
        <v>0</v>
      </c>
      <c r="AP200" s="1">
        <f t="shared" si="81"/>
        <v>1.7134746284691572E-2</v>
      </c>
      <c r="AQ200" s="1">
        <v>0</v>
      </c>
      <c r="AR200" s="1">
        <v>1</v>
      </c>
      <c r="AS200" s="1">
        <v>0</v>
      </c>
      <c r="AT200" s="1">
        <v>0</v>
      </c>
      <c r="AU200" s="4">
        <v>0</v>
      </c>
      <c r="AV200" s="4">
        <v>0</v>
      </c>
      <c r="AW200" s="1">
        <f t="shared" si="82"/>
        <v>9.5238095238095247E-3</v>
      </c>
      <c r="AX200" s="1">
        <f t="shared" si="83"/>
        <v>9.0702947845804991E-5</v>
      </c>
    </row>
    <row r="201" spans="1:50" x14ac:dyDescent="0.25">
      <c r="A201" s="1" t="s">
        <v>56</v>
      </c>
      <c r="B201" s="1">
        <v>2011</v>
      </c>
      <c r="C201" s="1">
        <f t="shared" si="84"/>
        <v>19</v>
      </c>
      <c r="D201" s="1" t="s">
        <v>24</v>
      </c>
      <c r="E201" s="1" t="s">
        <v>25</v>
      </c>
      <c r="F201" s="2">
        <v>0.12839999999999999</v>
      </c>
      <c r="G201" s="3">
        <v>0.1181</v>
      </c>
      <c r="H201" s="1">
        <v>8</v>
      </c>
      <c r="I201" s="1">
        <v>3414</v>
      </c>
      <c r="J201" s="1">
        <f t="shared" si="72"/>
        <v>3406</v>
      </c>
      <c r="K201" s="1">
        <v>105</v>
      </c>
      <c r="L201" s="1">
        <v>1999</v>
      </c>
      <c r="M201" s="1">
        <v>2006</v>
      </c>
      <c r="N201" s="1">
        <f t="shared" si="69"/>
        <v>2002.5</v>
      </c>
      <c r="O201" s="1">
        <f t="shared" si="70"/>
        <v>8</v>
      </c>
      <c r="P201" s="1">
        <f t="shared" si="78"/>
        <v>2.0794415416798357</v>
      </c>
      <c r="Q201" s="1">
        <v>59</v>
      </c>
      <c r="R201" s="1">
        <v>0</v>
      </c>
      <c r="S201" s="1" t="s">
        <v>27</v>
      </c>
      <c r="T201" s="1">
        <f t="shared" si="71"/>
        <v>0</v>
      </c>
      <c r="U201" s="1">
        <v>1</v>
      </c>
      <c r="V201" s="1">
        <v>1</v>
      </c>
      <c r="W201" s="1">
        <v>1</v>
      </c>
      <c r="X201" s="1">
        <v>0</v>
      </c>
      <c r="Y201" s="1">
        <v>1</v>
      </c>
      <c r="Z201" s="1">
        <v>0</v>
      </c>
      <c r="AA201" s="1">
        <v>0</v>
      </c>
      <c r="AB201" s="1" t="s">
        <v>85</v>
      </c>
      <c r="AC201" s="1">
        <f t="shared" si="77"/>
        <v>1</v>
      </c>
      <c r="AD201" s="1">
        <f t="shared" si="73"/>
        <v>1</v>
      </c>
      <c r="AE201" s="1">
        <v>0</v>
      </c>
      <c r="AF201" s="1">
        <v>7.6063879999999999</v>
      </c>
      <c r="AG201" s="1">
        <v>4.0943449999999997</v>
      </c>
      <c r="AH201" s="1">
        <f t="shared" si="79"/>
        <v>1.0872142252328534</v>
      </c>
      <c r="AI201" s="1">
        <f t="shared" si="80"/>
        <v>1.8625908174048939E-2</v>
      </c>
      <c r="AJ201" s="1">
        <f t="shared" si="74"/>
        <v>1.7131773795601088E-2</v>
      </c>
      <c r="AK201" s="1">
        <f t="shared" si="75"/>
        <v>3407.1820347715484</v>
      </c>
      <c r="AL201" s="1">
        <f t="shared" si="76"/>
        <v>58.371071900142013</v>
      </c>
      <c r="AM201" s="1">
        <v>0</v>
      </c>
      <c r="AN201" s="1">
        <v>1</v>
      </c>
      <c r="AO201" s="1">
        <v>0</v>
      </c>
      <c r="AP201" s="1">
        <f t="shared" si="81"/>
        <v>1.7134746284691572E-2</v>
      </c>
      <c r="AQ201" s="1">
        <v>0</v>
      </c>
      <c r="AR201" s="1">
        <v>1</v>
      </c>
      <c r="AS201" s="1">
        <v>0</v>
      </c>
      <c r="AT201" s="1">
        <v>0</v>
      </c>
      <c r="AU201" s="4">
        <v>1</v>
      </c>
      <c r="AV201" s="4">
        <v>0</v>
      </c>
      <c r="AW201" s="1">
        <f t="shared" si="82"/>
        <v>9.5238095238095247E-3</v>
      </c>
      <c r="AX201" s="1">
        <f t="shared" si="83"/>
        <v>9.0702947845804991E-5</v>
      </c>
    </row>
    <row r="202" spans="1:50" x14ac:dyDescent="0.25">
      <c r="A202" s="1" t="s">
        <v>56</v>
      </c>
      <c r="B202" s="1">
        <v>2011</v>
      </c>
      <c r="C202" s="1">
        <f t="shared" si="84"/>
        <v>19</v>
      </c>
      <c r="D202" s="1" t="s">
        <v>24</v>
      </c>
      <c r="E202" s="1" t="s">
        <v>25</v>
      </c>
      <c r="F202" s="2">
        <v>2.8299999999999999E-2</v>
      </c>
      <c r="G202" s="3">
        <v>7.9200000000000007E-2</v>
      </c>
      <c r="H202" s="1">
        <v>8</v>
      </c>
      <c r="I202" s="1">
        <v>3414</v>
      </c>
      <c r="J202" s="1">
        <f t="shared" si="72"/>
        <v>3406</v>
      </c>
      <c r="K202" s="1">
        <v>105</v>
      </c>
      <c r="L202" s="1">
        <v>1999</v>
      </c>
      <c r="M202" s="1">
        <v>2006</v>
      </c>
      <c r="N202" s="1">
        <f t="shared" si="69"/>
        <v>2002.5</v>
      </c>
      <c r="O202" s="1">
        <f t="shared" si="70"/>
        <v>8</v>
      </c>
      <c r="P202" s="1">
        <f t="shared" si="78"/>
        <v>2.0794415416798357</v>
      </c>
      <c r="Q202" s="1">
        <v>59</v>
      </c>
      <c r="R202" s="1">
        <v>0</v>
      </c>
      <c r="S202" s="1" t="s">
        <v>27</v>
      </c>
      <c r="T202" s="1">
        <f t="shared" si="71"/>
        <v>0</v>
      </c>
      <c r="U202" s="1">
        <v>1</v>
      </c>
      <c r="V202" s="1">
        <v>1</v>
      </c>
      <c r="W202" s="1">
        <v>1</v>
      </c>
      <c r="X202" s="1">
        <v>0</v>
      </c>
      <c r="Y202" s="1">
        <v>1</v>
      </c>
      <c r="Z202" s="1">
        <v>0</v>
      </c>
      <c r="AA202" s="1">
        <v>0</v>
      </c>
      <c r="AB202" s="1" t="s">
        <v>85</v>
      </c>
      <c r="AC202" s="1">
        <f t="shared" si="77"/>
        <v>1</v>
      </c>
      <c r="AD202" s="1">
        <f t="shared" si="73"/>
        <v>1</v>
      </c>
      <c r="AE202" s="1">
        <v>0</v>
      </c>
      <c r="AF202" s="1">
        <v>7.6063879999999999</v>
      </c>
      <c r="AG202" s="1">
        <v>4.0943449999999997</v>
      </c>
      <c r="AH202" s="1">
        <f t="shared" si="79"/>
        <v>0.35732323232323226</v>
      </c>
      <c r="AI202" s="1">
        <f t="shared" si="80"/>
        <v>6.1225281716988178E-3</v>
      </c>
      <c r="AJ202" s="1">
        <f t="shared" si="74"/>
        <v>1.7134425130690686E-2</v>
      </c>
      <c r="AK202" s="1">
        <f t="shared" si="75"/>
        <v>3406.1276798923577</v>
      </c>
      <c r="AL202" s="1">
        <f t="shared" si="76"/>
        <v>58.36203971668877</v>
      </c>
      <c r="AM202" s="1">
        <v>0</v>
      </c>
      <c r="AN202" s="1">
        <v>1</v>
      </c>
      <c r="AO202" s="1">
        <v>0</v>
      </c>
      <c r="AP202" s="1">
        <f t="shared" si="81"/>
        <v>1.7134746284691572E-2</v>
      </c>
      <c r="AQ202" s="1">
        <v>0</v>
      </c>
      <c r="AR202" s="1">
        <v>1</v>
      </c>
      <c r="AS202" s="1">
        <v>0</v>
      </c>
      <c r="AT202" s="1">
        <v>0</v>
      </c>
      <c r="AU202" s="4">
        <v>0</v>
      </c>
      <c r="AV202" s="4">
        <v>1</v>
      </c>
      <c r="AW202" s="1">
        <f t="shared" si="82"/>
        <v>9.5238095238095247E-3</v>
      </c>
      <c r="AX202" s="1">
        <f t="shared" si="83"/>
        <v>9.0702947845804991E-5</v>
      </c>
    </row>
    <row r="203" spans="1:50" x14ac:dyDescent="0.25">
      <c r="A203" s="1" t="s">
        <v>56</v>
      </c>
      <c r="B203" s="1">
        <v>2011</v>
      </c>
      <c r="C203" s="1">
        <f t="shared" si="84"/>
        <v>19</v>
      </c>
      <c r="D203" s="1" t="s">
        <v>24</v>
      </c>
      <c r="E203" s="1" t="s">
        <v>25</v>
      </c>
      <c r="F203" s="2">
        <v>-8.8200000000000001E-2</v>
      </c>
      <c r="G203" s="3">
        <v>3.3599999999999998E-2</v>
      </c>
      <c r="H203" s="1">
        <v>12</v>
      </c>
      <c r="I203" s="1">
        <v>6399</v>
      </c>
      <c r="J203" s="1">
        <f t="shared" si="72"/>
        <v>6387</v>
      </c>
      <c r="K203" s="1">
        <v>105</v>
      </c>
      <c r="L203" s="1">
        <v>1991</v>
      </c>
      <c r="M203" s="1">
        <v>2006</v>
      </c>
      <c r="N203" s="1">
        <f t="shared" si="69"/>
        <v>1998.5</v>
      </c>
      <c r="O203" s="1">
        <f t="shared" si="70"/>
        <v>16</v>
      </c>
      <c r="P203" s="1">
        <f t="shared" si="78"/>
        <v>2.7725887222397811</v>
      </c>
      <c r="Q203" s="1">
        <v>59</v>
      </c>
      <c r="R203" s="1">
        <v>0</v>
      </c>
      <c r="S203" s="1" t="s">
        <v>27</v>
      </c>
      <c r="T203" s="1">
        <f t="shared" si="71"/>
        <v>0</v>
      </c>
      <c r="U203" s="1">
        <v>1</v>
      </c>
      <c r="V203" s="1">
        <v>1</v>
      </c>
      <c r="W203" s="1">
        <v>0</v>
      </c>
      <c r="X203" s="1">
        <v>0</v>
      </c>
      <c r="Y203" s="1">
        <v>1</v>
      </c>
      <c r="Z203" s="1">
        <v>0</v>
      </c>
      <c r="AA203" s="1">
        <v>0</v>
      </c>
      <c r="AB203" s="1" t="s">
        <v>85</v>
      </c>
      <c r="AC203" s="1">
        <f t="shared" si="77"/>
        <v>1</v>
      </c>
      <c r="AD203" s="1">
        <f t="shared" si="73"/>
        <v>1</v>
      </c>
      <c r="AE203" s="1">
        <v>0</v>
      </c>
      <c r="AF203" s="1">
        <v>7.6063879999999999</v>
      </c>
      <c r="AG203" s="1">
        <v>4.0943449999999997</v>
      </c>
      <c r="AH203" s="1">
        <f t="shared" si="79"/>
        <v>-2.625</v>
      </c>
      <c r="AI203" s="1">
        <f t="shared" si="80"/>
        <v>-3.2828172461096178E-2</v>
      </c>
      <c r="AJ203" s="1">
        <f t="shared" si="74"/>
        <v>1.2505970461369972E-2</v>
      </c>
      <c r="AK203" s="1">
        <f t="shared" si="75"/>
        <v>6393.8906250000009</v>
      </c>
      <c r="AL203" s="1">
        <f t="shared" si="76"/>
        <v>79.961807289480404</v>
      </c>
      <c r="AM203" s="1">
        <v>0</v>
      </c>
      <c r="AN203" s="1">
        <v>1</v>
      </c>
      <c r="AO203" s="1">
        <v>0</v>
      </c>
      <c r="AP203" s="1">
        <f t="shared" si="81"/>
        <v>1.2512714685811282E-2</v>
      </c>
      <c r="AQ203" s="1">
        <v>0</v>
      </c>
      <c r="AR203" s="1">
        <v>1</v>
      </c>
      <c r="AS203" s="1">
        <v>0</v>
      </c>
      <c r="AT203" s="1">
        <v>0</v>
      </c>
      <c r="AU203" s="4">
        <v>0</v>
      </c>
      <c r="AV203" s="4">
        <v>0</v>
      </c>
      <c r="AW203" s="1">
        <f t="shared" si="82"/>
        <v>9.5238095238095247E-3</v>
      </c>
      <c r="AX203" s="1">
        <f t="shared" si="83"/>
        <v>9.0702947845804991E-5</v>
      </c>
    </row>
    <row r="204" spans="1:50" x14ac:dyDescent="0.25">
      <c r="A204" s="1" t="s">
        <v>56</v>
      </c>
      <c r="B204" s="1">
        <v>2011</v>
      </c>
      <c r="C204" s="1">
        <f t="shared" si="84"/>
        <v>19</v>
      </c>
      <c r="D204" s="1" t="s">
        <v>24</v>
      </c>
      <c r="E204" s="1" t="s">
        <v>25</v>
      </c>
      <c r="F204" s="2">
        <v>2.58E-2</v>
      </c>
      <c r="G204" s="3">
        <v>3.3300000000000003E-2</v>
      </c>
      <c r="H204" s="1">
        <v>12</v>
      </c>
      <c r="I204" s="1">
        <v>6399</v>
      </c>
      <c r="J204" s="1">
        <f t="shared" si="72"/>
        <v>6387</v>
      </c>
      <c r="K204" s="1">
        <v>105</v>
      </c>
      <c r="L204" s="1">
        <v>1991</v>
      </c>
      <c r="M204" s="1">
        <v>2006</v>
      </c>
      <c r="N204" s="1">
        <f t="shared" si="69"/>
        <v>1998.5</v>
      </c>
      <c r="O204" s="1">
        <f t="shared" si="70"/>
        <v>16</v>
      </c>
      <c r="P204" s="1">
        <f t="shared" si="78"/>
        <v>2.7725887222397811</v>
      </c>
      <c r="Q204" s="1">
        <v>59</v>
      </c>
      <c r="R204" s="1">
        <v>0</v>
      </c>
      <c r="S204" s="1" t="s">
        <v>27</v>
      </c>
      <c r="T204" s="1">
        <f t="shared" si="71"/>
        <v>0</v>
      </c>
      <c r="U204" s="1">
        <v>1</v>
      </c>
      <c r="V204" s="1">
        <v>1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 t="s">
        <v>85</v>
      </c>
      <c r="AC204" s="1">
        <f t="shared" si="77"/>
        <v>1</v>
      </c>
      <c r="AD204" s="1">
        <f t="shared" si="73"/>
        <v>1</v>
      </c>
      <c r="AE204" s="1">
        <v>0</v>
      </c>
      <c r="AF204" s="1">
        <v>7.6063879999999999</v>
      </c>
      <c r="AG204" s="1">
        <v>4.0943449999999997</v>
      </c>
      <c r="AH204" s="1">
        <f t="shared" si="79"/>
        <v>0.77477477477477474</v>
      </c>
      <c r="AI204" s="1">
        <f t="shared" si="80"/>
        <v>9.6940801688991263E-3</v>
      </c>
      <c r="AJ204" s="1">
        <f t="shared" si="74"/>
        <v>1.2512126729625617E-2</v>
      </c>
      <c r="AK204" s="1">
        <f t="shared" si="75"/>
        <v>6387.6002759516268</v>
      </c>
      <c r="AL204" s="1">
        <f t="shared" si="76"/>
        <v>79.922464150898321</v>
      </c>
      <c r="AM204" s="1">
        <v>0</v>
      </c>
      <c r="AN204" s="1">
        <v>1</v>
      </c>
      <c r="AO204" s="1">
        <v>0</v>
      </c>
      <c r="AP204" s="1">
        <f t="shared" si="81"/>
        <v>1.2512714685811282E-2</v>
      </c>
      <c r="AQ204" s="1">
        <v>0</v>
      </c>
      <c r="AR204" s="1">
        <v>1</v>
      </c>
      <c r="AS204" s="1">
        <v>0</v>
      </c>
      <c r="AT204" s="1">
        <v>0</v>
      </c>
      <c r="AU204" s="4">
        <v>1</v>
      </c>
      <c r="AV204" s="4">
        <v>0</v>
      </c>
      <c r="AW204" s="1">
        <f t="shared" si="82"/>
        <v>9.5238095238095247E-3</v>
      </c>
      <c r="AX204" s="1">
        <f t="shared" si="83"/>
        <v>9.0702947845804991E-5</v>
      </c>
    </row>
    <row r="205" spans="1:50" x14ac:dyDescent="0.25">
      <c r="A205" s="1" t="s">
        <v>56</v>
      </c>
      <c r="B205" s="1">
        <v>2011</v>
      </c>
      <c r="C205" s="1">
        <f t="shared" si="84"/>
        <v>19</v>
      </c>
      <c r="D205" s="1" t="s">
        <v>24</v>
      </c>
      <c r="E205" s="1" t="s">
        <v>25</v>
      </c>
      <c r="F205" s="2">
        <v>6.1000000000000004E-3</v>
      </c>
      <c r="G205" s="3">
        <v>2.7699999999999999E-2</v>
      </c>
      <c r="H205" s="1">
        <v>12</v>
      </c>
      <c r="I205" s="1">
        <v>6399</v>
      </c>
      <c r="J205" s="1">
        <f t="shared" si="72"/>
        <v>6387</v>
      </c>
      <c r="K205" s="1">
        <v>105</v>
      </c>
      <c r="L205" s="1">
        <v>1991</v>
      </c>
      <c r="M205" s="1">
        <v>2006</v>
      </c>
      <c r="N205" s="1">
        <f t="shared" si="69"/>
        <v>1998.5</v>
      </c>
      <c r="O205" s="1">
        <f t="shared" si="70"/>
        <v>16</v>
      </c>
      <c r="P205" s="1">
        <f t="shared" si="78"/>
        <v>2.7725887222397811</v>
      </c>
      <c r="Q205" s="1">
        <v>59</v>
      </c>
      <c r="R205" s="1">
        <v>0</v>
      </c>
      <c r="S205" s="1" t="s">
        <v>27</v>
      </c>
      <c r="T205" s="1">
        <f t="shared" si="71"/>
        <v>0</v>
      </c>
      <c r="U205" s="1">
        <v>1</v>
      </c>
      <c r="V205" s="1">
        <v>1</v>
      </c>
      <c r="W205" s="1">
        <v>0</v>
      </c>
      <c r="X205" s="1">
        <v>0</v>
      </c>
      <c r="Y205" s="1">
        <v>1</v>
      </c>
      <c r="Z205" s="1">
        <v>0</v>
      </c>
      <c r="AA205" s="1">
        <v>0</v>
      </c>
      <c r="AB205" s="1" t="s">
        <v>85</v>
      </c>
      <c r="AC205" s="1">
        <f t="shared" si="77"/>
        <v>1</v>
      </c>
      <c r="AD205" s="1">
        <f t="shared" si="73"/>
        <v>1</v>
      </c>
      <c r="AE205" s="1">
        <v>0</v>
      </c>
      <c r="AF205" s="1">
        <v>7.6063879999999999</v>
      </c>
      <c r="AG205" s="1">
        <v>4.0943449999999997</v>
      </c>
      <c r="AH205" s="1">
        <f t="shared" si="79"/>
        <v>0.22021660649819497</v>
      </c>
      <c r="AI205" s="1">
        <f t="shared" si="80"/>
        <v>2.7554971052098972E-3</v>
      </c>
      <c r="AJ205" s="1">
        <f t="shared" si="74"/>
        <v>1.251266718267445E-2</v>
      </c>
      <c r="AK205" s="1">
        <f t="shared" si="75"/>
        <v>6387.0484953537762</v>
      </c>
      <c r="AL205" s="1">
        <f t="shared" si="76"/>
        <v>79.919012101963432</v>
      </c>
      <c r="AM205" s="1">
        <v>0</v>
      </c>
      <c r="AN205" s="1">
        <v>1</v>
      </c>
      <c r="AO205" s="1">
        <v>0</v>
      </c>
      <c r="AP205" s="1">
        <f t="shared" si="81"/>
        <v>1.2512714685811282E-2</v>
      </c>
      <c r="AQ205" s="1">
        <v>0</v>
      </c>
      <c r="AR205" s="1">
        <v>1</v>
      </c>
      <c r="AS205" s="1">
        <v>0</v>
      </c>
      <c r="AT205" s="1">
        <v>0</v>
      </c>
      <c r="AU205" s="4">
        <v>0</v>
      </c>
      <c r="AV205" s="4">
        <v>1</v>
      </c>
      <c r="AW205" s="1">
        <f t="shared" si="82"/>
        <v>9.5238095238095247E-3</v>
      </c>
      <c r="AX205" s="1">
        <f t="shared" si="83"/>
        <v>9.0702947845804991E-5</v>
      </c>
    </row>
    <row r="206" spans="1:50" x14ac:dyDescent="0.25">
      <c r="A206" s="1" t="s">
        <v>56</v>
      </c>
      <c r="B206" s="1">
        <v>2011</v>
      </c>
      <c r="C206" s="1">
        <f t="shared" si="84"/>
        <v>19</v>
      </c>
      <c r="D206" s="1" t="s">
        <v>24</v>
      </c>
      <c r="E206" s="1" t="s">
        <v>25</v>
      </c>
      <c r="F206" s="2">
        <v>-7.9699999999999993E-2</v>
      </c>
      <c r="G206" s="3">
        <v>0.05</v>
      </c>
      <c r="H206" s="1">
        <v>12</v>
      </c>
      <c r="I206" s="1">
        <v>6509</v>
      </c>
      <c r="J206" s="1">
        <f t="shared" si="72"/>
        <v>6497</v>
      </c>
      <c r="K206" s="1">
        <v>105</v>
      </c>
      <c r="L206" s="1">
        <v>1991</v>
      </c>
      <c r="M206" s="1">
        <v>2006</v>
      </c>
      <c r="N206" s="1">
        <f t="shared" si="69"/>
        <v>1998.5</v>
      </c>
      <c r="O206" s="1">
        <f t="shared" si="70"/>
        <v>16</v>
      </c>
      <c r="P206" s="1">
        <f t="shared" si="78"/>
        <v>2.7725887222397811</v>
      </c>
      <c r="Q206" s="1">
        <v>59</v>
      </c>
      <c r="R206" s="1">
        <v>0</v>
      </c>
      <c r="S206" s="1" t="s">
        <v>27</v>
      </c>
      <c r="T206" s="1">
        <f t="shared" si="71"/>
        <v>0</v>
      </c>
      <c r="U206" s="1">
        <v>1</v>
      </c>
      <c r="V206" s="1">
        <v>1</v>
      </c>
      <c r="W206" s="1">
        <v>0</v>
      </c>
      <c r="X206" s="1">
        <v>0</v>
      </c>
      <c r="Y206" s="1">
        <v>1</v>
      </c>
      <c r="Z206" s="1">
        <v>0</v>
      </c>
      <c r="AA206" s="1">
        <v>0</v>
      </c>
      <c r="AB206" s="1" t="s">
        <v>85</v>
      </c>
      <c r="AC206" s="1">
        <f t="shared" si="77"/>
        <v>1</v>
      </c>
      <c r="AD206" s="1">
        <f t="shared" si="73"/>
        <v>1</v>
      </c>
      <c r="AE206" s="1">
        <v>0</v>
      </c>
      <c r="AF206" s="1">
        <v>7.6063879999999999</v>
      </c>
      <c r="AG206" s="1">
        <v>4.0943449999999997</v>
      </c>
      <c r="AH206" s="1">
        <f t="shared" si="79"/>
        <v>-1.5939999999999999</v>
      </c>
      <c r="AI206" s="1">
        <f t="shared" si="80"/>
        <v>-1.9771835053150902E-2</v>
      </c>
      <c r="AJ206" s="1">
        <f t="shared" si="74"/>
        <v>1.2403911576631683E-2</v>
      </c>
      <c r="AK206" s="1">
        <f t="shared" si="75"/>
        <v>6499.5408360000001</v>
      </c>
      <c r="AL206" s="1">
        <f t="shared" si="76"/>
        <v>80.619729818450764</v>
      </c>
      <c r="AM206" s="1">
        <v>0</v>
      </c>
      <c r="AN206" s="1">
        <v>1</v>
      </c>
      <c r="AO206" s="1">
        <v>0</v>
      </c>
      <c r="AP206" s="1">
        <f t="shared" si="81"/>
        <v>1.2406336790141073E-2</v>
      </c>
      <c r="AQ206" s="1">
        <v>0</v>
      </c>
      <c r="AR206" s="1">
        <v>1</v>
      </c>
      <c r="AS206" s="1">
        <v>0</v>
      </c>
      <c r="AT206" s="1">
        <v>0</v>
      </c>
      <c r="AU206" s="4">
        <v>0</v>
      </c>
      <c r="AV206" s="4">
        <v>0</v>
      </c>
      <c r="AW206" s="1">
        <f t="shared" si="82"/>
        <v>9.5238095238095247E-3</v>
      </c>
      <c r="AX206" s="1">
        <f t="shared" si="83"/>
        <v>9.0702947845804991E-5</v>
      </c>
    </row>
    <row r="207" spans="1:50" x14ac:dyDescent="0.25">
      <c r="A207" s="1" t="s">
        <v>56</v>
      </c>
      <c r="B207" s="1">
        <v>2011</v>
      </c>
      <c r="C207" s="1">
        <f t="shared" si="84"/>
        <v>19</v>
      </c>
      <c r="D207" s="1" t="s">
        <v>24</v>
      </c>
      <c r="E207" s="1" t="s">
        <v>25</v>
      </c>
      <c r="F207" s="2">
        <v>5.6099999999999997E-2</v>
      </c>
      <c r="G207" s="3">
        <v>4.8099999999999997E-2</v>
      </c>
      <c r="H207" s="1">
        <v>12</v>
      </c>
      <c r="I207" s="1">
        <v>6509</v>
      </c>
      <c r="J207" s="1">
        <f t="shared" si="72"/>
        <v>6497</v>
      </c>
      <c r="K207" s="1">
        <v>105</v>
      </c>
      <c r="L207" s="1">
        <v>1991</v>
      </c>
      <c r="M207" s="1">
        <v>2006</v>
      </c>
      <c r="N207" s="1">
        <f t="shared" si="69"/>
        <v>1998.5</v>
      </c>
      <c r="O207" s="1">
        <f t="shared" si="70"/>
        <v>16</v>
      </c>
      <c r="P207" s="1">
        <f t="shared" si="78"/>
        <v>2.7725887222397811</v>
      </c>
      <c r="Q207" s="1">
        <v>59</v>
      </c>
      <c r="R207" s="1">
        <v>0</v>
      </c>
      <c r="S207" s="1" t="s">
        <v>27</v>
      </c>
      <c r="T207" s="1">
        <f t="shared" si="71"/>
        <v>0</v>
      </c>
      <c r="U207" s="1">
        <v>1</v>
      </c>
      <c r="V207" s="1">
        <v>1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 t="s">
        <v>85</v>
      </c>
      <c r="AC207" s="1">
        <f t="shared" si="77"/>
        <v>1</v>
      </c>
      <c r="AD207" s="1">
        <f t="shared" si="73"/>
        <v>1</v>
      </c>
      <c r="AE207" s="1">
        <v>0</v>
      </c>
      <c r="AF207" s="1">
        <v>7.6063879999999999</v>
      </c>
      <c r="AG207" s="1">
        <v>4.0943449999999997</v>
      </c>
      <c r="AH207" s="1">
        <f t="shared" si="79"/>
        <v>1.1663201663201663</v>
      </c>
      <c r="AI207" s="1">
        <f t="shared" si="80"/>
        <v>1.4468246230645673E-2</v>
      </c>
      <c r="AJ207" s="1">
        <f t="shared" si="74"/>
        <v>1.2405038212015274E-2</v>
      </c>
      <c r="AK207" s="1">
        <f t="shared" si="75"/>
        <v>6498.3603027303643</v>
      </c>
      <c r="AL207" s="1">
        <f t="shared" si="76"/>
        <v>80.612407870813314</v>
      </c>
      <c r="AM207" s="1">
        <v>0</v>
      </c>
      <c r="AN207" s="1">
        <v>1</v>
      </c>
      <c r="AO207" s="1">
        <v>0</v>
      </c>
      <c r="AP207" s="1">
        <f t="shared" si="81"/>
        <v>1.2406336790141073E-2</v>
      </c>
      <c r="AQ207" s="1">
        <v>0</v>
      </c>
      <c r="AR207" s="1">
        <v>1</v>
      </c>
      <c r="AS207" s="1">
        <v>0</v>
      </c>
      <c r="AT207" s="1">
        <v>0</v>
      </c>
      <c r="AU207" s="4">
        <v>1</v>
      </c>
      <c r="AV207" s="4">
        <v>0</v>
      </c>
      <c r="AW207" s="1">
        <f t="shared" si="82"/>
        <v>9.5238095238095247E-3</v>
      </c>
      <c r="AX207" s="1">
        <f t="shared" si="83"/>
        <v>9.0702947845804991E-5</v>
      </c>
    </row>
    <row r="208" spans="1:50" x14ac:dyDescent="0.25">
      <c r="A208" s="1" t="s">
        <v>56</v>
      </c>
      <c r="B208" s="1">
        <v>2011</v>
      </c>
      <c r="C208" s="1">
        <f t="shared" si="84"/>
        <v>19</v>
      </c>
      <c r="D208" s="1" t="s">
        <v>24</v>
      </c>
      <c r="E208" s="1" t="s">
        <v>25</v>
      </c>
      <c r="F208" s="2">
        <v>-9.4000000000000004E-3</v>
      </c>
      <c r="G208" s="3">
        <v>3.61E-2</v>
      </c>
      <c r="H208" s="1">
        <v>12</v>
      </c>
      <c r="I208" s="1">
        <v>6509</v>
      </c>
      <c r="J208" s="1">
        <f t="shared" si="72"/>
        <v>6497</v>
      </c>
      <c r="K208" s="1">
        <v>105</v>
      </c>
      <c r="L208" s="1">
        <v>1991</v>
      </c>
      <c r="M208" s="1">
        <v>2006</v>
      </c>
      <c r="N208" s="1">
        <f t="shared" si="69"/>
        <v>1998.5</v>
      </c>
      <c r="O208" s="1">
        <f t="shared" si="70"/>
        <v>16</v>
      </c>
      <c r="P208" s="1">
        <f t="shared" si="78"/>
        <v>2.7725887222397811</v>
      </c>
      <c r="Q208" s="1">
        <v>59</v>
      </c>
      <c r="R208" s="1">
        <v>0</v>
      </c>
      <c r="S208" s="1" t="s">
        <v>27</v>
      </c>
      <c r="T208" s="1">
        <f t="shared" si="71"/>
        <v>0</v>
      </c>
      <c r="U208" s="1">
        <v>1</v>
      </c>
      <c r="V208" s="1">
        <v>1</v>
      </c>
      <c r="W208" s="1">
        <v>0</v>
      </c>
      <c r="X208" s="1">
        <v>0</v>
      </c>
      <c r="Y208" s="1">
        <v>1</v>
      </c>
      <c r="Z208" s="1">
        <v>0</v>
      </c>
      <c r="AA208" s="1">
        <v>0</v>
      </c>
      <c r="AB208" s="1" t="s">
        <v>85</v>
      </c>
      <c r="AC208" s="1">
        <f t="shared" si="77"/>
        <v>1</v>
      </c>
      <c r="AD208" s="1">
        <f t="shared" si="73"/>
        <v>1</v>
      </c>
      <c r="AE208" s="1">
        <v>0</v>
      </c>
      <c r="AF208" s="1">
        <v>7.6063879999999999</v>
      </c>
      <c r="AG208" s="1">
        <v>4.0943449999999997</v>
      </c>
      <c r="AH208" s="1">
        <f t="shared" si="79"/>
        <v>-0.26038781163434904</v>
      </c>
      <c r="AI208" s="1">
        <f t="shared" si="80"/>
        <v>-3.2304420309996729E-3</v>
      </c>
      <c r="AJ208" s="1">
        <f t="shared" si="74"/>
        <v>1.2406272055222147E-2</v>
      </c>
      <c r="AK208" s="1">
        <f t="shared" si="75"/>
        <v>6497.0678018124481</v>
      </c>
      <c r="AL208" s="1">
        <f t="shared" si="76"/>
        <v>80.604390710509364</v>
      </c>
      <c r="AM208" s="1">
        <v>0</v>
      </c>
      <c r="AN208" s="1">
        <v>1</v>
      </c>
      <c r="AO208" s="1">
        <v>0</v>
      </c>
      <c r="AP208" s="1">
        <f t="shared" si="81"/>
        <v>1.2406336790141073E-2</v>
      </c>
      <c r="AQ208" s="1">
        <v>0</v>
      </c>
      <c r="AR208" s="1">
        <v>1</v>
      </c>
      <c r="AS208" s="1">
        <v>0</v>
      </c>
      <c r="AT208" s="1">
        <v>0</v>
      </c>
      <c r="AU208" s="4">
        <v>0</v>
      </c>
      <c r="AV208" s="4">
        <v>1</v>
      </c>
      <c r="AW208" s="1">
        <f t="shared" si="82"/>
        <v>9.5238095238095247E-3</v>
      </c>
      <c r="AX208" s="1">
        <f t="shared" si="83"/>
        <v>9.0702947845804991E-5</v>
      </c>
    </row>
    <row r="209" spans="1:50" x14ac:dyDescent="0.25">
      <c r="A209" s="1" t="s">
        <v>56</v>
      </c>
      <c r="B209" s="1">
        <v>2011</v>
      </c>
      <c r="C209" s="1">
        <f t="shared" si="84"/>
        <v>19</v>
      </c>
      <c r="D209" s="1" t="s">
        <v>24</v>
      </c>
      <c r="E209" s="1" t="s">
        <v>25</v>
      </c>
      <c r="F209" s="2">
        <v>-3.49E-2</v>
      </c>
      <c r="G209" s="3">
        <v>0.11310000000000001</v>
      </c>
      <c r="H209" s="1">
        <v>12</v>
      </c>
      <c r="I209" s="1">
        <v>375</v>
      </c>
      <c r="J209" s="1">
        <f t="shared" si="72"/>
        <v>363</v>
      </c>
      <c r="K209" s="1">
        <v>105</v>
      </c>
      <c r="L209" s="1">
        <v>1999</v>
      </c>
      <c r="M209" s="1">
        <v>2006</v>
      </c>
      <c r="N209" s="1">
        <f t="shared" si="69"/>
        <v>2002.5</v>
      </c>
      <c r="O209" s="1">
        <f t="shared" si="70"/>
        <v>8</v>
      </c>
      <c r="P209" s="1">
        <f t="shared" si="78"/>
        <v>2.0794415416798357</v>
      </c>
      <c r="Q209" s="1">
        <v>59</v>
      </c>
      <c r="R209" s="1">
        <v>0</v>
      </c>
      <c r="S209" s="1" t="s">
        <v>27</v>
      </c>
      <c r="T209" s="1">
        <f t="shared" si="71"/>
        <v>0</v>
      </c>
      <c r="U209" s="1">
        <v>1</v>
      </c>
      <c r="V209" s="1">
        <v>1</v>
      </c>
      <c r="W209" s="1">
        <v>1</v>
      </c>
      <c r="X209" s="1">
        <v>0</v>
      </c>
      <c r="Y209" s="1">
        <v>1</v>
      </c>
      <c r="Z209" s="1">
        <v>0</v>
      </c>
      <c r="AA209" s="1">
        <v>0</v>
      </c>
      <c r="AB209" s="1" t="s">
        <v>85</v>
      </c>
      <c r="AC209" s="1">
        <f t="shared" si="77"/>
        <v>1</v>
      </c>
      <c r="AD209" s="1">
        <f t="shared" si="73"/>
        <v>1</v>
      </c>
      <c r="AE209" s="1">
        <v>0</v>
      </c>
      <c r="AF209" s="1">
        <v>7.6063879999999999</v>
      </c>
      <c r="AG209" s="1">
        <v>4.0943449999999997</v>
      </c>
      <c r="AH209" s="1">
        <f t="shared" si="79"/>
        <v>-0.30857648099027407</v>
      </c>
      <c r="AI209" s="1">
        <f t="shared" si="80"/>
        <v>-1.6193941144815451E-2</v>
      </c>
      <c r="AJ209" s="1">
        <f t="shared" si="74"/>
        <v>5.2479505543800223E-2</v>
      </c>
      <c r="AK209" s="1">
        <f t="shared" si="75"/>
        <v>363.09521944462034</v>
      </c>
      <c r="AL209" s="1">
        <f t="shared" si="76"/>
        <v>19.055057581771312</v>
      </c>
      <c r="AM209" s="1">
        <v>0</v>
      </c>
      <c r="AN209" s="1">
        <v>1</v>
      </c>
      <c r="AO209" s="1">
        <v>0</v>
      </c>
      <c r="AP209" s="1">
        <f t="shared" si="81"/>
        <v>5.2486388108147798E-2</v>
      </c>
      <c r="AQ209" s="1">
        <v>0</v>
      </c>
      <c r="AR209" s="1">
        <v>1</v>
      </c>
      <c r="AS209" s="1">
        <v>0</v>
      </c>
      <c r="AT209" s="1">
        <v>0</v>
      </c>
      <c r="AU209" s="4">
        <v>0</v>
      </c>
      <c r="AV209" s="4">
        <v>0</v>
      </c>
      <c r="AW209" s="1">
        <f t="shared" si="82"/>
        <v>9.5238095238095247E-3</v>
      </c>
      <c r="AX209" s="1">
        <f t="shared" si="83"/>
        <v>9.0702947845804991E-5</v>
      </c>
    </row>
    <row r="210" spans="1:50" x14ac:dyDescent="0.25">
      <c r="A210" s="1" t="s">
        <v>56</v>
      </c>
      <c r="B210" s="1">
        <v>2011</v>
      </c>
      <c r="C210" s="1">
        <f t="shared" si="84"/>
        <v>19</v>
      </c>
      <c r="D210" s="1" t="s">
        <v>24</v>
      </c>
      <c r="E210" s="1" t="s">
        <v>25</v>
      </c>
      <c r="F210" s="2">
        <v>0.1555</v>
      </c>
      <c r="G210" s="3">
        <v>0.11650000000000001</v>
      </c>
      <c r="H210" s="1">
        <v>12</v>
      </c>
      <c r="I210" s="1">
        <v>375</v>
      </c>
      <c r="J210" s="1">
        <f t="shared" si="72"/>
        <v>363</v>
      </c>
      <c r="K210" s="1">
        <v>105</v>
      </c>
      <c r="L210" s="1">
        <v>1999</v>
      </c>
      <c r="M210" s="1">
        <v>2006</v>
      </c>
      <c r="N210" s="1">
        <f t="shared" si="69"/>
        <v>2002.5</v>
      </c>
      <c r="O210" s="1">
        <f t="shared" si="70"/>
        <v>8</v>
      </c>
      <c r="P210" s="1">
        <f t="shared" si="78"/>
        <v>2.0794415416798357</v>
      </c>
      <c r="Q210" s="1">
        <v>59</v>
      </c>
      <c r="R210" s="1">
        <v>0</v>
      </c>
      <c r="S210" s="1" t="s">
        <v>27</v>
      </c>
      <c r="T210" s="1">
        <f t="shared" si="71"/>
        <v>0</v>
      </c>
      <c r="U210" s="1">
        <v>1</v>
      </c>
      <c r="V210" s="1">
        <v>1</v>
      </c>
      <c r="W210" s="1">
        <v>1</v>
      </c>
      <c r="X210" s="1">
        <v>0</v>
      </c>
      <c r="Y210" s="1">
        <v>1</v>
      </c>
      <c r="Z210" s="1">
        <v>0</v>
      </c>
      <c r="AA210" s="1">
        <v>0</v>
      </c>
      <c r="AB210" s="1" t="s">
        <v>85</v>
      </c>
      <c r="AC210" s="1">
        <f t="shared" si="77"/>
        <v>1</v>
      </c>
      <c r="AD210" s="1">
        <f t="shared" si="73"/>
        <v>1</v>
      </c>
      <c r="AE210" s="1">
        <v>0</v>
      </c>
      <c r="AF210" s="1">
        <v>7.6063879999999999</v>
      </c>
      <c r="AG210" s="1">
        <v>4.0943449999999997</v>
      </c>
      <c r="AH210" s="1">
        <f t="shared" si="79"/>
        <v>1.334763948497854</v>
      </c>
      <c r="AI210" s="1">
        <f t="shared" si="80"/>
        <v>6.9885650046946537E-2</v>
      </c>
      <c r="AJ210" s="1">
        <f t="shared" si="74"/>
        <v>5.2358059359931014E-2</v>
      </c>
      <c r="AK210" s="1">
        <f t="shared" si="75"/>
        <v>364.7815947982096</v>
      </c>
      <c r="AL210" s="1">
        <f t="shared" si="76"/>
        <v>19.099256393854962</v>
      </c>
      <c r="AM210" s="1">
        <v>0</v>
      </c>
      <c r="AN210" s="1">
        <v>1</v>
      </c>
      <c r="AO210" s="1">
        <v>0</v>
      </c>
      <c r="AP210" s="1">
        <f t="shared" si="81"/>
        <v>5.2486388108147798E-2</v>
      </c>
      <c r="AQ210" s="1">
        <v>0</v>
      </c>
      <c r="AR210" s="1">
        <v>1</v>
      </c>
      <c r="AS210" s="1">
        <v>0</v>
      </c>
      <c r="AT210" s="1">
        <v>0</v>
      </c>
      <c r="AU210" s="4">
        <v>1</v>
      </c>
      <c r="AV210" s="4">
        <v>0</v>
      </c>
      <c r="AW210" s="1">
        <f t="shared" si="82"/>
        <v>9.5238095238095247E-3</v>
      </c>
      <c r="AX210" s="1">
        <f t="shared" si="83"/>
        <v>9.0702947845804991E-5</v>
      </c>
    </row>
    <row r="211" spans="1:50" x14ac:dyDescent="0.25">
      <c r="A211" s="1" t="s">
        <v>56</v>
      </c>
      <c r="B211" s="1">
        <v>2011</v>
      </c>
      <c r="C211" s="1">
        <f t="shared" si="84"/>
        <v>19</v>
      </c>
      <c r="D211" s="1" t="s">
        <v>24</v>
      </c>
      <c r="E211" s="1" t="s">
        <v>25</v>
      </c>
      <c r="F211" s="2">
        <v>5.2499999999999998E-2</v>
      </c>
      <c r="G211" s="3">
        <v>7.0699999999999999E-2</v>
      </c>
      <c r="H211" s="1">
        <v>12</v>
      </c>
      <c r="I211" s="1">
        <v>375</v>
      </c>
      <c r="J211" s="1">
        <f t="shared" si="72"/>
        <v>363</v>
      </c>
      <c r="K211" s="1">
        <v>105</v>
      </c>
      <c r="L211" s="1">
        <v>1999</v>
      </c>
      <c r="M211" s="1">
        <v>2006</v>
      </c>
      <c r="N211" s="1">
        <f t="shared" si="69"/>
        <v>2002.5</v>
      </c>
      <c r="O211" s="1">
        <f t="shared" si="70"/>
        <v>8</v>
      </c>
      <c r="P211" s="1">
        <f t="shared" si="78"/>
        <v>2.0794415416798357</v>
      </c>
      <c r="Q211" s="1">
        <v>59</v>
      </c>
      <c r="R211" s="1">
        <v>0</v>
      </c>
      <c r="S211" s="1" t="s">
        <v>27</v>
      </c>
      <c r="T211" s="1">
        <f t="shared" si="71"/>
        <v>0</v>
      </c>
      <c r="U211" s="1">
        <v>1</v>
      </c>
      <c r="V211" s="1">
        <v>1</v>
      </c>
      <c r="W211" s="1">
        <v>1</v>
      </c>
      <c r="X211" s="1">
        <v>0</v>
      </c>
      <c r="Y211" s="1">
        <v>1</v>
      </c>
      <c r="Z211" s="1">
        <v>0</v>
      </c>
      <c r="AA211" s="1">
        <v>0</v>
      </c>
      <c r="AB211" s="1" t="s">
        <v>85</v>
      </c>
      <c r="AC211" s="1">
        <f t="shared" si="77"/>
        <v>1</v>
      </c>
      <c r="AD211" s="1">
        <f t="shared" si="73"/>
        <v>1</v>
      </c>
      <c r="AE211" s="1">
        <v>0</v>
      </c>
      <c r="AF211" s="1">
        <v>7.6063879999999999</v>
      </c>
      <c r="AG211" s="1">
        <v>4.0943449999999997</v>
      </c>
      <c r="AH211" s="1">
        <f t="shared" si="79"/>
        <v>0.74257425742574257</v>
      </c>
      <c r="AI211" s="1">
        <f t="shared" si="80"/>
        <v>3.8945471765943492E-2</v>
      </c>
      <c r="AJ211" s="1">
        <f t="shared" si="74"/>
        <v>5.2446568644803904E-2</v>
      </c>
      <c r="AK211" s="1">
        <f t="shared" si="75"/>
        <v>363.55141652779128</v>
      </c>
      <c r="AL211" s="1">
        <f t="shared" si="76"/>
        <v>19.067024322840499</v>
      </c>
      <c r="AM211" s="1">
        <v>0</v>
      </c>
      <c r="AN211" s="1">
        <v>1</v>
      </c>
      <c r="AO211" s="1">
        <v>0</v>
      </c>
      <c r="AP211" s="1">
        <f t="shared" si="81"/>
        <v>5.2486388108147798E-2</v>
      </c>
      <c r="AQ211" s="1">
        <v>0</v>
      </c>
      <c r="AR211" s="1">
        <v>1</v>
      </c>
      <c r="AS211" s="1">
        <v>0</v>
      </c>
      <c r="AT211" s="1">
        <v>0</v>
      </c>
      <c r="AU211" s="4">
        <v>0</v>
      </c>
      <c r="AV211" s="4">
        <v>1</v>
      </c>
      <c r="AW211" s="1">
        <f t="shared" si="82"/>
        <v>9.5238095238095247E-3</v>
      </c>
      <c r="AX211" s="1">
        <f t="shared" si="83"/>
        <v>9.0702947845804991E-5</v>
      </c>
    </row>
    <row r="212" spans="1:50" x14ac:dyDescent="0.25">
      <c r="A212" s="1" t="s">
        <v>56</v>
      </c>
      <c r="B212" s="1">
        <v>2011</v>
      </c>
      <c r="C212" s="1">
        <f t="shared" si="84"/>
        <v>19</v>
      </c>
      <c r="D212" s="1" t="s">
        <v>24</v>
      </c>
      <c r="E212" s="1" t="s">
        <v>25</v>
      </c>
      <c r="F212" s="2">
        <v>-8.4699999999999998E-2</v>
      </c>
      <c r="G212" s="3">
        <v>3.4099999999999998E-2</v>
      </c>
      <c r="H212" s="1">
        <v>12</v>
      </c>
      <c r="I212" s="1">
        <v>6399</v>
      </c>
      <c r="J212" s="1">
        <f t="shared" si="72"/>
        <v>6387</v>
      </c>
      <c r="K212" s="1">
        <v>105</v>
      </c>
      <c r="L212" s="1">
        <v>1991</v>
      </c>
      <c r="M212" s="1">
        <v>2006</v>
      </c>
      <c r="N212" s="1">
        <f t="shared" si="69"/>
        <v>1998.5</v>
      </c>
      <c r="O212" s="1">
        <f t="shared" si="70"/>
        <v>16</v>
      </c>
      <c r="P212" s="1">
        <f t="shared" si="78"/>
        <v>2.7725887222397811</v>
      </c>
      <c r="Q212" s="1">
        <v>59</v>
      </c>
      <c r="R212" s="1">
        <v>0</v>
      </c>
      <c r="S212" s="1" t="s">
        <v>27</v>
      </c>
      <c r="T212" s="1">
        <f t="shared" si="71"/>
        <v>0</v>
      </c>
      <c r="U212" s="1">
        <v>1</v>
      </c>
      <c r="V212" s="1">
        <v>1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 t="s">
        <v>85</v>
      </c>
      <c r="AC212" s="1">
        <f t="shared" si="77"/>
        <v>1</v>
      </c>
      <c r="AD212" s="1">
        <f t="shared" si="73"/>
        <v>1</v>
      </c>
      <c r="AE212" s="1">
        <v>0</v>
      </c>
      <c r="AF212" s="1">
        <v>7.6063879999999999</v>
      </c>
      <c r="AG212" s="1">
        <v>4.0943449999999997</v>
      </c>
      <c r="AH212" s="1">
        <f t="shared" si="79"/>
        <v>-2.4838709677419355</v>
      </c>
      <c r="AI212" s="1">
        <f t="shared" si="80"/>
        <v>-3.1064968529544261E-2</v>
      </c>
      <c r="AJ212" s="1">
        <f t="shared" si="74"/>
        <v>1.2506675641764572E-2</v>
      </c>
      <c r="AK212" s="1">
        <f t="shared" si="75"/>
        <v>6393.169614984391</v>
      </c>
      <c r="AL212" s="1">
        <f t="shared" si="76"/>
        <v>79.957298697394663</v>
      </c>
      <c r="AM212" s="1">
        <v>0</v>
      </c>
      <c r="AN212" s="1">
        <v>1</v>
      </c>
      <c r="AO212" s="1">
        <v>0</v>
      </c>
      <c r="AP212" s="1">
        <f t="shared" si="81"/>
        <v>1.2512714685811282E-2</v>
      </c>
      <c r="AQ212" s="1">
        <v>0</v>
      </c>
      <c r="AR212" s="1">
        <v>1</v>
      </c>
      <c r="AS212" s="1">
        <v>0</v>
      </c>
      <c r="AT212" s="1">
        <v>0</v>
      </c>
      <c r="AU212" s="4">
        <v>0</v>
      </c>
      <c r="AV212" s="4">
        <v>0</v>
      </c>
      <c r="AW212" s="1">
        <f t="shared" si="82"/>
        <v>9.5238095238095247E-3</v>
      </c>
      <c r="AX212" s="1">
        <f t="shared" si="83"/>
        <v>9.0702947845804991E-5</v>
      </c>
    </row>
    <row r="213" spans="1:50" x14ac:dyDescent="0.25">
      <c r="A213" s="1" t="s">
        <v>56</v>
      </c>
      <c r="B213" s="1">
        <v>2011</v>
      </c>
      <c r="C213" s="1">
        <f t="shared" si="84"/>
        <v>19</v>
      </c>
      <c r="D213" s="1" t="s">
        <v>24</v>
      </c>
      <c r="E213" s="1" t="s">
        <v>25</v>
      </c>
      <c r="F213" s="2">
        <v>2.6100000000000002E-2</v>
      </c>
      <c r="G213" s="3">
        <v>3.3500000000000002E-2</v>
      </c>
      <c r="H213" s="1">
        <v>12</v>
      </c>
      <c r="I213" s="1">
        <v>6399</v>
      </c>
      <c r="J213" s="1">
        <f t="shared" si="72"/>
        <v>6387</v>
      </c>
      <c r="K213" s="1">
        <v>105</v>
      </c>
      <c r="L213" s="1">
        <v>1991</v>
      </c>
      <c r="M213" s="1">
        <v>2006</v>
      </c>
      <c r="N213" s="1">
        <f t="shared" si="69"/>
        <v>1998.5</v>
      </c>
      <c r="O213" s="1">
        <f t="shared" si="70"/>
        <v>16</v>
      </c>
      <c r="P213" s="1">
        <f t="shared" si="78"/>
        <v>2.7725887222397811</v>
      </c>
      <c r="Q213" s="1">
        <v>59</v>
      </c>
      <c r="R213" s="1">
        <v>0</v>
      </c>
      <c r="S213" s="1" t="s">
        <v>27</v>
      </c>
      <c r="T213" s="1">
        <f t="shared" si="71"/>
        <v>0</v>
      </c>
      <c r="U213" s="1">
        <v>1</v>
      </c>
      <c r="V213" s="1">
        <v>1</v>
      </c>
      <c r="W213" s="1">
        <v>0</v>
      </c>
      <c r="X213" s="1">
        <v>0</v>
      </c>
      <c r="Y213" s="1">
        <v>1</v>
      </c>
      <c r="Z213" s="1">
        <v>0</v>
      </c>
      <c r="AA213" s="1">
        <v>0</v>
      </c>
      <c r="AB213" s="1" t="s">
        <v>85</v>
      </c>
      <c r="AC213" s="1">
        <f t="shared" si="77"/>
        <v>1</v>
      </c>
      <c r="AD213" s="1">
        <f t="shared" si="73"/>
        <v>1</v>
      </c>
      <c r="AE213" s="1">
        <v>0</v>
      </c>
      <c r="AF213" s="1">
        <v>7.6063879999999999</v>
      </c>
      <c r="AG213" s="1">
        <v>4.0943449999999997</v>
      </c>
      <c r="AH213" s="1">
        <f t="shared" si="79"/>
        <v>0.77910447761194035</v>
      </c>
      <c r="AI213" s="1">
        <f t="shared" si="80"/>
        <v>9.7482488257563671E-3</v>
      </c>
      <c r="AJ213" s="1">
        <f t="shared" si="74"/>
        <v>1.2512120140338631E-2</v>
      </c>
      <c r="AK213" s="1">
        <f t="shared" si="75"/>
        <v>6387.607003787035</v>
      </c>
      <c r="AL213" s="1">
        <f t="shared" si="76"/>
        <v>79.922506240651856</v>
      </c>
      <c r="AM213" s="1">
        <v>0</v>
      </c>
      <c r="AN213" s="1">
        <v>1</v>
      </c>
      <c r="AO213" s="1">
        <v>0</v>
      </c>
      <c r="AP213" s="1">
        <f t="shared" si="81"/>
        <v>1.2512714685811282E-2</v>
      </c>
      <c r="AQ213" s="1">
        <v>0</v>
      </c>
      <c r="AR213" s="1">
        <v>1</v>
      </c>
      <c r="AS213" s="1">
        <v>0</v>
      </c>
      <c r="AT213" s="1">
        <v>0</v>
      </c>
      <c r="AU213" s="4">
        <v>1</v>
      </c>
      <c r="AV213" s="4">
        <v>0</v>
      </c>
      <c r="AW213" s="1">
        <f t="shared" si="82"/>
        <v>9.5238095238095247E-3</v>
      </c>
      <c r="AX213" s="1">
        <f t="shared" si="83"/>
        <v>9.0702947845804991E-5</v>
      </c>
    </row>
    <row r="214" spans="1:50" x14ac:dyDescent="0.25">
      <c r="A214" s="1" t="s">
        <v>56</v>
      </c>
      <c r="B214" s="1">
        <v>2011</v>
      </c>
      <c r="C214" s="1">
        <f t="shared" si="84"/>
        <v>19</v>
      </c>
      <c r="D214" s="1" t="s">
        <v>24</v>
      </c>
      <c r="E214" s="1" t="s">
        <v>25</v>
      </c>
      <c r="F214" s="2">
        <v>8.3000000000000001E-3</v>
      </c>
      <c r="G214" s="3">
        <v>2.7400000000000001E-2</v>
      </c>
      <c r="H214" s="1">
        <v>12</v>
      </c>
      <c r="I214" s="1">
        <v>6399</v>
      </c>
      <c r="J214" s="1">
        <f t="shared" si="72"/>
        <v>6387</v>
      </c>
      <c r="K214" s="1">
        <v>105</v>
      </c>
      <c r="L214" s="1">
        <v>1991</v>
      </c>
      <c r="M214" s="1">
        <v>2006</v>
      </c>
      <c r="N214" s="1">
        <f t="shared" si="69"/>
        <v>1998.5</v>
      </c>
      <c r="O214" s="1">
        <f t="shared" si="70"/>
        <v>16</v>
      </c>
      <c r="P214" s="1">
        <f t="shared" si="78"/>
        <v>2.7725887222397811</v>
      </c>
      <c r="Q214" s="1">
        <v>59</v>
      </c>
      <c r="R214" s="1">
        <v>0</v>
      </c>
      <c r="S214" s="1" t="s">
        <v>27</v>
      </c>
      <c r="T214" s="1">
        <f t="shared" si="71"/>
        <v>0</v>
      </c>
      <c r="U214" s="1">
        <v>1</v>
      </c>
      <c r="V214" s="1">
        <v>1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 t="s">
        <v>85</v>
      </c>
      <c r="AC214" s="1">
        <f t="shared" si="77"/>
        <v>1</v>
      </c>
      <c r="AD214" s="1">
        <f t="shared" si="73"/>
        <v>1</v>
      </c>
      <c r="AE214" s="1">
        <v>0</v>
      </c>
      <c r="AF214" s="1">
        <v>7.6063879999999999</v>
      </c>
      <c r="AG214" s="1">
        <v>4.0943449999999997</v>
      </c>
      <c r="AH214" s="1">
        <f t="shared" si="79"/>
        <v>0.3029197080291971</v>
      </c>
      <c r="AI214" s="1">
        <f t="shared" si="80"/>
        <v>3.7903206521063266E-3</v>
      </c>
      <c r="AJ214" s="1">
        <f t="shared" si="74"/>
        <v>1.2512624803338958E-2</v>
      </c>
      <c r="AK214" s="1">
        <f t="shared" si="75"/>
        <v>6387.0917603495118</v>
      </c>
      <c r="AL214" s="1">
        <f t="shared" si="76"/>
        <v>79.919282781751193</v>
      </c>
      <c r="AM214" s="1">
        <v>0</v>
      </c>
      <c r="AN214" s="1">
        <v>1</v>
      </c>
      <c r="AO214" s="1">
        <v>0</v>
      </c>
      <c r="AP214" s="1">
        <f t="shared" si="81"/>
        <v>1.2512714685811282E-2</v>
      </c>
      <c r="AQ214" s="1">
        <v>0</v>
      </c>
      <c r="AR214" s="1">
        <v>1</v>
      </c>
      <c r="AS214" s="1">
        <v>0</v>
      </c>
      <c r="AT214" s="1">
        <v>0</v>
      </c>
      <c r="AU214" s="4">
        <v>0</v>
      </c>
      <c r="AV214" s="4">
        <v>1</v>
      </c>
      <c r="AW214" s="1">
        <f t="shared" si="82"/>
        <v>9.5238095238095247E-3</v>
      </c>
      <c r="AX214" s="1">
        <f t="shared" si="83"/>
        <v>9.0702947845804991E-5</v>
      </c>
    </row>
    <row r="215" spans="1:50" x14ac:dyDescent="0.25">
      <c r="A215" s="1" t="s">
        <v>56</v>
      </c>
      <c r="B215" s="1">
        <v>2011</v>
      </c>
      <c r="C215" s="1">
        <f t="shared" si="84"/>
        <v>19</v>
      </c>
      <c r="D215" s="1" t="s">
        <v>24</v>
      </c>
      <c r="E215" s="1" t="s">
        <v>25</v>
      </c>
      <c r="F215" s="2">
        <v>-8.1299999999999997E-2</v>
      </c>
      <c r="G215" s="3">
        <v>4.87E-2</v>
      </c>
      <c r="H215" s="1">
        <v>12</v>
      </c>
      <c r="I215" s="1">
        <v>6509</v>
      </c>
      <c r="J215" s="1">
        <f t="shared" si="72"/>
        <v>6497</v>
      </c>
      <c r="K215" s="1">
        <v>105</v>
      </c>
      <c r="L215" s="1">
        <v>1991</v>
      </c>
      <c r="M215" s="1">
        <v>2006</v>
      </c>
      <c r="N215" s="1">
        <f t="shared" si="69"/>
        <v>1998.5</v>
      </c>
      <c r="O215" s="1">
        <f t="shared" si="70"/>
        <v>16</v>
      </c>
      <c r="P215" s="1">
        <f t="shared" si="78"/>
        <v>2.7725887222397811</v>
      </c>
      <c r="Q215" s="1">
        <v>59</v>
      </c>
      <c r="R215" s="1">
        <v>0</v>
      </c>
      <c r="S215" s="1" t="s">
        <v>27</v>
      </c>
      <c r="T215" s="1">
        <f t="shared" si="71"/>
        <v>0</v>
      </c>
      <c r="U215" s="1">
        <v>1</v>
      </c>
      <c r="V215" s="1">
        <v>1</v>
      </c>
      <c r="W215" s="1">
        <v>0</v>
      </c>
      <c r="X215" s="1">
        <v>0</v>
      </c>
      <c r="Y215" s="1">
        <v>1</v>
      </c>
      <c r="Z215" s="1">
        <v>0</v>
      </c>
      <c r="AA215" s="1">
        <v>0</v>
      </c>
      <c r="AB215" s="1" t="s">
        <v>85</v>
      </c>
      <c r="AC215" s="1">
        <f t="shared" si="77"/>
        <v>1</v>
      </c>
      <c r="AD215" s="1">
        <f t="shared" si="73"/>
        <v>1</v>
      </c>
      <c r="AE215" s="1">
        <v>0</v>
      </c>
      <c r="AF215" s="1">
        <v>7.6063879999999999</v>
      </c>
      <c r="AG215" s="1">
        <v>4.0943449999999997</v>
      </c>
      <c r="AH215" s="1">
        <f t="shared" si="79"/>
        <v>-1.6694045174537988</v>
      </c>
      <c r="AI215" s="1">
        <f t="shared" si="80"/>
        <v>-2.0706754040479523E-2</v>
      </c>
      <c r="AJ215" s="1">
        <f t="shared" si="74"/>
        <v>1.2403676774555384E-2</v>
      </c>
      <c r="AK215" s="1">
        <f t="shared" si="75"/>
        <v>6499.7869114428941</v>
      </c>
      <c r="AL215" s="1">
        <f t="shared" si="76"/>
        <v>80.621255953023294</v>
      </c>
      <c r="AM215" s="1">
        <v>0</v>
      </c>
      <c r="AN215" s="1">
        <v>1</v>
      </c>
      <c r="AO215" s="1">
        <v>0</v>
      </c>
      <c r="AP215" s="1">
        <f t="shared" si="81"/>
        <v>1.2406336790141073E-2</v>
      </c>
      <c r="AQ215" s="1">
        <v>0</v>
      </c>
      <c r="AR215" s="1">
        <v>1</v>
      </c>
      <c r="AS215" s="1">
        <v>0</v>
      </c>
      <c r="AT215" s="1">
        <v>0</v>
      </c>
      <c r="AU215" s="4">
        <v>0</v>
      </c>
      <c r="AV215" s="4">
        <v>0</v>
      </c>
      <c r="AW215" s="1">
        <f t="shared" si="82"/>
        <v>9.5238095238095247E-3</v>
      </c>
      <c r="AX215" s="1">
        <f t="shared" si="83"/>
        <v>9.0702947845804991E-5</v>
      </c>
    </row>
    <row r="216" spans="1:50" x14ac:dyDescent="0.25">
      <c r="A216" s="1" t="s">
        <v>56</v>
      </c>
      <c r="B216" s="1">
        <v>2011</v>
      </c>
      <c r="C216" s="1">
        <f t="shared" si="84"/>
        <v>19</v>
      </c>
      <c r="D216" s="1" t="s">
        <v>24</v>
      </c>
      <c r="E216" s="1" t="s">
        <v>25</v>
      </c>
      <c r="F216" s="2">
        <v>5.5899999999999998E-2</v>
      </c>
      <c r="G216" s="3">
        <v>4.8000000000000001E-2</v>
      </c>
      <c r="H216" s="1">
        <v>12</v>
      </c>
      <c r="I216" s="1">
        <v>6509</v>
      </c>
      <c r="J216" s="1">
        <f t="shared" si="72"/>
        <v>6497</v>
      </c>
      <c r="K216" s="1">
        <v>105</v>
      </c>
      <c r="L216" s="1">
        <v>1991</v>
      </c>
      <c r="M216" s="1">
        <v>2006</v>
      </c>
      <c r="N216" s="1">
        <f t="shared" si="69"/>
        <v>1998.5</v>
      </c>
      <c r="O216" s="1">
        <f t="shared" si="70"/>
        <v>16</v>
      </c>
      <c r="P216" s="1">
        <f t="shared" si="78"/>
        <v>2.7725887222397811</v>
      </c>
      <c r="Q216" s="1">
        <v>59</v>
      </c>
      <c r="R216" s="1">
        <v>0</v>
      </c>
      <c r="S216" s="1" t="s">
        <v>27</v>
      </c>
      <c r="T216" s="1">
        <f t="shared" si="71"/>
        <v>0</v>
      </c>
      <c r="U216" s="1">
        <v>1</v>
      </c>
      <c r="V216" s="1">
        <v>1</v>
      </c>
      <c r="W216" s="1">
        <v>0</v>
      </c>
      <c r="X216" s="1">
        <v>0</v>
      </c>
      <c r="Y216" s="1">
        <v>1</v>
      </c>
      <c r="Z216" s="1">
        <v>0</v>
      </c>
      <c r="AA216" s="1">
        <v>0</v>
      </c>
      <c r="AB216" s="1" t="s">
        <v>85</v>
      </c>
      <c r="AC216" s="1">
        <f t="shared" si="77"/>
        <v>1</v>
      </c>
      <c r="AD216" s="1">
        <f t="shared" si="73"/>
        <v>1</v>
      </c>
      <c r="AE216" s="1">
        <v>0</v>
      </c>
      <c r="AF216" s="1">
        <v>7.6063879999999999</v>
      </c>
      <c r="AG216" s="1">
        <v>4.0943449999999997</v>
      </c>
      <c r="AH216" s="1">
        <f t="shared" si="79"/>
        <v>1.1645833333333333</v>
      </c>
      <c r="AI216" s="1">
        <f t="shared" si="80"/>
        <v>1.4446705251127265E-2</v>
      </c>
      <c r="AJ216" s="1">
        <f t="shared" si="74"/>
        <v>1.2405042076102124E-2</v>
      </c>
      <c r="AK216" s="1">
        <f t="shared" si="75"/>
        <v>6498.3562543402777</v>
      </c>
      <c r="AL216" s="1">
        <f t="shared" si="76"/>
        <v>80.612382760592538</v>
      </c>
      <c r="AM216" s="1">
        <v>0</v>
      </c>
      <c r="AN216" s="1">
        <v>1</v>
      </c>
      <c r="AO216" s="1">
        <v>0</v>
      </c>
      <c r="AP216" s="1">
        <f t="shared" si="81"/>
        <v>1.2406336790141073E-2</v>
      </c>
      <c r="AQ216" s="1">
        <v>0</v>
      </c>
      <c r="AR216" s="1">
        <v>1</v>
      </c>
      <c r="AS216" s="1">
        <v>0</v>
      </c>
      <c r="AT216" s="1">
        <v>0</v>
      </c>
      <c r="AU216" s="4">
        <v>1</v>
      </c>
      <c r="AV216" s="4">
        <v>0</v>
      </c>
      <c r="AW216" s="1">
        <f t="shared" si="82"/>
        <v>9.5238095238095247E-3</v>
      </c>
      <c r="AX216" s="1">
        <f t="shared" si="83"/>
        <v>9.0702947845804991E-5</v>
      </c>
    </row>
    <row r="217" spans="1:50" x14ac:dyDescent="0.25">
      <c r="A217" s="1" t="s">
        <v>56</v>
      </c>
      <c r="B217" s="1">
        <v>2011</v>
      </c>
      <c r="C217" s="1">
        <f t="shared" si="84"/>
        <v>19</v>
      </c>
      <c r="D217" s="1" t="s">
        <v>24</v>
      </c>
      <c r="E217" s="1" t="s">
        <v>25</v>
      </c>
      <c r="F217" s="2">
        <v>-7.7999999999999996E-3</v>
      </c>
      <c r="G217" s="3">
        <v>3.5400000000000001E-2</v>
      </c>
      <c r="H217" s="1">
        <v>12</v>
      </c>
      <c r="I217" s="1">
        <v>6509</v>
      </c>
      <c r="J217" s="1">
        <f t="shared" si="72"/>
        <v>6497</v>
      </c>
      <c r="K217" s="1">
        <v>105</v>
      </c>
      <c r="L217" s="1">
        <v>1991</v>
      </c>
      <c r="M217" s="1">
        <v>2006</v>
      </c>
      <c r="N217" s="1">
        <f t="shared" si="69"/>
        <v>1998.5</v>
      </c>
      <c r="O217" s="1">
        <f t="shared" si="70"/>
        <v>16</v>
      </c>
      <c r="P217" s="1">
        <f t="shared" si="78"/>
        <v>2.7725887222397811</v>
      </c>
      <c r="Q217" s="1">
        <v>59</v>
      </c>
      <c r="R217" s="1">
        <v>0</v>
      </c>
      <c r="S217" s="1" t="s">
        <v>27</v>
      </c>
      <c r="T217" s="1">
        <f t="shared" si="71"/>
        <v>0</v>
      </c>
      <c r="U217" s="1">
        <v>1</v>
      </c>
      <c r="V217" s="1">
        <v>1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 t="s">
        <v>85</v>
      </c>
      <c r="AC217" s="1">
        <f t="shared" si="77"/>
        <v>1</v>
      </c>
      <c r="AD217" s="1">
        <f t="shared" si="73"/>
        <v>1</v>
      </c>
      <c r="AE217" s="1">
        <v>0</v>
      </c>
      <c r="AF217" s="1">
        <v>7.6063879999999999</v>
      </c>
      <c r="AG217" s="1">
        <v>4.0943449999999997</v>
      </c>
      <c r="AH217" s="1">
        <f t="shared" si="79"/>
        <v>-0.22033898305084745</v>
      </c>
      <c r="AI217" s="1">
        <f t="shared" si="80"/>
        <v>-2.733589418280113E-3</v>
      </c>
      <c r="AJ217" s="1">
        <f t="shared" si="74"/>
        <v>1.2406290436809743E-2</v>
      </c>
      <c r="AK217" s="1">
        <f t="shared" si="75"/>
        <v>6497.0485492674516</v>
      </c>
      <c r="AL217" s="1">
        <f t="shared" si="76"/>
        <v>80.604271284265394</v>
      </c>
      <c r="AM217" s="1">
        <v>0</v>
      </c>
      <c r="AN217" s="1">
        <v>1</v>
      </c>
      <c r="AO217" s="1">
        <v>0</v>
      </c>
      <c r="AP217" s="1">
        <f t="shared" si="81"/>
        <v>1.2406336790141073E-2</v>
      </c>
      <c r="AQ217" s="1">
        <v>0</v>
      </c>
      <c r="AR217" s="1">
        <v>1</v>
      </c>
      <c r="AS217" s="1">
        <v>0</v>
      </c>
      <c r="AT217" s="1">
        <v>0</v>
      </c>
      <c r="AU217" s="4">
        <v>0</v>
      </c>
      <c r="AV217" s="4">
        <v>1</v>
      </c>
      <c r="AW217" s="1">
        <f t="shared" si="82"/>
        <v>9.5238095238095247E-3</v>
      </c>
      <c r="AX217" s="1">
        <f t="shared" si="83"/>
        <v>9.0702947845804991E-5</v>
      </c>
    </row>
    <row r="218" spans="1:50" x14ac:dyDescent="0.25">
      <c r="A218" s="1" t="s">
        <v>56</v>
      </c>
      <c r="B218" s="1">
        <v>2011</v>
      </c>
      <c r="C218" s="1">
        <f t="shared" si="84"/>
        <v>19</v>
      </c>
      <c r="D218" s="1" t="s">
        <v>24</v>
      </c>
      <c r="E218" s="1" t="s">
        <v>25</v>
      </c>
      <c r="F218" s="2">
        <v>-0.10589999999999999</v>
      </c>
      <c r="G218" s="3">
        <v>0.1082</v>
      </c>
      <c r="H218" s="1">
        <v>12</v>
      </c>
      <c r="I218" s="1">
        <v>3746</v>
      </c>
      <c r="J218" s="1">
        <f t="shared" si="72"/>
        <v>3734</v>
      </c>
      <c r="K218" s="1">
        <v>105</v>
      </c>
      <c r="L218" s="1">
        <v>1999</v>
      </c>
      <c r="M218" s="1">
        <v>2006</v>
      </c>
      <c r="N218" s="1">
        <f t="shared" si="69"/>
        <v>2002.5</v>
      </c>
      <c r="O218" s="1">
        <f t="shared" si="70"/>
        <v>8</v>
      </c>
      <c r="P218" s="1">
        <f t="shared" si="78"/>
        <v>2.0794415416798357</v>
      </c>
      <c r="Q218" s="1">
        <v>59</v>
      </c>
      <c r="R218" s="1">
        <v>0</v>
      </c>
      <c r="S218" s="1" t="s">
        <v>27</v>
      </c>
      <c r="T218" s="1">
        <f t="shared" si="71"/>
        <v>0</v>
      </c>
      <c r="U218" s="1">
        <v>1</v>
      </c>
      <c r="V218" s="1">
        <v>1</v>
      </c>
      <c r="W218" s="1">
        <v>1</v>
      </c>
      <c r="X218" s="1">
        <v>0</v>
      </c>
      <c r="Y218" s="1">
        <v>1</v>
      </c>
      <c r="Z218" s="1">
        <v>0</v>
      </c>
      <c r="AA218" s="1">
        <v>0</v>
      </c>
      <c r="AB218" s="1" t="s">
        <v>85</v>
      </c>
      <c r="AC218" s="1">
        <f t="shared" si="77"/>
        <v>1</v>
      </c>
      <c r="AD218" s="1">
        <f t="shared" si="73"/>
        <v>1</v>
      </c>
      <c r="AE218" s="1">
        <v>0</v>
      </c>
      <c r="AF218" s="1">
        <v>7.6063879999999999</v>
      </c>
      <c r="AG218" s="1">
        <v>4.0943449999999997</v>
      </c>
      <c r="AH218" s="1">
        <f t="shared" si="79"/>
        <v>-0.97874306839186687</v>
      </c>
      <c r="AI218" s="1">
        <f t="shared" si="80"/>
        <v>-1.6014959388491921E-2</v>
      </c>
      <c r="AJ218" s="1">
        <f t="shared" si="74"/>
        <v>1.6362781924785894E-2</v>
      </c>
      <c r="AK218" s="1">
        <f t="shared" si="75"/>
        <v>3734.9579379939246</v>
      </c>
      <c r="AL218" s="1">
        <f t="shared" si="76"/>
        <v>61.114302237642576</v>
      </c>
      <c r="AM218" s="1">
        <v>0</v>
      </c>
      <c r="AN218" s="1">
        <v>1</v>
      </c>
      <c r="AO218" s="1">
        <v>0</v>
      </c>
      <c r="AP218" s="1">
        <f t="shared" si="81"/>
        <v>1.636488068286255E-2</v>
      </c>
      <c r="AQ218" s="1">
        <v>0</v>
      </c>
      <c r="AR218" s="1">
        <v>1</v>
      </c>
      <c r="AS218" s="1">
        <v>0</v>
      </c>
      <c r="AT218" s="1">
        <v>0</v>
      </c>
      <c r="AU218" s="4">
        <v>0</v>
      </c>
      <c r="AV218" s="4">
        <v>0</v>
      </c>
      <c r="AW218" s="1">
        <f t="shared" si="82"/>
        <v>9.5238095238095247E-3</v>
      </c>
      <c r="AX218" s="1">
        <f t="shared" si="83"/>
        <v>9.0702947845804991E-5</v>
      </c>
    </row>
    <row r="219" spans="1:50" x14ac:dyDescent="0.25">
      <c r="A219" s="1" t="s">
        <v>56</v>
      </c>
      <c r="B219" s="1">
        <v>2011</v>
      </c>
      <c r="C219" s="1">
        <f t="shared" si="84"/>
        <v>19</v>
      </c>
      <c r="D219" s="1" t="s">
        <v>24</v>
      </c>
      <c r="E219" s="1" t="s">
        <v>25</v>
      </c>
      <c r="F219" s="2">
        <v>0.15490000000000001</v>
      </c>
      <c r="G219" s="3">
        <v>0.1167</v>
      </c>
      <c r="H219" s="1">
        <v>12</v>
      </c>
      <c r="I219" s="1">
        <v>3746</v>
      </c>
      <c r="J219" s="1">
        <f t="shared" si="72"/>
        <v>3734</v>
      </c>
      <c r="K219" s="1">
        <v>105</v>
      </c>
      <c r="L219" s="1">
        <v>1999</v>
      </c>
      <c r="M219" s="1">
        <v>2006</v>
      </c>
      <c r="N219" s="1">
        <f t="shared" si="69"/>
        <v>2002.5</v>
      </c>
      <c r="O219" s="1">
        <f t="shared" si="70"/>
        <v>8</v>
      </c>
      <c r="P219" s="1">
        <f t="shared" si="78"/>
        <v>2.0794415416798357</v>
      </c>
      <c r="Q219" s="1">
        <v>59</v>
      </c>
      <c r="R219" s="1">
        <v>0</v>
      </c>
      <c r="S219" s="1" t="s">
        <v>27</v>
      </c>
      <c r="T219" s="1">
        <f t="shared" si="71"/>
        <v>0</v>
      </c>
      <c r="U219" s="1">
        <v>1</v>
      </c>
      <c r="V219" s="1">
        <v>1</v>
      </c>
      <c r="W219" s="1">
        <v>1</v>
      </c>
      <c r="X219" s="1">
        <v>0</v>
      </c>
      <c r="Y219" s="1">
        <v>1</v>
      </c>
      <c r="Z219" s="1">
        <v>0</v>
      </c>
      <c r="AA219" s="1">
        <v>0</v>
      </c>
      <c r="AB219" s="1" t="s">
        <v>85</v>
      </c>
      <c r="AC219" s="1">
        <f t="shared" si="77"/>
        <v>1</v>
      </c>
      <c r="AD219" s="1">
        <f t="shared" si="73"/>
        <v>1</v>
      </c>
      <c r="AE219" s="1">
        <v>0</v>
      </c>
      <c r="AF219" s="1">
        <v>7.6063879999999999</v>
      </c>
      <c r="AG219" s="1">
        <v>4.0943449999999997</v>
      </c>
      <c r="AH219" s="1">
        <f t="shared" si="79"/>
        <v>1.3273350471293917</v>
      </c>
      <c r="AI219" s="1">
        <f t="shared" si="80"/>
        <v>2.1716557000245745E-2</v>
      </c>
      <c r="AJ219" s="1">
        <f t="shared" si="74"/>
        <v>1.6361021316518259E-2</v>
      </c>
      <c r="AK219" s="1">
        <f t="shared" si="75"/>
        <v>3735.7618183273371</v>
      </c>
      <c r="AL219" s="1">
        <f t="shared" si="76"/>
        <v>61.120878743088582</v>
      </c>
      <c r="AM219" s="1">
        <v>0</v>
      </c>
      <c r="AN219" s="1">
        <v>1</v>
      </c>
      <c r="AO219" s="1">
        <v>0</v>
      </c>
      <c r="AP219" s="1">
        <f t="shared" si="81"/>
        <v>1.636488068286255E-2</v>
      </c>
      <c r="AQ219" s="1">
        <v>0</v>
      </c>
      <c r="AR219" s="1">
        <v>1</v>
      </c>
      <c r="AS219" s="1">
        <v>0</v>
      </c>
      <c r="AT219" s="1">
        <v>0</v>
      </c>
      <c r="AU219" s="4">
        <v>1</v>
      </c>
      <c r="AV219" s="4">
        <v>0</v>
      </c>
      <c r="AW219" s="1">
        <f t="shared" si="82"/>
        <v>9.5238095238095247E-3</v>
      </c>
      <c r="AX219" s="1">
        <f t="shared" si="83"/>
        <v>9.0702947845804991E-5</v>
      </c>
    </row>
    <row r="220" spans="1:50" x14ac:dyDescent="0.25">
      <c r="A220" s="1" t="s">
        <v>56</v>
      </c>
      <c r="B220" s="1">
        <v>2011</v>
      </c>
      <c r="C220" s="1">
        <f t="shared" si="84"/>
        <v>19</v>
      </c>
      <c r="D220" s="1" t="s">
        <v>24</v>
      </c>
      <c r="E220" s="1" t="s">
        <v>25</v>
      </c>
      <c r="F220" s="2">
        <v>3.9100000000000003E-2</v>
      </c>
      <c r="G220" s="3">
        <v>6.8699999999999997E-2</v>
      </c>
      <c r="H220" s="1">
        <v>12</v>
      </c>
      <c r="I220" s="1">
        <v>3746</v>
      </c>
      <c r="J220" s="1">
        <f t="shared" si="72"/>
        <v>3734</v>
      </c>
      <c r="K220" s="1">
        <v>105</v>
      </c>
      <c r="L220" s="1">
        <v>1999</v>
      </c>
      <c r="M220" s="1">
        <v>2006</v>
      </c>
      <c r="N220" s="1">
        <f t="shared" ref="N220" si="85">+L220+(M220-L220)/2</f>
        <v>2002.5</v>
      </c>
      <c r="O220" s="1">
        <f t="shared" ref="O220" si="86">+M220-L220+1</f>
        <v>8</v>
      </c>
      <c r="P220" s="1">
        <f t="shared" si="78"/>
        <v>2.0794415416798357</v>
      </c>
      <c r="Q220" s="1">
        <v>59</v>
      </c>
      <c r="R220" s="1">
        <v>0</v>
      </c>
      <c r="S220" s="1" t="s">
        <v>27</v>
      </c>
      <c r="T220" s="1">
        <f t="shared" si="71"/>
        <v>0</v>
      </c>
      <c r="U220" s="1">
        <v>1</v>
      </c>
      <c r="V220" s="1">
        <v>1</v>
      </c>
      <c r="W220" s="1">
        <v>1</v>
      </c>
      <c r="X220" s="1">
        <v>0</v>
      </c>
      <c r="Y220" s="1">
        <v>1</v>
      </c>
      <c r="Z220" s="1">
        <v>0</v>
      </c>
      <c r="AA220" s="1">
        <v>0</v>
      </c>
      <c r="AB220" s="1" t="s">
        <v>85</v>
      </c>
      <c r="AC220" s="1">
        <f t="shared" si="77"/>
        <v>1</v>
      </c>
      <c r="AD220" s="1">
        <f t="shared" si="73"/>
        <v>1</v>
      </c>
      <c r="AE220" s="1">
        <v>0</v>
      </c>
      <c r="AF220" s="1">
        <v>7.6063879999999999</v>
      </c>
      <c r="AG220" s="1">
        <v>4.0943449999999997</v>
      </c>
      <c r="AH220" s="1">
        <f t="shared" si="79"/>
        <v>0.5691411935953421</v>
      </c>
      <c r="AI220" s="1">
        <f t="shared" si="80"/>
        <v>9.3135237630513172E-3</v>
      </c>
      <c r="AJ220" s="1">
        <f t="shared" si="74"/>
        <v>1.6364170908481468E-2</v>
      </c>
      <c r="AK220" s="1">
        <f t="shared" si="75"/>
        <v>3734.3239216982474</v>
      </c>
      <c r="AL220" s="1">
        <f t="shared" si="76"/>
        <v>61.109114882300879</v>
      </c>
      <c r="AM220" s="1">
        <v>0</v>
      </c>
      <c r="AN220" s="1">
        <v>1</v>
      </c>
      <c r="AO220" s="1">
        <v>0</v>
      </c>
      <c r="AP220" s="1">
        <f t="shared" si="81"/>
        <v>1.636488068286255E-2</v>
      </c>
      <c r="AQ220" s="1">
        <v>0</v>
      </c>
      <c r="AR220" s="1">
        <v>1</v>
      </c>
      <c r="AS220" s="1">
        <v>0</v>
      </c>
      <c r="AT220" s="1">
        <v>0</v>
      </c>
      <c r="AU220" s="4">
        <v>0</v>
      </c>
      <c r="AV220" s="4">
        <v>1</v>
      </c>
      <c r="AW220" s="1">
        <f t="shared" si="82"/>
        <v>9.5238095238095247E-3</v>
      </c>
      <c r="AX220" s="1">
        <f t="shared" si="83"/>
        <v>9.0702947845804991E-5</v>
      </c>
    </row>
    <row r="221" spans="1:50" x14ac:dyDescent="0.25">
      <c r="A221" s="1" t="s">
        <v>56</v>
      </c>
      <c r="B221" s="1">
        <v>2011</v>
      </c>
      <c r="C221" s="1">
        <f t="shared" si="84"/>
        <v>19</v>
      </c>
      <c r="D221" s="1" t="s">
        <v>24</v>
      </c>
      <c r="E221" s="1" t="s">
        <v>25</v>
      </c>
      <c r="F221" s="2">
        <v>-0.43759999999999999</v>
      </c>
      <c r="G221" s="3">
        <v>0.18740000000000001</v>
      </c>
      <c r="H221" s="1">
        <v>8</v>
      </c>
      <c r="I221" s="1">
        <v>739</v>
      </c>
      <c r="J221" s="1">
        <f t="shared" si="72"/>
        <v>731</v>
      </c>
      <c r="K221" s="1">
        <v>105</v>
      </c>
      <c r="L221" s="1">
        <v>1999</v>
      </c>
      <c r="M221" s="1">
        <v>2006</v>
      </c>
      <c r="N221" s="1">
        <f t="shared" ref="N221:N244" si="87">+L221+(M221-L221)/2</f>
        <v>2002.5</v>
      </c>
      <c r="O221" s="1">
        <f t="shared" ref="O221:O244" si="88">+M221-L221+1</f>
        <v>8</v>
      </c>
      <c r="P221" s="1">
        <f t="shared" si="78"/>
        <v>2.0794415416798357</v>
      </c>
      <c r="Q221" s="1">
        <v>59</v>
      </c>
      <c r="R221" s="1">
        <v>0</v>
      </c>
      <c r="S221" s="1" t="s">
        <v>27</v>
      </c>
      <c r="T221" s="1">
        <f t="shared" si="71"/>
        <v>0</v>
      </c>
      <c r="U221" s="1">
        <v>1</v>
      </c>
      <c r="V221" s="1">
        <v>1</v>
      </c>
      <c r="W221" s="1">
        <v>1</v>
      </c>
      <c r="X221" s="1">
        <v>0</v>
      </c>
      <c r="Y221" s="1">
        <v>1</v>
      </c>
      <c r="Z221" s="1">
        <v>0</v>
      </c>
      <c r="AA221" s="1">
        <v>0</v>
      </c>
      <c r="AB221" s="1" t="s">
        <v>85</v>
      </c>
      <c r="AC221" s="1">
        <f t="shared" si="77"/>
        <v>1</v>
      </c>
      <c r="AD221" s="1">
        <f t="shared" si="73"/>
        <v>1</v>
      </c>
      <c r="AE221" s="1">
        <v>0</v>
      </c>
      <c r="AF221" s="1">
        <v>7.6063879999999999</v>
      </c>
      <c r="AG221" s="1">
        <v>4.0943449999999997</v>
      </c>
      <c r="AH221" s="1">
        <f t="shared" si="79"/>
        <v>-2.335112059765208</v>
      </c>
      <c r="AI221" s="1">
        <f t="shared" si="80"/>
        <v>-8.6046910794319892E-2</v>
      </c>
      <c r="AJ221" s="1">
        <f t="shared" si="74"/>
        <v>3.6849156953509023E-2</v>
      </c>
      <c r="AK221" s="1">
        <f t="shared" si="75"/>
        <v>736.45274833166093</v>
      </c>
      <c r="AL221" s="1">
        <f t="shared" si="76"/>
        <v>27.137662912116454</v>
      </c>
      <c r="AM221" s="1">
        <v>0</v>
      </c>
      <c r="AN221" s="1">
        <v>1</v>
      </c>
      <c r="AO221" s="1">
        <v>0</v>
      </c>
      <c r="AP221" s="1">
        <f t="shared" si="81"/>
        <v>3.6986336072765455E-2</v>
      </c>
      <c r="AQ221" s="1">
        <v>0</v>
      </c>
      <c r="AR221" s="1">
        <v>1</v>
      </c>
      <c r="AS221" s="1">
        <v>0</v>
      </c>
      <c r="AT221" s="1">
        <v>0</v>
      </c>
      <c r="AU221" s="4">
        <v>0</v>
      </c>
      <c r="AV221" s="4">
        <v>0</v>
      </c>
      <c r="AW221" s="1">
        <f t="shared" si="82"/>
        <v>9.5238095238095247E-3</v>
      </c>
      <c r="AX221" s="1">
        <f t="shared" si="83"/>
        <v>9.0702947845804991E-5</v>
      </c>
    </row>
    <row r="222" spans="1:50" x14ac:dyDescent="0.25">
      <c r="A222" s="1" t="s">
        <v>56</v>
      </c>
      <c r="B222" s="1">
        <v>2011</v>
      </c>
      <c r="C222" s="1">
        <f t="shared" si="84"/>
        <v>19</v>
      </c>
      <c r="D222" s="1" t="s">
        <v>24</v>
      </c>
      <c r="E222" s="1" t="s">
        <v>25</v>
      </c>
      <c r="F222" s="2">
        <v>7.2499999999999995E-2</v>
      </c>
      <c r="G222" s="3">
        <v>0.16159999999999999</v>
      </c>
      <c r="H222" s="1">
        <v>8</v>
      </c>
      <c r="I222" s="1">
        <v>739</v>
      </c>
      <c r="J222" s="1">
        <f t="shared" si="72"/>
        <v>731</v>
      </c>
      <c r="K222" s="1">
        <v>105</v>
      </c>
      <c r="L222" s="1">
        <v>1999</v>
      </c>
      <c r="M222" s="1">
        <v>2006</v>
      </c>
      <c r="N222" s="1">
        <f t="shared" si="87"/>
        <v>2002.5</v>
      </c>
      <c r="O222" s="1">
        <f t="shared" si="88"/>
        <v>8</v>
      </c>
      <c r="P222" s="1">
        <f t="shared" si="78"/>
        <v>2.0794415416798357</v>
      </c>
      <c r="Q222" s="1">
        <v>59</v>
      </c>
      <c r="R222" s="1">
        <v>0</v>
      </c>
      <c r="S222" s="1" t="s">
        <v>27</v>
      </c>
      <c r="T222" s="1">
        <f t="shared" si="71"/>
        <v>0</v>
      </c>
      <c r="U222" s="1">
        <v>1</v>
      </c>
      <c r="V222" s="1">
        <v>1</v>
      </c>
      <c r="W222" s="1">
        <v>1</v>
      </c>
      <c r="X222" s="1">
        <v>0</v>
      </c>
      <c r="Y222" s="1">
        <v>1</v>
      </c>
      <c r="Z222" s="1">
        <v>0</v>
      </c>
      <c r="AA222" s="1">
        <v>0</v>
      </c>
      <c r="AB222" s="1" t="s">
        <v>85</v>
      </c>
      <c r="AC222" s="1">
        <f t="shared" si="77"/>
        <v>1</v>
      </c>
      <c r="AD222" s="1">
        <f t="shared" si="73"/>
        <v>1</v>
      </c>
      <c r="AE222" s="1">
        <v>0</v>
      </c>
      <c r="AF222" s="1">
        <v>7.6063879999999999</v>
      </c>
      <c r="AG222" s="1">
        <v>4.0943449999999997</v>
      </c>
      <c r="AH222" s="1">
        <f t="shared" si="79"/>
        <v>0.44863861386138615</v>
      </c>
      <c r="AI222" s="1">
        <f t="shared" si="80"/>
        <v>1.6591214557406635E-2</v>
      </c>
      <c r="AJ222" s="1">
        <f t="shared" si="74"/>
        <v>3.6981245137612584E-2</v>
      </c>
      <c r="AK222" s="1">
        <f t="shared" si="75"/>
        <v>731.20127660584751</v>
      </c>
      <c r="AL222" s="1">
        <f t="shared" si="76"/>
        <v>27.040733655096112</v>
      </c>
      <c r="AM222" s="1">
        <v>0</v>
      </c>
      <c r="AN222" s="1">
        <v>1</v>
      </c>
      <c r="AO222" s="1">
        <v>0</v>
      </c>
      <c r="AP222" s="1">
        <f t="shared" si="81"/>
        <v>3.6986336072765455E-2</v>
      </c>
      <c r="AQ222" s="1">
        <v>0</v>
      </c>
      <c r="AR222" s="1">
        <v>1</v>
      </c>
      <c r="AS222" s="1">
        <v>0</v>
      </c>
      <c r="AT222" s="1">
        <v>0</v>
      </c>
      <c r="AU222" s="4">
        <v>1</v>
      </c>
      <c r="AV222" s="4">
        <v>0</v>
      </c>
      <c r="AW222" s="1">
        <f t="shared" si="82"/>
        <v>9.5238095238095247E-3</v>
      </c>
      <c r="AX222" s="1">
        <f t="shared" si="83"/>
        <v>9.0702947845804991E-5</v>
      </c>
    </row>
    <row r="223" spans="1:50" x14ac:dyDescent="0.25">
      <c r="A223" s="1" t="s">
        <v>56</v>
      </c>
      <c r="B223" s="1">
        <v>2011</v>
      </c>
      <c r="C223" s="1">
        <f t="shared" si="84"/>
        <v>19</v>
      </c>
      <c r="D223" s="1" t="s">
        <v>24</v>
      </c>
      <c r="E223" s="1" t="s">
        <v>25</v>
      </c>
      <c r="F223" s="2">
        <v>-7.7299999999999994E-2</v>
      </c>
      <c r="G223" s="3">
        <v>0.16700000000000001</v>
      </c>
      <c r="H223" s="1">
        <v>8</v>
      </c>
      <c r="I223" s="1">
        <v>739</v>
      </c>
      <c r="J223" s="1">
        <f t="shared" si="72"/>
        <v>731</v>
      </c>
      <c r="K223" s="1">
        <v>105</v>
      </c>
      <c r="L223" s="1">
        <v>1999</v>
      </c>
      <c r="M223" s="1">
        <v>2006</v>
      </c>
      <c r="N223" s="1">
        <f t="shared" si="87"/>
        <v>2002.5</v>
      </c>
      <c r="O223" s="1">
        <f t="shared" si="88"/>
        <v>8</v>
      </c>
      <c r="P223" s="1">
        <f t="shared" si="78"/>
        <v>2.0794415416798357</v>
      </c>
      <c r="Q223" s="1">
        <v>59</v>
      </c>
      <c r="R223" s="1">
        <v>0</v>
      </c>
      <c r="S223" s="1" t="s">
        <v>27</v>
      </c>
      <c r="T223" s="1">
        <f t="shared" si="71"/>
        <v>0</v>
      </c>
      <c r="U223" s="1">
        <v>1</v>
      </c>
      <c r="V223" s="1">
        <v>1</v>
      </c>
      <c r="W223" s="1">
        <v>1</v>
      </c>
      <c r="X223" s="1">
        <v>0</v>
      </c>
      <c r="Y223" s="1">
        <v>1</v>
      </c>
      <c r="Z223" s="1">
        <v>0</v>
      </c>
      <c r="AA223" s="1">
        <v>0</v>
      </c>
      <c r="AB223" s="1" t="s">
        <v>85</v>
      </c>
      <c r="AC223" s="1">
        <f t="shared" si="77"/>
        <v>1</v>
      </c>
      <c r="AD223" s="1">
        <f t="shared" si="73"/>
        <v>1</v>
      </c>
      <c r="AE223" s="1">
        <v>0</v>
      </c>
      <c r="AF223" s="1">
        <v>7.6063879999999999</v>
      </c>
      <c r="AG223" s="1">
        <v>4.0943449999999997</v>
      </c>
      <c r="AH223" s="1">
        <f t="shared" si="79"/>
        <v>-0.46287425149700595</v>
      </c>
      <c r="AI223" s="1">
        <f t="shared" si="80"/>
        <v>-1.7117514278661743E-2</v>
      </c>
      <c r="AJ223" s="1">
        <f t="shared" si="74"/>
        <v>3.6980917005646978E-2</v>
      </c>
      <c r="AK223" s="1">
        <f t="shared" si="75"/>
        <v>731.2142525726988</v>
      </c>
      <c r="AL223" s="1">
        <f t="shared" si="76"/>
        <v>27.040973587737163</v>
      </c>
      <c r="AM223" s="1">
        <v>0</v>
      </c>
      <c r="AN223" s="1">
        <v>1</v>
      </c>
      <c r="AO223" s="1">
        <v>0</v>
      </c>
      <c r="AP223" s="1">
        <f t="shared" si="81"/>
        <v>3.6986336072765455E-2</v>
      </c>
      <c r="AQ223" s="1">
        <v>0</v>
      </c>
      <c r="AR223" s="1">
        <v>1</v>
      </c>
      <c r="AS223" s="1">
        <v>0</v>
      </c>
      <c r="AT223" s="1">
        <v>0</v>
      </c>
      <c r="AU223" s="4">
        <v>0</v>
      </c>
      <c r="AV223" s="4">
        <v>1</v>
      </c>
      <c r="AW223" s="1">
        <f t="shared" si="82"/>
        <v>9.5238095238095247E-3</v>
      </c>
      <c r="AX223" s="1">
        <f t="shared" si="83"/>
        <v>9.0702947845804991E-5</v>
      </c>
    </row>
    <row r="224" spans="1:50" x14ac:dyDescent="0.25">
      <c r="A224" s="1" t="s">
        <v>56</v>
      </c>
      <c r="B224" s="1">
        <v>2011</v>
      </c>
      <c r="C224" s="1">
        <f t="shared" si="84"/>
        <v>19</v>
      </c>
      <c r="D224" s="1" t="s">
        <v>24</v>
      </c>
      <c r="E224" s="1" t="s">
        <v>25</v>
      </c>
      <c r="F224" s="2">
        <v>-0.33660000000000001</v>
      </c>
      <c r="G224" s="3">
        <v>0.13619999999999999</v>
      </c>
      <c r="H224" s="1">
        <v>8</v>
      </c>
      <c r="I224" s="1">
        <v>740</v>
      </c>
      <c r="J224" s="1">
        <f t="shared" si="72"/>
        <v>732</v>
      </c>
      <c r="K224" s="1">
        <v>105</v>
      </c>
      <c r="L224" s="1">
        <v>1999</v>
      </c>
      <c r="M224" s="1">
        <v>2006</v>
      </c>
      <c r="N224" s="1">
        <f t="shared" si="87"/>
        <v>2002.5</v>
      </c>
      <c r="O224" s="1">
        <f t="shared" si="88"/>
        <v>8</v>
      </c>
      <c r="P224" s="1">
        <f t="shared" si="78"/>
        <v>2.0794415416798357</v>
      </c>
      <c r="Q224" s="1">
        <v>59</v>
      </c>
      <c r="R224" s="1">
        <v>0</v>
      </c>
      <c r="S224" s="1" t="s">
        <v>27</v>
      </c>
      <c r="T224" s="1">
        <f t="shared" si="71"/>
        <v>0</v>
      </c>
      <c r="U224" s="1">
        <v>1</v>
      </c>
      <c r="V224" s="1">
        <v>1</v>
      </c>
      <c r="W224" s="1">
        <v>1</v>
      </c>
      <c r="X224" s="1">
        <v>0</v>
      </c>
      <c r="Y224" s="1">
        <v>1</v>
      </c>
      <c r="Z224" s="1">
        <v>0</v>
      </c>
      <c r="AA224" s="1">
        <v>0</v>
      </c>
      <c r="AB224" s="1" t="s">
        <v>85</v>
      </c>
      <c r="AC224" s="1">
        <f t="shared" si="77"/>
        <v>1</v>
      </c>
      <c r="AD224" s="1">
        <f t="shared" si="73"/>
        <v>1</v>
      </c>
      <c r="AE224" s="1">
        <v>0</v>
      </c>
      <c r="AF224" s="1">
        <v>7.6063879999999999</v>
      </c>
      <c r="AG224" s="1">
        <v>4.0943449999999997</v>
      </c>
      <c r="AH224" s="1">
        <f t="shared" si="79"/>
        <v>-2.4713656387665202</v>
      </c>
      <c r="AI224" s="1">
        <f t="shared" si="80"/>
        <v>-9.0965592235208392E-2</v>
      </c>
      <c r="AJ224" s="1">
        <f t="shared" si="74"/>
        <v>3.680782430907719E-2</v>
      </c>
      <c r="AK224" s="1">
        <f t="shared" si="75"/>
        <v>738.10764812047557</v>
      </c>
      <c r="AL224" s="1">
        <f t="shared" si="76"/>
        <v>27.168136633204632</v>
      </c>
      <c r="AM224" s="1">
        <v>0</v>
      </c>
      <c r="AN224" s="1">
        <v>1</v>
      </c>
      <c r="AO224" s="1">
        <v>0</v>
      </c>
      <c r="AP224" s="1">
        <f t="shared" si="81"/>
        <v>3.6961063547728643E-2</v>
      </c>
      <c r="AQ224" s="1">
        <v>0</v>
      </c>
      <c r="AR224" s="1">
        <v>1</v>
      </c>
      <c r="AS224" s="1">
        <v>0</v>
      </c>
      <c r="AT224" s="1">
        <v>0</v>
      </c>
      <c r="AU224" s="4">
        <v>0</v>
      </c>
      <c r="AV224" s="4">
        <v>0</v>
      </c>
      <c r="AW224" s="1">
        <f t="shared" si="82"/>
        <v>9.5238095238095247E-3</v>
      </c>
      <c r="AX224" s="1">
        <f t="shared" si="83"/>
        <v>9.0702947845804991E-5</v>
      </c>
    </row>
    <row r="225" spans="1:50" x14ac:dyDescent="0.25">
      <c r="A225" s="1" t="s">
        <v>56</v>
      </c>
      <c r="B225" s="1">
        <v>2011</v>
      </c>
      <c r="C225" s="1">
        <f t="shared" si="84"/>
        <v>19</v>
      </c>
      <c r="D225" s="1" t="s">
        <v>24</v>
      </c>
      <c r="E225" s="1" t="s">
        <v>25</v>
      </c>
      <c r="F225" s="2">
        <v>7.0499999999999993E-2</v>
      </c>
      <c r="G225" s="3">
        <v>9.6500000000000002E-2</v>
      </c>
      <c r="H225" s="1">
        <v>8</v>
      </c>
      <c r="I225" s="1">
        <v>740</v>
      </c>
      <c r="J225" s="1">
        <f t="shared" si="72"/>
        <v>732</v>
      </c>
      <c r="K225" s="1">
        <v>105</v>
      </c>
      <c r="L225" s="1">
        <v>1999</v>
      </c>
      <c r="M225" s="1">
        <v>2006</v>
      </c>
      <c r="N225" s="1">
        <f t="shared" si="87"/>
        <v>2002.5</v>
      </c>
      <c r="O225" s="1">
        <f t="shared" si="88"/>
        <v>8</v>
      </c>
      <c r="P225" s="1">
        <f t="shared" si="78"/>
        <v>2.0794415416798357</v>
      </c>
      <c r="Q225" s="1">
        <v>59</v>
      </c>
      <c r="R225" s="1">
        <v>0</v>
      </c>
      <c r="S225" s="1" t="s">
        <v>27</v>
      </c>
      <c r="T225" s="1">
        <f t="shared" si="71"/>
        <v>0</v>
      </c>
      <c r="U225" s="1">
        <v>1</v>
      </c>
      <c r="V225" s="1">
        <v>1</v>
      </c>
      <c r="W225" s="1">
        <v>1</v>
      </c>
      <c r="X225" s="1">
        <v>0</v>
      </c>
      <c r="Y225" s="1">
        <v>1</v>
      </c>
      <c r="Z225" s="1">
        <v>0</v>
      </c>
      <c r="AA225" s="1">
        <v>0</v>
      </c>
      <c r="AB225" s="1" t="s">
        <v>85</v>
      </c>
      <c r="AC225" s="1">
        <f t="shared" si="77"/>
        <v>1</v>
      </c>
      <c r="AD225" s="1">
        <f t="shared" si="73"/>
        <v>1</v>
      </c>
      <c r="AE225" s="1">
        <v>0</v>
      </c>
      <c r="AF225" s="1">
        <v>7.6063879999999999</v>
      </c>
      <c r="AG225" s="1">
        <v>4.0943449999999997</v>
      </c>
      <c r="AH225" s="1">
        <f t="shared" si="79"/>
        <v>0.73056994818652843</v>
      </c>
      <c r="AI225" s="1">
        <f t="shared" si="80"/>
        <v>2.6992803271570609E-2</v>
      </c>
      <c r="AJ225" s="1">
        <f t="shared" si="74"/>
        <v>3.6947595967468994E-2</v>
      </c>
      <c r="AK225" s="1">
        <f t="shared" si="75"/>
        <v>732.53373244919328</v>
      </c>
      <c r="AL225" s="1">
        <f t="shared" si="76"/>
        <v>27.065360379074821</v>
      </c>
      <c r="AM225" s="1">
        <v>0</v>
      </c>
      <c r="AN225" s="1">
        <v>1</v>
      </c>
      <c r="AO225" s="1">
        <v>0</v>
      </c>
      <c r="AP225" s="1">
        <f t="shared" si="81"/>
        <v>3.6961063547728643E-2</v>
      </c>
      <c r="AQ225" s="1">
        <v>0</v>
      </c>
      <c r="AR225" s="1">
        <v>1</v>
      </c>
      <c r="AS225" s="1">
        <v>0</v>
      </c>
      <c r="AT225" s="1">
        <v>0</v>
      </c>
      <c r="AU225" s="4">
        <v>1</v>
      </c>
      <c r="AV225" s="4">
        <v>0</v>
      </c>
      <c r="AW225" s="1">
        <f t="shared" si="82"/>
        <v>9.5238095238095247E-3</v>
      </c>
      <c r="AX225" s="1">
        <f t="shared" si="83"/>
        <v>9.0702947845804991E-5</v>
      </c>
    </row>
    <row r="226" spans="1:50" x14ac:dyDescent="0.25">
      <c r="A226" s="1" t="s">
        <v>56</v>
      </c>
      <c r="B226" s="1">
        <v>2011</v>
      </c>
      <c r="C226" s="1">
        <f t="shared" si="84"/>
        <v>19</v>
      </c>
      <c r="D226" s="1" t="s">
        <v>24</v>
      </c>
      <c r="E226" s="1" t="s">
        <v>25</v>
      </c>
      <c r="F226" s="2">
        <v>3.5900000000000001E-2</v>
      </c>
      <c r="G226" s="3">
        <v>0.10050000000000001</v>
      </c>
      <c r="H226" s="1">
        <v>8</v>
      </c>
      <c r="I226" s="1">
        <v>740</v>
      </c>
      <c r="J226" s="1">
        <f t="shared" si="72"/>
        <v>732</v>
      </c>
      <c r="K226" s="1">
        <v>105</v>
      </c>
      <c r="L226" s="1">
        <v>1999</v>
      </c>
      <c r="M226" s="1">
        <v>2006</v>
      </c>
      <c r="N226" s="1">
        <f t="shared" si="87"/>
        <v>2002.5</v>
      </c>
      <c r="O226" s="1">
        <f t="shared" si="88"/>
        <v>8</v>
      </c>
      <c r="P226" s="1">
        <f t="shared" si="78"/>
        <v>2.0794415416798357</v>
      </c>
      <c r="Q226" s="1">
        <v>59</v>
      </c>
      <c r="R226" s="1">
        <v>0</v>
      </c>
      <c r="S226" s="1" t="s">
        <v>27</v>
      </c>
      <c r="T226" s="1">
        <f t="shared" si="71"/>
        <v>0</v>
      </c>
      <c r="U226" s="1">
        <v>1</v>
      </c>
      <c r="V226" s="1">
        <v>1</v>
      </c>
      <c r="W226" s="1">
        <v>1</v>
      </c>
      <c r="X226" s="1">
        <v>0</v>
      </c>
      <c r="Y226" s="1">
        <v>1</v>
      </c>
      <c r="Z226" s="1">
        <v>0</v>
      </c>
      <c r="AA226" s="1">
        <v>0</v>
      </c>
      <c r="AB226" s="1" t="s">
        <v>85</v>
      </c>
      <c r="AC226" s="1">
        <f t="shared" si="77"/>
        <v>1</v>
      </c>
      <c r="AD226" s="1">
        <f t="shared" si="73"/>
        <v>1</v>
      </c>
      <c r="AE226" s="1">
        <v>0</v>
      </c>
      <c r="AF226" s="1">
        <v>7.6063879999999999</v>
      </c>
      <c r="AG226" s="1">
        <v>4.0943449999999997</v>
      </c>
      <c r="AH226" s="1">
        <f t="shared" si="79"/>
        <v>0.35721393034825871</v>
      </c>
      <c r="AI226" s="1">
        <f t="shared" si="80"/>
        <v>1.3201856160134225E-2</v>
      </c>
      <c r="AJ226" s="1">
        <f t="shared" si="74"/>
        <v>3.6957842453857651E-2</v>
      </c>
      <c r="AK226" s="1">
        <f t="shared" si="75"/>
        <v>732.12760179203474</v>
      </c>
      <c r="AL226" s="1">
        <f t="shared" si="76"/>
        <v>27.057856563150651</v>
      </c>
      <c r="AM226" s="1">
        <v>0</v>
      </c>
      <c r="AN226" s="1">
        <v>1</v>
      </c>
      <c r="AO226" s="1">
        <v>0</v>
      </c>
      <c r="AP226" s="1">
        <f t="shared" si="81"/>
        <v>3.6961063547728643E-2</v>
      </c>
      <c r="AQ226" s="1">
        <v>0</v>
      </c>
      <c r="AR226" s="1">
        <v>1</v>
      </c>
      <c r="AS226" s="1">
        <v>0</v>
      </c>
      <c r="AT226" s="1">
        <v>0</v>
      </c>
      <c r="AU226" s="4">
        <v>0</v>
      </c>
      <c r="AV226" s="4">
        <v>1</v>
      </c>
      <c r="AW226" s="1">
        <f t="shared" si="82"/>
        <v>9.5238095238095247E-3</v>
      </c>
      <c r="AX226" s="1">
        <f t="shared" si="83"/>
        <v>9.0702947845804991E-5</v>
      </c>
    </row>
    <row r="227" spans="1:50" x14ac:dyDescent="0.25">
      <c r="A227" s="1" t="s">
        <v>56</v>
      </c>
      <c r="B227" s="1">
        <v>2011</v>
      </c>
      <c r="C227" s="1">
        <f t="shared" si="84"/>
        <v>19</v>
      </c>
      <c r="D227" s="1" t="s">
        <v>24</v>
      </c>
      <c r="E227" s="1" t="s">
        <v>25</v>
      </c>
      <c r="F227" s="2">
        <v>-0.14810000000000001</v>
      </c>
      <c r="G227" s="3">
        <v>0.29549999999999998</v>
      </c>
      <c r="H227" s="1">
        <v>8</v>
      </c>
      <c r="I227" s="1">
        <v>463</v>
      </c>
      <c r="J227" s="1">
        <f t="shared" si="72"/>
        <v>455</v>
      </c>
      <c r="K227" s="1">
        <v>105</v>
      </c>
      <c r="L227" s="1">
        <v>1999</v>
      </c>
      <c r="M227" s="1">
        <v>2006</v>
      </c>
      <c r="N227" s="1">
        <f t="shared" si="87"/>
        <v>2002.5</v>
      </c>
      <c r="O227" s="1">
        <f t="shared" si="88"/>
        <v>8</v>
      </c>
      <c r="P227" s="1">
        <f t="shared" si="78"/>
        <v>2.0794415416798357</v>
      </c>
      <c r="Q227" s="1">
        <v>59</v>
      </c>
      <c r="R227" s="1">
        <v>0</v>
      </c>
      <c r="S227" s="1" t="s">
        <v>27</v>
      </c>
      <c r="T227" s="1">
        <f t="shared" si="71"/>
        <v>0</v>
      </c>
      <c r="U227" s="1">
        <v>1</v>
      </c>
      <c r="V227" s="1">
        <v>1</v>
      </c>
      <c r="W227" s="1">
        <v>1</v>
      </c>
      <c r="X227" s="1">
        <v>0</v>
      </c>
      <c r="Y227" s="1">
        <v>1</v>
      </c>
      <c r="Z227" s="1">
        <v>0</v>
      </c>
      <c r="AA227" s="1">
        <v>0</v>
      </c>
      <c r="AB227" s="1" t="s">
        <v>85</v>
      </c>
      <c r="AC227" s="1">
        <f t="shared" si="77"/>
        <v>1</v>
      </c>
      <c r="AD227" s="1">
        <f t="shared" si="73"/>
        <v>1</v>
      </c>
      <c r="AE227" s="1">
        <v>0</v>
      </c>
      <c r="AF227" s="1">
        <v>7.6063879999999999</v>
      </c>
      <c r="AG227" s="1">
        <v>4.0943449999999997</v>
      </c>
      <c r="AH227" s="1">
        <f t="shared" si="79"/>
        <v>-0.50118443316412864</v>
      </c>
      <c r="AI227" s="1">
        <f t="shared" si="80"/>
        <v>-2.3489405781827503E-2</v>
      </c>
      <c r="AJ227" s="1">
        <f t="shared" si="74"/>
        <v>4.6867788038690253E-2</v>
      </c>
      <c r="AK227" s="1">
        <f t="shared" si="75"/>
        <v>455.25118583604609</v>
      </c>
      <c r="AL227" s="1">
        <f t="shared" si="76"/>
        <v>21.336616082126191</v>
      </c>
      <c r="AM227" s="1">
        <v>0</v>
      </c>
      <c r="AN227" s="1">
        <v>1</v>
      </c>
      <c r="AO227" s="1">
        <v>0</v>
      </c>
      <c r="AP227" s="1">
        <f t="shared" si="81"/>
        <v>4.6880723093849538E-2</v>
      </c>
      <c r="AQ227" s="1">
        <v>0</v>
      </c>
      <c r="AR227" s="1">
        <v>1</v>
      </c>
      <c r="AS227" s="1">
        <v>0</v>
      </c>
      <c r="AT227" s="1">
        <v>0</v>
      </c>
      <c r="AU227" s="4">
        <v>0</v>
      </c>
      <c r="AV227" s="4">
        <v>0</v>
      </c>
      <c r="AW227" s="1">
        <f t="shared" si="82"/>
        <v>9.5238095238095247E-3</v>
      </c>
      <c r="AX227" s="1">
        <f t="shared" si="83"/>
        <v>9.0702947845804991E-5</v>
      </c>
    </row>
    <row r="228" spans="1:50" x14ac:dyDescent="0.25">
      <c r="A228" s="1" t="s">
        <v>56</v>
      </c>
      <c r="B228" s="1">
        <v>2011</v>
      </c>
      <c r="C228" s="1">
        <f t="shared" si="84"/>
        <v>19</v>
      </c>
      <c r="D228" s="1" t="s">
        <v>24</v>
      </c>
      <c r="E228" s="1" t="s">
        <v>25</v>
      </c>
      <c r="F228" s="2">
        <v>1.1999999999999999E-3</v>
      </c>
      <c r="G228" s="3">
        <v>0.2165</v>
      </c>
      <c r="H228" s="1">
        <v>8</v>
      </c>
      <c r="I228" s="1">
        <v>463</v>
      </c>
      <c r="J228" s="1">
        <f t="shared" si="72"/>
        <v>455</v>
      </c>
      <c r="K228" s="1">
        <v>105</v>
      </c>
      <c r="L228" s="1">
        <v>1999</v>
      </c>
      <c r="M228" s="1">
        <v>2006</v>
      </c>
      <c r="N228" s="1">
        <f t="shared" si="87"/>
        <v>2002.5</v>
      </c>
      <c r="O228" s="1">
        <f t="shared" si="88"/>
        <v>8</v>
      </c>
      <c r="P228" s="1">
        <f t="shared" si="78"/>
        <v>2.0794415416798357</v>
      </c>
      <c r="Q228" s="1">
        <v>59</v>
      </c>
      <c r="R228" s="1">
        <v>0</v>
      </c>
      <c r="S228" s="1" t="s">
        <v>27</v>
      </c>
      <c r="T228" s="1">
        <f t="shared" si="71"/>
        <v>0</v>
      </c>
      <c r="U228" s="1">
        <v>1</v>
      </c>
      <c r="V228" s="1">
        <v>1</v>
      </c>
      <c r="W228" s="1">
        <v>1</v>
      </c>
      <c r="X228" s="1">
        <v>0</v>
      </c>
      <c r="Y228" s="1">
        <v>1</v>
      </c>
      <c r="Z228" s="1">
        <v>0</v>
      </c>
      <c r="AA228" s="1">
        <v>0</v>
      </c>
      <c r="AB228" s="1" t="s">
        <v>85</v>
      </c>
      <c r="AC228" s="1">
        <f t="shared" si="77"/>
        <v>1</v>
      </c>
      <c r="AD228" s="1">
        <f t="shared" si="73"/>
        <v>1</v>
      </c>
      <c r="AE228" s="1">
        <v>0</v>
      </c>
      <c r="AF228" s="1">
        <v>7.6063879999999999</v>
      </c>
      <c r="AG228" s="1">
        <v>4.0943449999999997</v>
      </c>
      <c r="AH228" s="1">
        <f t="shared" si="79"/>
        <v>5.5427251732101616E-3</v>
      </c>
      <c r="AI228" s="1">
        <f t="shared" si="80"/>
        <v>2.59846955258084E-4</v>
      </c>
      <c r="AJ228" s="1">
        <f t="shared" si="74"/>
        <v>4.6880721511145987E-2</v>
      </c>
      <c r="AK228" s="1">
        <f t="shared" si="75"/>
        <v>455.00003072180237</v>
      </c>
      <c r="AL228" s="1">
        <f t="shared" si="76"/>
        <v>21.330729727831685</v>
      </c>
      <c r="AM228" s="1">
        <v>0</v>
      </c>
      <c r="AN228" s="1">
        <v>1</v>
      </c>
      <c r="AO228" s="1">
        <v>0</v>
      </c>
      <c r="AP228" s="1">
        <f t="shared" si="81"/>
        <v>4.6880723093849538E-2</v>
      </c>
      <c r="AQ228" s="1">
        <v>0</v>
      </c>
      <c r="AR228" s="1">
        <v>1</v>
      </c>
      <c r="AS228" s="1">
        <v>0</v>
      </c>
      <c r="AT228" s="1">
        <v>0</v>
      </c>
      <c r="AU228" s="4">
        <v>1</v>
      </c>
      <c r="AV228" s="4">
        <v>0</v>
      </c>
      <c r="AW228" s="1">
        <f t="shared" si="82"/>
        <v>9.5238095238095247E-3</v>
      </c>
      <c r="AX228" s="1">
        <f t="shared" si="83"/>
        <v>9.0702947845804991E-5</v>
      </c>
    </row>
    <row r="229" spans="1:50" x14ac:dyDescent="0.25">
      <c r="A229" s="1" t="s">
        <v>56</v>
      </c>
      <c r="B229" s="1">
        <v>2011</v>
      </c>
      <c r="C229" s="1">
        <f t="shared" si="84"/>
        <v>19</v>
      </c>
      <c r="D229" s="1" t="s">
        <v>24</v>
      </c>
      <c r="E229" s="1" t="s">
        <v>25</v>
      </c>
      <c r="F229" s="2">
        <v>-5.5899999999999998E-2</v>
      </c>
      <c r="G229" s="3">
        <v>0.2671</v>
      </c>
      <c r="H229" s="1">
        <v>8</v>
      </c>
      <c r="I229" s="1">
        <v>463</v>
      </c>
      <c r="J229" s="1">
        <f t="shared" si="72"/>
        <v>455</v>
      </c>
      <c r="K229" s="1">
        <v>105</v>
      </c>
      <c r="L229" s="1">
        <v>1999</v>
      </c>
      <c r="M229" s="1">
        <v>2006</v>
      </c>
      <c r="N229" s="1">
        <f t="shared" si="87"/>
        <v>2002.5</v>
      </c>
      <c r="O229" s="1">
        <f t="shared" si="88"/>
        <v>8</v>
      </c>
      <c r="P229" s="1">
        <f t="shared" si="78"/>
        <v>2.0794415416798357</v>
      </c>
      <c r="Q229" s="1">
        <v>59</v>
      </c>
      <c r="R229" s="1">
        <v>0</v>
      </c>
      <c r="S229" s="1" t="s">
        <v>27</v>
      </c>
      <c r="T229" s="1">
        <f t="shared" ref="T229:T292" si="89">IF(S229="OLS",0,IF(S229="FE",0,IF(S229="Probit model",0,IF(S229="3SLS",1,IF(S229="Logit",0,IF(S229="2SLS",1,IF(S229="SUR method",1,IF(S229="Modified LS",0,IF(S229="Zenner estimates",1,IF(S229="MLE",0,IF(S229="GLS",0,0)))))))))))</f>
        <v>0</v>
      </c>
      <c r="U229" s="1">
        <v>1</v>
      </c>
      <c r="V229" s="1">
        <v>1</v>
      </c>
      <c r="W229" s="1">
        <v>1</v>
      </c>
      <c r="X229" s="1">
        <v>0</v>
      </c>
      <c r="Y229" s="1">
        <v>1</v>
      </c>
      <c r="Z229" s="1">
        <v>0</v>
      </c>
      <c r="AA229" s="1">
        <v>0</v>
      </c>
      <c r="AB229" s="1" t="s">
        <v>85</v>
      </c>
      <c r="AC229" s="1">
        <f t="shared" si="77"/>
        <v>1</v>
      </c>
      <c r="AD229" s="1">
        <f t="shared" si="73"/>
        <v>1</v>
      </c>
      <c r="AE229" s="1">
        <v>0</v>
      </c>
      <c r="AF229" s="1">
        <v>7.6063879999999999</v>
      </c>
      <c r="AG229" s="1">
        <v>4.0943449999999997</v>
      </c>
      <c r="AH229" s="1">
        <f t="shared" si="79"/>
        <v>-0.20928491201797078</v>
      </c>
      <c r="AI229" s="1">
        <f t="shared" si="80"/>
        <v>-9.8109557978881545E-3</v>
      </c>
      <c r="AJ229" s="1">
        <f t="shared" si="74"/>
        <v>4.6878466790982579E-2</v>
      </c>
      <c r="AK229" s="1">
        <f t="shared" si="75"/>
        <v>455.04380017439848</v>
      </c>
      <c r="AL229" s="1">
        <f t="shared" si="76"/>
        <v>21.33175567491805</v>
      </c>
      <c r="AM229" s="1">
        <v>0</v>
      </c>
      <c r="AN229" s="1">
        <v>1</v>
      </c>
      <c r="AO229" s="1">
        <v>0</v>
      </c>
      <c r="AP229" s="1">
        <f t="shared" si="81"/>
        <v>4.6880723093849538E-2</v>
      </c>
      <c r="AQ229" s="1">
        <v>0</v>
      </c>
      <c r="AR229" s="1">
        <v>1</v>
      </c>
      <c r="AS229" s="1">
        <v>0</v>
      </c>
      <c r="AT229" s="1">
        <v>0</v>
      </c>
      <c r="AU229" s="4">
        <v>0</v>
      </c>
      <c r="AV229" s="4">
        <v>1</v>
      </c>
      <c r="AW229" s="1">
        <f t="shared" si="82"/>
        <v>9.5238095238095247E-3</v>
      </c>
      <c r="AX229" s="1">
        <f t="shared" si="83"/>
        <v>9.0702947845804991E-5</v>
      </c>
    </row>
    <row r="230" spans="1:50" x14ac:dyDescent="0.25">
      <c r="A230" s="1" t="s">
        <v>56</v>
      </c>
      <c r="B230" s="1">
        <v>2011</v>
      </c>
      <c r="C230" s="1">
        <f t="shared" si="84"/>
        <v>19</v>
      </c>
      <c r="D230" s="1" t="s">
        <v>24</v>
      </c>
      <c r="E230" s="1" t="s">
        <v>25</v>
      </c>
      <c r="F230" s="2">
        <v>-1.0999999999999999E-2</v>
      </c>
      <c r="G230" s="3">
        <v>0.19989999999999999</v>
      </c>
      <c r="H230" s="1">
        <v>8</v>
      </c>
      <c r="I230" s="1">
        <v>462</v>
      </c>
      <c r="J230" s="1">
        <f t="shared" si="72"/>
        <v>454</v>
      </c>
      <c r="K230" s="1">
        <v>105</v>
      </c>
      <c r="L230" s="1">
        <v>1999</v>
      </c>
      <c r="M230" s="1">
        <v>2006</v>
      </c>
      <c r="N230" s="1">
        <f t="shared" si="87"/>
        <v>2002.5</v>
      </c>
      <c r="O230" s="1">
        <f t="shared" si="88"/>
        <v>8</v>
      </c>
      <c r="P230" s="1">
        <f t="shared" si="78"/>
        <v>2.0794415416798357</v>
      </c>
      <c r="Q230" s="1">
        <v>59</v>
      </c>
      <c r="R230" s="1">
        <v>0</v>
      </c>
      <c r="S230" s="1" t="s">
        <v>27</v>
      </c>
      <c r="T230" s="1">
        <f t="shared" si="89"/>
        <v>0</v>
      </c>
      <c r="U230" s="1">
        <v>1</v>
      </c>
      <c r="V230" s="1">
        <v>1</v>
      </c>
      <c r="W230" s="1">
        <v>1</v>
      </c>
      <c r="X230" s="1">
        <v>0</v>
      </c>
      <c r="Y230" s="1">
        <v>1</v>
      </c>
      <c r="Z230" s="1">
        <v>0</v>
      </c>
      <c r="AA230" s="1">
        <v>0</v>
      </c>
      <c r="AB230" s="1" t="s">
        <v>85</v>
      </c>
      <c r="AC230" s="1">
        <f t="shared" si="77"/>
        <v>1</v>
      </c>
      <c r="AD230" s="1">
        <f t="shared" si="73"/>
        <v>1</v>
      </c>
      <c r="AE230" s="1">
        <v>0</v>
      </c>
      <c r="AF230" s="1">
        <v>7.6063879999999999</v>
      </c>
      <c r="AG230" s="1">
        <v>4.0943449999999997</v>
      </c>
      <c r="AH230" s="1">
        <f t="shared" si="79"/>
        <v>-5.5027513756878435E-2</v>
      </c>
      <c r="AI230" s="1">
        <f t="shared" si="80"/>
        <v>-2.5825605717529499E-3</v>
      </c>
      <c r="AJ230" s="1">
        <f t="shared" si="74"/>
        <v>4.6932168935764976E-2</v>
      </c>
      <c r="AK230" s="1">
        <f t="shared" si="75"/>
        <v>454.00302802727037</v>
      </c>
      <c r="AL230" s="1">
        <f t="shared" si="76"/>
        <v>21.307346808724692</v>
      </c>
      <c r="AM230" s="1">
        <v>0</v>
      </c>
      <c r="AN230" s="1">
        <v>1</v>
      </c>
      <c r="AO230" s="1">
        <v>0</v>
      </c>
      <c r="AP230" s="1">
        <f t="shared" si="81"/>
        <v>4.6932325446393211E-2</v>
      </c>
      <c r="AQ230" s="1">
        <v>0</v>
      </c>
      <c r="AR230" s="1">
        <v>1</v>
      </c>
      <c r="AS230" s="1">
        <v>0</v>
      </c>
      <c r="AT230" s="1">
        <v>0</v>
      </c>
      <c r="AU230" s="4">
        <v>0</v>
      </c>
      <c r="AV230" s="4">
        <v>0</v>
      </c>
      <c r="AW230" s="1">
        <f t="shared" si="82"/>
        <v>9.5238095238095247E-3</v>
      </c>
      <c r="AX230" s="1">
        <f t="shared" si="83"/>
        <v>9.0702947845804991E-5</v>
      </c>
    </row>
    <row r="231" spans="1:50" x14ac:dyDescent="0.25">
      <c r="A231" s="1" t="s">
        <v>56</v>
      </c>
      <c r="B231" s="1">
        <v>2011</v>
      </c>
      <c r="C231" s="1">
        <f t="shared" si="84"/>
        <v>19</v>
      </c>
      <c r="D231" s="1" t="s">
        <v>24</v>
      </c>
      <c r="E231" s="1" t="s">
        <v>25</v>
      </c>
      <c r="F231" s="2">
        <v>1.47E-2</v>
      </c>
      <c r="G231" s="3">
        <v>0.18729999999999999</v>
      </c>
      <c r="H231" s="1">
        <v>8</v>
      </c>
      <c r="I231" s="1">
        <v>462</v>
      </c>
      <c r="J231" s="1">
        <f t="shared" si="72"/>
        <v>454</v>
      </c>
      <c r="K231" s="1">
        <v>105</v>
      </c>
      <c r="L231" s="1">
        <v>1999</v>
      </c>
      <c r="M231" s="1">
        <v>2006</v>
      </c>
      <c r="N231" s="1">
        <f t="shared" si="87"/>
        <v>2002.5</v>
      </c>
      <c r="O231" s="1">
        <f t="shared" si="88"/>
        <v>8</v>
      </c>
      <c r="P231" s="1">
        <f t="shared" si="78"/>
        <v>2.0794415416798357</v>
      </c>
      <c r="Q231" s="1">
        <v>59</v>
      </c>
      <c r="R231" s="1">
        <v>0</v>
      </c>
      <c r="S231" s="1" t="s">
        <v>27</v>
      </c>
      <c r="T231" s="1">
        <f t="shared" si="89"/>
        <v>0</v>
      </c>
      <c r="U231" s="1">
        <v>1</v>
      </c>
      <c r="V231" s="1">
        <v>1</v>
      </c>
      <c r="W231" s="1">
        <v>1</v>
      </c>
      <c r="X231" s="1">
        <v>0</v>
      </c>
      <c r="Y231" s="1">
        <v>1</v>
      </c>
      <c r="Z231" s="1">
        <v>0</v>
      </c>
      <c r="AA231" s="1">
        <v>0</v>
      </c>
      <c r="AB231" s="1" t="s">
        <v>85</v>
      </c>
      <c r="AC231" s="1">
        <f t="shared" si="77"/>
        <v>1</v>
      </c>
      <c r="AD231" s="1">
        <f t="shared" si="73"/>
        <v>1</v>
      </c>
      <c r="AE231" s="1">
        <v>0</v>
      </c>
      <c r="AF231" s="1">
        <v>7.6063879999999999</v>
      </c>
      <c r="AG231" s="1">
        <v>4.0943449999999997</v>
      </c>
      <c r="AH231" s="1">
        <f t="shared" si="79"/>
        <v>7.8483715963694606E-2</v>
      </c>
      <c r="AI231" s="1">
        <f t="shared" si="80"/>
        <v>3.6833983124844125E-3</v>
      </c>
      <c r="AJ231" s="1">
        <f t="shared" si="74"/>
        <v>4.6932007069954457E-2</v>
      </c>
      <c r="AK231" s="1">
        <f t="shared" si="75"/>
        <v>454.00615969367135</v>
      </c>
      <c r="AL231" s="1">
        <f t="shared" si="76"/>
        <v>21.307420296546258</v>
      </c>
      <c r="AM231" s="1">
        <v>0</v>
      </c>
      <c r="AN231" s="1">
        <v>1</v>
      </c>
      <c r="AO231" s="1">
        <v>0</v>
      </c>
      <c r="AP231" s="1">
        <f t="shared" si="81"/>
        <v>4.6932325446393211E-2</v>
      </c>
      <c r="AQ231" s="1">
        <v>0</v>
      </c>
      <c r="AR231" s="1">
        <v>1</v>
      </c>
      <c r="AS231" s="1">
        <v>0</v>
      </c>
      <c r="AT231" s="1">
        <v>0</v>
      </c>
      <c r="AU231" s="4">
        <v>1</v>
      </c>
      <c r="AV231" s="4">
        <v>0</v>
      </c>
      <c r="AW231" s="1">
        <f t="shared" si="82"/>
        <v>9.5238095238095247E-3</v>
      </c>
      <c r="AX231" s="1">
        <f t="shared" si="83"/>
        <v>9.0702947845804991E-5</v>
      </c>
    </row>
    <row r="232" spans="1:50" x14ac:dyDescent="0.25">
      <c r="A232" s="1" t="s">
        <v>56</v>
      </c>
      <c r="B232" s="1">
        <v>2011</v>
      </c>
      <c r="C232" s="1">
        <f t="shared" si="84"/>
        <v>19</v>
      </c>
      <c r="D232" s="1" t="s">
        <v>24</v>
      </c>
      <c r="E232" s="1" t="s">
        <v>25</v>
      </c>
      <c r="F232" s="2">
        <v>4.87E-2</v>
      </c>
      <c r="G232" s="3">
        <v>0.182</v>
      </c>
      <c r="H232" s="1">
        <v>8</v>
      </c>
      <c r="I232" s="1">
        <v>462</v>
      </c>
      <c r="J232" s="1">
        <f t="shared" si="72"/>
        <v>454</v>
      </c>
      <c r="K232" s="1">
        <v>105</v>
      </c>
      <c r="L232" s="1">
        <v>1999</v>
      </c>
      <c r="M232" s="1">
        <v>2006</v>
      </c>
      <c r="N232" s="1">
        <f t="shared" si="87"/>
        <v>2002.5</v>
      </c>
      <c r="O232" s="1">
        <f t="shared" si="88"/>
        <v>8</v>
      </c>
      <c r="P232" s="1">
        <f t="shared" si="78"/>
        <v>2.0794415416798357</v>
      </c>
      <c r="Q232" s="1">
        <v>59</v>
      </c>
      <c r="R232" s="1">
        <v>0</v>
      </c>
      <c r="S232" s="1" t="s">
        <v>27</v>
      </c>
      <c r="T232" s="1">
        <f t="shared" si="89"/>
        <v>0</v>
      </c>
      <c r="U232" s="1">
        <v>1</v>
      </c>
      <c r="V232" s="1">
        <v>1</v>
      </c>
      <c r="W232" s="1">
        <v>1</v>
      </c>
      <c r="X232" s="1">
        <v>0</v>
      </c>
      <c r="Y232" s="1">
        <v>1</v>
      </c>
      <c r="Z232" s="1">
        <v>0</v>
      </c>
      <c r="AA232" s="1">
        <v>0</v>
      </c>
      <c r="AB232" s="1" t="s">
        <v>85</v>
      </c>
      <c r="AC232" s="1">
        <f t="shared" si="77"/>
        <v>1</v>
      </c>
      <c r="AD232" s="1">
        <f t="shared" si="73"/>
        <v>1</v>
      </c>
      <c r="AE232" s="1">
        <v>0</v>
      </c>
      <c r="AF232" s="1">
        <v>7.6063879999999999</v>
      </c>
      <c r="AG232" s="1">
        <v>4.0943449999999997</v>
      </c>
      <c r="AH232" s="1">
        <f t="shared" si="79"/>
        <v>0.26758241758241758</v>
      </c>
      <c r="AI232" s="1">
        <f t="shared" si="80"/>
        <v>1.2557274940692406E-2</v>
      </c>
      <c r="AJ232" s="1">
        <f t="shared" si="74"/>
        <v>4.6928625035031167E-2</v>
      </c>
      <c r="AK232" s="1">
        <f t="shared" si="75"/>
        <v>454.07160035019939</v>
      </c>
      <c r="AL232" s="1">
        <f t="shared" si="76"/>
        <v>21.308955871891033</v>
      </c>
      <c r="AM232" s="1">
        <v>0</v>
      </c>
      <c r="AN232" s="1">
        <v>1</v>
      </c>
      <c r="AO232" s="1">
        <v>0</v>
      </c>
      <c r="AP232" s="1">
        <f t="shared" si="81"/>
        <v>4.6932325446393211E-2</v>
      </c>
      <c r="AQ232" s="1">
        <v>0</v>
      </c>
      <c r="AR232" s="1">
        <v>1</v>
      </c>
      <c r="AS232" s="1">
        <v>0</v>
      </c>
      <c r="AT232" s="1">
        <v>0</v>
      </c>
      <c r="AU232" s="4">
        <v>0</v>
      </c>
      <c r="AV232" s="4">
        <v>1</v>
      </c>
      <c r="AW232" s="1">
        <f t="shared" si="82"/>
        <v>9.5238095238095247E-3</v>
      </c>
      <c r="AX232" s="1">
        <f t="shared" si="83"/>
        <v>9.0702947845804991E-5</v>
      </c>
    </row>
    <row r="233" spans="1:50" x14ac:dyDescent="0.25">
      <c r="A233" s="1" t="s">
        <v>56</v>
      </c>
      <c r="B233" s="1">
        <v>2011</v>
      </c>
      <c r="C233" s="1">
        <f t="shared" si="84"/>
        <v>19</v>
      </c>
      <c r="D233" s="1" t="s">
        <v>24</v>
      </c>
      <c r="E233" s="1" t="s">
        <v>25</v>
      </c>
      <c r="F233" s="2">
        <v>-0.24479999999999999</v>
      </c>
      <c r="G233" s="3">
        <v>0.17860000000000001</v>
      </c>
      <c r="H233" s="1">
        <v>8</v>
      </c>
      <c r="I233" s="1">
        <v>1954</v>
      </c>
      <c r="J233" s="1">
        <f t="shared" si="72"/>
        <v>1946</v>
      </c>
      <c r="K233" s="1">
        <v>105</v>
      </c>
      <c r="L233" s="1">
        <v>1999</v>
      </c>
      <c r="M233" s="1">
        <v>2006</v>
      </c>
      <c r="N233" s="1">
        <f t="shared" si="87"/>
        <v>2002.5</v>
      </c>
      <c r="O233" s="1">
        <f t="shared" si="88"/>
        <v>8</v>
      </c>
      <c r="P233" s="1">
        <f t="shared" si="78"/>
        <v>2.0794415416798357</v>
      </c>
      <c r="Q233" s="1">
        <v>59</v>
      </c>
      <c r="R233" s="1">
        <v>0</v>
      </c>
      <c r="S233" s="1" t="s">
        <v>27</v>
      </c>
      <c r="T233" s="1">
        <f t="shared" si="89"/>
        <v>0</v>
      </c>
      <c r="U233" s="1">
        <v>1</v>
      </c>
      <c r="V233" s="1">
        <v>1</v>
      </c>
      <c r="W233" s="1">
        <v>1</v>
      </c>
      <c r="X233" s="1">
        <v>0</v>
      </c>
      <c r="Y233" s="1">
        <v>1</v>
      </c>
      <c r="Z233" s="1">
        <v>0</v>
      </c>
      <c r="AA233" s="1">
        <v>0</v>
      </c>
      <c r="AB233" s="1" t="s">
        <v>85</v>
      </c>
      <c r="AC233" s="1">
        <f t="shared" si="77"/>
        <v>1</v>
      </c>
      <c r="AD233" s="1">
        <f t="shared" si="73"/>
        <v>1</v>
      </c>
      <c r="AE233" s="1">
        <v>0</v>
      </c>
      <c r="AF233" s="1">
        <v>7.6063879999999999</v>
      </c>
      <c r="AG233" s="1">
        <v>4.0943449999999997</v>
      </c>
      <c r="AH233" s="1">
        <f t="shared" si="79"/>
        <v>-1.3706606942889137</v>
      </c>
      <c r="AI233" s="1">
        <f t="shared" si="80"/>
        <v>-3.1056249236573338E-2</v>
      </c>
      <c r="AJ233" s="1">
        <f t="shared" si="74"/>
        <v>2.2657868111323524E-2</v>
      </c>
      <c r="AK233" s="1">
        <f t="shared" si="75"/>
        <v>1947.8787107388687</v>
      </c>
      <c r="AL233" s="1">
        <f t="shared" si="76"/>
        <v>44.134778924776192</v>
      </c>
      <c r="AM233" s="1">
        <v>0</v>
      </c>
      <c r="AN233" s="1">
        <v>1</v>
      </c>
      <c r="AO233" s="1">
        <v>0</v>
      </c>
      <c r="AP233" s="1">
        <f t="shared" si="81"/>
        <v>2.2668802672263903E-2</v>
      </c>
      <c r="AQ233" s="1">
        <v>0</v>
      </c>
      <c r="AR233" s="1">
        <v>1</v>
      </c>
      <c r="AS233" s="1">
        <v>0</v>
      </c>
      <c r="AT233" s="1">
        <v>0</v>
      </c>
      <c r="AU233" s="4">
        <v>0</v>
      </c>
      <c r="AV233" s="4">
        <v>0</v>
      </c>
      <c r="AW233" s="1">
        <f t="shared" si="82"/>
        <v>9.5238095238095247E-3</v>
      </c>
      <c r="AX233" s="1">
        <f t="shared" si="83"/>
        <v>9.0702947845804991E-5</v>
      </c>
    </row>
    <row r="234" spans="1:50" x14ac:dyDescent="0.25">
      <c r="A234" s="1" t="s">
        <v>56</v>
      </c>
      <c r="B234" s="1">
        <v>2011</v>
      </c>
      <c r="C234" s="1">
        <f t="shared" si="84"/>
        <v>19</v>
      </c>
      <c r="D234" s="1" t="s">
        <v>24</v>
      </c>
      <c r="E234" s="1" t="s">
        <v>25</v>
      </c>
      <c r="F234" s="2">
        <v>0.16850000000000001</v>
      </c>
      <c r="G234" s="3">
        <v>0.13400000000000001</v>
      </c>
      <c r="H234" s="1">
        <v>8</v>
      </c>
      <c r="I234" s="1">
        <v>1954</v>
      </c>
      <c r="J234" s="1">
        <f t="shared" si="72"/>
        <v>1946</v>
      </c>
      <c r="K234" s="1">
        <v>105</v>
      </c>
      <c r="L234" s="1">
        <v>1999</v>
      </c>
      <c r="M234" s="1">
        <v>2006</v>
      </c>
      <c r="N234" s="1">
        <f t="shared" si="87"/>
        <v>2002.5</v>
      </c>
      <c r="O234" s="1">
        <f t="shared" si="88"/>
        <v>8</v>
      </c>
      <c r="P234" s="1">
        <f t="shared" si="78"/>
        <v>2.0794415416798357</v>
      </c>
      <c r="Q234" s="1">
        <v>59</v>
      </c>
      <c r="R234" s="1">
        <v>0</v>
      </c>
      <c r="S234" s="1" t="s">
        <v>27</v>
      </c>
      <c r="T234" s="1">
        <f t="shared" si="89"/>
        <v>0</v>
      </c>
      <c r="U234" s="1">
        <v>1</v>
      </c>
      <c r="V234" s="1">
        <v>1</v>
      </c>
      <c r="W234" s="1">
        <v>1</v>
      </c>
      <c r="X234" s="1">
        <v>0</v>
      </c>
      <c r="Y234" s="1">
        <v>1</v>
      </c>
      <c r="Z234" s="1">
        <v>0</v>
      </c>
      <c r="AA234" s="1">
        <v>0</v>
      </c>
      <c r="AB234" s="1" t="s">
        <v>85</v>
      </c>
      <c r="AC234" s="1">
        <f t="shared" si="77"/>
        <v>1</v>
      </c>
      <c r="AD234" s="1">
        <f t="shared" si="73"/>
        <v>1</v>
      </c>
      <c r="AE234" s="1">
        <v>0</v>
      </c>
      <c r="AF234" s="1">
        <v>7.6063879999999999</v>
      </c>
      <c r="AG234" s="1">
        <v>4.0943449999999997</v>
      </c>
      <c r="AH234" s="1">
        <f t="shared" si="79"/>
        <v>1.2574626865671641</v>
      </c>
      <c r="AI234" s="1">
        <f t="shared" si="80"/>
        <v>2.8493599695312465E-2</v>
      </c>
      <c r="AJ234" s="1">
        <f t="shared" si="74"/>
        <v>2.2659598570752941E-2</v>
      </c>
      <c r="AK234" s="1">
        <f t="shared" si="75"/>
        <v>1947.5812124081085</v>
      </c>
      <c r="AL234" s="1">
        <f t="shared" si="76"/>
        <v>44.131408457108058</v>
      </c>
      <c r="AM234" s="1">
        <v>0</v>
      </c>
      <c r="AN234" s="1">
        <v>1</v>
      </c>
      <c r="AO234" s="1">
        <v>0</v>
      </c>
      <c r="AP234" s="1">
        <f t="shared" si="81"/>
        <v>2.2668802672263903E-2</v>
      </c>
      <c r="AQ234" s="1">
        <v>0</v>
      </c>
      <c r="AR234" s="1">
        <v>1</v>
      </c>
      <c r="AS234" s="1">
        <v>0</v>
      </c>
      <c r="AT234" s="1">
        <v>0</v>
      </c>
      <c r="AU234" s="4">
        <v>1</v>
      </c>
      <c r="AV234" s="4">
        <v>0</v>
      </c>
      <c r="AW234" s="1">
        <f t="shared" si="82"/>
        <v>9.5238095238095247E-3</v>
      </c>
      <c r="AX234" s="1">
        <f t="shared" si="83"/>
        <v>9.0702947845804991E-5</v>
      </c>
    </row>
    <row r="235" spans="1:50" x14ac:dyDescent="0.25">
      <c r="A235" s="1" t="s">
        <v>56</v>
      </c>
      <c r="B235" s="1">
        <v>2011</v>
      </c>
      <c r="C235" s="1">
        <f t="shared" si="84"/>
        <v>19</v>
      </c>
      <c r="D235" s="1" t="s">
        <v>24</v>
      </c>
      <c r="E235" s="1" t="s">
        <v>25</v>
      </c>
      <c r="F235" s="2">
        <v>-3.6799999999999999E-2</v>
      </c>
      <c r="G235" s="3">
        <v>0.1479</v>
      </c>
      <c r="H235" s="1">
        <v>8</v>
      </c>
      <c r="I235" s="1">
        <v>1954</v>
      </c>
      <c r="J235" s="1">
        <f t="shared" si="72"/>
        <v>1946</v>
      </c>
      <c r="K235" s="1">
        <v>105</v>
      </c>
      <c r="L235" s="1">
        <v>1999</v>
      </c>
      <c r="M235" s="1">
        <v>2006</v>
      </c>
      <c r="N235" s="1">
        <f t="shared" si="87"/>
        <v>2002.5</v>
      </c>
      <c r="O235" s="1">
        <f t="shared" si="88"/>
        <v>8</v>
      </c>
      <c r="P235" s="1">
        <f t="shared" si="78"/>
        <v>2.0794415416798357</v>
      </c>
      <c r="Q235" s="1">
        <v>59</v>
      </c>
      <c r="R235" s="1">
        <v>0</v>
      </c>
      <c r="S235" s="1" t="s">
        <v>27</v>
      </c>
      <c r="T235" s="1">
        <f t="shared" si="89"/>
        <v>0</v>
      </c>
      <c r="U235" s="1">
        <v>1</v>
      </c>
      <c r="V235" s="1">
        <v>1</v>
      </c>
      <c r="W235" s="1">
        <v>1</v>
      </c>
      <c r="X235" s="1">
        <v>0</v>
      </c>
      <c r="Y235" s="1">
        <v>1</v>
      </c>
      <c r="Z235" s="1">
        <v>0</v>
      </c>
      <c r="AA235" s="1">
        <v>0</v>
      </c>
      <c r="AB235" s="1" t="s">
        <v>85</v>
      </c>
      <c r="AC235" s="1">
        <f t="shared" si="77"/>
        <v>1</v>
      </c>
      <c r="AD235" s="1">
        <f t="shared" si="73"/>
        <v>1</v>
      </c>
      <c r="AE235" s="1">
        <v>0</v>
      </c>
      <c r="AF235" s="1">
        <v>7.6063879999999999</v>
      </c>
      <c r="AG235" s="1">
        <v>4.0943449999999997</v>
      </c>
      <c r="AH235" s="1">
        <f t="shared" si="79"/>
        <v>-0.24881676808654496</v>
      </c>
      <c r="AI235" s="1">
        <f t="shared" si="80"/>
        <v>-5.6402884983254411E-3</v>
      </c>
      <c r="AJ235" s="1">
        <f t="shared" si="74"/>
        <v>2.2668442089737301E-2</v>
      </c>
      <c r="AK235" s="1">
        <f t="shared" si="75"/>
        <v>1946.0619097840813</v>
      </c>
      <c r="AL235" s="1">
        <f t="shared" si="76"/>
        <v>44.114191704984023</v>
      </c>
      <c r="AM235" s="1">
        <v>0</v>
      </c>
      <c r="AN235" s="1">
        <v>1</v>
      </c>
      <c r="AO235" s="1">
        <v>0</v>
      </c>
      <c r="AP235" s="1">
        <f t="shared" si="81"/>
        <v>2.2668802672263903E-2</v>
      </c>
      <c r="AQ235" s="1">
        <v>0</v>
      </c>
      <c r="AR235" s="1">
        <v>1</v>
      </c>
      <c r="AS235" s="1">
        <v>0</v>
      </c>
      <c r="AT235" s="1">
        <v>0</v>
      </c>
      <c r="AU235" s="4">
        <v>0</v>
      </c>
      <c r="AV235" s="4">
        <v>1</v>
      </c>
      <c r="AW235" s="1">
        <f t="shared" si="82"/>
        <v>9.5238095238095247E-3</v>
      </c>
      <c r="AX235" s="1">
        <f t="shared" si="83"/>
        <v>9.0702947845804991E-5</v>
      </c>
    </row>
    <row r="236" spans="1:50" x14ac:dyDescent="0.25">
      <c r="A236" s="1" t="s">
        <v>56</v>
      </c>
      <c r="B236" s="1">
        <v>2011</v>
      </c>
      <c r="C236" s="1">
        <f t="shared" si="84"/>
        <v>19</v>
      </c>
      <c r="D236" s="1" t="s">
        <v>24</v>
      </c>
      <c r="E236" s="1" t="s">
        <v>25</v>
      </c>
      <c r="F236" s="2">
        <v>-0.20219999999999999</v>
      </c>
      <c r="G236" s="3">
        <v>0.14899999999999999</v>
      </c>
      <c r="H236" s="1">
        <v>8</v>
      </c>
      <c r="I236" s="1">
        <v>1959</v>
      </c>
      <c r="J236" s="1">
        <f t="shared" si="72"/>
        <v>1951</v>
      </c>
      <c r="K236" s="1">
        <v>105</v>
      </c>
      <c r="L236" s="1">
        <v>1999</v>
      </c>
      <c r="M236" s="1">
        <v>2006</v>
      </c>
      <c r="N236" s="1">
        <f t="shared" si="87"/>
        <v>2002.5</v>
      </c>
      <c r="O236" s="1">
        <f t="shared" si="88"/>
        <v>8</v>
      </c>
      <c r="P236" s="1">
        <f t="shared" si="78"/>
        <v>2.0794415416798357</v>
      </c>
      <c r="Q236" s="1">
        <v>59</v>
      </c>
      <c r="R236" s="1">
        <v>0</v>
      </c>
      <c r="S236" s="1" t="s">
        <v>27</v>
      </c>
      <c r="T236" s="1">
        <f t="shared" si="89"/>
        <v>0</v>
      </c>
      <c r="U236" s="1">
        <v>1</v>
      </c>
      <c r="V236" s="1">
        <v>1</v>
      </c>
      <c r="W236" s="1">
        <v>1</v>
      </c>
      <c r="X236" s="1">
        <v>0</v>
      </c>
      <c r="Y236" s="1">
        <v>1</v>
      </c>
      <c r="Z236" s="1">
        <v>0</v>
      </c>
      <c r="AA236" s="1">
        <v>0</v>
      </c>
      <c r="AB236" s="1" t="s">
        <v>85</v>
      </c>
      <c r="AC236" s="1">
        <f t="shared" si="77"/>
        <v>1</v>
      </c>
      <c r="AD236" s="1">
        <f t="shared" si="73"/>
        <v>1</v>
      </c>
      <c r="AE236" s="1">
        <v>0</v>
      </c>
      <c r="AF236" s="1">
        <v>7.6063879999999999</v>
      </c>
      <c r="AG236" s="1">
        <v>4.0943449999999997</v>
      </c>
      <c r="AH236" s="1">
        <f t="shared" si="79"/>
        <v>-1.3570469798657718</v>
      </c>
      <c r="AI236" s="1">
        <f t="shared" si="80"/>
        <v>-3.0708696092980579E-2</v>
      </c>
      <c r="AJ236" s="1">
        <f t="shared" si="74"/>
        <v>2.2629058940920408E-2</v>
      </c>
      <c r="AK236" s="1">
        <f t="shared" si="75"/>
        <v>1952.8415765055629</v>
      </c>
      <c r="AL236" s="1">
        <f t="shared" si="76"/>
        <v>44.190967137024316</v>
      </c>
      <c r="AM236" s="1">
        <v>0</v>
      </c>
      <c r="AN236" s="1">
        <v>1</v>
      </c>
      <c r="AO236" s="1">
        <v>0</v>
      </c>
      <c r="AP236" s="1">
        <f t="shared" si="81"/>
        <v>2.2639736366332933E-2</v>
      </c>
      <c r="AQ236" s="1">
        <v>0</v>
      </c>
      <c r="AR236" s="1">
        <v>1</v>
      </c>
      <c r="AS236" s="1">
        <v>0</v>
      </c>
      <c r="AT236" s="1">
        <v>0</v>
      </c>
      <c r="AU236" s="4">
        <v>0</v>
      </c>
      <c r="AV236" s="4">
        <v>0</v>
      </c>
      <c r="AW236" s="1">
        <f t="shared" si="82"/>
        <v>9.5238095238095247E-3</v>
      </c>
      <c r="AX236" s="1">
        <f t="shared" si="83"/>
        <v>9.0702947845804991E-5</v>
      </c>
    </row>
    <row r="237" spans="1:50" x14ac:dyDescent="0.25">
      <c r="A237" s="1" t="s">
        <v>56</v>
      </c>
      <c r="B237" s="1">
        <v>2011</v>
      </c>
      <c r="C237" s="1">
        <f t="shared" si="84"/>
        <v>19</v>
      </c>
      <c r="D237" s="1" t="s">
        <v>24</v>
      </c>
      <c r="E237" s="1" t="s">
        <v>25</v>
      </c>
      <c r="F237" s="2">
        <v>0.37669999999999998</v>
      </c>
      <c r="G237" s="3">
        <v>0.2419</v>
      </c>
      <c r="H237" s="1">
        <v>8</v>
      </c>
      <c r="I237" s="1">
        <v>1959</v>
      </c>
      <c r="J237" s="1">
        <f t="shared" si="72"/>
        <v>1951</v>
      </c>
      <c r="K237" s="1">
        <v>105</v>
      </c>
      <c r="L237" s="1">
        <v>1999</v>
      </c>
      <c r="M237" s="1">
        <v>2006</v>
      </c>
      <c r="N237" s="1">
        <f t="shared" si="87"/>
        <v>2002.5</v>
      </c>
      <c r="O237" s="1">
        <f t="shared" si="88"/>
        <v>8</v>
      </c>
      <c r="P237" s="1">
        <f t="shared" si="78"/>
        <v>2.0794415416798357</v>
      </c>
      <c r="Q237" s="1">
        <v>59</v>
      </c>
      <c r="R237" s="1">
        <v>0</v>
      </c>
      <c r="S237" s="1" t="s">
        <v>27</v>
      </c>
      <c r="T237" s="1">
        <f t="shared" si="89"/>
        <v>0</v>
      </c>
      <c r="U237" s="1">
        <v>1</v>
      </c>
      <c r="V237" s="1">
        <v>1</v>
      </c>
      <c r="W237" s="1">
        <v>1</v>
      </c>
      <c r="X237" s="1">
        <v>0</v>
      </c>
      <c r="Y237" s="1">
        <v>1</v>
      </c>
      <c r="Z237" s="1">
        <v>0</v>
      </c>
      <c r="AA237" s="1">
        <v>0</v>
      </c>
      <c r="AB237" s="1" t="s">
        <v>85</v>
      </c>
      <c r="AC237" s="1">
        <f t="shared" si="77"/>
        <v>1</v>
      </c>
      <c r="AD237" s="1">
        <f t="shared" si="73"/>
        <v>1</v>
      </c>
      <c r="AE237" s="1">
        <v>0</v>
      </c>
      <c r="AF237" s="1">
        <v>7.6063879999999999</v>
      </c>
      <c r="AG237" s="1">
        <v>4.0943449999999997</v>
      </c>
      <c r="AH237" s="1">
        <f t="shared" si="79"/>
        <v>1.5572550640760643</v>
      </c>
      <c r="AI237" s="1">
        <f t="shared" si="80"/>
        <v>3.5233953452481565E-2</v>
      </c>
      <c r="AJ237" s="1">
        <f t="shared" si="74"/>
        <v>2.2625679161548423E-2</v>
      </c>
      <c r="AK237" s="1">
        <f t="shared" si="75"/>
        <v>1953.4250433345908</v>
      </c>
      <c r="AL237" s="1">
        <f t="shared" si="76"/>
        <v>44.197568296622279</v>
      </c>
      <c r="AM237" s="1">
        <v>0</v>
      </c>
      <c r="AN237" s="1">
        <v>1</v>
      </c>
      <c r="AO237" s="1">
        <v>0</v>
      </c>
      <c r="AP237" s="1">
        <f t="shared" si="81"/>
        <v>2.2639736366332933E-2</v>
      </c>
      <c r="AQ237" s="1">
        <v>0</v>
      </c>
      <c r="AR237" s="1">
        <v>1</v>
      </c>
      <c r="AS237" s="1">
        <v>0</v>
      </c>
      <c r="AT237" s="1">
        <v>0</v>
      </c>
      <c r="AU237" s="4">
        <v>1</v>
      </c>
      <c r="AV237" s="4">
        <v>0</v>
      </c>
      <c r="AW237" s="1">
        <f t="shared" si="82"/>
        <v>9.5238095238095247E-3</v>
      </c>
      <c r="AX237" s="1">
        <f t="shared" si="83"/>
        <v>9.0702947845804991E-5</v>
      </c>
    </row>
    <row r="238" spans="1:50" x14ac:dyDescent="0.25">
      <c r="A238" s="1" t="s">
        <v>56</v>
      </c>
      <c r="B238" s="1">
        <v>2011</v>
      </c>
      <c r="C238" s="1">
        <f t="shared" si="84"/>
        <v>19</v>
      </c>
      <c r="D238" s="1" t="s">
        <v>24</v>
      </c>
      <c r="E238" s="1" t="s">
        <v>25</v>
      </c>
      <c r="F238" s="2">
        <v>1.9099999999999999E-2</v>
      </c>
      <c r="G238" s="3">
        <v>9.4899999999999998E-2</v>
      </c>
      <c r="H238" s="1">
        <v>8</v>
      </c>
      <c r="I238" s="1">
        <v>1959</v>
      </c>
      <c r="J238" s="1">
        <f t="shared" ref="J238:J301" si="90">+I238-H238</f>
        <v>1951</v>
      </c>
      <c r="K238" s="1">
        <v>105</v>
      </c>
      <c r="L238" s="1">
        <v>1999</v>
      </c>
      <c r="M238" s="1">
        <v>2006</v>
      </c>
      <c r="N238" s="1">
        <f t="shared" si="87"/>
        <v>2002.5</v>
      </c>
      <c r="O238" s="1">
        <f t="shared" si="88"/>
        <v>8</v>
      </c>
      <c r="P238" s="1">
        <f t="shared" si="78"/>
        <v>2.0794415416798357</v>
      </c>
      <c r="Q238" s="1">
        <v>59</v>
      </c>
      <c r="R238" s="1">
        <v>0</v>
      </c>
      <c r="S238" s="1" t="s">
        <v>27</v>
      </c>
      <c r="T238" s="1">
        <f t="shared" si="89"/>
        <v>0</v>
      </c>
      <c r="U238" s="1">
        <v>1</v>
      </c>
      <c r="V238" s="1">
        <v>1</v>
      </c>
      <c r="W238" s="1">
        <v>1</v>
      </c>
      <c r="X238" s="1">
        <v>0</v>
      </c>
      <c r="Y238" s="1">
        <v>1</v>
      </c>
      <c r="Z238" s="1">
        <v>0</v>
      </c>
      <c r="AA238" s="1">
        <v>0</v>
      </c>
      <c r="AB238" s="1" t="s">
        <v>85</v>
      </c>
      <c r="AC238" s="1">
        <f t="shared" si="77"/>
        <v>1</v>
      </c>
      <c r="AD238" s="1">
        <f t="shared" ref="AD238:AD301" si="91">IF(AB238="USA",1,0)</f>
        <v>1</v>
      </c>
      <c r="AE238" s="1">
        <v>0</v>
      </c>
      <c r="AF238" s="1">
        <v>7.6063879999999999</v>
      </c>
      <c r="AG238" s="1">
        <v>4.0943449999999997</v>
      </c>
      <c r="AH238" s="1">
        <f t="shared" si="79"/>
        <v>0.2012644889357218</v>
      </c>
      <c r="AI238" s="1">
        <f t="shared" si="80"/>
        <v>4.5565276674859028E-3</v>
      </c>
      <c r="AJ238" s="1">
        <f t="shared" ref="AJ238:AJ301" si="92">+AI238/AH238</f>
        <v>2.2639501342639382E-2</v>
      </c>
      <c r="AK238" s="1">
        <f t="shared" ref="AK238:AK301" si="93">1/AJ238^2</f>
        <v>1951.040507394506</v>
      </c>
      <c r="AL238" s="1">
        <f t="shared" ref="AL238:AL301" si="94">1/AJ238</f>
        <v>44.170584186701745</v>
      </c>
      <c r="AM238" s="1">
        <v>0</v>
      </c>
      <c r="AN238" s="1">
        <v>1</v>
      </c>
      <c r="AO238" s="1">
        <v>0</v>
      </c>
      <c r="AP238" s="1">
        <f t="shared" si="81"/>
        <v>2.2639736366332933E-2</v>
      </c>
      <c r="AQ238" s="1">
        <v>0</v>
      </c>
      <c r="AR238" s="1">
        <v>1</v>
      </c>
      <c r="AS238" s="1">
        <v>0</v>
      </c>
      <c r="AT238" s="1">
        <v>0</v>
      </c>
      <c r="AU238" s="4">
        <v>0</v>
      </c>
      <c r="AV238" s="4">
        <v>1</v>
      </c>
      <c r="AW238" s="1">
        <f t="shared" si="82"/>
        <v>9.5238095238095247E-3</v>
      </c>
      <c r="AX238" s="1">
        <f t="shared" si="83"/>
        <v>9.0702947845804991E-5</v>
      </c>
    </row>
    <row r="239" spans="1:50" x14ac:dyDescent="0.25">
      <c r="A239" s="1" t="s">
        <v>56</v>
      </c>
      <c r="B239" s="1">
        <v>2011</v>
      </c>
      <c r="C239" s="1">
        <f t="shared" si="84"/>
        <v>19</v>
      </c>
      <c r="D239" s="1" t="s">
        <v>24</v>
      </c>
      <c r="E239" s="1" t="s">
        <v>25</v>
      </c>
      <c r="F239" s="2">
        <v>-0.1414</v>
      </c>
      <c r="G239" s="3">
        <v>0.30809999999999998</v>
      </c>
      <c r="H239" s="1">
        <v>8</v>
      </c>
      <c r="I239" s="1">
        <v>459</v>
      </c>
      <c r="J239" s="1">
        <f t="shared" si="90"/>
        <v>451</v>
      </c>
      <c r="K239" s="1">
        <v>105</v>
      </c>
      <c r="L239" s="1">
        <v>1999</v>
      </c>
      <c r="M239" s="1">
        <v>2006</v>
      </c>
      <c r="N239" s="1">
        <f t="shared" si="87"/>
        <v>2002.5</v>
      </c>
      <c r="O239" s="1">
        <f t="shared" si="88"/>
        <v>8</v>
      </c>
      <c r="P239" s="1">
        <f t="shared" si="78"/>
        <v>2.0794415416798357</v>
      </c>
      <c r="Q239" s="1">
        <v>59</v>
      </c>
      <c r="R239" s="1">
        <v>0</v>
      </c>
      <c r="S239" s="1" t="s">
        <v>27</v>
      </c>
      <c r="T239" s="1">
        <f t="shared" si="89"/>
        <v>0</v>
      </c>
      <c r="U239" s="1">
        <v>1</v>
      </c>
      <c r="V239" s="1">
        <v>1</v>
      </c>
      <c r="W239" s="1">
        <v>1</v>
      </c>
      <c r="X239" s="1">
        <v>0</v>
      </c>
      <c r="Y239" s="1">
        <v>1</v>
      </c>
      <c r="Z239" s="1">
        <v>0</v>
      </c>
      <c r="AA239" s="1">
        <v>0</v>
      </c>
      <c r="AB239" s="1" t="s">
        <v>85</v>
      </c>
      <c r="AC239" s="1">
        <f t="shared" si="77"/>
        <v>1</v>
      </c>
      <c r="AD239" s="1">
        <f t="shared" si="91"/>
        <v>1</v>
      </c>
      <c r="AE239" s="1">
        <v>0</v>
      </c>
      <c r="AF239" s="1">
        <v>7.6063879999999999</v>
      </c>
      <c r="AG239" s="1">
        <v>4.0943449999999997</v>
      </c>
      <c r="AH239" s="1">
        <f t="shared" si="79"/>
        <v>-0.45894190197987667</v>
      </c>
      <c r="AI239" s="1">
        <f t="shared" si="80"/>
        <v>-2.1605685545929725E-2</v>
      </c>
      <c r="AJ239" s="1">
        <f t="shared" si="92"/>
        <v>4.7077169142156636E-2</v>
      </c>
      <c r="AK239" s="1">
        <f t="shared" si="93"/>
        <v>451.21062766939286</v>
      </c>
      <c r="AL239" s="1">
        <f t="shared" si="94"/>
        <v>21.241719037530668</v>
      </c>
      <c r="AM239" s="1">
        <v>0</v>
      </c>
      <c r="AN239" s="1">
        <v>1</v>
      </c>
      <c r="AO239" s="1">
        <v>0</v>
      </c>
      <c r="AP239" s="1">
        <f t="shared" si="81"/>
        <v>4.7088160934801108E-2</v>
      </c>
      <c r="AQ239" s="1">
        <v>0</v>
      </c>
      <c r="AR239" s="1">
        <v>1</v>
      </c>
      <c r="AS239" s="1">
        <v>0</v>
      </c>
      <c r="AT239" s="1">
        <v>0</v>
      </c>
      <c r="AU239" s="4">
        <v>0</v>
      </c>
      <c r="AV239" s="4">
        <v>0</v>
      </c>
      <c r="AW239" s="1">
        <f t="shared" si="82"/>
        <v>9.5238095238095247E-3</v>
      </c>
      <c r="AX239" s="1">
        <f t="shared" si="83"/>
        <v>9.0702947845804991E-5</v>
      </c>
    </row>
    <row r="240" spans="1:50" x14ac:dyDescent="0.25">
      <c r="A240" s="1" t="s">
        <v>56</v>
      </c>
      <c r="B240" s="1">
        <v>2011</v>
      </c>
      <c r="C240" s="1">
        <f t="shared" si="84"/>
        <v>19</v>
      </c>
      <c r="D240" s="1" t="s">
        <v>24</v>
      </c>
      <c r="E240" s="1" t="s">
        <v>25</v>
      </c>
      <c r="F240" s="2">
        <v>0.1772</v>
      </c>
      <c r="G240" s="3">
        <v>0.2331</v>
      </c>
      <c r="H240" s="1">
        <v>8</v>
      </c>
      <c r="I240" s="1">
        <v>459</v>
      </c>
      <c r="J240" s="1">
        <f t="shared" si="90"/>
        <v>451</v>
      </c>
      <c r="K240" s="1">
        <v>105</v>
      </c>
      <c r="L240" s="1">
        <v>1999</v>
      </c>
      <c r="M240" s="1">
        <v>2006</v>
      </c>
      <c r="N240" s="1">
        <f t="shared" si="87"/>
        <v>2002.5</v>
      </c>
      <c r="O240" s="1">
        <f t="shared" si="88"/>
        <v>8</v>
      </c>
      <c r="P240" s="1">
        <f t="shared" si="78"/>
        <v>2.0794415416798357</v>
      </c>
      <c r="Q240" s="1">
        <v>59</v>
      </c>
      <c r="R240" s="1">
        <v>0</v>
      </c>
      <c r="S240" s="1" t="s">
        <v>27</v>
      </c>
      <c r="T240" s="1">
        <f t="shared" si="89"/>
        <v>0</v>
      </c>
      <c r="U240" s="1">
        <v>1</v>
      </c>
      <c r="V240" s="1">
        <v>1</v>
      </c>
      <c r="W240" s="1">
        <v>1</v>
      </c>
      <c r="X240" s="1">
        <v>0</v>
      </c>
      <c r="Y240" s="1">
        <v>1</v>
      </c>
      <c r="Z240" s="1">
        <v>0</v>
      </c>
      <c r="AA240" s="1">
        <v>0</v>
      </c>
      <c r="AB240" s="1" t="s">
        <v>85</v>
      </c>
      <c r="AC240" s="1">
        <f t="shared" si="77"/>
        <v>1</v>
      </c>
      <c r="AD240" s="1">
        <f t="shared" si="91"/>
        <v>1</v>
      </c>
      <c r="AE240" s="1">
        <v>0</v>
      </c>
      <c r="AF240" s="1">
        <v>7.6063879999999999</v>
      </c>
      <c r="AG240" s="1">
        <v>4.0943449999999997</v>
      </c>
      <c r="AH240" s="1">
        <f t="shared" si="79"/>
        <v>0.76018876018876014</v>
      </c>
      <c r="AI240" s="1">
        <f t="shared" si="80"/>
        <v>3.5772979239450102E-2</v>
      </c>
      <c r="AJ240" s="1">
        <f t="shared" si="92"/>
        <v>4.705802178733532E-2</v>
      </c>
      <c r="AK240" s="1">
        <f t="shared" si="93"/>
        <v>451.57788695111731</v>
      </c>
      <c r="AL240" s="1">
        <f t="shared" si="94"/>
        <v>21.250362042824523</v>
      </c>
      <c r="AM240" s="1">
        <v>0</v>
      </c>
      <c r="AN240" s="1">
        <v>1</v>
      </c>
      <c r="AO240" s="1">
        <v>0</v>
      </c>
      <c r="AP240" s="1">
        <f t="shared" si="81"/>
        <v>4.7088160934801108E-2</v>
      </c>
      <c r="AQ240" s="1">
        <v>0</v>
      </c>
      <c r="AR240" s="1">
        <v>1</v>
      </c>
      <c r="AS240" s="1">
        <v>0</v>
      </c>
      <c r="AT240" s="1">
        <v>0</v>
      </c>
      <c r="AU240" s="4">
        <v>1</v>
      </c>
      <c r="AV240" s="4">
        <v>0</v>
      </c>
      <c r="AW240" s="1">
        <f t="shared" si="82"/>
        <v>9.5238095238095247E-3</v>
      </c>
      <c r="AX240" s="1">
        <f t="shared" si="83"/>
        <v>9.0702947845804991E-5</v>
      </c>
    </row>
    <row r="241" spans="1:50" x14ac:dyDescent="0.25">
      <c r="A241" s="1" t="s">
        <v>56</v>
      </c>
      <c r="B241" s="1">
        <v>2011</v>
      </c>
      <c r="C241" s="1">
        <f t="shared" si="84"/>
        <v>19</v>
      </c>
      <c r="D241" s="1" t="s">
        <v>24</v>
      </c>
      <c r="E241" s="1" t="s">
        <v>25</v>
      </c>
      <c r="F241" s="2">
        <v>0.2412</v>
      </c>
      <c r="G241" s="3">
        <v>0.23050000000000001</v>
      </c>
      <c r="H241" s="1">
        <v>8</v>
      </c>
      <c r="I241" s="1">
        <v>459</v>
      </c>
      <c r="J241" s="1">
        <f t="shared" si="90"/>
        <v>451</v>
      </c>
      <c r="K241" s="1">
        <v>105</v>
      </c>
      <c r="L241" s="1">
        <v>1999</v>
      </c>
      <c r="M241" s="1">
        <v>2006</v>
      </c>
      <c r="N241" s="1">
        <f t="shared" si="87"/>
        <v>2002.5</v>
      </c>
      <c r="O241" s="1">
        <f t="shared" si="88"/>
        <v>8</v>
      </c>
      <c r="P241" s="1">
        <f t="shared" si="78"/>
        <v>2.0794415416798357</v>
      </c>
      <c r="Q241" s="1">
        <v>59</v>
      </c>
      <c r="R241" s="1">
        <v>0</v>
      </c>
      <c r="S241" s="1" t="s">
        <v>27</v>
      </c>
      <c r="T241" s="1">
        <f t="shared" si="89"/>
        <v>0</v>
      </c>
      <c r="U241" s="1">
        <v>1</v>
      </c>
      <c r="V241" s="1">
        <v>1</v>
      </c>
      <c r="W241" s="1">
        <v>1</v>
      </c>
      <c r="X241" s="1">
        <v>0</v>
      </c>
      <c r="Y241" s="1">
        <v>1</v>
      </c>
      <c r="Z241" s="1">
        <v>0</v>
      </c>
      <c r="AA241" s="1">
        <v>0</v>
      </c>
      <c r="AB241" s="1" t="s">
        <v>85</v>
      </c>
      <c r="AC241" s="1">
        <f t="shared" si="77"/>
        <v>1</v>
      </c>
      <c r="AD241" s="1">
        <f t="shared" si="91"/>
        <v>1</v>
      </c>
      <c r="AE241" s="1">
        <v>0</v>
      </c>
      <c r="AF241" s="1">
        <v>7.6063879999999999</v>
      </c>
      <c r="AG241" s="1">
        <v>4.0943449999999997</v>
      </c>
      <c r="AH241" s="1">
        <f t="shared" si="79"/>
        <v>1.0464208242950108</v>
      </c>
      <c r="AI241" s="1">
        <f t="shared" si="80"/>
        <v>4.9214323926996893E-2</v>
      </c>
      <c r="AJ241" s="1">
        <f t="shared" si="92"/>
        <v>4.7031101431064613E-2</v>
      </c>
      <c r="AK241" s="1">
        <f t="shared" si="93"/>
        <v>452.09499654151819</v>
      </c>
      <c r="AL241" s="1">
        <f t="shared" si="94"/>
        <v>21.26252563882095</v>
      </c>
      <c r="AM241" s="1">
        <v>0</v>
      </c>
      <c r="AN241" s="1">
        <v>1</v>
      </c>
      <c r="AO241" s="1">
        <v>0</v>
      </c>
      <c r="AP241" s="1">
        <f t="shared" si="81"/>
        <v>4.7088160934801108E-2</v>
      </c>
      <c r="AQ241" s="1">
        <v>0</v>
      </c>
      <c r="AR241" s="1">
        <v>1</v>
      </c>
      <c r="AS241" s="1">
        <v>0</v>
      </c>
      <c r="AT241" s="1">
        <v>0</v>
      </c>
      <c r="AU241" s="4">
        <v>0</v>
      </c>
      <c r="AV241" s="4">
        <v>1</v>
      </c>
      <c r="AW241" s="1">
        <f t="shared" si="82"/>
        <v>9.5238095238095247E-3</v>
      </c>
      <c r="AX241" s="1">
        <f t="shared" si="83"/>
        <v>9.0702947845804991E-5</v>
      </c>
    </row>
    <row r="242" spans="1:50" x14ac:dyDescent="0.25">
      <c r="A242" s="1" t="s">
        <v>56</v>
      </c>
      <c r="B242" s="1">
        <v>2011</v>
      </c>
      <c r="C242" s="1">
        <f t="shared" si="84"/>
        <v>19</v>
      </c>
      <c r="D242" s="1" t="s">
        <v>24</v>
      </c>
      <c r="E242" s="1" t="s">
        <v>25</v>
      </c>
      <c r="F242" s="2">
        <v>-0.28349999999999997</v>
      </c>
      <c r="G242" s="3">
        <v>0.18</v>
      </c>
      <c r="H242" s="1">
        <v>8</v>
      </c>
      <c r="I242" s="1">
        <v>465</v>
      </c>
      <c r="J242" s="1">
        <f t="shared" si="90"/>
        <v>457</v>
      </c>
      <c r="K242" s="1">
        <v>105</v>
      </c>
      <c r="L242" s="1">
        <v>1999</v>
      </c>
      <c r="M242" s="1">
        <v>2006</v>
      </c>
      <c r="N242" s="1">
        <f t="shared" si="87"/>
        <v>2002.5</v>
      </c>
      <c r="O242" s="1">
        <f t="shared" si="88"/>
        <v>8</v>
      </c>
      <c r="P242" s="1">
        <f t="shared" si="78"/>
        <v>2.0794415416798357</v>
      </c>
      <c r="Q242" s="1">
        <v>59</v>
      </c>
      <c r="R242" s="1">
        <v>0</v>
      </c>
      <c r="S242" s="1" t="s">
        <v>27</v>
      </c>
      <c r="T242" s="1">
        <f t="shared" si="89"/>
        <v>0</v>
      </c>
      <c r="U242" s="1">
        <v>1</v>
      </c>
      <c r="V242" s="1">
        <v>1</v>
      </c>
      <c r="W242" s="1">
        <v>1</v>
      </c>
      <c r="X242" s="1">
        <v>0</v>
      </c>
      <c r="Y242" s="1">
        <v>1</v>
      </c>
      <c r="Z242" s="1">
        <v>0</v>
      </c>
      <c r="AA242" s="1">
        <v>0</v>
      </c>
      <c r="AB242" s="1" t="s">
        <v>85</v>
      </c>
      <c r="AC242" s="1">
        <f t="shared" si="77"/>
        <v>1</v>
      </c>
      <c r="AD242" s="1">
        <f t="shared" si="91"/>
        <v>1</v>
      </c>
      <c r="AE242" s="1">
        <v>0</v>
      </c>
      <c r="AF242" s="1">
        <v>7.6063879999999999</v>
      </c>
      <c r="AG242" s="1">
        <v>4.0943449999999997</v>
      </c>
      <c r="AH242" s="1">
        <f t="shared" si="79"/>
        <v>-1.575</v>
      </c>
      <c r="AI242" s="1">
        <f t="shared" si="80"/>
        <v>-7.3476245499973364E-2</v>
      </c>
      <c r="AJ242" s="1">
        <f t="shared" si="92"/>
        <v>4.6651584444427532E-2</v>
      </c>
      <c r="AK242" s="1">
        <f t="shared" si="93"/>
        <v>459.48062499999997</v>
      </c>
      <c r="AL242" s="1">
        <f t="shared" si="94"/>
        <v>21.435499177765841</v>
      </c>
      <c r="AM242" s="1">
        <v>0</v>
      </c>
      <c r="AN242" s="1">
        <v>1</v>
      </c>
      <c r="AO242" s="1">
        <v>0</v>
      </c>
      <c r="AP242" s="1">
        <f t="shared" si="81"/>
        <v>4.6778026972498797E-2</v>
      </c>
      <c r="AQ242" s="1">
        <v>0</v>
      </c>
      <c r="AR242" s="1">
        <v>1</v>
      </c>
      <c r="AS242" s="1">
        <v>0</v>
      </c>
      <c r="AT242" s="1">
        <v>0</v>
      </c>
      <c r="AU242" s="4">
        <v>0</v>
      </c>
      <c r="AV242" s="4">
        <v>0</v>
      </c>
      <c r="AW242" s="1">
        <f t="shared" si="82"/>
        <v>9.5238095238095247E-3</v>
      </c>
      <c r="AX242" s="1">
        <f t="shared" si="83"/>
        <v>9.0702947845804991E-5</v>
      </c>
    </row>
    <row r="243" spans="1:50" x14ac:dyDescent="0.25">
      <c r="A243" s="1" t="s">
        <v>56</v>
      </c>
      <c r="B243" s="1">
        <v>2011</v>
      </c>
      <c r="C243" s="1">
        <f t="shared" si="84"/>
        <v>19</v>
      </c>
      <c r="D243" s="1" t="s">
        <v>24</v>
      </c>
      <c r="E243" s="1" t="s">
        <v>25</v>
      </c>
      <c r="F243" s="2">
        <v>3.73E-2</v>
      </c>
      <c r="G243" s="3">
        <v>0.13669999999999999</v>
      </c>
      <c r="H243" s="1">
        <v>8</v>
      </c>
      <c r="I243" s="1">
        <v>465</v>
      </c>
      <c r="J243" s="1">
        <f t="shared" si="90"/>
        <v>457</v>
      </c>
      <c r="K243" s="1">
        <v>105</v>
      </c>
      <c r="L243" s="1">
        <v>1999</v>
      </c>
      <c r="M243" s="1">
        <v>2006</v>
      </c>
      <c r="N243" s="1">
        <f t="shared" si="87"/>
        <v>2002.5</v>
      </c>
      <c r="O243" s="1">
        <f t="shared" si="88"/>
        <v>8</v>
      </c>
      <c r="P243" s="1">
        <f t="shared" si="78"/>
        <v>2.0794415416798357</v>
      </c>
      <c r="Q243" s="1">
        <v>59</v>
      </c>
      <c r="R243" s="1">
        <v>0</v>
      </c>
      <c r="S243" s="1" t="s">
        <v>27</v>
      </c>
      <c r="T243" s="1">
        <f t="shared" si="89"/>
        <v>0</v>
      </c>
      <c r="U243" s="1">
        <v>1</v>
      </c>
      <c r="V243" s="1">
        <v>1</v>
      </c>
      <c r="W243" s="1">
        <v>1</v>
      </c>
      <c r="X243" s="1">
        <v>0</v>
      </c>
      <c r="Y243" s="1">
        <v>1</v>
      </c>
      <c r="Z243" s="1">
        <v>0</v>
      </c>
      <c r="AA243" s="1">
        <v>0</v>
      </c>
      <c r="AB243" s="1" t="s">
        <v>85</v>
      </c>
      <c r="AC243" s="1">
        <f t="shared" si="77"/>
        <v>1</v>
      </c>
      <c r="AD243" s="1">
        <f t="shared" si="91"/>
        <v>1</v>
      </c>
      <c r="AE243" s="1">
        <v>0</v>
      </c>
      <c r="AF243" s="1">
        <v>7.6063879999999999</v>
      </c>
      <c r="AG243" s="1">
        <v>4.0943449999999997</v>
      </c>
      <c r="AH243" s="1">
        <f t="shared" si="79"/>
        <v>0.27286027798098028</v>
      </c>
      <c r="AI243" s="1">
        <f t="shared" si="80"/>
        <v>1.2762825849523847E-2</v>
      </c>
      <c r="AJ243" s="1">
        <f t="shared" si="92"/>
        <v>4.6774216987397046E-2</v>
      </c>
      <c r="AK243" s="1">
        <f t="shared" si="93"/>
        <v>457.0744527312998</v>
      </c>
      <c r="AL243" s="1">
        <f t="shared" si="94"/>
        <v>21.379299631449573</v>
      </c>
      <c r="AM243" s="1">
        <v>0</v>
      </c>
      <c r="AN243" s="1">
        <v>1</v>
      </c>
      <c r="AO243" s="1">
        <v>0</v>
      </c>
      <c r="AP243" s="1">
        <f t="shared" si="81"/>
        <v>4.6778026972498797E-2</v>
      </c>
      <c r="AQ243" s="1">
        <v>0</v>
      </c>
      <c r="AR243" s="1">
        <v>1</v>
      </c>
      <c r="AS243" s="1">
        <v>0</v>
      </c>
      <c r="AT243" s="1">
        <v>0</v>
      </c>
      <c r="AU243" s="4">
        <v>1</v>
      </c>
      <c r="AV243" s="4">
        <v>0</v>
      </c>
      <c r="AW243" s="1">
        <f t="shared" si="82"/>
        <v>9.5238095238095247E-3</v>
      </c>
      <c r="AX243" s="1">
        <f t="shared" si="83"/>
        <v>9.0702947845804991E-5</v>
      </c>
    </row>
    <row r="244" spans="1:50" x14ac:dyDescent="0.25">
      <c r="A244" s="1" t="s">
        <v>56</v>
      </c>
      <c r="B244" s="1">
        <v>2011</v>
      </c>
      <c r="C244" s="1">
        <f t="shared" si="84"/>
        <v>19</v>
      </c>
      <c r="D244" s="1" t="s">
        <v>24</v>
      </c>
      <c r="E244" s="1" t="s">
        <v>25</v>
      </c>
      <c r="F244" s="2">
        <v>0.17460000000000001</v>
      </c>
      <c r="G244" s="3">
        <v>0.14180000000000001</v>
      </c>
      <c r="H244" s="1">
        <v>8</v>
      </c>
      <c r="I244" s="1">
        <v>465</v>
      </c>
      <c r="J244" s="1">
        <f t="shared" si="90"/>
        <v>457</v>
      </c>
      <c r="K244" s="1">
        <v>105</v>
      </c>
      <c r="L244" s="1">
        <v>1999</v>
      </c>
      <c r="M244" s="1">
        <v>2006</v>
      </c>
      <c r="N244" s="1">
        <f t="shared" si="87"/>
        <v>2002.5</v>
      </c>
      <c r="O244" s="1">
        <f t="shared" si="88"/>
        <v>8</v>
      </c>
      <c r="P244" s="1">
        <f t="shared" si="78"/>
        <v>2.0794415416798357</v>
      </c>
      <c r="Q244" s="1">
        <v>59</v>
      </c>
      <c r="R244" s="1">
        <v>0</v>
      </c>
      <c r="S244" s="1" t="s">
        <v>27</v>
      </c>
      <c r="T244" s="1">
        <f t="shared" si="89"/>
        <v>0</v>
      </c>
      <c r="U244" s="1">
        <v>1</v>
      </c>
      <c r="V244" s="1">
        <v>1</v>
      </c>
      <c r="W244" s="1">
        <v>1</v>
      </c>
      <c r="X244" s="1">
        <v>0</v>
      </c>
      <c r="Y244" s="1">
        <v>1</v>
      </c>
      <c r="Z244" s="1">
        <v>0</v>
      </c>
      <c r="AA244" s="1">
        <v>0</v>
      </c>
      <c r="AB244" s="1" t="s">
        <v>85</v>
      </c>
      <c r="AC244" s="1">
        <f t="shared" si="77"/>
        <v>1</v>
      </c>
      <c r="AD244" s="1">
        <f t="shared" si="91"/>
        <v>1</v>
      </c>
      <c r="AE244" s="1">
        <v>0</v>
      </c>
      <c r="AF244" s="1">
        <v>7.6063879999999999</v>
      </c>
      <c r="AG244" s="1">
        <v>4.0943449999999997</v>
      </c>
      <c r="AH244" s="1">
        <f t="shared" si="79"/>
        <v>1.2313117066290549</v>
      </c>
      <c r="AI244" s="1">
        <f t="shared" si="80"/>
        <v>5.7503026108855E-2</v>
      </c>
      <c r="AJ244" s="1">
        <f t="shared" si="92"/>
        <v>4.6700624869619928E-2</v>
      </c>
      <c r="AK244" s="1">
        <f t="shared" si="93"/>
        <v>458.51612851888177</v>
      </c>
      <c r="AL244" s="1">
        <f t="shared" si="94"/>
        <v>21.41298971463074</v>
      </c>
      <c r="AM244" s="1">
        <v>0</v>
      </c>
      <c r="AN244" s="1">
        <v>1</v>
      </c>
      <c r="AO244" s="1">
        <v>0</v>
      </c>
      <c r="AP244" s="1">
        <f t="shared" si="81"/>
        <v>4.6778026972498797E-2</v>
      </c>
      <c r="AQ244" s="1">
        <v>0</v>
      </c>
      <c r="AR244" s="1">
        <v>1</v>
      </c>
      <c r="AS244" s="1">
        <v>0</v>
      </c>
      <c r="AT244" s="1">
        <v>0</v>
      </c>
      <c r="AU244" s="4">
        <v>0</v>
      </c>
      <c r="AV244" s="4">
        <v>1</v>
      </c>
      <c r="AW244" s="1">
        <f t="shared" si="82"/>
        <v>9.5238095238095247E-3</v>
      </c>
      <c r="AX244" s="1">
        <f t="shared" si="83"/>
        <v>9.0702947845804991E-5</v>
      </c>
    </row>
    <row r="245" spans="1:50" x14ac:dyDescent="0.25">
      <c r="A245" s="1" t="s">
        <v>38</v>
      </c>
      <c r="B245" s="1">
        <v>1975</v>
      </c>
      <c r="C245" s="1">
        <f t="shared" si="84"/>
        <v>20</v>
      </c>
      <c r="D245" s="1" t="s">
        <v>24</v>
      </c>
      <c r="E245" s="1" t="s">
        <v>25</v>
      </c>
      <c r="F245" s="2">
        <v>-1.7829999999999999</v>
      </c>
      <c r="G245" s="3">
        <v>0.44500000000000001</v>
      </c>
      <c r="H245" s="1">
        <v>4</v>
      </c>
      <c r="I245" s="1">
        <v>22</v>
      </c>
      <c r="J245" s="1">
        <f t="shared" si="90"/>
        <v>18</v>
      </c>
      <c r="K245" s="1">
        <v>2</v>
      </c>
      <c r="L245" s="5">
        <v>1927</v>
      </c>
      <c r="M245" s="1">
        <v>1972</v>
      </c>
      <c r="N245" s="1">
        <f>(1927+1931+1939+1947+1951+1955+1957+1958+1959+1960+1961+1962+1963+1964+1965+1966+1967+1968+1969+1970+1971+1972)/22</f>
        <v>1958.2727272727273</v>
      </c>
      <c r="O245" s="1">
        <v>22</v>
      </c>
      <c r="P245" s="1">
        <f t="shared" si="78"/>
        <v>3.0910424533583161</v>
      </c>
      <c r="Q245" s="1">
        <v>57</v>
      </c>
      <c r="R245" s="1">
        <v>0</v>
      </c>
      <c r="S245" s="1" t="s">
        <v>26</v>
      </c>
      <c r="T245" s="1">
        <f t="shared" si="89"/>
        <v>0</v>
      </c>
      <c r="U245" s="1">
        <v>0</v>
      </c>
      <c r="V245" s="1">
        <v>1</v>
      </c>
      <c r="W245" s="1">
        <v>0</v>
      </c>
      <c r="X245" s="1">
        <v>0</v>
      </c>
      <c r="Y245" s="1">
        <v>1</v>
      </c>
      <c r="Z245" s="1">
        <v>0</v>
      </c>
      <c r="AA245" s="1">
        <v>0</v>
      </c>
      <c r="AB245" s="1" t="s">
        <v>85</v>
      </c>
      <c r="AC245" s="1">
        <f t="shared" si="77"/>
        <v>1</v>
      </c>
      <c r="AD245" s="1">
        <f t="shared" si="91"/>
        <v>1</v>
      </c>
      <c r="AE245" s="1">
        <v>1</v>
      </c>
      <c r="AF245" s="1">
        <v>7.5883240000000001</v>
      </c>
      <c r="AG245" s="1">
        <v>4.0604430000000002</v>
      </c>
      <c r="AH245" s="1">
        <f t="shared" si="79"/>
        <v>-4.0067415730337075</v>
      </c>
      <c r="AI245" s="1">
        <f t="shared" si="80"/>
        <v>-0.68660570305172031</v>
      </c>
      <c r="AJ245" s="1">
        <f t="shared" si="92"/>
        <v>0.17136261237129308</v>
      </c>
      <c r="AK245" s="1">
        <f t="shared" si="93"/>
        <v>34.053978033076632</v>
      </c>
      <c r="AL245" s="1">
        <f t="shared" si="94"/>
        <v>5.8355786373826399</v>
      </c>
      <c r="AM245" s="1">
        <v>1</v>
      </c>
      <c r="AN245" s="1">
        <v>0</v>
      </c>
      <c r="AO245" s="1">
        <v>0</v>
      </c>
      <c r="AP245" s="1">
        <f t="shared" si="81"/>
        <v>0.23570226039551587</v>
      </c>
      <c r="AQ245" s="1">
        <v>1</v>
      </c>
      <c r="AR245" s="1">
        <v>0</v>
      </c>
      <c r="AS245" s="1">
        <v>0</v>
      </c>
      <c r="AT245" s="1">
        <v>0</v>
      </c>
      <c r="AU245" s="4">
        <v>1</v>
      </c>
      <c r="AV245" s="4">
        <v>0</v>
      </c>
      <c r="AW245" s="1">
        <f t="shared" si="82"/>
        <v>0.5</v>
      </c>
      <c r="AX245" s="1">
        <f t="shared" si="83"/>
        <v>0.25</v>
      </c>
    </row>
    <row r="246" spans="1:50" x14ac:dyDescent="0.25">
      <c r="A246" s="1" t="s">
        <v>38</v>
      </c>
      <c r="B246" s="1">
        <v>1975</v>
      </c>
      <c r="C246" s="1">
        <f t="shared" si="84"/>
        <v>20</v>
      </c>
      <c r="D246" s="1" t="s">
        <v>24</v>
      </c>
      <c r="E246" s="1" t="s">
        <v>25</v>
      </c>
      <c r="F246" s="2">
        <v>-0.71399999999999997</v>
      </c>
      <c r="G246" s="3">
        <v>0.53900000000000003</v>
      </c>
      <c r="H246" s="1">
        <v>4</v>
      </c>
      <c r="I246" s="1">
        <v>22</v>
      </c>
      <c r="J246" s="1">
        <f t="shared" si="90"/>
        <v>18</v>
      </c>
      <c r="K246" s="1">
        <v>2</v>
      </c>
      <c r="L246" s="1">
        <f>+L245</f>
        <v>1927</v>
      </c>
      <c r="M246" s="1">
        <f>+M245</f>
        <v>1972</v>
      </c>
      <c r="N246" s="1">
        <f>+N245</f>
        <v>1958.2727272727273</v>
      </c>
      <c r="O246" s="1">
        <v>22</v>
      </c>
      <c r="P246" s="1">
        <f t="shared" si="78"/>
        <v>3.0910424533583161</v>
      </c>
      <c r="Q246" s="1">
        <v>57</v>
      </c>
      <c r="R246" s="1">
        <v>0</v>
      </c>
      <c r="S246" s="1" t="s">
        <v>26</v>
      </c>
      <c r="T246" s="1">
        <f t="shared" si="89"/>
        <v>0</v>
      </c>
      <c r="U246" s="1">
        <v>0</v>
      </c>
      <c r="V246" s="1">
        <v>1</v>
      </c>
      <c r="W246" s="1">
        <v>0</v>
      </c>
      <c r="X246" s="1">
        <v>0</v>
      </c>
      <c r="Y246" s="1">
        <v>1</v>
      </c>
      <c r="Z246" s="1">
        <v>0</v>
      </c>
      <c r="AA246" s="1">
        <v>0</v>
      </c>
      <c r="AB246" s="1" t="s">
        <v>85</v>
      </c>
      <c r="AC246" s="1">
        <f t="shared" si="77"/>
        <v>1</v>
      </c>
      <c r="AD246" s="1">
        <f t="shared" si="91"/>
        <v>1</v>
      </c>
      <c r="AE246" s="1">
        <v>1</v>
      </c>
      <c r="AF246" s="1">
        <v>7.5883240000000001</v>
      </c>
      <c r="AG246" s="1">
        <v>4.0604430000000002</v>
      </c>
      <c r="AH246" s="1">
        <f t="shared" si="79"/>
        <v>-1.3246753246753245</v>
      </c>
      <c r="AI246" s="1">
        <f t="shared" si="80"/>
        <v>-0.29803928705498955</v>
      </c>
      <c r="AJ246" s="1">
        <f t="shared" si="92"/>
        <v>0.22499044218857059</v>
      </c>
      <c r="AK246" s="1">
        <f t="shared" si="93"/>
        <v>19.754764715803677</v>
      </c>
      <c r="AL246" s="1">
        <f t="shared" si="94"/>
        <v>4.4446332487398417</v>
      </c>
      <c r="AM246" s="1">
        <v>1</v>
      </c>
      <c r="AN246" s="1">
        <v>0</v>
      </c>
      <c r="AO246" s="1">
        <v>0</v>
      </c>
      <c r="AP246" s="1">
        <f t="shared" si="81"/>
        <v>0.23570226039551587</v>
      </c>
      <c r="AQ246" s="1">
        <v>1</v>
      </c>
      <c r="AR246" s="1">
        <v>0</v>
      </c>
      <c r="AS246" s="1">
        <v>0</v>
      </c>
      <c r="AT246" s="1">
        <v>0</v>
      </c>
      <c r="AU246" s="4">
        <v>0</v>
      </c>
      <c r="AV246" s="4">
        <v>1</v>
      </c>
      <c r="AW246" s="1">
        <f t="shared" si="82"/>
        <v>0.5</v>
      </c>
      <c r="AX246" s="1">
        <f t="shared" si="83"/>
        <v>0.25</v>
      </c>
    </row>
    <row r="247" spans="1:50" x14ac:dyDescent="0.25">
      <c r="A247" s="1" t="s">
        <v>65</v>
      </c>
      <c r="B247" s="1">
        <v>1990</v>
      </c>
      <c r="C247" s="1">
        <f t="shared" si="84"/>
        <v>21</v>
      </c>
      <c r="D247" s="1" t="s">
        <v>24</v>
      </c>
      <c r="E247" s="1" t="s">
        <v>25</v>
      </c>
      <c r="F247" s="2">
        <v>2.3519899999999998</v>
      </c>
      <c r="G247" s="3">
        <v>0.58505399999999996</v>
      </c>
      <c r="H247" s="1">
        <v>8</v>
      </c>
      <c r="I247" s="1">
        <v>34</v>
      </c>
      <c r="J247" s="1">
        <f t="shared" si="90"/>
        <v>26</v>
      </c>
      <c r="K247" s="1">
        <v>3</v>
      </c>
      <c r="L247" s="1">
        <v>1951</v>
      </c>
      <c r="M247" s="1">
        <v>1984</v>
      </c>
      <c r="N247" s="1">
        <f t="shared" ref="N247:N302" si="95">+L247+(M247-L247)/2</f>
        <v>1967.5</v>
      </c>
      <c r="O247" s="1">
        <f t="shared" ref="O247" si="96">+M247-L247+1</f>
        <v>34</v>
      </c>
      <c r="P247" s="1">
        <f t="shared" si="78"/>
        <v>3.5263605246161616</v>
      </c>
      <c r="Q247" s="1">
        <v>80</v>
      </c>
      <c r="R247" s="1">
        <v>8</v>
      </c>
      <c r="S247" s="1" t="s">
        <v>36</v>
      </c>
      <c r="T247" s="1">
        <f t="shared" si="89"/>
        <v>1</v>
      </c>
      <c r="U247" s="1">
        <v>1</v>
      </c>
      <c r="V247" s="1">
        <v>0</v>
      </c>
      <c r="W247" s="1">
        <v>0</v>
      </c>
      <c r="X247" s="1">
        <v>0</v>
      </c>
      <c r="Y247" s="1">
        <v>1</v>
      </c>
      <c r="Z247" s="1">
        <v>0</v>
      </c>
      <c r="AA247" s="1">
        <v>0</v>
      </c>
      <c r="AB247" s="1" t="s">
        <v>85</v>
      </c>
      <c r="AC247" s="1">
        <f t="shared" si="77"/>
        <v>1</v>
      </c>
      <c r="AD247" s="1">
        <f t="shared" si="91"/>
        <v>1</v>
      </c>
      <c r="AE247" s="1">
        <v>1</v>
      </c>
      <c r="AF247" s="1">
        <v>7.5958899999999998</v>
      </c>
      <c r="AG247" s="1">
        <v>4.3944489999999998</v>
      </c>
      <c r="AH247" s="1">
        <f t="shared" si="79"/>
        <v>4.020124638067597</v>
      </c>
      <c r="AI247" s="1">
        <f t="shared" si="80"/>
        <v>0.619130209643864</v>
      </c>
      <c r="AJ247" s="1">
        <f t="shared" si="92"/>
        <v>0.15400771502981783</v>
      </c>
      <c r="AK247" s="1">
        <f t="shared" si="93"/>
        <v>42.161402105598128</v>
      </c>
      <c r="AL247" s="1">
        <f t="shared" si="94"/>
        <v>6.4931812007365179</v>
      </c>
      <c r="AM247" s="1">
        <v>1</v>
      </c>
      <c r="AN247" s="1">
        <v>0</v>
      </c>
      <c r="AO247" s="1">
        <v>0</v>
      </c>
      <c r="AP247" s="1">
        <f t="shared" si="81"/>
        <v>0.19611613513818404</v>
      </c>
      <c r="AQ247" s="1">
        <v>0</v>
      </c>
      <c r="AR247" s="1">
        <v>0</v>
      </c>
      <c r="AS247" s="1">
        <v>0</v>
      </c>
      <c r="AT247" s="1">
        <v>0</v>
      </c>
      <c r="AU247" s="4">
        <v>0</v>
      </c>
      <c r="AV247" s="4">
        <v>1</v>
      </c>
      <c r="AW247" s="1">
        <f t="shared" si="82"/>
        <v>0.33333333333333331</v>
      </c>
      <c r="AX247" s="1">
        <f t="shared" si="83"/>
        <v>0.1111111111111111</v>
      </c>
    </row>
    <row r="248" spans="1:50" x14ac:dyDescent="0.25">
      <c r="A248" s="1" t="s">
        <v>65</v>
      </c>
      <c r="B248" s="1">
        <v>1990</v>
      </c>
      <c r="C248" s="1">
        <f t="shared" si="84"/>
        <v>21</v>
      </c>
      <c r="D248" s="1" t="s">
        <v>24</v>
      </c>
      <c r="E248" s="1" t="s">
        <v>25</v>
      </c>
      <c r="F248" s="2">
        <v>0.71227300000000004</v>
      </c>
      <c r="G248" s="3">
        <v>0.29423199999999999</v>
      </c>
      <c r="H248" s="1">
        <v>8</v>
      </c>
      <c r="I248" s="1">
        <v>34</v>
      </c>
      <c r="J248" s="1">
        <f t="shared" si="90"/>
        <v>26</v>
      </c>
      <c r="K248" s="1">
        <v>3</v>
      </c>
      <c r="L248" s="1">
        <v>1951</v>
      </c>
      <c r="M248" s="1">
        <v>1984</v>
      </c>
      <c r="N248" s="1">
        <f t="shared" ref="N248:N249" si="97">+L248+(M248-L248)/2</f>
        <v>1967.5</v>
      </c>
      <c r="O248" s="1">
        <f t="shared" ref="O248:O254" si="98">+M248-L248+1</f>
        <v>34</v>
      </c>
      <c r="P248" s="1">
        <f t="shared" si="78"/>
        <v>3.5263605246161616</v>
      </c>
      <c r="Q248" s="1">
        <v>80</v>
      </c>
      <c r="R248" s="1">
        <v>8</v>
      </c>
      <c r="S248" s="1" t="s">
        <v>36</v>
      </c>
      <c r="T248" s="1">
        <f t="shared" si="89"/>
        <v>1</v>
      </c>
      <c r="U248" s="1">
        <v>1</v>
      </c>
      <c r="V248" s="1">
        <v>0</v>
      </c>
      <c r="W248" s="1">
        <v>0</v>
      </c>
      <c r="X248" s="1">
        <v>0</v>
      </c>
      <c r="Y248" s="1">
        <v>1</v>
      </c>
      <c r="Z248" s="1">
        <v>0</v>
      </c>
      <c r="AA248" s="1">
        <v>0</v>
      </c>
      <c r="AB248" s="1" t="s">
        <v>85</v>
      </c>
      <c r="AC248" s="1">
        <f t="shared" si="77"/>
        <v>1</v>
      </c>
      <c r="AD248" s="1">
        <f t="shared" si="91"/>
        <v>1</v>
      </c>
      <c r="AE248" s="1">
        <v>1</v>
      </c>
      <c r="AF248" s="1">
        <v>7.5958899999999998</v>
      </c>
      <c r="AG248" s="1">
        <v>4.3944489999999998</v>
      </c>
      <c r="AH248" s="1">
        <f t="shared" si="79"/>
        <v>2.4207869980151719</v>
      </c>
      <c r="AI248" s="1">
        <f t="shared" si="80"/>
        <v>0.42887651301607527</v>
      </c>
      <c r="AJ248" s="1">
        <f t="shared" si="92"/>
        <v>0.17716408480701337</v>
      </c>
      <c r="AK248" s="1">
        <f t="shared" si="93"/>
        <v>31.860209689759309</v>
      </c>
      <c r="AL248" s="1">
        <f t="shared" si="94"/>
        <v>5.6444848914457468</v>
      </c>
      <c r="AM248" s="1">
        <v>1</v>
      </c>
      <c r="AN248" s="1">
        <v>0</v>
      </c>
      <c r="AO248" s="1">
        <v>0</v>
      </c>
      <c r="AP248" s="1">
        <f t="shared" si="81"/>
        <v>0.19611613513818404</v>
      </c>
      <c r="AQ248" s="1">
        <v>0</v>
      </c>
      <c r="AR248" s="1">
        <v>0</v>
      </c>
      <c r="AS248" s="1">
        <v>0</v>
      </c>
      <c r="AT248" s="1">
        <v>0</v>
      </c>
      <c r="AU248" s="4">
        <v>0</v>
      </c>
      <c r="AV248" s="4">
        <v>1</v>
      </c>
      <c r="AW248" s="1">
        <f t="shared" si="82"/>
        <v>0.33333333333333331</v>
      </c>
      <c r="AX248" s="1">
        <f t="shared" si="83"/>
        <v>0.1111111111111111</v>
      </c>
    </row>
    <row r="249" spans="1:50" x14ac:dyDescent="0.25">
      <c r="A249" s="1" t="s">
        <v>65</v>
      </c>
      <c r="B249" s="1">
        <v>1990</v>
      </c>
      <c r="C249" s="1">
        <f t="shared" si="84"/>
        <v>21</v>
      </c>
      <c r="D249" s="1" t="s">
        <v>24</v>
      </c>
      <c r="E249" s="1" t="s">
        <v>25</v>
      </c>
      <c r="F249" s="2">
        <v>1.15842</v>
      </c>
      <c r="G249" s="3">
        <v>0.45371400000000001</v>
      </c>
      <c r="H249" s="1">
        <v>8</v>
      </c>
      <c r="I249" s="1">
        <v>34</v>
      </c>
      <c r="J249" s="1">
        <f t="shared" si="90"/>
        <v>26</v>
      </c>
      <c r="K249" s="1">
        <v>3</v>
      </c>
      <c r="L249" s="1">
        <v>1951</v>
      </c>
      <c r="M249" s="1">
        <v>1984</v>
      </c>
      <c r="N249" s="1">
        <f t="shared" si="97"/>
        <v>1967.5</v>
      </c>
      <c r="O249" s="1">
        <f t="shared" si="98"/>
        <v>34</v>
      </c>
      <c r="P249" s="1">
        <f t="shared" si="78"/>
        <v>3.5263605246161616</v>
      </c>
      <c r="Q249" s="1">
        <v>80</v>
      </c>
      <c r="R249" s="1">
        <v>8</v>
      </c>
      <c r="S249" s="1" t="s">
        <v>36</v>
      </c>
      <c r="T249" s="1">
        <f t="shared" si="89"/>
        <v>1</v>
      </c>
      <c r="U249" s="1">
        <v>1</v>
      </c>
      <c r="V249" s="1">
        <v>0</v>
      </c>
      <c r="W249" s="1">
        <v>0</v>
      </c>
      <c r="X249" s="1">
        <v>0</v>
      </c>
      <c r="Y249" s="1">
        <v>1</v>
      </c>
      <c r="Z249" s="1">
        <v>0</v>
      </c>
      <c r="AA249" s="1">
        <v>0</v>
      </c>
      <c r="AB249" s="1" t="s">
        <v>85</v>
      </c>
      <c r="AC249" s="1">
        <f t="shared" si="77"/>
        <v>1</v>
      </c>
      <c r="AD249" s="1">
        <f t="shared" si="91"/>
        <v>1</v>
      </c>
      <c r="AE249" s="1">
        <v>1</v>
      </c>
      <c r="AF249" s="1">
        <v>7.5958899999999998</v>
      </c>
      <c r="AG249" s="1">
        <v>4.3944489999999998</v>
      </c>
      <c r="AH249" s="1">
        <f t="shared" si="79"/>
        <v>2.5531943030190827</v>
      </c>
      <c r="AI249" s="1">
        <f t="shared" si="80"/>
        <v>0.44773042105819943</v>
      </c>
      <c r="AJ249" s="1">
        <f t="shared" si="92"/>
        <v>0.17536088833065719</v>
      </c>
      <c r="AK249" s="1">
        <f t="shared" si="93"/>
        <v>32.518801148969089</v>
      </c>
      <c r="AL249" s="1">
        <f t="shared" si="94"/>
        <v>5.7025258569312154</v>
      </c>
      <c r="AM249" s="1">
        <v>1</v>
      </c>
      <c r="AN249" s="1">
        <v>0</v>
      </c>
      <c r="AO249" s="1">
        <v>0</v>
      </c>
      <c r="AP249" s="1">
        <f t="shared" si="81"/>
        <v>0.19611613513818404</v>
      </c>
      <c r="AQ249" s="1">
        <v>0</v>
      </c>
      <c r="AR249" s="1">
        <v>0</v>
      </c>
      <c r="AS249" s="1">
        <v>0</v>
      </c>
      <c r="AT249" s="1">
        <v>0</v>
      </c>
      <c r="AU249" s="4">
        <v>0</v>
      </c>
      <c r="AV249" s="4">
        <v>1</v>
      </c>
      <c r="AW249" s="1">
        <f t="shared" si="82"/>
        <v>0.33333333333333331</v>
      </c>
      <c r="AX249" s="1">
        <f t="shared" si="83"/>
        <v>0.1111111111111111</v>
      </c>
    </row>
    <row r="250" spans="1:50" x14ac:dyDescent="0.25">
      <c r="A250" s="1" t="s">
        <v>103</v>
      </c>
      <c r="B250" s="1">
        <v>1975</v>
      </c>
      <c r="C250" s="1">
        <f t="shared" si="84"/>
        <v>22</v>
      </c>
      <c r="D250" s="1" t="s">
        <v>24</v>
      </c>
      <c r="E250" s="1" t="s">
        <v>25</v>
      </c>
      <c r="F250" s="2">
        <v>-4.7E-2</v>
      </c>
      <c r="G250" s="3">
        <f>F250/AH250</f>
        <v>2.8484848484848488E-2</v>
      </c>
      <c r="H250" s="1">
        <v>3</v>
      </c>
      <c r="I250" s="1">
        <v>25</v>
      </c>
      <c r="J250" s="1">
        <f t="shared" si="90"/>
        <v>22</v>
      </c>
      <c r="K250" s="1">
        <v>4</v>
      </c>
      <c r="L250" s="1">
        <v>1948</v>
      </c>
      <c r="M250" s="1">
        <v>1972</v>
      </c>
      <c r="N250" s="1">
        <f t="shared" si="95"/>
        <v>1960</v>
      </c>
      <c r="O250" s="1">
        <f t="shared" si="98"/>
        <v>25</v>
      </c>
      <c r="P250" s="1">
        <f t="shared" si="78"/>
        <v>3.2188758248682006</v>
      </c>
      <c r="Q250" s="1">
        <v>3</v>
      </c>
      <c r="R250" s="1">
        <v>0</v>
      </c>
      <c r="S250" s="1" t="s">
        <v>26</v>
      </c>
      <c r="T250" s="1">
        <f t="shared" si="89"/>
        <v>0</v>
      </c>
      <c r="U250" s="1">
        <v>0</v>
      </c>
      <c r="V250" s="1">
        <v>1</v>
      </c>
      <c r="W250" s="1">
        <v>0</v>
      </c>
      <c r="X250" s="1">
        <v>0</v>
      </c>
      <c r="Y250" s="1">
        <v>0</v>
      </c>
      <c r="Z250" s="1">
        <v>1</v>
      </c>
      <c r="AA250" s="1">
        <v>0</v>
      </c>
      <c r="AB250" s="1" t="s">
        <v>85</v>
      </c>
      <c r="AC250" s="1">
        <f t="shared" si="77"/>
        <v>1</v>
      </c>
      <c r="AD250" s="1">
        <f t="shared" si="91"/>
        <v>1</v>
      </c>
      <c r="AE250" s="1">
        <v>1</v>
      </c>
      <c r="AF250" s="1">
        <v>7.5873100000000004</v>
      </c>
      <c r="AG250" s="1">
        <v>1.3862939999999999</v>
      </c>
      <c r="AH250" s="1">
        <v>-1.65</v>
      </c>
      <c r="AI250" s="1">
        <f t="shared" si="80"/>
        <v>-0.33184688965809339</v>
      </c>
      <c r="AJ250" s="1">
        <f t="shared" si="92"/>
        <v>0.20111932706551117</v>
      </c>
      <c r="AK250" s="1">
        <f t="shared" si="93"/>
        <v>24.722500000000004</v>
      </c>
      <c r="AL250" s="1">
        <f t="shared" si="94"/>
        <v>4.9721725633771001</v>
      </c>
      <c r="AM250" s="1">
        <v>1</v>
      </c>
      <c r="AN250" s="1">
        <v>0</v>
      </c>
      <c r="AO250" s="1">
        <v>0</v>
      </c>
      <c r="AP250" s="1">
        <f t="shared" si="81"/>
        <v>0.21320071635561041</v>
      </c>
      <c r="AQ250" s="1">
        <v>1</v>
      </c>
      <c r="AR250" s="1">
        <v>0</v>
      </c>
      <c r="AS250" s="1">
        <v>0</v>
      </c>
      <c r="AT250" s="1">
        <v>0</v>
      </c>
      <c r="AU250" s="4">
        <v>0</v>
      </c>
      <c r="AV250" s="4">
        <v>1</v>
      </c>
      <c r="AW250" s="1">
        <f t="shared" si="82"/>
        <v>0.25</v>
      </c>
      <c r="AX250" s="1">
        <f t="shared" si="83"/>
        <v>6.25E-2</v>
      </c>
    </row>
    <row r="251" spans="1:50" x14ac:dyDescent="0.25">
      <c r="A251" s="1" t="s">
        <v>103</v>
      </c>
      <c r="B251" s="1">
        <v>1975</v>
      </c>
      <c r="C251" s="1">
        <f t="shared" si="84"/>
        <v>22</v>
      </c>
      <c r="D251" s="1" t="s">
        <v>24</v>
      </c>
      <c r="E251" s="1" t="s">
        <v>25</v>
      </c>
      <c r="F251" s="2">
        <v>-0.14599999999999999</v>
      </c>
      <c r="G251" s="3">
        <f>F251/AH251</f>
        <v>5.7707509881422925E-2</v>
      </c>
      <c r="H251" s="1">
        <v>3</v>
      </c>
      <c r="I251" s="1">
        <v>14</v>
      </c>
      <c r="J251" s="1">
        <f t="shared" si="90"/>
        <v>11</v>
      </c>
      <c r="K251" s="1">
        <v>4</v>
      </c>
      <c r="L251" s="1">
        <v>1958</v>
      </c>
      <c r="M251" s="1">
        <v>1972</v>
      </c>
      <c r="N251" s="1">
        <f t="shared" si="95"/>
        <v>1965</v>
      </c>
      <c r="O251" s="1">
        <f t="shared" si="98"/>
        <v>15</v>
      </c>
      <c r="P251" s="1">
        <f t="shared" si="78"/>
        <v>2.7080502011022101</v>
      </c>
      <c r="Q251" s="1">
        <v>3</v>
      </c>
      <c r="R251" s="1">
        <v>0</v>
      </c>
      <c r="S251" s="1" t="s">
        <v>26</v>
      </c>
      <c r="T251" s="1">
        <f t="shared" si="89"/>
        <v>0</v>
      </c>
      <c r="U251" s="1">
        <v>0</v>
      </c>
      <c r="V251" s="1">
        <v>1</v>
      </c>
      <c r="W251" s="1">
        <v>0</v>
      </c>
      <c r="X251" s="1">
        <v>0</v>
      </c>
      <c r="Y251" s="1">
        <v>0</v>
      </c>
      <c r="Z251" s="1">
        <v>1</v>
      </c>
      <c r="AA251" s="1">
        <v>0</v>
      </c>
      <c r="AB251" s="1" t="s">
        <v>85</v>
      </c>
      <c r="AC251" s="1">
        <f t="shared" si="77"/>
        <v>1</v>
      </c>
      <c r="AD251" s="1">
        <f t="shared" si="91"/>
        <v>1</v>
      </c>
      <c r="AE251" s="1">
        <v>1</v>
      </c>
      <c r="AF251" s="1">
        <v>7.5873100000000004</v>
      </c>
      <c r="AG251" s="1">
        <v>1.3862939999999999</v>
      </c>
      <c r="AH251" s="1">
        <v>-2.5299999999999998</v>
      </c>
      <c r="AI251" s="1">
        <f t="shared" si="80"/>
        <v>-0.60650539109758261</v>
      </c>
      <c r="AJ251" s="1">
        <f t="shared" si="92"/>
        <v>0.23972545102671253</v>
      </c>
      <c r="AK251" s="1">
        <f t="shared" si="93"/>
        <v>17.4009</v>
      </c>
      <c r="AL251" s="1">
        <f t="shared" si="94"/>
        <v>4.1714386007707223</v>
      </c>
      <c r="AM251" s="1">
        <v>1</v>
      </c>
      <c r="AN251" s="1">
        <v>0</v>
      </c>
      <c r="AO251" s="1">
        <v>0</v>
      </c>
      <c r="AP251" s="1">
        <f t="shared" si="81"/>
        <v>0.30151134457776363</v>
      </c>
      <c r="AQ251" s="1">
        <v>1</v>
      </c>
      <c r="AR251" s="1">
        <v>0</v>
      </c>
      <c r="AS251" s="1">
        <v>0</v>
      </c>
      <c r="AT251" s="1">
        <v>0</v>
      </c>
      <c r="AU251" s="4">
        <v>0</v>
      </c>
      <c r="AV251" s="4">
        <v>1</v>
      </c>
      <c r="AW251" s="1">
        <f t="shared" si="82"/>
        <v>0.25</v>
      </c>
      <c r="AX251" s="1">
        <f t="shared" si="83"/>
        <v>6.25E-2</v>
      </c>
    </row>
    <row r="252" spans="1:50" x14ac:dyDescent="0.25">
      <c r="A252" s="1" t="s">
        <v>103</v>
      </c>
      <c r="B252" s="1">
        <v>1975</v>
      </c>
      <c r="C252" s="1">
        <f t="shared" si="84"/>
        <v>22</v>
      </c>
      <c r="D252" s="1" t="s">
        <v>24</v>
      </c>
      <c r="E252" s="1" t="s">
        <v>25</v>
      </c>
      <c r="F252" s="2">
        <v>-4.5499999999999999E-2</v>
      </c>
      <c r="G252" s="3">
        <f>F252/AH252</f>
        <v>0.1058139534883721</v>
      </c>
      <c r="H252" s="1">
        <v>3</v>
      </c>
      <c r="I252" s="1">
        <v>13</v>
      </c>
      <c r="J252" s="1">
        <f t="shared" si="90"/>
        <v>10</v>
      </c>
      <c r="K252" s="1">
        <v>4</v>
      </c>
      <c r="L252" s="1">
        <v>1958</v>
      </c>
      <c r="M252" s="1">
        <v>1972</v>
      </c>
      <c r="N252" s="1">
        <f t="shared" si="95"/>
        <v>1965</v>
      </c>
      <c r="O252" s="1">
        <f t="shared" si="98"/>
        <v>15</v>
      </c>
      <c r="P252" s="1">
        <f t="shared" si="78"/>
        <v>2.7080502011022101</v>
      </c>
      <c r="Q252" s="1">
        <v>3</v>
      </c>
      <c r="R252" s="1">
        <v>0</v>
      </c>
      <c r="S252" s="1" t="s">
        <v>26</v>
      </c>
      <c r="T252" s="1">
        <f t="shared" si="89"/>
        <v>0</v>
      </c>
      <c r="U252" s="1">
        <v>0</v>
      </c>
      <c r="V252" s="1">
        <v>1</v>
      </c>
      <c r="W252" s="1">
        <v>0</v>
      </c>
      <c r="X252" s="1">
        <v>0</v>
      </c>
      <c r="Y252" s="1">
        <v>0</v>
      </c>
      <c r="Z252" s="1">
        <v>1</v>
      </c>
      <c r="AA252" s="1">
        <v>0</v>
      </c>
      <c r="AB252" s="1" t="s">
        <v>85</v>
      </c>
      <c r="AC252" s="1">
        <f t="shared" si="77"/>
        <v>1</v>
      </c>
      <c r="AD252" s="1">
        <f t="shared" si="91"/>
        <v>1</v>
      </c>
      <c r="AE252" s="1">
        <v>1</v>
      </c>
      <c r="AF252" s="1">
        <v>7.5873100000000004</v>
      </c>
      <c r="AG252" s="1">
        <v>1.3862939999999999</v>
      </c>
      <c r="AH252" s="1">
        <v>-0.43</v>
      </c>
      <c r="AI252" s="1">
        <f t="shared" si="80"/>
        <v>-0.13473799205480338</v>
      </c>
      <c r="AJ252" s="1">
        <f t="shared" si="92"/>
        <v>0.31334416756931022</v>
      </c>
      <c r="AK252" s="1">
        <f t="shared" si="93"/>
        <v>10.184900000000001</v>
      </c>
      <c r="AL252" s="1">
        <f t="shared" si="94"/>
        <v>3.1913790122766681</v>
      </c>
      <c r="AM252" s="1">
        <v>1</v>
      </c>
      <c r="AN252" s="1">
        <v>0</v>
      </c>
      <c r="AO252" s="1">
        <v>0</v>
      </c>
      <c r="AP252" s="1">
        <f t="shared" si="81"/>
        <v>0.31622776601683794</v>
      </c>
      <c r="AQ252" s="1">
        <v>1</v>
      </c>
      <c r="AR252" s="1">
        <v>0</v>
      </c>
      <c r="AS252" s="1">
        <v>0</v>
      </c>
      <c r="AT252" s="1">
        <v>0</v>
      </c>
      <c r="AU252" s="4">
        <v>0</v>
      </c>
      <c r="AV252" s="4">
        <v>1</v>
      </c>
      <c r="AW252" s="1">
        <f t="shared" si="82"/>
        <v>0.25</v>
      </c>
      <c r="AX252" s="1">
        <f t="shared" si="83"/>
        <v>6.25E-2</v>
      </c>
    </row>
    <row r="253" spans="1:50" x14ac:dyDescent="0.25">
      <c r="A253" s="1" t="s">
        <v>103</v>
      </c>
      <c r="B253" s="1">
        <v>1975</v>
      </c>
      <c r="C253" s="1">
        <f t="shared" si="84"/>
        <v>22</v>
      </c>
      <c r="D253" s="1" t="s">
        <v>24</v>
      </c>
      <c r="E253" s="1" t="s">
        <v>25</v>
      </c>
      <c r="F253" s="2">
        <v>-0.11899999999999999</v>
      </c>
      <c r="G253" s="3">
        <f>F253/AH253</f>
        <v>0.1202020202020202</v>
      </c>
      <c r="H253" s="1">
        <v>3</v>
      </c>
      <c r="I253" s="1">
        <v>11</v>
      </c>
      <c r="J253" s="1">
        <f t="shared" si="90"/>
        <v>8</v>
      </c>
      <c r="K253" s="1">
        <v>4</v>
      </c>
      <c r="L253" s="1">
        <v>1958</v>
      </c>
      <c r="M253" s="1">
        <v>1972</v>
      </c>
      <c r="N253" s="1">
        <f t="shared" si="95"/>
        <v>1965</v>
      </c>
      <c r="O253" s="1">
        <f t="shared" si="98"/>
        <v>15</v>
      </c>
      <c r="P253" s="1">
        <f t="shared" si="78"/>
        <v>2.7080502011022101</v>
      </c>
      <c r="Q253" s="1">
        <v>3</v>
      </c>
      <c r="R253" s="1">
        <v>0</v>
      </c>
      <c r="S253" s="1" t="s">
        <v>26</v>
      </c>
      <c r="T253" s="1">
        <f t="shared" si="89"/>
        <v>0</v>
      </c>
      <c r="U253" s="1">
        <v>0</v>
      </c>
      <c r="V253" s="1">
        <v>1</v>
      </c>
      <c r="W253" s="1">
        <v>0</v>
      </c>
      <c r="X253" s="1">
        <v>0</v>
      </c>
      <c r="Y253" s="1">
        <v>0</v>
      </c>
      <c r="Z253" s="1">
        <v>1</v>
      </c>
      <c r="AA253" s="1">
        <v>0</v>
      </c>
      <c r="AB253" s="1" t="s">
        <v>85</v>
      </c>
      <c r="AC253" s="1">
        <f t="shared" si="77"/>
        <v>1</v>
      </c>
      <c r="AD253" s="1">
        <f t="shared" si="91"/>
        <v>1</v>
      </c>
      <c r="AE253" s="1">
        <v>1</v>
      </c>
      <c r="AF253" s="1">
        <v>7.5873100000000004</v>
      </c>
      <c r="AG253" s="1">
        <v>1.3862939999999999</v>
      </c>
      <c r="AH253" s="1">
        <v>-0.99</v>
      </c>
      <c r="AI253" s="1">
        <f t="shared" si="80"/>
        <v>-0.3303654394655689</v>
      </c>
      <c r="AJ253" s="1">
        <f t="shared" si="92"/>
        <v>0.33370246410663523</v>
      </c>
      <c r="AK253" s="1">
        <f t="shared" si="93"/>
        <v>8.9801000000000002</v>
      </c>
      <c r="AL253" s="1">
        <f t="shared" si="94"/>
        <v>2.9966814979239955</v>
      </c>
      <c r="AM253" s="1">
        <v>1</v>
      </c>
      <c r="AN253" s="1">
        <v>0</v>
      </c>
      <c r="AO253" s="1">
        <v>0</v>
      </c>
      <c r="AP253" s="1">
        <f t="shared" si="81"/>
        <v>0.35355339059327373</v>
      </c>
      <c r="AQ253" s="1">
        <v>1</v>
      </c>
      <c r="AR253" s="1">
        <v>0</v>
      </c>
      <c r="AS253" s="1">
        <v>0</v>
      </c>
      <c r="AT253" s="1">
        <v>0</v>
      </c>
      <c r="AU253" s="4">
        <v>0</v>
      </c>
      <c r="AV253" s="4">
        <v>1</v>
      </c>
      <c r="AW253" s="1">
        <f t="shared" si="82"/>
        <v>0.25</v>
      </c>
      <c r="AX253" s="1">
        <f t="shared" si="83"/>
        <v>6.25E-2</v>
      </c>
    </row>
    <row r="254" spans="1:50" x14ac:dyDescent="0.25">
      <c r="A254" s="1" t="s">
        <v>68</v>
      </c>
      <c r="B254" s="1">
        <v>1996</v>
      </c>
      <c r="C254" s="1">
        <f t="shared" si="84"/>
        <v>23</v>
      </c>
      <c r="D254" s="1" t="s">
        <v>24</v>
      </c>
      <c r="E254" s="1" t="s">
        <v>25</v>
      </c>
      <c r="F254" s="2">
        <v>-0.254</v>
      </c>
      <c r="G254" s="3">
        <v>0.13663259817105899</v>
      </c>
      <c r="H254" s="1">
        <v>4</v>
      </c>
      <c r="I254" s="1">
        <v>27</v>
      </c>
      <c r="J254" s="1">
        <f t="shared" si="90"/>
        <v>23</v>
      </c>
      <c r="K254" s="1">
        <v>3</v>
      </c>
      <c r="L254" s="1">
        <v>1964</v>
      </c>
      <c r="M254" s="1">
        <v>1990</v>
      </c>
      <c r="N254" s="1">
        <f t="shared" si="95"/>
        <v>1977</v>
      </c>
      <c r="O254" s="1">
        <f t="shared" si="98"/>
        <v>27</v>
      </c>
      <c r="P254" s="1">
        <f t="shared" si="78"/>
        <v>3.2958368660043291</v>
      </c>
      <c r="Q254" s="1">
        <v>27</v>
      </c>
      <c r="R254" s="1">
        <v>0</v>
      </c>
      <c r="S254" s="1" t="s">
        <v>26</v>
      </c>
      <c r="T254" s="1">
        <f t="shared" si="89"/>
        <v>0</v>
      </c>
      <c r="U254" s="1">
        <v>1</v>
      </c>
      <c r="V254" s="1">
        <v>1</v>
      </c>
      <c r="W254" s="1">
        <v>0</v>
      </c>
      <c r="X254" s="1">
        <v>0</v>
      </c>
      <c r="Y254" s="1">
        <v>1</v>
      </c>
      <c r="Z254" s="1">
        <v>0</v>
      </c>
      <c r="AA254" s="1">
        <v>0</v>
      </c>
      <c r="AB254" s="1" t="s">
        <v>85</v>
      </c>
      <c r="AC254" s="1">
        <f t="shared" si="77"/>
        <v>1</v>
      </c>
      <c r="AD254" s="1">
        <f t="shared" si="91"/>
        <v>1</v>
      </c>
      <c r="AE254" s="1">
        <v>1</v>
      </c>
      <c r="AF254" s="1">
        <v>7.5989000000000004</v>
      </c>
      <c r="AG254" s="1">
        <v>3.3322050000000001</v>
      </c>
      <c r="AH254" s="1">
        <f>+F254/G254</f>
        <v>-1.8590000000000098</v>
      </c>
      <c r="AI254" s="1">
        <f t="shared" si="80"/>
        <v>-0.3614250714571598</v>
      </c>
      <c r="AJ254" s="1">
        <f t="shared" si="92"/>
        <v>0.19441908093445825</v>
      </c>
      <c r="AK254" s="1">
        <f t="shared" si="93"/>
        <v>26.455881000000037</v>
      </c>
      <c r="AL254" s="1">
        <f t="shared" si="94"/>
        <v>5.1435280693314036</v>
      </c>
      <c r="AM254" s="1">
        <v>1</v>
      </c>
      <c r="AN254" s="1">
        <v>0</v>
      </c>
      <c r="AO254" s="1">
        <v>0</v>
      </c>
      <c r="AP254" s="1">
        <f t="shared" si="81"/>
        <v>0.20851441405707477</v>
      </c>
      <c r="AQ254" s="1">
        <v>1</v>
      </c>
      <c r="AR254" s="1">
        <v>0</v>
      </c>
      <c r="AS254" s="1">
        <v>0</v>
      </c>
      <c r="AT254" s="1">
        <v>0</v>
      </c>
      <c r="AU254" s="4">
        <v>1</v>
      </c>
      <c r="AV254" s="4">
        <v>0</v>
      </c>
      <c r="AW254" s="1">
        <f t="shared" si="82"/>
        <v>0.33333333333333331</v>
      </c>
      <c r="AX254" s="1">
        <f t="shared" si="83"/>
        <v>0.1111111111111111</v>
      </c>
    </row>
    <row r="255" spans="1:50" x14ac:dyDescent="0.25">
      <c r="A255" s="1" t="s">
        <v>68</v>
      </c>
      <c r="B255" s="1">
        <v>1996</v>
      </c>
      <c r="C255" s="1">
        <f t="shared" si="84"/>
        <v>23</v>
      </c>
      <c r="D255" s="1" t="s">
        <v>24</v>
      </c>
      <c r="E255" s="1" t="s">
        <v>25</v>
      </c>
      <c r="F255" s="2">
        <v>-0.38900000000000001</v>
      </c>
      <c r="G255" s="3">
        <v>0.19068627450980299</v>
      </c>
      <c r="H255" s="1">
        <v>4</v>
      </c>
      <c r="I255" s="1">
        <v>27</v>
      </c>
      <c r="J255" s="1">
        <f t="shared" si="90"/>
        <v>23</v>
      </c>
      <c r="K255" s="1">
        <v>3</v>
      </c>
      <c r="L255" s="1">
        <v>1964</v>
      </c>
      <c r="M255" s="1">
        <v>1990</v>
      </c>
      <c r="N255" s="1">
        <f t="shared" ref="N255:N256" si="99">+L255+(M255-L255)/2</f>
        <v>1977</v>
      </c>
      <c r="O255" s="1">
        <f t="shared" ref="O255:O257" si="100">+M255-L255+1</f>
        <v>27</v>
      </c>
      <c r="P255" s="1">
        <f t="shared" si="78"/>
        <v>3.2958368660043291</v>
      </c>
      <c r="Q255" s="1">
        <v>27</v>
      </c>
      <c r="R255" s="1">
        <v>0</v>
      </c>
      <c r="S255" s="1" t="s">
        <v>26</v>
      </c>
      <c r="T255" s="1">
        <f t="shared" si="89"/>
        <v>0</v>
      </c>
      <c r="U255" s="1">
        <v>1</v>
      </c>
      <c r="V255" s="1">
        <v>1</v>
      </c>
      <c r="W255" s="1">
        <v>0</v>
      </c>
      <c r="X255" s="1">
        <v>1</v>
      </c>
      <c r="Y255" s="1">
        <v>0</v>
      </c>
      <c r="Z255" s="1">
        <v>0</v>
      </c>
      <c r="AA255" s="1">
        <v>0</v>
      </c>
      <c r="AB255" s="1" t="s">
        <v>85</v>
      </c>
      <c r="AC255" s="1">
        <f t="shared" si="77"/>
        <v>1</v>
      </c>
      <c r="AD255" s="1">
        <f t="shared" si="91"/>
        <v>1</v>
      </c>
      <c r="AE255" s="1">
        <v>1</v>
      </c>
      <c r="AF255" s="1">
        <v>7.5989000000000004</v>
      </c>
      <c r="AG255" s="1">
        <v>3.3322050000000001</v>
      </c>
      <c r="AH255" s="1">
        <f>+F255/G255</f>
        <v>-2.0400000000000098</v>
      </c>
      <c r="AI255" s="1">
        <f t="shared" si="80"/>
        <v>-0.39142854440151853</v>
      </c>
      <c r="AJ255" s="1">
        <f t="shared" si="92"/>
        <v>0.19187673745172384</v>
      </c>
      <c r="AK255" s="1">
        <f t="shared" si="93"/>
        <v>27.161600000000035</v>
      </c>
      <c r="AL255" s="1">
        <f t="shared" si="94"/>
        <v>5.2116791919687495</v>
      </c>
      <c r="AM255" s="1">
        <v>1</v>
      </c>
      <c r="AN255" s="1">
        <v>0</v>
      </c>
      <c r="AO255" s="1">
        <v>0</v>
      </c>
      <c r="AP255" s="1">
        <f t="shared" si="81"/>
        <v>0.20851441405707477</v>
      </c>
      <c r="AQ255" s="1">
        <v>1</v>
      </c>
      <c r="AR255" s="1">
        <v>0</v>
      </c>
      <c r="AS255" s="1">
        <v>0</v>
      </c>
      <c r="AT255" s="1">
        <v>0</v>
      </c>
      <c r="AU255" s="4">
        <v>1</v>
      </c>
      <c r="AV255" s="4">
        <v>0</v>
      </c>
      <c r="AW255" s="1">
        <f t="shared" si="82"/>
        <v>0.33333333333333331</v>
      </c>
      <c r="AX255" s="1">
        <f t="shared" si="83"/>
        <v>0.1111111111111111</v>
      </c>
    </row>
    <row r="256" spans="1:50" x14ac:dyDescent="0.25">
      <c r="A256" s="1" t="s">
        <v>68</v>
      </c>
      <c r="B256" s="1">
        <v>1996</v>
      </c>
      <c r="C256" s="1">
        <f t="shared" si="84"/>
        <v>23</v>
      </c>
      <c r="D256" s="1" t="s">
        <v>24</v>
      </c>
      <c r="E256" s="1" t="s">
        <v>25</v>
      </c>
      <c r="F256" s="2">
        <v>-0.99</v>
      </c>
      <c r="G256" s="3">
        <v>0.36734693877551</v>
      </c>
      <c r="H256" s="1">
        <v>4</v>
      </c>
      <c r="I256" s="1">
        <v>27</v>
      </c>
      <c r="J256" s="1">
        <f t="shared" si="90"/>
        <v>23</v>
      </c>
      <c r="K256" s="1">
        <v>3</v>
      </c>
      <c r="L256" s="1">
        <v>1964</v>
      </c>
      <c r="M256" s="1">
        <v>1990</v>
      </c>
      <c r="N256" s="1">
        <f t="shared" si="99"/>
        <v>1977</v>
      </c>
      <c r="O256" s="1">
        <f t="shared" si="100"/>
        <v>27</v>
      </c>
      <c r="P256" s="1">
        <f t="shared" si="78"/>
        <v>3.2958368660043291</v>
      </c>
      <c r="Q256" s="1">
        <v>27</v>
      </c>
      <c r="R256" s="1">
        <v>0</v>
      </c>
      <c r="S256" s="1" t="s">
        <v>26</v>
      </c>
      <c r="T256" s="1">
        <f t="shared" si="89"/>
        <v>0</v>
      </c>
      <c r="U256" s="1">
        <v>1</v>
      </c>
      <c r="V256" s="1">
        <v>1</v>
      </c>
      <c r="W256" s="1">
        <v>0</v>
      </c>
      <c r="X256" s="1">
        <v>0</v>
      </c>
      <c r="Y256" s="1">
        <v>0</v>
      </c>
      <c r="Z256" s="1">
        <v>0</v>
      </c>
      <c r="AA256" s="1">
        <v>1</v>
      </c>
      <c r="AB256" s="1" t="s">
        <v>85</v>
      </c>
      <c r="AC256" s="1">
        <f t="shared" ref="AC256:AC319" si="101">IF(AB256="USA",1,IF(AB256="UK",2,IF(AB256="Canada",3,IF(AB256="Germany",4,IF(AB256="Netherlands",5,IF(AB256="India",20,IF(AB256="Indonesia",7,IF(AB256="Korea",8,IF(AB256="Philippines",9,IF(AB256="Taiwan",10,IF(AB256="Greece",11,IF(AB256="Iran",12,IF(AB256="Israel",13,IF(AB256="Kuwait",14,IF(AB256="Lebanon",15,IF(AB256="Saudi Arabia",16,IF(AB256="Turkey",17,IF(AB256="Ethiopia",18,IF(AB256="Kenya",19,IF(AB256="Nigeria",20,IF(AB256="Multinational",6,"")))))))))))))))))))))</f>
        <v>1</v>
      </c>
      <c r="AD256" s="1">
        <f t="shared" si="91"/>
        <v>1</v>
      </c>
      <c r="AE256" s="1">
        <v>1</v>
      </c>
      <c r="AF256" s="1">
        <v>7.5989000000000004</v>
      </c>
      <c r="AG256" s="1">
        <v>3.3322050000000001</v>
      </c>
      <c r="AH256" s="1">
        <f>+F256/G256</f>
        <v>-2.6950000000000016</v>
      </c>
      <c r="AI256" s="1">
        <f t="shared" si="80"/>
        <v>-0.48989454231909985</v>
      </c>
      <c r="AJ256" s="1">
        <f t="shared" si="92"/>
        <v>0.1817790509532837</v>
      </c>
      <c r="AK256" s="1">
        <f t="shared" si="93"/>
        <v>30.263025000000006</v>
      </c>
      <c r="AL256" s="1">
        <f t="shared" si="94"/>
        <v>5.5011839634754995</v>
      </c>
      <c r="AM256" s="1">
        <v>1</v>
      </c>
      <c r="AN256" s="1">
        <v>0</v>
      </c>
      <c r="AO256" s="1">
        <v>0</v>
      </c>
      <c r="AP256" s="1">
        <f t="shared" si="81"/>
        <v>0.20851441405707477</v>
      </c>
      <c r="AQ256" s="1">
        <v>1</v>
      </c>
      <c r="AR256" s="1">
        <v>0</v>
      </c>
      <c r="AS256" s="1">
        <v>0</v>
      </c>
      <c r="AT256" s="1">
        <v>0</v>
      </c>
      <c r="AU256" s="4">
        <v>1</v>
      </c>
      <c r="AV256" s="4">
        <v>0</v>
      </c>
      <c r="AW256" s="1">
        <f t="shared" si="82"/>
        <v>0.33333333333333331</v>
      </c>
      <c r="AX256" s="1">
        <f t="shared" si="83"/>
        <v>0.1111111111111111</v>
      </c>
    </row>
    <row r="257" spans="1:50" x14ac:dyDescent="0.25">
      <c r="A257" s="1" t="s">
        <v>53</v>
      </c>
      <c r="B257" s="1">
        <v>1986</v>
      </c>
      <c r="C257" s="1">
        <f t="shared" si="84"/>
        <v>24</v>
      </c>
      <c r="D257" s="1" t="s">
        <v>24</v>
      </c>
      <c r="E257" s="1" t="s">
        <v>25</v>
      </c>
      <c r="F257" s="2">
        <v>-3.7000000000000002E-6</v>
      </c>
      <c r="G257" s="3">
        <f t="shared" ref="G257:G262" si="102">+F257/AH257</f>
        <v>3.3636363636363636E-5</v>
      </c>
      <c r="H257" s="1">
        <v>6</v>
      </c>
      <c r="I257" s="1">
        <v>31</v>
      </c>
      <c r="J257" s="1">
        <f t="shared" si="90"/>
        <v>25</v>
      </c>
      <c r="K257" s="1">
        <v>6</v>
      </c>
      <c r="L257" s="1">
        <v>1950</v>
      </c>
      <c r="M257" s="1">
        <v>1982</v>
      </c>
      <c r="N257" s="1">
        <f t="shared" si="95"/>
        <v>1966</v>
      </c>
      <c r="O257" s="1">
        <f t="shared" si="100"/>
        <v>33</v>
      </c>
      <c r="P257" s="1">
        <f t="shared" ref="P257:P320" si="103">+LN(O256:O257)</f>
        <v>3.4965075614664802</v>
      </c>
      <c r="Q257" s="1">
        <v>24</v>
      </c>
      <c r="R257" s="1">
        <v>0</v>
      </c>
      <c r="S257" s="1" t="s">
        <v>43</v>
      </c>
      <c r="T257" s="1">
        <f t="shared" si="89"/>
        <v>0</v>
      </c>
      <c r="U257" s="1">
        <v>0</v>
      </c>
      <c r="V257" s="1">
        <v>1</v>
      </c>
      <c r="W257" s="1">
        <v>1</v>
      </c>
      <c r="X257" s="1">
        <v>0</v>
      </c>
      <c r="Y257" s="1">
        <v>1</v>
      </c>
      <c r="Z257" s="1">
        <v>0</v>
      </c>
      <c r="AA257" s="1">
        <v>0</v>
      </c>
      <c r="AB257" s="1" t="s">
        <v>89</v>
      </c>
      <c r="AC257" s="1">
        <f t="shared" si="101"/>
        <v>5</v>
      </c>
      <c r="AD257" s="1">
        <f t="shared" si="91"/>
        <v>0</v>
      </c>
      <c r="AE257" s="1">
        <v>1</v>
      </c>
      <c r="AF257" s="1">
        <v>7.5938780000000001</v>
      </c>
      <c r="AG257" s="1">
        <v>3.2188759999999998</v>
      </c>
      <c r="AH257" s="1">
        <v>-0.11</v>
      </c>
      <c r="AI257" s="1">
        <f t="shared" si="80"/>
        <v>-2.1994677931832844E-2</v>
      </c>
      <c r="AJ257" s="1">
        <f t="shared" si="92"/>
        <v>0.19995161756211677</v>
      </c>
      <c r="AK257" s="1">
        <f t="shared" si="93"/>
        <v>25.0121</v>
      </c>
      <c r="AL257" s="1">
        <f t="shared" si="94"/>
        <v>5.0012098536254204</v>
      </c>
      <c r="AM257" s="1">
        <v>1</v>
      </c>
      <c r="AN257" s="1">
        <v>0</v>
      </c>
      <c r="AO257" s="1">
        <v>0</v>
      </c>
      <c r="AP257" s="1">
        <f t="shared" si="81"/>
        <v>0.2</v>
      </c>
      <c r="AQ257" s="1">
        <v>0</v>
      </c>
      <c r="AR257" s="1">
        <v>0</v>
      </c>
      <c r="AS257" s="1">
        <v>1</v>
      </c>
      <c r="AT257" s="1">
        <v>0</v>
      </c>
      <c r="AU257" s="4">
        <v>0</v>
      </c>
      <c r="AV257" s="4">
        <v>0</v>
      </c>
      <c r="AW257" s="1">
        <f t="shared" si="82"/>
        <v>0.16666666666666666</v>
      </c>
      <c r="AX257" s="1">
        <f t="shared" si="83"/>
        <v>2.7777777777777776E-2</v>
      </c>
    </row>
    <row r="258" spans="1:50" x14ac:dyDescent="0.25">
      <c r="A258" s="1" t="s">
        <v>53</v>
      </c>
      <c r="B258" s="1">
        <v>1986</v>
      </c>
      <c r="C258" s="1">
        <f t="shared" si="84"/>
        <v>24</v>
      </c>
      <c r="D258" s="1" t="s">
        <v>24</v>
      </c>
      <c r="E258" s="1" t="s">
        <v>25</v>
      </c>
      <c r="F258" s="2">
        <v>-1.8000000000000001E-4</v>
      </c>
      <c r="G258" s="3">
        <f t="shared" si="102"/>
        <v>1.1250000000000001E-3</v>
      </c>
      <c r="H258" s="1">
        <v>6</v>
      </c>
      <c r="I258" s="1">
        <v>31</v>
      </c>
      <c r="J258" s="1">
        <f t="shared" si="90"/>
        <v>25</v>
      </c>
      <c r="K258" s="1">
        <v>6</v>
      </c>
      <c r="L258" s="1">
        <v>1950</v>
      </c>
      <c r="M258" s="1">
        <v>1982</v>
      </c>
      <c r="N258" s="1">
        <f t="shared" ref="N258:N262" si="104">+L258+(M258-L258)/2</f>
        <v>1966</v>
      </c>
      <c r="O258" s="1">
        <f t="shared" ref="O258:O263" si="105">+M258-L258+1</f>
        <v>33</v>
      </c>
      <c r="P258" s="1">
        <f t="shared" si="103"/>
        <v>3.4965075614664802</v>
      </c>
      <c r="Q258" s="1">
        <v>24</v>
      </c>
      <c r="R258" s="1">
        <v>0</v>
      </c>
      <c r="S258" s="1" t="s">
        <v>43</v>
      </c>
      <c r="T258" s="1">
        <f t="shared" si="89"/>
        <v>0</v>
      </c>
      <c r="U258" s="1">
        <v>0</v>
      </c>
      <c r="V258" s="1">
        <v>1</v>
      </c>
      <c r="W258" s="1">
        <v>1</v>
      </c>
      <c r="X258" s="1">
        <v>1</v>
      </c>
      <c r="Y258" s="1">
        <v>0</v>
      </c>
      <c r="Z258" s="1">
        <v>0</v>
      </c>
      <c r="AA258" s="1">
        <v>0</v>
      </c>
      <c r="AB258" s="1" t="s">
        <v>89</v>
      </c>
      <c r="AC258" s="1">
        <f t="shared" si="101"/>
        <v>5</v>
      </c>
      <c r="AD258" s="1">
        <f t="shared" si="91"/>
        <v>0</v>
      </c>
      <c r="AE258" s="1">
        <v>1</v>
      </c>
      <c r="AF258" s="1">
        <v>7.5938780000000001</v>
      </c>
      <c r="AG258" s="1">
        <v>3.2188759999999998</v>
      </c>
      <c r="AH258" s="1">
        <v>-0.16</v>
      </c>
      <c r="AI258" s="1">
        <f t="shared" ref="AI258:AI321" si="106">AH258/SQRT(AH258^2+J258)</f>
        <v>-3.1983628572184196E-2</v>
      </c>
      <c r="AJ258" s="1">
        <f t="shared" si="92"/>
        <v>0.19989767857615123</v>
      </c>
      <c r="AK258" s="1">
        <f t="shared" si="93"/>
        <v>25.025599999999994</v>
      </c>
      <c r="AL258" s="1">
        <f t="shared" si="94"/>
        <v>5.0025593449753289</v>
      </c>
      <c r="AM258" s="1">
        <v>1</v>
      </c>
      <c r="AN258" s="1">
        <v>0</v>
      </c>
      <c r="AO258" s="1">
        <v>0</v>
      </c>
      <c r="AP258" s="1">
        <f t="shared" ref="AP258:AP321" si="107">1/SQRT(J258)</f>
        <v>0.2</v>
      </c>
      <c r="AQ258" s="1">
        <v>0</v>
      </c>
      <c r="AR258" s="1">
        <v>0</v>
      </c>
      <c r="AS258" s="1">
        <v>1</v>
      </c>
      <c r="AT258" s="1">
        <v>0</v>
      </c>
      <c r="AU258" s="4">
        <v>0</v>
      </c>
      <c r="AV258" s="4">
        <v>0</v>
      </c>
      <c r="AW258" s="1">
        <f t="shared" ref="AW258:AW321" si="108">1/K258</f>
        <v>0.16666666666666666</v>
      </c>
      <c r="AX258" s="1">
        <f t="shared" ref="AX258:AX321" si="109">1/(K258*K258)</f>
        <v>2.7777777777777776E-2</v>
      </c>
    </row>
    <row r="259" spans="1:50" x14ac:dyDescent="0.25">
      <c r="A259" s="1" t="s">
        <v>53</v>
      </c>
      <c r="B259" s="1">
        <v>1986</v>
      </c>
      <c r="C259" s="1">
        <f t="shared" si="84"/>
        <v>24</v>
      </c>
      <c r="D259" s="1" t="s">
        <v>24</v>
      </c>
      <c r="E259" s="1" t="s">
        <v>25</v>
      </c>
      <c r="F259" s="2">
        <v>-0.08</v>
      </c>
      <c r="G259" s="3">
        <f t="shared" si="102"/>
        <v>0.32</v>
      </c>
      <c r="H259" s="1">
        <v>6</v>
      </c>
      <c r="I259" s="1">
        <v>31</v>
      </c>
      <c r="J259" s="1">
        <f t="shared" si="90"/>
        <v>25</v>
      </c>
      <c r="K259" s="1">
        <v>6</v>
      </c>
      <c r="L259" s="1">
        <v>1950</v>
      </c>
      <c r="M259" s="1">
        <v>1982</v>
      </c>
      <c r="N259" s="1">
        <f t="shared" si="104"/>
        <v>1966</v>
      </c>
      <c r="O259" s="1">
        <f t="shared" si="105"/>
        <v>33</v>
      </c>
      <c r="P259" s="1">
        <f t="shared" si="103"/>
        <v>3.4965075614664802</v>
      </c>
      <c r="Q259" s="1">
        <v>24</v>
      </c>
      <c r="R259" s="1">
        <v>0</v>
      </c>
      <c r="S259" s="1" t="s">
        <v>43</v>
      </c>
      <c r="T259" s="1">
        <f t="shared" si="89"/>
        <v>0</v>
      </c>
      <c r="U259" s="1">
        <v>0</v>
      </c>
      <c r="V259" s="1">
        <v>1</v>
      </c>
      <c r="W259" s="1">
        <v>1</v>
      </c>
      <c r="X259" s="1">
        <v>0</v>
      </c>
      <c r="Y259" s="1">
        <v>0</v>
      </c>
      <c r="Z259" s="1">
        <v>0</v>
      </c>
      <c r="AA259" s="1">
        <v>1</v>
      </c>
      <c r="AB259" s="1" t="s">
        <v>89</v>
      </c>
      <c r="AC259" s="1">
        <f t="shared" si="101"/>
        <v>5</v>
      </c>
      <c r="AD259" s="1">
        <f t="shared" si="91"/>
        <v>0</v>
      </c>
      <c r="AE259" s="1">
        <v>1</v>
      </c>
      <c r="AF259" s="1">
        <v>7.5938780000000001</v>
      </c>
      <c r="AG259" s="1">
        <v>3.2188759999999998</v>
      </c>
      <c r="AH259" s="1">
        <v>-0.25</v>
      </c>
      <c r="AI259" s="1">
        <f t="shared" si="106"/>
        <v>-4.9937616943892232E-2</v>
      </c>
      <c r="AJ259" s="1">
        <f t="shared" si="92"/>
        <v>0.19975046777556893</v>
      </c>
      <c r="AK259" s="1">
        <f t="shared" si="93"/>
        <v>25.0625</v>
      </c>
      <c r="AL259" s="1">
        <f t="shared" si="94"/>
        <v>5.0062460986251969</v>
      </c>
      <c r="AM259" s="1">
        <v>1</v>
      </c>
      <c r="AN259" s="1">
        <v>0</v>
      </c>
      <c r="AO259" s="1">
        <v>0</v>
      </c>
      <c r="AP259" s="1">
        <f t="shared" si="107"/>
        <v>0.2</v>
      </c>
      <c r="AQ259" s="1">
        <v>0</v>
      </c>
      <c r="AR259" s="1">
        <v>0</v>
      </c>
      <c r="AS259" s="1">
        <v>1</v>
      </c>
      <c r="AT259" s="1">
        <v>0</v>
      </c>
      <c r="AU259" s="4">
        <v>0</v>
      </c>
      <c r="AV259" s="4">
        <v>0</v>
      </c>
      <c r="AW259" s="1">
        <f t="shared" si="108"/>
        <v>0.16666666666666666</v>
      </c>
      <c r="AX259" s="1">
        <f t="shared" si="109"/>
        <v>2.7777777777777776E-2</v>
      </c>
    </row>
    <row r="260" spans="1:50" x14ac:dyDescent="0.25">
      <c r="A260" s="1" t="s">
        <v>53</v>
      </c>
      <c r="B260" s="1">
        <v>1986</v>
      </c>
      <c r="C260" s="1">
        <f t="shared" ref="C260:C323" si="110">+IF(A260=A259,C259,C259+1)</f>
        <v>24</v>
      </c>
      <c r="D260" s="1" t="s">
        <v>24</v>
      </c>
      <c r="E260" s="1" t="s">
        <v>25</v>
      </c>
      <c r="F260" s="2">
        <v>1.9999999999999999E-6</v>
      </c>
      <c r="G260" s="3">
        <f t="shared" si="102"/>
        <v>3.3333333333333335E-5</v>
      </c>
      <c r="H260" s="1">
        <v>6</v>
      </c>
      <c r="I260" s="1">
        <v>31</v>
      </c>
      <c r="J260" s="1">
        <f t="shared" si="90"/>
        <v>25</v>
      </c>
      <c r="K260" s="1">
        <v>6</v>
      </c>
      <c r="L260" s="1">
        <v>1950</v>
      </c>
      <c r="M260" s="1">
        <v>1982</v>
      </c>
      <c r="N260" s="1">
        <f t="shared" si="104"/>
        <v>1966</v>
      </c>
      <c r="O260" s="1">
        <f t="shared" si="105"/>
        <v>33</v>
      </c>
      <c r="P260" s="1">
        <f t="shared" si="103"/>
        <v>3.4965075614664802</v>
      </c>
      <c r="Q260" s="1">
        <v>24</v>
      </c>
      <c r="R260" s="1">
        <v>0</v>
      </c>
      <c r="S260" s="1" t="s">
        <v>43</v>
      </c>
      <c r="T260" s="1">
        <f t="shared" si="89"/>
        <v>0</v>
      </c>
      <c r="U260" s="1">
        <v>0</v>
      </c>
      <c r="V260" s="1">
        <v>1</v>
      </c>
      <c r="W260" s="1">
        <v>1</v>
      </c>
      <c r="X260" s="1">
        <v>0</v>
      </c>
      <c r="Y260" s="1">
        <v>1</v>
      </c>
      <c r="Z260" s="1">
        <v>0</v>
      </c>
      <c r="AA260" s="1">
        <v>0</v>
      </c>
      <c r="AB260" s="1" t="s">
        <v>89</v>
      </c>
      <c r="AC260" s="1">
        <f t="shared" si="101"/>
        <v>5</v>
      </c>
      <c r="AD260" s="1">
        <f t="shared" si="91"/>
        <v>0</v>
      </c>
      <c r="AE260" s="1">
        <v>1</v>
      </c>
      <c r="AF260" s="1">
        <v>7.5938780000000001</v>
      </c>
      <c r="AG260" s="1">
        <v>3.2188759999999998</v>
      </c>
      <c r="AH260" s="1">
        <v>0.06</v>
      </c>
      <c r="AI260" s="1">
        <f t="shared" si="106"/>
        <v>1.1999136093300803E-2</v>
      </c>
      <c r="AJ260" s="1">
        <f t="shared" si="92"/>
        <v>0.19998560155501341</v>
      </c>
      <c r="AK260" s="1">
        <f t="shared" si="93"/>
        <v>25.003599999999995</v>
      </c>
      <c r="AL260" s="1">
        <f t="shared" si="94"/>
        <v>5.000359987040933</v>
      </c>
      <c r="AM260" s="1">
        <v>1</v>
      </c>
      <c r="AN260" s="1">
        <v>0</v>
      </c>
      <c r="AO260" s="1">
        <v>0</v>
      </c>
      <c r="AP260" s="1">
        <f t="shared" si="107"/>
        <v>0.2</v>
      </c>
      <c r="AQ260" s="1">
        <v>0</v>
      </c>
      <c r="AR260" s="1">
        <v>0</v>
      </c>
      <c r="AS260" s="1">
        <v>0</v>
      </c>
      <c r="AT260" s="1">
        <v>1</v>
      </c>
      <c r="AU260" s="4">
        <v>0</v>
      </c>
      <c r="AV260" s="4">
        <v>0</v>
      </c>
      <c r="AW260" s="1">
        <f t="shared" si="108"/>
        <v>0.16666666666666666</v>
      </c>
      <c r="AX260" s="1">
        <f t="shared" si="109"/>
        <v>2.7777777777777776E-2</v>
      </c>
    </row>
    <row r="261" spans="1:50" x14ac:dyDescent="0.25">
      <c r="A261" s="1" t="s">
        <v>53</v>
      </c>
      <c r="B261" s="1">
        <v>1986</v>
      </c>
      <c r="C261" s="1">
        <f t="shared" si="110"/>
        <v>24</v>
      </c>
      <c r="D261" s="1" t="s">
        <v>24</v>
      </c>
      <c r="E261" s="1" t="s">
        <v>25</v>
      </c>
      <c r="F261" s="2">
        <v>8.1999999999999998E-4</v>
      </c>
      <c r="G261" s="3">
        <f t="shared" si="102"/>
        <v>3.2799999999999999E-3</v>
      </c>
      <c r="H261" s="1">
        <v>6</v>
      </c>
      <c r="I261" s="1">
        <v>31</v>
      </c>
      <c r="J261" s="1">
        <f t="shared" si="90"/>
        <v>25</v>
      </c>
      <c r="K261" s="1">
        <v>6</v>
      </c>
      <c r="L261" s="1">
        <v>1950</v>
      </c>
      <c r="M261" s="1">
        <v>1982</v>
      </c>
      <c r="N261" s="1">
        <f t="shared" si="104"/>
        <v>1966</v>
      </c>
      <c r="O261" s="1">
        <f t="shared" si="105"/>
        <v>33</v>
      </c>
      <c r="P261" s="1">
        <f t="shared" si="103"/>
        <v>3.4965075614664802</v>
      </c>
      <c r="Q261" s="1">
        <v>24</v>
      </c>
      <c r="R261" s="1">
        <v>0</v>
      </c>
      <c r="S261" s="1" t="s">
        <v>43</v>
      </c>
      <c r="T261" s="1">
        <f t="shared" si="89"/>
        <v>0</v>
      </c>
      <c r="U261" s="1">
        <v>0</v>
      </c>
      <c r="V261" s="1">
        <v>1</v>
      </c>
      <c r="W261" s="1">
        <v>1</v>
      </c>
      <c r="X261" s="1">
        <v>1</v>
      </c>
      <c r="Y261" s="1">
        <v>0</v>
      </c>
      <c r="Z261" s="1">
        <v>0</v>
      </c>
      <c r="AA261" s="1">
        <v>0</v>
      </c>
      <c r="AB261" s="1" t="s">
        <v>89</v>
      </c>
      <c r="AC261" s="1">
        <f t="shared" si="101"/>
        <v>5</v>
      </c>
      <c r="AD261" s="1">
        <f t="shared" si="91"/>
        <v>0</v>
      </c>
      <c r="AE261" s="1">
        <v>1</v>
      </c>
      <c r="AF261" s="1">
        <v>7.5938780000000001</v>
      </c>
      <c r="AG261" s="1">
        <v>3.2188759999999998</v>
      </c>
      <c r="AH261" s="1">
        <v>0.25</v>
      </c>
      <c r="AI261" s="1">
        <f t="shared" si="106"/>
        <v>4.9937616943892232E-2</v>
      </c>
      <c r="AJ261" s="1">
        <f t="shared" si="92"/>
        <v>0.19975046777556893</v>
      </c>
      <c r="AK261" s="1">
        <f t="shared" si="93"/>
        <v>25.0625</v>
      </c>
      <c r="AL261" s="1">
        <f t="shared" si="94"/>
        <v>5.0062460986251969</v>
      </c>
      <c r="AM261" s="1">
        <v>1</v>
      </c>
      <c r="AN261" s="1">
        <v>0</v>
      </c>
      <c r="AO261" s="1">
        <v>0</v>
      </c>
      <c r="AP261" s="1">
        <f t="shared" si="107"/>
        <v>0.2</v>
      </c>
      <c r="AQ261" s="1">
        <v>0</v>
      </c>
      <c r="AR261" s="1">
        <v>0</v>
      </c>
      <c r="AS261" s="1">
        <v>0</v>
      </c>
      <c r="AT261" s="1">
        <v>1</v>
      </c>
      <c r="AU261" s="4">
        <v>0</v>
      </c>
      <c r="AV261" s="4">
        <v>0</v>
      </c>
      <c r="AW261" s="1">
        <f t="shared" si="108"/>
        <v>0.16666666666666666</v>
      </c>
      <c r="AX261" s="1">
        <f t="shared" si="109"/>
        <v>2.7777777777777776E-2</v>
      </c>
    </row>
    <row r="262" spans="1:50" x14ac:dyDescent="0.25">
      <c r="A262" s="1" t="s">
        <v>53</v>
      </c>
      <c r="B262" s="1">
        <v>1986</v>
      </c>
      <c r="C262" s="1">
        <f t="shared" si="110"/>
        <v>24</v>
      </c>
      <c r="D262" s="1" t="s">
        <v>24</v>
      </c>
      <c r="E262" s="1" t="s">
        <v>25</v>
      </c>
      <c r="F262" s="2">
        <v>-0.01</v>
      </c>
      <c r="G262" s="3">
        <f t="shared" si="102"/>
        <v>5.5555555555555559E-2</v>
      </c>
      <c r="H262" s="1">
        <v>6</v>
      </c>
      <c r="I262" s="1">
        <v>31</v>
      </c>
      <c r="J262" s="1">
        <f t="shared" si="90"/>
        <v>25</v>
      </c>
      <c r="K262" s="1">
        <v>6</v>
      </c>
      <c r="L262" s="1">
        <v>1950</v>
      </c>
      <c r="M262" s="1">
        <v>1982</v>
      </c>
      <c r="N262" s="1">
        <f t="shared" si="104"/>
        <v>1966</v>
      </c>
      <c r="O262" s="1">
        <f t="shared" si="105"/>
        <v>33</v>
      </c>
      <c r="P262" s="1">
        <f t="shared" si="103"/>
        <v>3.4965075614664802</v>
      </c>
      <c r="Q262" s="1">
        <v>24</v>
      </c>
      <c r="R262" s="1">
        <v>0</v>
      </c>
      <c r="S262" s="1" t="s">
        <v>43</v>
      </c>
      <c r="T262" s="1">
        <f t="shared" si="89"/>
        <v>0</v>
      </c>
      <c r="U262" s="1">
        <v>0</v>
      </c>
      <c r="V262" s="1">
        <v>1</v>
      </c>
      <c r="W262" s="1">
        <v>1</v>
      </c>
      <c r="X262" s="1">
        <v>0</v>
      </c>
      <c r="Y262" s="1">
        <v>0</v>
      </c>
      <c r="Z262" s="1">
        <v>0</v>
      </c>
      <c r="AA262" s="1">
        <v>1</v>
      </c>
      <c r="AB262" s="1" t="s">
        <v>89</v>
      </c>
      <c r="AC262" s="1">
        <f t="shared" si="101"/>
        <v>5</v>
      </c>
      <c r="AD262" s="1">
        <f t="shared" si="91"/>
        <v>0</v>
      </c>
      <c r="AE262" s="1">
        <v>1</v>
      </c>
      <c r="AF262" s="1">
        <v>7.5938780000000001</v>
      </c>
      <c r="AG262" s="1">
        <v>3.2188759999999998</v>
      </c>
      <c r="AH262" s="1">
        <v>-0.18</v>
      </c>
      <c r="AI262" s="1">
        <f t="shared" si="106"/>
        <v>-3.597669465035494E-2</v>
      </c>
      <c r="AJ262" s="1">
        <f t="shared" si="92"/>
        <v>0.19987052583530523</v>
      </c>
      <c r="AK262" s="1">
        <f t="shared" si="93"/>
        <v>25.032399999999996</v>
      </c>
      <c r="AL262" s="1">
        <f t="shared" si="94"/>
        <v>5.0032389509196928</v>
      </c>
      <c r="AM262" s="1">
        <v>1</v>
      </c>
      <c r="AN262" s="1">
        <v>0</v>
      </c>
      <c r="AO262" s="1">
        <v>0</v>
      </c>
      <c r="AP262" s="1">
        <f t="shared" si="107"/>
        <v>0.2</v>
      </c>
      <c r="AQ262" s="1">
        <v>0</v>
      </c>
      <c r="AR262" s="1">
        <v>0</v>
      </c>
      <c r="AS262" s="1">
        <v>0</v>
      </c>
      <c r="AT262" s="1">
        <v>1</v>
      </c>
      <c r="AU262" s="4">
        <v>0</v>
      </c>
      <c r="AV262" s="4">
        <v>0</v>
      </c>
      <c r="AW262" s="1">
        <f t="shared" si="108"/>
        <v>0.16666666666666666</v>
      </c>
      <c r="AX262" s="1">
        <f t="shared" si="109"/>
        <v>2.7777777777777776E-2</v>
      </c>
    </row>
    <row r="263" spans="1:50" x14ac:dyDescent="0.25">
      <c r="A263" s="1" t="s">
        <v>30</v>
      </c>
      <c r="B263" s="1">
        <v>2007</v>
      </c>
      <c r="C263" s="1">
        <f t="shared" si="110"/>
        <v>25</v>
      </c>
      <c r="D263" s="1" t="s">
        <v>24</v>
      </c>
      <c r="E263" s="1" t="s">
        <v>25</v>
      </c>
      <c r="F263" s="2">
        <v>-7.4999999999999997E-2</v>
      </c>
      <c r="G263" s="3">
        <v>3.2000000000000001E-2</v>
      </c>
      <c r="H263" s="1">
        <v>1</v>
      </c>
      <c r="I263" s="1">
        <v>759</v>
      </c>
      <c r="J263" s="1">
        <f t="shared" si="90"/>
        <v>758</v>
      </c>
      <c r="K263" s="1">
        <v>36</v>
      </c>
      <c r="L263" s="1">
        <v>1998</v>
      </c>
      <c r="M263" s="1">
        <v>2000</v>
      </c>
      <c r="N263" s="1">
        <f t="shared" si="95"/>
        <v>1999</v>
      </c>
      <c r="O263" s="1">
        <f t="shared" si="105"/>
        <v>3</v>
      </c>
      <c r="P263" s="1">
        <f t="shared" si="103"/>
        <v>1.0986122886681098</v>
      </c>
      <c r="Q263" s="1">
        <v>108</v>
      </c>
      <c r="R263" s="1">
        <v>5</v>
      </c>
      <c r="S263" s="1" t="s">
        <v>27</v>
      </c>
      <c r="T263" s="1">
        <f t="shared" si="89"/>
        <v>0</v>
      </c>
      <c r="U263" s="1">
        <v>0</v>
      </c>
      <c r="V263" s="1">
        <v>0</v>
      </c>
      <c r="W263" s="1">
        <v>1</v>
      </c>
      <c r="X263" s="1">
        <v>0</v>
      </c>
      <c r="Y263" s="1">
        <v>0</v>
      </c>
      <c r="Z263" s="1">
        <v>1</v>
      </c>
      <c r="AA263" s="1">
        <v>0</v>
      </c>
      <c r="AB263" s="1" t="s">
        <v>85</v>
      </c>
      <c r="AC263" s="1">
        <f t="shared" si="101"/>
        <v>1</v>
      </c>
      <c r="AD263" s="1">
        <f t="shared" si="91"/>
        <v>1</v>
      </c>
      <c r="AE263" s="1">
        <v>1</v>
      </c>
      <c r="AF263" s="1">
        <v>7.6043960000000004</v>
      </c>
      <c r="AG263" s="1">
        <v>4.6913479999999996</v>
      </c>
      <c r="AH263" s="1">
        <f t="shared" ref="AH263:AH298" si="111">+F263/G263</f>
        <v>-2.34375</v>
      </c>
      <c r="AI263" s="1">
        <f t="shared" si="106"/>
        <v>-8.4822039103573513E-2</v>
      </c>
      <c r="AJ263" s="1">
        <f t="shared" si="92"/>
        <v>3.6190736684191364E-2</v>
      </c>
      <c r="AK263" s="1">
        <f t="shared" si="93"/>
        <v>763.49316406250011</v>
      </c>
      <c r="AL263" s="1">
        <f t="shared" si="94"/>
        <v>27.631380060766059</v>
      </c>
      <c r="AM263" s="1">
        <v>0</v>
      </c>
      <c r="AN263" s="1">
        <v>1</v>
      </c>
      <c r="AO263" s="1">
        <v>0</v>
      </c>
      <c r="AP263" s="1">
        <f t="shared" si="107"/>
        <v>3.6321635614607398E-2</v>
      </c>
      <c r="AQ263" s="1">
        <v>0</v>
      </c>
      <c r="AR263" s="1">
        <v>1</v>
      </c>
      <c r="AS263" s="1">
        <v>0</v>
      </c>
      <c r="AT263" s="1">
        <v>0</v>
      </c>
      <c r="AU263" s="4">
        <v>1</v>
      </c>
      <c r="AV263" s="4">
        <v>0</v>
      </c>
      <c r="AW263" s="1">
        <f t="shared" si="108"/>
        <v>2.7777777777777776E-2</v>
      </c>
      <c r="AX263" s="1">
        <f t="shared" si="109"/>
        <v>7.716049382716049E-4</v>
      </c>
    </row>
    <row r="264" spans="1:50" x14ac:dyDescent="0.25">
      <c r="A264" s="1" t="s">
        <v>30</v>
      </c>
      <c r="B264" s="1">
        <v>2007</v>
      </c>
      <c r="C264" s="1">
        <f t="shared" si="110"/>
        <v>25</v>
      </c>
      <c r="D264" s="1" t="s">
        <v>24</v>
      </c>
      <c r="E264" s="1" t="s">
        <v>25</v>
      </c>
      <c r="F264" s="2">
        <v>-5.1999999999999998E-2</v>
      </c>
      <c r="G264" s="3">
        <v>1.7999999999999999E-2</v>
      </c>
      <c r="H264" s="1">
        <v>1</v>
      </c>
      <c r="I264" s="1">
        <v>796</v>
      </c>
      <c r="J264" s="1">
        <f t="shared" si="90"/>
        <v>795</v>
      </c>
      <c r="K264" s="1">
        <v>36</v>
      </c>
      <c r="L264" s="1">
        <v>2000</v>
      </c>
      <c r="M264" s="1">
        <v>2002</v>
      </c>
      <c r="N264" s="1">
        <f t="shared" ref="N264" si="112">+L264+(M264-L264)/2</f>
        <v>2001</v>
      </c>
      <c r="O264" s="1">
        <f t="shared" ref="O264:O266" si="113">+M264-L264+1</f>
        <v>3</v>
      </c>
      <c r="P264" s="1">
        <f t="shared" si="103"/>
        <v>1.0986122886681098</v>
      </c>
      <c r="Q264" s="1">
        <v>108</v>
      </c>
      <c r="R264" s="1">
        <v>5</v>
      </c>
      <c r="S264" s="1" t="s">
        <v>27</v>
      </c>
      <c r="T264" s="1">
        <f t="shared" si="89"/>
        <v>0</v>
      </c>
      <c r="U264" s="1">
        <v>0</v>
      </c>
      <c r="V264" s="1">
        <v>0</v>
      </c>
      <c r="W264" s="1">
        <v>1</v>
      </c>
      <c r="X264" s="1">
        <v>0</v>
      </c>
      <c r="Y264" s="1">
        <v>0</v>
      </c>
      <c r="Z264" s="1">
        <v>1</v>
      </c>
      <c r="AA264" s="1">
        <v>0</v>
      </c>
      <c r="AB264" s="1" t="s">
        <v>85</v>
      </c>
      <c r="AC264" s="1">
        <f t="shared" si="101"/>
        <v>1</v>
      </c>
      <c r="AD264" s="1">
        <f t="shared" si="91"/>
        <v>1</v>
      </c>
      <c r="AE264" s="1">
        <v>1</v>
      </c>
      <c r="AF264" s="1">
        <v>7.6043960000000004</v>
      </c>
      <c r="AG264" s="1">
        <v>4.6913479999999996</v>
      </c>
      <c r="AH264" s="1">
        <f t="shared" si="111"/>
        <v>-2.8888888888888888</v>
      </c>
      <c r="AI264" s="1">
        <f t="shared" si="106"/>
        <v>-0.10192473887666402</v>
      </c>
      <c r="AJ264" s="1">
        <f t="shared" si="92"/>
        <v>3.52816403803837E-2</v>
      </c>
      <c r="AK264" s="1">
        <f t="shared" si="93"/>
        <v>803.34567901234573</v>
      </c>
      <c r="AL264" s="1">
        <f t="shared" si="94"/>
        <v>28.343353348048741</v>
      </c>
      <c r="AM264" s="1">
        <v>0</v>
      </c>
      <c r="AN264" s="1">
        <v>1</v>
      </c>
      <c r="AO264" s="1">
        <v>0</v>
      </c>
      <c r="AP264" s="1">
        <f t="shared" si="107"/>
        <v>3.546634510659543E-2</v>
      </c>
      <c r="AQ264" s="1">
        <v>0</v>
      </c>
      <c r="AR264" s="1">
        <v>1</v>
      </c>
      <c r="AS264" s="1">
        <v>0</v>
      </c>
      <c r="AT264" s="1">
        <v>0</v>
      </c>
      <c r="AU264" s="4">
        <v>0</v>
      </c>
      <c r="AV264" s="4">
        <v>0</v>
      </c>
      <c r="AW264" s="1">
        <f t="shared" si="108"/>
        <v>2.7777777777777776E-2</v>
      </c>
      <c r="AX264" s="1">
        <f t="shared" si="109"/>
        <v>7.716049382716049E-4</v>
      </c>
    </row>
    <row r="265" spans="1:50" x14ac:dyDescent="0.25">
      <c r="A265" s="1" t="s">
        <v>30</v>
      </c>
      <c r="B265" s="1">
        <v>2007</v>
      </c>
      <c r="C265" s="1">
        <f t="shared" si="110"/>
        <v>25</v>
      </c>
      <c r="D265" s="1" t="s">
        <v>24</v>
      </c>
      <c r="E265" s="1" t="s">
        <v>25</v>
      </c>
      <c r="F265" s="2">
        <v>-5.3999999999999999E-2</v>
      </c>
      <c r="G265" s="3">
        <v>1.2E-2</v>
      </c>
      <c r="H265" s="1">
        <v>1</v>
      </c>
      <c r="I265" s="1">
        <v>1180</v>
      </c>
      <c r="J265" s="1">
        <f t="shared" si="90"/>
        <v>1179</v>
      </c>
      <c r="K265" s="1">
        <v>36</v>
      </c>
      <c r="L265" s="1">
        <v>1998</v>
      </c>
      <c r="M265" s="1">
        <v>2002</v>
      </c>
      <c r="N265" s="1">
        <f t="shared" si="95"/>
        <v>2000</v>
      </c>
      <c r="O265" s="1">
        <f t="shared" si="113"/>
        <v>5</v>
      </c>
      <c r="P265" s="1">
        <f t="shared" si="103"/>
        <v>1.6094379124341003</v>
      </c>
      <c r="Q265" s="1">
        <v>108</v>
      </c>
      <c r="R265" s="1">
        <v>5</v>
      </c>
      <c r="S265" s="1" t="s">
        <v>27</v>
      </c>
      <c r="T265" s="1">
        <f t="shared" si="89"/>
        <v>0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1</v>
      </c>
      <c r="AA265" s="1">
        <v>0</v>
      </c>
      <c r="AB265" s="1" t="s">
        <v>85</v>
      </c>
      <c r="AC265" s="1">
        <f t="shared" si="101"/>
        <v>1</v>
      </c>
      <c r="AD265" s="1">
        <f t="shared" si="91"/>
        <v>1</v>
      </c>
      <c r="AE265" s="1">
        <v>1</v>
      </c>
      <c r="AF265" s="1">
        <v>7.6043960000000004</v>
      </c>
      <c r="AG265" s="1">
        <v>4.6913479999999996</v>
      </c>
      <c r="AH265" s="1">
        <f t="shared" si="111"/>
        <v>-4.5</v>
      </c>
      <c r="AI265" s="1">
        <f t="shared" si="106"/>
        <v>-0.12994442454726302</v>
      </c>
      <c r="AJ265" s="1">
        <f t="shared" si="92"/>
        <v>2.887653878828067E-2</v>
      </c>
      <c r="AK265" s="1">
        <f t="shared" si="93"/>
        <v>1199.2499999999995</v>
      </c>
      <c r="AL265" s="1">
        <f t="shared" si="94"/>
        <v>34.630189141845584</v>
      </c>
      <c r="AM265" s="1">
        <v>0</v>
      </c>
      <c r="AN265" s="1">
        <v>1</v>
      </c>
      <c r="AO265" s="1">
        <v>0</v>
      </c>
      <c r="AP265" s="1">
        <f t="shared" si="107"/>
        <v>2.9123468555367928E-2</v>
      </c>
      <c r="AQ265" s="1">
        <v>0</v>
      </c>
      <c r="AR265" s="1">
        <v>1</v>
      </c>
      <c r="AS265" s="1">
        <v>0</v>
      </c>
      <c r="AT265" s="1">
        <v>0</v>
      </c>
      <c r="AU265" s="4">
        <v>0</v>
      </c>
      <c r="AV265" s="4">
        <v>0</v>
      </c>
      <c r="AW265" s="1">
        <f t="shared" si="108"/>
        <v>2.7777777777777776E-2</v>
      </c>
      <c r="AX265" s="1">
        <f t="shared" si="109"/>
        <v>7.716049382716049E-4</v>
      </c>
    </row>
    <row r="266" spans="1:50" x14ac:dyDescent="0.25">
      <c r="A266" s="1" t="s">
        <v>30</v>
      </c>
      <c r="B266" s="1">
        <v>2007</v>
      </c>
      <c r="C266" s="1">
        <f t="shared" si="110"/>
        <v>25</v>
      </c>
      <c r="D266" s="1" t="s">
        <v>24</v>
      </c>
      <c r="E266" s="1" t="s">
        <v>25</v>
      </c>
      <c r="F266" s="2">
        <v>-6.9000000000000006E-2</v>
      </c>
      <c r="G266" s="3">
        <v>4.4999999999999998E-2</v>
      </c>
      <c r="H266" s="1">
        <v>1</v>
      </c>
      <c r="I266" s="1">
        <v>93</v>
      </c>
      <c r="J266" s="1">
        <f t="shared" si="90"/>
        <v>92</v>
      </c>
      <c r="K266" s="1">
        <v>36</v>
      </c>
      <c r="L266" s="1">
        <v>1998</v>
      </c>
      <c r="M266" s="1">
        <v>2000</v>
      </c>
      <c r="N266" s="1">
        <f t="shared" ref="N266:N274" si="114">+L266+(M266-L266)/2</f>
        <v>1999</v>
      </c>
      <c r="O266" s="1">
        <f t="shared" si="113"/>
        <v>3</v>
      </c>
      <c r="P266" s="1">
        <f t="shared" si="103"/>
        <v>1.0986122886681098</v>
      </c>
      <c r="Q266" s="1">
        <v>108</v>
      </c>
      <c r="R266" s="1">
        <v>5</v>
      </c>
      <c r="S266" s="1" t="s">
        <v>27</v>
      </c>
      <c r="T266" s="1">
        <f t="shared" si="89"/>
        <v>0</v>
      </c>
      <c r="U266" s="1">
        <v>0</v>
      </c>
      <c r="V266" s="1">
        <v>0</v>
      </c>
      <c r="W266" s="1">
        <v>1</v>
      </c>
      <c r="X266" s="1">
        <v>0</v>
      </c>
      <c r="Y266" s="1">
        <v>0</v>
      </c>
      <c r="Z266" s="1">
        <v>1</v>
      </c>
      <c r="AA266" s="1">
        <v>0</v>
      </c>
      <c r="AB266" s="1" t="s">
        <v>85</v>
      </c>
      <c r="AC266" s="1">
        <f t="shared" si="101"/>
        <v>1</v>
      </c>
      <c r="AD266" s="1">
        <f t="shared" si="91"/>
        <v>1</v>
      </c>
      <c r="AE266" s="1">
        <v>1</v>
      </c>
      <c r="AF266" s="1">
        <v>7.6043960000000004</v>
      </c>
      <c r="AG266" s="1">
        <v>4.6913479999999996</v>
      </c>
      <c r="AH266" s="1">
        <f t="shared" si="111"/>
        <v>-1.5333333333333334</v>
      </c>
      <c r="AI266" s="1">
        <f t="shared" si="106"/>
        <v>-0.15785671740094684</v>
      </c>
      <c r="AJ266" s="1">
        <f t="shared" si="92"/>
        <v>0.10295003308757401</v>
      </c>
      <c r="AK266" s="1">
        <f t="shared" si="93"/>
        <v>94.351111111111095</v>
      </c>
      <c r="AL266" s="1">
        <f t="shared" si="94"/>
        <v>9.71345001073826</v>
      </c>
      <c r="AM266" s="1">
        <v>0</v>
      </c>
      <c r="AN266" s="1">
        <v>1</v>
      </c>
      <c r="AO266" s="1">
        <v>0</v>
      </c>
      <c r="AP266" s="1">
        <f t="shared" si="107"/>
        <v>0.10425720702853739</v>
      </c>
      <c r="AQ266" s="1">
        <v>0</v>
      </c>
      <c r="AR266" s="1">
        <v>1</v>
      </c>
      <c r="AS266" s="1">
        <v>0</v>
      </c>
      <c r="AT266" s="1">
        <v>0</v>
      </c>
      <c r="AU266" s="4">
        <v>1</v>
      </c>
      <c r="AV266" s="4">
        <v>0</v>
      </c>
      <c r="AW266" s="1">
        <f t="shared" si="108"/>
        <v>2.7777777777777776E-2</v>
      </c>
      <c r="AX266" s="1">
        <f t="shared" si="109"/>
        <v>7.716049382716049E-4</v>
      </c>
    </row>
    <row r="267" spans="1:50" x14ac:dyDescent="0.25">
      <c r="A267" s="1" t="s">
        <v>30</v>
      </c>
      <c r="B267" s="1">
        <v>2007</v>
      </c>
      <c r="C267" s="1">
        <f t="shared" si="110"/>
        <v>25</v>
      </c>
      <c r="D267" s="1" t="s">
        <v>24</v>
      </c>
      <c r="E267" s="1" t="s">
        <v>25</v>
      </c>
      <c r="F267" s="2">
        <v>-0.105</v>
      </c>
      <c r="G267" s="3">
        <v>0.03</v>
      </c>
      <c r="H267" s="1">
        <v>1</v>
      </c>
      <c r="I267" s="1">
        <v>96</v>
      </c>
      <c r="J267" s="1">
        <f t="shared" si="90"/>
        <v>95</v>
      </c>
      <c r="K267" s="1">
        <v>36</v>
      </c>
      <c r="L267" s="1">
        <v>2000</v>
      </c>
      <c r="M267" s="1">
        <v>2002</v>
      </c>
      <c r="N267" s="1">
        <f t="shared" si="114"/>
        <v>2001</v>
      </c>
      <c r="O267" s="1">
        <f t="shared" ref="O267:O277" si="115">+M267-L267+1</f>
        <v>3</v>
      </c>
      <c r="P267" s="1">
        <f t="shared" si="103"/>
        <v>1.0986122886681098</v>
      </c>
      <c r="Q267" s="1">
        <v>108</v>
      </c>
      <c r="R267" s="1">
        <v>5</v>
      </c>
      <c r="S267" s="1" t="s">
        <v>27</v>
      </c>
      <c r="T267" s="1">
        <f t="shared" si="89"/>
        <v>0</v>
      </c>
      <c r="U267" s="1">
        <v>0</v>
      </c>
      <c r="V267" s="1">
        <v>0</v>
      </c>
      <c r="W267" s="1">
        <v>1</v>
      </c>
      <c r="X267" s="1">
        <v>0</v>
      </c>
      <c r="Y267" s="1">
        <v>0</v>
      </c>
      <c r="Z267" s="1">
        <v>1</v>
      </c>
      <c r="AA267" s="1">
        <v>0</v>
      </c>
      <c r="AB267" s="1" t="s">
        <v>85</v>
      </c>
      <c r="AC267" s="1">
        <f t="shared" si="101"/>
        <v>1</v>
      </c>
      <c r="AD267" s="1">
        <f t="shared" si="91"/>
        <v>1</v>
      </c>
      <c r="AE267" s="1">
        <v>1</v>
      </c>
      <c r="AF267" s="1">
        <v>7.6043960000000004</v>
      </c>
      <c r="AG267" s="1">
        <v>4.6913479999999996</v>
      </c>
      <c r="AH267" s="1">
        <f t="shared" si="111"/>
        <v>-3.5</v>
      </c>
      <c r="AI267" s="1">
        <f t="shared" si="106"/>
        <v>-0.33796318470968728</v>
      </c>
      <c r="AJ267" s="1">
        <f t="shared" si="92"/>
        <v>9.6560909917053503E-2</v>
      </c>
      <c r="AK267" s="1">
        <f t="shared" si="93"/>
        <v>107.25000000000001</v>
      </c>
      <c r="AL267" s="1">
        <f t="shared" si="94"/>
        <v>10.356157588603992</v>
      </c>
      <c r="AM267" s="1">
        <v>0</v>
      </c>
      <c r="AN267" s="1">
        <v>1</v>
      </c>
      <c r="AO267" s="1">
        <v>0</v>
      </c>
      <c r="AP267" s="1">
        <f t="shared" si="107"/>
        <v>0.10259783520851541</v>
      </c>
      <c r="AQ267" s="1">
        <v>0</v>
      </c>
      <c r="AR267" s="1">
        <v>1</v>
      </c>
      <c r="AS267" s="1">
        <v>0</v>
      </c>
      <c r="AT267" s="1">
        <v>0</v>
      </c>
      <c r="AU267" s="4">
        <v>0</v>
      </c>
      <c r="AV267" s="4">
        <v>0</v>
      </c>
      <c r="AW267" s="1">
        <f t="shared" si="108"/>
        <v>2.7777777777777776E-2</v>
      </c>
      <c r="AX267" s="1">
        <f t="shared" si="109"/>
        <v>7.716049382716049E-4</v>
      </c>
    </row>
    <row r="268" spans="1:50" x14ac:dyDescent="0.25">
      <c r="A268" s="1" t="s">
        <v>30</v>
      </c>
      <c r="B268" s="1">
        <v>2007</v>
      </c>
      <c r="C268" s="1">
        <f t="shared" si="110"/>
        <v>25</v>
      </c>
      <c r="D268" s="1" t="s">
        <v>24</v>
      </c>
      <c r="E268" s="1" t="s">
        <v>25</v>
      </c>
      <c r="F268" s="2">
        <v>-7.3999999999999996E-2</v>
      </c>
      <c r="G268" s="3">
        <v>2.4E-2</v>
      </c>
      <c r="H268" s="1">
        <v>1</v>
      </c>
      <c r="I268" s="1">
        <v>145</v>
      </c>
      <c r="J268" s="1">
        <f t="shared" si="90"/>
        <v>144</v>
      </c>
      <c r="K268" s="1">
        <v>36</v>
      </c>
      <c r="L268" s="1">
        <v>1998</v>
      </c>
      <c r="M268" s="1">
        <v>2002</v>
      </c>
      <c r="N268" s="1">
        <f t="shared" si="114"/>
        <v>2000</v>
      </c>
      <c r="O268" s="1">
        <f t="shared" si="115"/>
        <v>5</v>
      </c>
      <c r="P268" s="1">
        <f t="shared" si="103"/>
        <v>1.6094379124341003</v>
      </c>
      <c r="Q268" s="1">
        <v>108</v>
      </c>
      <c r="R268" s="1">
        <v>5</v>
      </c>
      <c r="S268" s="1" t="s">
        <v>27</v>
      </c>
      <c r="T268" s="1">
        <f t="shared" si="89"/>
        <v>0</v>
      </c>
      <c r="U268" s="1">
        <v>0</v>
      </c>
      <c r="V268" s="1">
        <v>0</v>
      </c>
      <c r="W268" s="1">
        <v>1</v>
      </c>
      <c r="X268" s="1">
        <v>0</v>
      </c>
      <c r="Y268" s="1">
        <v>0</v>
      </c>
      <c r="Z268" s="1">
        <v>1</v>
      </c>
      <c r="AA268" s="1">
        <v>0</v>
      </c>
      <c r="AB268" s="1" t="s">
        <v>85</v>
      </c>
      <c r="AC268" s="1">
        <f t="shared" si="101"/>
        <v>1</v>
      </c>
      <c r="AD268" s="1">
        <f t="shared" si="91"/>
        <v>1</v>
      </c>
      <c r="AE268" s="1">
        <v>1</v>
      </c>
      <c r="AF268" s="1">
        <v>7.6043960000000004</v>
      </c>
      <c r="AG268" s="1">
        <v>4.6913479999999996</v>
      </c>
      <c r="AH268" s="1">
        <f t="shared" si="111"/>
        <v>-3.083333333333333</v>
      </c>
      <c r="AI268" s="1">
        <f t="shared" si="106"/>
        <v>-0.24886078369838058</v>
      </c>
      <c r="AJ268" s="1">
        <f t="shared" si="92"/>
        <v>8.0711605523799121E-2</v>
      </c>
      <c r="AK268" s="1">
        <f t="shared" si="93"/>
        <v>153.50694444444443</v>
      </c>
      <c r="AL268" s="1">
        <f t="shared" si="94"/>
        <v>12.389791945163745</v>
      </c>
      <c r="AM268" s="1">
        <v>0</v>
      </c>
      <c r="AN268" s="1">
        <v>1</v>
      </c>
      <c r="AO268" s="1">
        <v>0</v>
      </c>
      <c r="AP268" s="1">
        <f t="shared" si="107"/>
        <v>8.3333333333333329E-2</v>
      </c>
      <c r="AQ268" s="1">
        <v>0</v>
      </c>
      <c r="AR268" s="1">
        <v>1</v>
      </c>
      <c r="AS268" s="1">
        <v>0</v>
      </c>
      <c r="AT268" s="1">
        <v>0</v>
      </c>
      <c r="AU268" s="4">
        <v>0</v>
      </c>
      <c r="AV268" s="4">
        <v>0</v>
      </c>
      <c r="AW268" s="1">
        <f t="shared" si="108"/>
        <v>2.7777777777777776E-2</v>
      </c>
      <c r="AX268" s="1">
        <f t="shared" si="109"/>
        <v>7.716049382716049E-4</v>
      </c>
    </row>
    <row r="269" spans="1:50" x14ac:dyDescent="0.25">
      <c r="A269" s="1" t="s">
        <v>30</v>
      </c>
      <c r="B269" s="1">
        <v>2007</v>
      </c>
      <c r="C269" s="1">
        <f t="shared" si="110"/>
        <v>25</v>
      </c>
      <c r="D269" s="1" t="s">
        <v>24</v>
      </c>
      <c r="E269" s="1" t="s">
        <v>25</v>
      </c>
      <c r="F269" s="2">
        <v>-9.5000000000000001E-2</v>
      </c>
      <c r="G269" s="3">
        <v>3.2000000000000001E-2</v>
      </c>
      <c r="H269" s="1">
        <v>1</v>
      </c>
      <c r="I269" s="1">
        <v>632</v>
      </c>
      <c r="J269" s="1">
        <f t="shared" si="90"/>
        <v>631</v>
      </c>
      <c r="K269" s="1">
        <v>36</v>
      </c>
      <c r="L269" s="1">
        <v>1998</v>
      </c>
      <c r="M269" s="1">
        <v>2000</v>
      </c>
      <c r="N269" s="1">
        <f t="shared" si="114"/>
        <v>1999</v>
      </c>
      <c r="O269" s="1">
        <f t="shared" si="115"/>
        <v>3</v>
      </c>
      <c r="P269" s="1">
        <f t="shared" si="103"/>
        <v>1.0986122886681098</v>
      </c>
      <c r="Q269" s="1">
        <v>108</v>
      </c>
      <c r="R269" s="1">
        <v>5</v>
      </c>
      <c r="S269" s="1" t="s">
        <v>27</v>
      </c>
      <c r="T269" s="1">
        <f t="shared" si="89"/>
        <v>0</v>
      </c>
      <c r="U269" s="1">
        <v>0</v>
      </c>
      <c r="V269" s="1">
        <v>0</v>
      </c>
      <c r="W269" s="1">
        <v>1</v>
      </c>
      <c r="X269" s="1">
        <v>0</v>
      </c>
      <c r="Y269" s="1">
        <v>0</v>
      </c>
      <c r="Z269" s="1">
        <v>1</v>
      </c>
      <c r="AA269" s="1">
        <v>0</v>
      </c>
      <c r="AB269" s="1" t="s">
        <v>85</v>
      </c>
      <c r="AC269" s="1">
        <f t="shared" si="101"/>
        <v>1</v>
      </c>
      <c r="AD269" s="1">
        <f t="shared" si="91"/>
        <v>1</v>
      </c>
      <c r="AE269" s="1">
        <v>1</v>
      </c>
      <c r="AF269" s="1">
        <v>7.6043960000000004</v>
      </c>
      <c r="AG269" s="1">
        <v>4.6913479999999996</v>
      </c>
      <c r="AH269" s="1">
        <f t="shared" si="111"/>
        <v>-2.96875</v>
      </c>
      <c r="AI269" s="1">
        <f t="shared" si="106"/>
        <v>-0.11736725171603017</v>
      </c>
      <c r="AJ269" s="1">
        <f t="shared" si="92"/>
        <v>3.9534232156978585E-2</v>
      </c>
      <c r="AK269" s="1">
        <f t="shared" si="93"/>
        <v>639.81347656249989</v>
      </c>
      <c r="AL269" s="1">
        <f t="shared" si="94"/>
        <v>25.294534519585451</v>
      </c>
      <c r="AM269" s="1">
        <v>0</v>
      </c>
      <c r="AN269" s="1">
        <v>1</v>
      </c>
      <c r="AO269" s="1">
        <v>0</v>
      </c>
      <c r="AP269" s="1">
        <f t="shared" si="107"/>
        <v>3.9809371432901648E-2</v>
      </c>
      <c r="AQ269" s="1">
        <v>0</v>
      </c>
      <c r="AR269" s="1">
        <v>1</v>
      </c>
      <c r="AS269" s="1">
        <v>0</v>
      </c>
      <c r="AT269" s="1">
        <v>0</v>
      </c>
      <c r="AU269" s="4">
        <v>1</v>
      </c>
      <c r="AV269" s="4">
        <v>0</v>
      </c>
      <c r="AW269" s="1">
        <f t="shared" si="108"/>
        <v>2.7777777777777776E-2</v>
      </c>
      <c r="AX269" s="1">
        <f t="shared" si="109"/>
        <v>7.716049382716049E-4</v>
      </c>
    </row>
    <row r="270" spans="1:50" x14ac:dyDescent="0.25">
      <c r="A270" s="1" t="s">
        <v>30</v>
      </c>
      <c r="B270" s="1">
        <v>2007</v>
      </c>
      <c r="C270" s="1">
        <f t="shared" si="110"/>
        <v>25</v>
      </c>
      <c r="D270" s="1" t="s">
        <v>24</v>
      </c>
      <c r="E270" s="1" t="s">
        <v>25</v>
      </c>
      <c r="F270" s="2">
        <v>-6.2E-2</v>
      </c>
      <c r="G270" s="3">
        <v>0.02</v>
      </c>
      <c r="H270" s="1">
        <v>1</v>
      </c>
      <c r="I270" s="1">
        <v>655</v>
      </c>
      <c r="J270" s="1">
        <f t="shared" si="90"/>
        <v>654</v>
      </c>
      <c r="K270" s="1">
        <v>36</v>
      </c>
      <c r="L270" s="1">
        <v>2000</v>
      </c>
      <c r="M270" s="1">
        <v>2002</v>
      </c>
      <c r="N270" s="1">
        <f t="shared" si="114"/>
        <v>2001</v>
      </c>
      <c r="O270" s="1">
        <f t="shared" si="115"/>
        <v>3</v>
      </c>
      <c r="P270" s="1">
        <f t="shared" si="103"/>
        <v>1.0986122886681098</v>
      </c>
      <c r="Q270" s="1">
        <v>108</v>
      </c>
      <c r="R270" s="1">
        <v>5</v>
      </c>
      <c r="S270" s="1" t="s">
        <v>27</v>
      </c>
      <c r="T270" s="1">
        <f t="shared" si="89"/>
        <v>0</v>
      </c>
      <c r="U270" s="1">
        <v>0</v>
      </c>
      <c r="V270" s="1">
        <v>0</v>
      </c>
      <c r="W270" s="1">
        <v>1</v>
      </c>
      <c r="X270" s="1">
        <v>0</v>
      </c>
      <c r="Y270" s="1">
        <v>0</v>
      </c>
      <c r="Z270" s="1">
        <v>1</v>
      </c>
      <c r="AA270" s="1">
        <v>0</v>
      </c>
      <c r="AB270" s="1" t="s">
        <v>85</v>
      </c>
      <c r="AC270" s="1">
        <f t="shared" si="101"/>
        <v>1</v>
      </c>
      <c r="AD270" s="1">
        <f t="shared" si="91"/>
        <v>1</v>
      </c>
      <c r="AE270" s="1">
        <v>1</v>
      </c>
      <c r="AF270" s="1">
        <v>7.6043960000000004</v>
      </c>
      <c r="AG270" s="1">
        <v>4.6913479999999996</v>
      </c>
      <c r="AH270" s="1">
        <f t="shared" si="111"/>
        <v>-3.1</v>
      </c>
      <c r="AI270" s="1">
        <f t="shared" si="106"/>
        <v>-0.12033867710005118</v>
      </c>
      <c r="AJ270" s="1">
        <f t="shared" si="92"/>
        <v>3.8818928096790703E-2</v>
      </c>
      <c r="AK270" s="1">
        <f t="shared" si="93"/>
        <v>663.61</v>
      </c>
      <c r="AL270" s="1">
        <f t="shared" si="94"/>
        <v>25.76062887431128</v>
      </c>
      <c r="AM270" s="1">
        <v>0</v>
      </c>
      <c r="AN270" s="1">
        <v>1</v>
      </c>
      <c r="AO270" s="1">
        <v>0</v>
      </c>
      <c r="AP270" s="1">
        <f t="shared" si="107"/>
        <v>3.9103094350288754E-2</v>
      </c>
      <c r="AQ270" s="1">
        <v>0</v>
      </c>
      <c r="AR270" s="1">
        <v>1</v>
      </c>
      <c r="AS270" s="1">
        <v>0</v>
      </c>
      <c r="AT270" s="1">
        <v>0</v>
      </c>
      <c r="AU270" s="4">
        <v>0</v>
      </c>
      <c r="AV270" s="4">
        <v>0</v>
      </c>
      <c r="AW270" s="1">
        <f t="shared" si="108"/>
        <v>2.7777777777777776E-2</v>
      </c>
      <c r="AX270" s="1">
        <f t="shared" si="109"/>
        <v>7.716049382716049E-4</v>
      </c>
    </row>
    <row r="271" spans="1:50" x14ac:dyDescent="0.25">
      <c r="A271" s="1" t="s">
        <v>30</v>
      </c>
      <c r="B271" s="1">
        <v>2007</v>
      </c>
      <c r="C271" s="1">
        <f t="shared" si="110"/>
        <v>25</v>
      </c>
      <c r="D271" s="1" t="s">
        <v>24</v>
      </c>
      <c r="E271" s="1" t="s">
        <v>25</v>
      </c>
      <c r="F271" s="2">
        <v>-6.3E-2</v>
      </c>
      <c r="G271" s="3">
        <v>1.4E-2</v>
      </c>
      <c r="H271" s="1">
        <v>1</v>
      </c>
      <c r="I271" s="1">
        <v>960</v>
      </c>
      <c r="J271" s="1">
        <f t="shared" si="90"/>
        <v>959</v>
      </c>
      <c r="K271" s="1">
        <v>36</v>
      </c>
      <c r="L271" s="1">
        <v>1998</v>
      </c>
      <c r="M271" s="1">
        <v>2002</v>
      </c>
      <c r="N271" s="1">
        <f t="shared" si="114"/>
        <v>2000</v>
      </c>
      <c r="O271" s="1">
        <f t="shared" si="115"/>
        <v>5</v>
      </c>
      <c r="P271" s="1">
        <f t="shared" si="103"/>
        <v>1.6094379124341003</v>
      </c>
      <c r="Q271" s="1">
        <v>108</v>
      </c>
      <c r="R271" s="1">
        <v>5</v>
      </c>
      <c r="S271" s="1" t="s">
        <v>27</v>
      </c>
      <c r="T271" s="1">
        <f t="shared" si="89"/>
        <v>0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1</v>
      </c>
      <c r="AA271" s="1">
        <v>0</v>
      </c>
      <c r="AB271" s="1" t="s">
        <v>85</v>
      </c>
      <c r="AC271" s="1">
        <f t="shared" si="101"/>
        <v>1</v>
      </c>
      <c r="AD271" s="1">
        <f t="shared" si="91"/>
        <v>1</v>
      </c>
      <c r="AE271" s="1">
        <v>1</v>
      </c>
      <c r="AF271" s="1">
        <v>7.6043960000000004</v>
      </c>
      <c r="AG271" s="1">
        <v>4.6913479999999996</v>
      </c>
      <c r="AH271" s="1">
        <f t="shared" si="111"/>
        <v>-4.5</v>
      </c>
      <c r="AI271" s="1">
        <f t="shared" si="106"/>
        <v>-0.14380226403356616</v>
      </c>
      <c r="AJ271" s="1">
        <f t="shared" si="92"/>
        <v>3.1956058674125813E-2</v>
      </c>
      <c r="AK271" s="1">
        <f t="shared" si="93"/>
        <v>979.24999999999989</v>
      </c>
      <c r="AL271" s="1">
        <f t="shared" si="94"/>
        <v>31.2929704566377</v>
      </c>
      <c r="AM271" s="1">
        <v>0</v>
      </c>
      <c r="AN271" s="1">
        <v>1</v>
      </c>
      <c r="AO271" s="1">
        <v>0</v>
      </c>
      <c r="AP271" s="1">
        <f t="shared" si="107"/>
        <v>3.229168418603133E-2</v>
      </c>
      <c r="AQ271" s="1">
        <v>0</v>
      </c>
      <c r="AR271" s="1">
        <v>1</v>
      </c>
      <c r="AS271" s="1">
        <v>0</v>
      </c>
      <c r="AT271" s="1">
        <v>0</v>
      </c>
      <c r="AU271" s="4">
        <v>0</v>
      </c>
      <c r="AV271" s="4">
        <v>0</v>
      </c>
      <c r="AW271" s="1">
        <f t="shared" si="108"/>
        <v>2.7777777777777776E-2</v>
      </c>
      <c r="AX271" s="1">
        <f t="shared" si="109"/>
        <v>7.716049382716049E-4</v>
      </c>
    </row>
    <row r="272" spans="1:50" x14ac:dyDescent="0.25">
      <c r="A272" s="1" t="s">
        <v>30</v>
      </c>
      <c r="B272" s="1">
        <v>2007</v>
      </c>
      <c r="C272" s="1">
        <f t="shared" si="110"/>
        <v>25</v>
      </c>
      <c r="D272" s="1" t="s">
        <v>24</v>
      </c>
      <c r="E272" s="1" t="s">
        <v>25</v>
      </c>
      <c r="F272" s="2">
        <v>-7.4999999999999997E-2</v>
      </c>
      <c r="G272" s="3">
        <v>6.0999999999999999E-2</v>
      </c>
      <c r="H272" s="1">
        <v>1</v>
      </c>
      <c r="I272" s="1">
        <v>76</v>
      </c>
      <c r="J272" s="1">
        <f t="shared" si="90"/>
        <v>75</v>
      </c>
      <c r="K272" s="1">
        <v>36</v>
      </c>
      <c r="L272" s="1">
        <v>1998</v>
      </c>
      <c r="M272" s="1">
        <v>2000</v>
      </c>
      <c r="N272" s="1">
        <f t="shared" si="114"/>
        <v>1999</v>
      </c>
      <c r="O272" s="1">
        <f t="shared" si="115"/>
        <v>3</v>
      </c>
      <c r="P272" s="1">
        <f t="shared" si="103"/>
        <v>1.0986122886681098</v>
      </c>
      <c r="Q272" s="1">
        <v>108</v>
      </c>
      <c r="R272" s="1">
        <v>5</v>
      </c>
      <c r="S272" s="1" t="s">
        <v>27</v>
      </c>
      <c r="T272" s="1">
        <f t="shared" si="89"/>
        <v>0</v>
      </c>
      <c r="U272" s="1">
        <v>0</v>
      </c>
      <c r="V272" s="1">
        <v>0</v>
      </c>
      <c r="W272" s="1">
        <v>1</v>
      </c>
      <c r="X272" s="1">
        <v>0</v>
      </c>
      <c r="Y272" s="1">
        <v>0</v>
      </c>
      <c r="Z272" s="1">
        <v>1</v>
      </c>
      <c r="AA272" s="1">
        <v>0</v>
      </c>
      <c r="AB272" s="1" t="s">
        <v>85</v>
      </c>
      <c r="AC272" s="1">
        <f t="shared" si="101"/>
        <v>1</v>
      </c>
      <c r="AD272" s="1">
        <f t="shared" si="91"/>
        <v>1</v>
      </c>
      <c r="AE272" s="1">
        <v>1</v>
      </c>
      <c r="AF272" s="1">
        <v>7.6043960000000004</v>
      </c>
      <c r="AG272" s="1">
        <v>4.6913479999999996</v>
      </c>
      <c r="AH272" s="1">
        <f t="shared" si="111"/>
        <v>-1.2295081967213115</v>
      </c>
      <c r="AI272" s="1">
        <f t="shared" si="106"/>
        <v>-0.14056187114809379</v>
      </c>
      <c r="AJ272" s="1">
        <f t="shared" si="92"/>
        <v>0.11432365520044961</v>
      </c>
      <c r="AK272" s="1">
        <f t="shared" si="93"/>
        <v>76.511690405804885</v>
      </c>
      <c r="AL272" s="1">
        <f t="shared" si="94"/>
        <v>8.7470961127567861</v>
      </c>
      <c r="AM272" s="1">
        <v>0</v>
      </c>
      <c r="AN272" s="1">
        <v>1</v>
      </c>
      <c r="AO272" s="1">
        <v>0</v>
      </c>
      <c r="AP272" s="1">
        <f t="shared" si="107"/>
        <v>0.11547005383792514</v>
      </c>
      <c r="AQ272" s="1">
        <v>0</v>
      </c>
      <c r="AR272" s="1">
        <v>1</v>
      </c>
      <c r="AS272" s="1">
        <v>0</v>
      </c>
      <c r="AT272" s="1">
        <v>0</v>
      </c>
      <c r="AU272" s="4">
        <v>1</v>
      </c>
      <c r="AV272" s="4">
        <v>0</v>
      </c>
      <c r="AW272" s="1">
        <f t="shared" si="108"/>
        <v>2.7777777777777776E-2</v>
      </c>
      <c r="AX272" s="1">
        <f t="shared" si="109"/>
        <v>7.716049382716049E-4</v>
      </c>
    </row>
    <row r="273" spans="1:50" x14ac:dyDescent="0.25">
      <c r="A273" s="1" t="s">
        <v>30</v>
      </c>
      <c r="B273" s="1">
        <v>2007</v>
      </c>
      <c r="C273" s="1">
        <f t="shared" si="110"/>
        <v>25</v>
      </c>
      <c r="D273" s="1" t="s">
        <v>24</v>
      </c>
      <c r="E273" s="1" t="s">
        <v>25</v>
      </c>
      <c r="F273" s="2">
        <v>-0.09</v>
      </c>
      <c r="G273" s="3">
        <v>4.2000000000000003E-2</v>
      </c>
      <c r="H273" s="1">
        <v>1</v>
      </c>
      <c r="I273" s="1">
        <v>81</v>
      </c>
      <c r="J273" s="1">
        <f t="shared" si="90"/>
        <v>80</v>
      </c>
      <c r="K273" s="1">
        <v>36</v>
      </c>
      <c r="L273" s="1">
        <v>2000</v>
      </c>
      <c r="M273" s="1">
        <v>2002</v>
      </c>
      <c r="N273" s="1">
        <f t="shared" si="114"/>
        <v>2001</v>
      </c>
      <c r="O273" s="1">
        <f t="shared" si="115"/>
        <v>3</v>
      </c>
      <c r="P273" s="1">
        <f t="shared" si="103"/>
        <v>1.0986122886681098</v>
      </c>
      <c r="Q273" s="1">
        <v>108</v>
      </c>
      <c r="R273" s="1">
        <v>5</v>
      </c>
      <c r="S273" s="1" t="s">
        <v>27</v>
      </c>
      <c r="T273" s="1">
        <f t="shared" si="89"/>
        <v>0</v>
      </c>
      <c r="U273" s="1">
        <v>0</v>
      </c>
      <c r="V273" s="1">
        <v>0</v>
      </c>
      <c r="W273" s="1">
        <v>1</v>
      </c>
      <c r="X273" s="1">
        <v>0</v>
      </c>
      <c r="Y273" s="1">
        <v>0</v>
      </c>
      <c r="Z273" s="1">
        <v>1</v>
      </c>
      <c r="AA273" s="1">
        <v>0</v>
      </c>
      <c r="AB273" s="1" t="s">
        <v>85</v>
      </c>
      <c r="AC273" s="1">
        <f t="shared" si="101"/>
        <v>1</v>
      </c>
      <c r="AD273" s="1">
        <f t="shared" si="91"/>
        <v>1</v>
      </c>
      <c r="AE273" s="1">
        <v>1</v>
      </c>
      <c r="AF273" s="1">
        <v>7.6043960000000004</v>
      </c>
      <c r="AG273" s="1">
        <v>4.6913479999999996</v>
      </c>
      <c r="AH273" s="1">
        <f t="shared" si="111"/>
        <v>-2.1428571428571428</v>
      </c>
      <c r="AI273" s="1">
        <f t="shared" si="106"/>
        <v>-0.23298555275493182</v>
      </c>
      <c r="AJ273" s="1">
        <f t="shared" si="92"/>
        <v>0.10872659128563486</v>
      </c>
      <c r="AK273" s="1">
        <f t="shared" si="93"/>
        <v>84.591836734693857</v>
      </c>
      <c r="AL273" s="1">
        <f t="shared" si="94"/>
        <v>9.1973820587542114</v>
      </c>
      <c r="AM273" s="1">
        <v>0</v>
      </c>
      <c r="AN273" s="1">
        <v>1</v>
      </c>
      <c r="AO273" s="1">
        <v>0</v>
      </c>
      <c r="AP273" s="1">
        <f t="shared" si="107"/>
        <v>0.11180339887498948</v>
      </c>
      <c r="AQ273" s="1">
        <v>0</v>
      </c>
      <c r="AR273" s="1">
        <v>1</v>
      </c>
      <c r="AS273" s="1">
        <v>0</v>
      </c>
      <c r="AT273" s="1">
        <v>0</v>
      </c>
      <c r="AU273" s="4">
        <v>0</v>
      </c>
      <c r="AV273" s="4">
        <v>0</v>
      </c>
      <c r="AW273" s="1">
        <f t="shared" si="108"/>
        <v>2.7777777777777776E-2</v>
      </c>
      <c r="AX273" s="1">
        <f t="shared" si="109"/>
        <v>7.716049382716049E-4</v>
      </c>
    </row>
    <row r="274" spans="1:50" x14ac:dyDescent="0.25">
      <c r="A274" s="1" t="s">
        <v>30</v>
      </c>
      <c r="B274" s="1">
        <v>2007</v>
      </c>
      <c r="C274" s="1">
        <f t="shared" si="110"/>
        <v>25</v>
      </c>
      <c r="D274" s="1" t="s">
        <v>24</v>
      </c>
      <c r="E274" s="1" t="s">
        <v>25</v>
      </c>
      <c r="F274" s="2">
        <v>-0.08</v>
      </c>
      <c r="G274" s="3">
        <v>3.5000000000000003E-2</v>
      </c>
      <c r="H274" s="1">
        <v>1</v>
      </c>
      <c r="I274" s="1">
        <v>118</v>
      </c>
      <c r="J274" s="1">
        <f t="shared" si="90"/>
        <v>117</v>
      </c>
      <c r="K274" s="1">
        <v>36</v>
      </c>
      <c r="L274" s="1">
        <v>1998</v>
      </c>
      <c r="M274" s="1">
        <v>2002</v>
      </c>
      <c r="N274" s="1">
        <f t="shared" si="114"/>
        <v>2000</v>
      </c>
      <c r="O274" s="1">
        <f t="shared" si="115"/>
        <v>5</v>
      </c>
      <c r="P274" s="1">
        <f t="shared" si="103"/>
        <v>1.6094379124341003</v>
      </c>
      <c r="Q274" s="1">
        <v>108</v>
      </c>
      <c r="R274" s="1">
        <v>5</v>
      </c>
      <c r="S274" s="1" t="s">
        <v>27</v>
      </c>
      <c r="T274" s="1">
        <f t="shared" si="89"/>
        <v>0</v>
      </c>
      <c r="U274" s="1">
        <v>0</v>
      </c>
      <c r="V274" s="1">
        <v>0</v>
      </c>
      <c r="W274" s="1">
        <v>1</v>
      </c>
      <c r="X274" s="1">
        <v>0</v>
      </c>
      <c r="Y274" s="1">
        <v>0</v>
      </c>
      <c r="Z274" s="1">
        <v>1</v>
      </c>
      <c r="AA274" s="1">
        <v>0</v>
      </c>
      <c r="AB274" s="1" t="s">
        <v>85</v>
      </c>
      <c r="AC274" s="1">
        <f t="shared" si="101"/>
        <v>1</v>
      </c>
      <c r="AD274" s="1">
        <f t="shared" si="91"/>
        <v>1</v>
      </c>
      <c r="AE274" s="1">
        <v>1</v>
      </c>
      <c r="AF274" s="1">
        <v>7.6043960000000004</v>
      </c>
      <c r="AG274" s="1">
        <v>4.6913479999999996</v>
      </c>
      <c r="AH274" s="1">
        <f t="shared" si="111"/>
        <v>-2.2857142857142856</v>
      </c>
      <c r="AI274" s="1">
        <f t="shared" si="106"/>
        <v>-0.20674871839915421</v>
      </c>
      <c r="AJ274" s="1">
        <f t="shared" si="92"/>
        <v>9.0452564299629973E-2</v>
      </c>
      <c r="AK274" s="1">
        <f t="shared" si="93"/>
        <v>122.22448979591836</v>
      </c>
      <c r="AL274" s="1">
        <f t="shared" si="94"/>
        <v>11.055518522254774</v>
      </c>
      <c r="AM274" s="1">
        <v>0</v>
      </c>
      <c r="AN274" s="1">
        <v>1</v>
      </c>
      <c r="AO274" s="1">
        <v>0</v>
      </c>
      <c r="AP274" s="1">
        <f t="shared" si="107"/>
        <v>9.2450032704204849E-2</v>
      </c>
      <c r="AQ274" s="1">
        <v>0</v>
      </c>
      <c r="AR274" s="1">
        <v>1</v>
      </c>
      <c r="AS274" s="1">
        <v>0</v>
      </c>
      <c r="AT274" s="1">
        <v>0</v>
      </c>
      <c r="AU274" s="4">
        <v>0</v>
      </c>
      <c r="AV274" s="4">
        <v>0</v>
      </c>
      <c r="AW274" s="1">
        <f t="shared" si="108"/>
        <v>2.7777777777777776E-2</v>
      </c>
      <c r="AX274" s="1">
        <f t="shared" si="109"/>
        <v>7.716049382716049E-4</v>
      </c>
    </row>
    <row r="275" spans="1:50" x14ac:dyDescent="0.25">
      <c r="A275" s="1" t="s">
        <v>30</v>
      </c>
      <c r="B275" s="1">
        <v>2007</v>
      </c>
      <c r="C275" s="1">
        <f t="shared" si="110"/>
        <v>25</v>
      </c>
      <c r="D275" s="1" t="s">
        <v>24</v>
      </c>
      <c r="E275" s="1" t="s">
        <v>25</v>
      </c>
      <c r="F275" s="2">
        <v>-9.9000000000000005E-2</v>
      </c>
      <c r="G275" s="3">
        <v>3.2000000000000001E-2</v>
      </c>
      <c r="H275" s="1">
        <v>1</v>
      </c>
      <c r="I275" s="1">
        <v>327</v>
      </c>
      <c r="J275" s="1">
        <f t="shared" si="90"/>
        <v>326</v>
      </c>
      <c r="K275" s="1">
        <v>36</v>
      </c>
      <c r="L275" s="1">
        <v>1998</v>
      </c>
      <c r="M275" s="1">
        <v>2000</v>
      </c>
      <c r="N275" s="1">
        <f t="shared" si="95"/>
        <v>1999</v>
      </c>
      <c r="O275" s="1">
        <f t="shared" si="115"/>
        <v>3</v>
      </c>
      <c r="P275" s="1">
        <f t="shared" si="103"/>
        <v>1.0986122886681098</v>
      </c>
      <c r="Q275" s="1">
        <v>108</v>
      </c>
      <c r="R275" s="1">
        <v>5</v>
      </c>
      <c r="S275" s="1" t="s">
        <v>27</v>
      </c>
      <c r="T275" s="1">
        <f t="shared" si="89"/>
        <v>0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  <c r="Z275" s="1">
        <v>1</v>
      </c>
      <c r="AA275" s="1">
        <v>0</v>
      </c>
      <c r="AB275" s="1" t="s">
        <v>85</v>
      </c>
      <c r="AC275" s="1">
        <f t="shared" si="101"/>
        <v>1</v>
      </c>
      <c r="AD275" s="1">
        <f t="shared" si="91"/>
        <v>1</v>
      </c>
      <c r="AE275" s="1">
        <v>1</v>
      </c>
      <c r="AF275" s="1">
        <v>7.6043960000000004</v>
      </c>
      <c r="AG275" s="1">
        <v>4.6913479999999996</v>
      </c>
      <c r="AH275" s="1">
        <f t="shared" si="111"/>
        <v>-3.09375</v>
      </c>
      <c r="AI275" s="1">
        <f t="shared" si="106"/>
        <v>-0.16888567663231033</v>
      </c>
      <c r="AJ275" s="1">
        <f t="shared" si="92"/>
        <v>5.4589309618524554E-2</v>
      </c>
      <c r="AK275" s="1">
        <f t="shared" si="93"/>
        <v>335.5712890625</v>
      </c>
      <c r="AL275" s="1">
        <f t="shared" si="94"/>
        <v>18.318604997720215</v>
      </c>
      <c r="AM275" s="1">
        <v>0</v>
      </c>
      <c r="AN275" s="1">
        <v>1</v>
      </c>
      <c r="AO275" s="1">
        <v>0</v>
      </c>
      <c r="AP275" s="1">
        <f t="shared" si="107"/>
        <v>5.5384877562171128E-2</v>
      </c>
      <c r="AQ275" s="1">
        <v>0</v>
      </c>
      <c r="AR275" s="1">
        <v>1</v>
      </c>
      <c r="AS275" s="1">
        <v>0</v>
      </c>
      <c r="AT275" s="1">
        <v>0</v>
      </c>
      <c r="AU275" s="4">
        <v>1</v>
      </c>
      <c r="AV275" s="4">
        <v>0</v>
      </c>
      <c r="AW275" s="1">
        <f t="shared" si="108"/>
        <v>2.7777777777777776E-2</v>
      </c>
      <c r="AX275" s="1">
        <f t="shared" si="109"/>
        <v>7.716049382716049E-4</v>
      </c>
    </row>
    <row r="276" spans="1:50" x14ac:dyDescent="0.25">
      <c r="A276" s="1" t="s">
        <v>30</v>
      </c>
      <c r="B276" s="1">
        <v>2007</v>
      </c>
      <c r="C276" s="1">
        <f t="shared" si="110"/>
        <v>25</v>
      </c>
      <c r="D276" s="1" t="s">
        <v>24</v>
      </c>
      <c r="E276" s="1" t="s">
        <v>25</v>
      </c>
      <c r="F276" s="2">
        <v>-8.2000000000000003E-2</v>
      </c>
      <c r="G276" s="3">
        <v>2.7E-2</v>
      </c>
      <c r="H276" s="1">
        <v>1</v>
      </c>
      <c r="I276" s="1">
        <v>333</v>
      </c>
      <c r="J276" s="1">
        <f t="shared" si="90"/>
        <v>332</v>
      </c>
      <c r="K276" s="1">
        <v>36</v>
      </c>
      <c r="L276" s="1">
        <v>2000</v>
      </c>
      <c r="M276" s="1">
        <v>2002</v>
      </c>
      <c r="N276" s="1">
        <f t="shared" si="95"/>
        <v>2001</v>
      </c>
      <c r="O276" s="1">
        <f t="shared" si="115"/>
        <v>3</v>
      </c>
      <c r="P276" s="1">
        <f t="shared" si="103"/>
        <v>1.0986122886681098</v>
      </c>
      <c r="Q276" s="1">
        <v>108</v>
      </c>
      <c r="R276" s="1">
        <v>5</v>
      </c>
      <c r="S276" s="1" t="s">
        <v>27</v>
      </c>
      <c r="T276" s="1">
        <f t="shared" si="89"/>
        <v>0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1</v>
      </c>
      <c r="AA276" s="1">
        <v>0</v>
      </c>
      <c r="AB276" s="1" t="s">
        <v>85</v>
      </c>
      <c r="AC276" s="1">
        <f t="shared" si="101"/>
        <v>1</v>
      </c>
      <c r="AD276" s="1">
        <f t="shared" si="91"/>
        <v>1</v>
      </c>
      <c r="AE276" s="1">
        <v>1</v>
      </c>
      <c r="AF276" s="1">
        <v>7.6043960000000004</v>
      </c>
      <c r="AG276" s="1">
        <v>4.6913479999999996</v>
      </c>
      <c r="AH276" s="1">
        <f t="shared" si="111"/>
        <v>-3.0370370370370372</v>
      </c>
      <c r="AI276" s="1">
        <f t="shared" si="106"/>
        <v>-0.16441088298745926</v>
      </c>
      <c r="AJ276" s="1">
        <f t="shared" si="92"/>
        <v>5.4135290739773169E-2</v>
      </c>
      <c r="AK276" s="1">
        <f t="shared" si="93"/>
        <v>341.22359396433473</v>
      </c>
      <c r="AL276" s="1">
        <f t="shared" si="94"/>
        <v>18.472238466529571</v>
      </c>
      <c r="AM276" s="1">
        <v>0</v>
      </c>
      <c r="AN276" s="1">
        <v>1</v>
      </c>
      <c r="AO276" s="1">
        <v>0</v>
      </c>
      <c r="AP276" s="1">
        <f t="shared" si="107"/>
        <v>5.4882129994845173E-2</v>
      </c>
      <c r="AQ276" s="1">
        <v>0</v>
      </c>
      <c r="AR276" s="1">
        <v>1</v>
      </c>
      <c r="AS276" s="1">
        <v>0</v>
      </c>
      <c r="AT276" s="1">
        <v>0</v>
      </c>
      <c r="AU276" s="4">
        <v>0</v>
      </c>
      <c r="AV276" s="4">
        <v>0</v>
      </c>
      <c r="AW276" s="1">
        <f t="shared" si="108"/>
        <v>2.7777777777777776E-2</v>
      </c>
      <c r="AX276" s="1">
        <f t="shared" si="109"/>
        <v>7.716049382716049E-4</v>
      </c>
    </row>
    <row r="277" spans="1:50" x14ac:dyDescent="0.25">
      <c r="A277" s="1" t="s">
        <v>30</v>
      </c>
      <c r="B277" s="1">
        <v>2007</v>
      </c>
      <c r="C277" s="1">
        <f t="shared" si="110"/>
        <v>25</v>
      </c>
      <c r="D277" s="1" t="s">
        <v>24</v>
      </c>
      <c r="E277" s="1" t="s">
        <v>25</v>
      </c>
      <c r="F277" s="2">
        <v>-7.8E-2</v>
      </c>
      <c r="G277" s="3">
        <v>1.7999999999999999E-2</v>
      </c>
      <c r="H277" s="1">
        <v>1</v>
      </c>
      <c r="I277" s="1">
        <v>493</v>
      </c>
      <c r="J277" s="1">
        <f t="shared" si="90"/>
        <v>492</v>
      </c>
      <c r="K277" s="1">
        <v>36</v>
      </c>
      <c r="L277" s="1">
        <v>1998</v>
      </c>
      <c r="M277" s="1">
        <v>2002</v>
      </c>
      <c r="N277" s="1">
        <f t="shared" si="95"/>
        <v>2000</v>
      </c>
      <c r="O277" s="1">
        <f t="shared" si="115"/>
        <v>5</v>
      </c>
      <c r="P277" s="1">
        <f t="shared" si="103"/>
        <v>1.6094379124341003</v>
      </c>
      <c r="Q277" s="1">
        <v>108</v>
      </c>
      <c r="R277" s="1">
        <v>5</v>
      </c>
      <c r="S277" s="1" t="s">
        <v>27</v>
      </c>
      <c r="T277" s="1">
        <f t="shared" si="89"/>
        <v>0</v>
      </c>
      <c r="U277" s="1">
        <v>0</v>
      </c>
      <c r="V277" s="1">
        <v>0</v>
      </c>
      <c r="W277" s="1">
        <v>1</v>
      </c>
      <c r="X277" s="1">
        <v>0</v>
      </c>
      <c r="Y277" s="1">
        <v>0</v>
      </c>
      <c r="Z277" s="1">
        <v>1</v>
      </c>
      <c r="AA277" s="1">
        <v>0</v>
      </c>
      <c r="AB277" s="1" t="s">
        <v>85</v>
      </c>
      <c r="AC277" s="1">
        <f t="shared" si="101"/>
        <v>1</v>
      </c>
      <c r="AD277" s="1">
        <f t="shared" si="91"/>
        <v>1</v>
      </c>
      <c r="AE277" s="1">
        <v>1</v>
      </c>
      <c r="AF277" s="1">
        <v>7.6043960000000004</v>
      </c>
      <c r="AG277" s="1">
        <v>4.6913479999999996</v>
      </c>
      <c r="AH277" s="1">
        <f t="shared" si="111"/>
        <v>-4.3333333333333339</v>
      </c>
      <c r="AI277" s="1">
        <f t="shared" si="106"/>
        <v>-0.19173707615826943</v>
      </c>
      <c r="AJ277" s="1">
        <f t="shared" si="92"/>
        <v>4.4247017574985247E-2</v>
      </c>
      <c r="AK277" s="1">
        <f t="shared" si="93"/>
        <v>510.7777777777776</v>
      </c>
      <c r="AL277" s="1">
        <f t="shared" si="94"/>
        <v>22.600393310245238</v>
      </c>
      <c r="AM277" s="1">
        <v>0</v>
      </c>
      <c r="AN277" s="1">
        <v>1</v>
      </c>
      <c r="AO277" s="1">
        <v>0</v>
      </c>
      <c r="AP277" s="1">
        <f t="shared" si="107"/>
        <v>4.5083481733371615E-2</v>
      </c>
      <c r="AQ277" s="1">
        <v>0</v>
      </c>
      <c r="AR277" s="1">
        <v>1</v>
      </c>
      <c r="AS277" s="1">
        <v>0</v>
      </c>
      <c r="AT277" s="1">
        <v>0</v>
      </c>
      <c r="AU277" s="4">
        <v>0</v>
      </c>
      <c r="AV277" s="4">
        <v>0</v>
      </c>
      <c r="AW277" s="1">
        <f t="shared" si="108"/>
        <v>2.7777777777777776E-2</v>
      </c>
      <c r="AX277" s="1">
        <f t="shared" si="109"/>
        <v>7.716049382716049E-4</v>
      </c>
    </row>
    <row r="278" spans="1:50" x14ac:dyDescent="0.25">
      <c r="A278" s="1" t="s">
        <v>30</v>
      </c>
      <c r="B278" s="1">
        <v>2007</v>
      </c>
      <c r="C278" s="1">
        <f t="shared" si="110"/>
        <v>25</v>
      </c>
      <c r="D278" s="1" t="s">
        <v>24</v>
      </c>
      <c r="E278" s="1" t="s">
        <v>25</v>
      </c>
      <c r="F278" s="2">
        <v>-9.2999999999999999E-2</v>
      </c>
      <c r="G278" s="3">
        <v>3.2000000000000001E-2</v>
      </c>
      <c r="H278" s="1">
        <v>1</v>
      </c>
      <c r="I278" s="1">
        <v>602</v>
      </c>
      <c r="J278" s="1">
        <f t="shared" si="90"/>
        <v>601</v>
      </c>
      <c r="K278" s="1">
        <v>36</v>
      </c>
      <c r="L278" s="1">
        <v>1998</v>
      </c>
      <c r="M278" s="1">
        <v>2000</v>
      </c>
      <c r="N278" s="1">
        <f t="shared" ref="N278:N298" si="116">+L278+(M278-L278)/2</f>
        <v>1999</v>
      </c>
      <c r="O278" s="1">
        <f t="shared" ref="O278:O299" si="117">+M278-L278+1</f>
        <v>3</v>
      </c>
      <c r="P278" s="1">
        <f t="shared" si="103"/>
        <v>1.0986122886681098</v>
      </c>
      <c r="Q278" s="1">
        <v>108</v>
      </c>
      <c r="R278" s="1">
        <v>5</v>
      </c>
      <c r="S278" s="1" t="s">
        <v>27</v>
      </c>
      <c r="T278" s="1">
        <f t="shared" si="89"/>
        <v>0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1</v>
      </c>
      <c r="AA278" s="1">
        <v>0</v>
      </c>
      <c r="AB278" s="1" t="s">
        <v>85</v>
      </c>
      <c r="AC278" s="1">
        <f t="shared" si="101"/>
        <v>1</v>
      </c>
      <c r="AD278" s="1">
        <f t="shared" si="91"/>
        <v>1</v>
      </c>
      <c r="AE278" s="1">
        <v>1</v>
      </c>
      <c r="AF278" s="1">
        <v>7.6043960000000004</v>
      </c>
      <c r="AG278" s="1">
        <v>4.6913479999999996</v>
      </c>
      <c r="AH278" s="1">
        <f t="shared" si="111"/>
        <v>-2.90625</v>
      </c>
      <c r="AI278" s="1">
        <f t="shared" si="106"/>
        <v>-0.11772406552166934</v>
      </c>
      <c r="AJ278" s="1">
        <f t="shared" si="92"/>
        <v>4.050720534078945E-2</v>
      </c>
      <c r="AK278" s="1">
        <f t="shared" si="93"/>
        <v>609.4462890625</v>
      </c>
      <c r="AL278" s="1">
        <f t="shared" si="94"/>
        <v>24.686965975236813</v>
      </c>
      <c r="AM278" s="1">
        <v>0</v>
      </c>
      <c r="AN278" s="1">
        <v>1</v>
      </c>
      <c r="AO278" s="1">
        <v>0</v>
      </c>
      <c r="AP278" s="1">
        <f t="shared" si="107"/>
        <v>4.0790850822400207E-2</v>
      </c>
      <c r="AQ278" s="1">
        <v>0</v>
      </c>
      <c r="AR278" s="1">
        <v>1</v>
      </c>
      <c r="AS278" s="1">
        <v>0</v>
      </c>
      <c r="AT278" s="1">
        <v>0</v>
      </c>
      <c r="AU278" s="4">
        <v>1</v>
      </c>
      <c r="AV278" s="4">
        <v>0</v>
      </c>
      <c r="AW278" s="1">
        <f t="shared" si="108"/>
        <v>2.7777777777777776E-2</v>
      </c>
      <c r="AX278" s="1">
        <f t="shared" si="109"/>
        <v>7.716049382716049E-4</v>
      </c>
    </row>
    <row r="279" spans="1:50" x14ac:dyDescent="0.25">
      <c r="A279" s="1" t="s">
        <v>30</v>
      </c>
      <c r="B279" s="1">
        <v>2007</v>
      </c>
      <c r="C279" s="1">
        <f t="shared" si="110"/>
        <v>25</v>
      </c>
      <c r="D279" s="1" t="s">
        <v>24</v>
      </c>
      <c r="E279" s="1" t="s">
        <v>25</v>
      </c>
      <c r="F279" s="2">
        <v>-6.2E-2</v>
      </c>
      <c r="G279" s="3">
        <v>1.9E-2</v>
      </c>
      <c r="H279" s="1">
        <v>1</v>
      </c>
      <c r="I279" s="1">
        <v>623</v>
      </c>
      <c r="J279" s="1">
        <f t="shared" si="90"/>
        <v>622</v>
      </c>
      <c r="K279" s="1">
        <v>36</v>
      </c>
      <c r="L279" s="1">
        <v>2000</v>
      </c>
      <c r="M279" s="1">
        <v>2002</v>
      </c>
      <c r="N279" s="1">
        <f t="shared" si="116"/>
        <v>2001</v>
      </c>
      <c r="O279" s="1">
        <f t="shared" si="117"/>
        <v>3</v>
      </c>
      <c r="P279" s="1">
        <f t="shared" si="103"/>
        <v>1.0986122886681098</v>
      </c>
      <c r="Q279" s="1">
        <v>108</v>
      </c>
      <c r="R279" s="1">
        <v>5</v>
      </c>
      <c r="S279" s="1" t="s">
        <v>27</v>
      </c>
      <c r="T279" s="1">
        <f t="shared" si="89"/>
        <v>0</v>
      </c>
      <c r="U279" s="1">
        <v>0</v>
      </c>
      <c r="V279" s="1">
        <v>0</v>
      </c>
      <c r="W279" s="1">
        <v>1</v>
      </c>
      <c r="X279" s="1">
        <v>0</v>
      </c>
      <c r="Y279" s="1">
        <v>0</v>
      </c>
      <c r="Z279" s="1">
        <v>1</v>
      </c>
      <c r="AA279" s="1">
        <v>0</v>
      </c>
      <c r="AB279" s="1" t="s">
        <v>85</v>
      </c>
      <c r="AC279" s="1">
        <f t="shared" si="101"/>
        <v>1</v>
      </c>
      <c r="AD279" s="1">
        <f t="shared" si="91"/>
        <v>1</v>
      </c>
      <c r="AE279" s="1">
        <v>1</v>
      </c>
      <c r="AF279" s="1">
        <v>7.6043960000000004</v>
      </c>
      <c r="AG279" s="1">
        <v>4.6913479999999996</v>
      </c>
      <c r="AH279" s="1">
        <f t="shared" si="111"/>
        <v>-3.263157894736842</v>
      </c>
      <c r="AI279" s="1">
        <f t="shared" si="106"/>
        <v>-0.1297349385243031</v>
      </c>
      <c r="AJ279" s="1">
        <f t="shared" si="92"/>
        <v>3.9757481160673527E-2</v>
      </c>
      <c r="AK279" s="1">
        <f t="shared" si="93"/>
        <v>632.64819944598355</v>
      </c>
      <c r="AL279" s="1">
        <f t="shared" si="94"/>
        <v>25.152498870807719</v>
      </c>
      <c r="AM279" s="1">
        <v>0</v>
      </c>
      <c r="AN279" s="1">
        <v>1</v>
      </c>
      <c r="AO279" s="1">
        <v>0</v>
      </c>
      <c r="AP279" s="1">
        <f t="shared" si="107"/>
        <v>4.0096346988231273E-2</v>
      </c>
      <c r="AQ279" s="1">
        <v>0</v>
      </c>
      <c r="AR279" s="1">
        <v>1</v>
      </c>
      <c r="AS279" s="1">
        <v>0</v>
      </c>
      <c r="AT279" s="1">
        <v>0</v>
      </c>
      <c r="AU279" s="4">
        <v>0</v>
      </c>
      <c r="AV279" s="4">
        <v>0</v>
      </c>
      <c r="AW279" s="1">
        <f t="shared" si="108"/>
        <v>2.7777777777777776E-2</v>
      </c>
      <c r="AX279" s="1">
        <f t="shared" si="109"/>
        <v>7.716049382716049E-4</v>
      </c>
    </row>
    <row r="280" spans="1:50" x14ac:dyDescent="0.25">
      <c r="A280" s="1" t="s">
        <v>30</v>
      </c>
      <c r="B280" s="1">
        <v>2007</v>
      </c>
      <c r="C280" s="1">
        <f t="shared" si="110"/>
        <v>25</v>
      </c>
      <c r="D280" s="1" t="s">
        <v>24</v>
      </c>
      <c r="E280" s="1" t="s">
        <v>25</v>
      </c>
      <c r="F280" s="2">
        <v>-6.2E-2</v>
      </c>
      <c r="G280" s="3">
        <v>1.4E-2</v>
      </c>
      <c r="H280" s="1">
        <v>1</v>
      </c>
      <c r="I280" s="1">
        <v>918</v>
      </c>
      <c r="J280" s="1">
        <f t="shared" si="90"/>
        <v>917</v>
      </c>
      <c r="K280" s="1">
        <v>36</v>
      </c>
      <c r="L280" s="1">
        <v>1998</v>
      </c>
      <c r="M280" s="1">
        <v>2002</v>
      </c>
      <c r="N280" s="1">
        <f t="shared" si="116"/>
        <v>2000</v>
      </c>
      <c r="O280" s="1">
        <f t="shared" si="117"/>
        <v>5</v>
      </c>
      <c r="P280" s="1">
        <f t="shared" si="103"/>
        <v>1.6094379124341003</v>
      </c>
      <c r="Q280" s="1">
        <v>108</v>
      </c>
      <c r="R280" s="1">
        <v>5</v>
      </c>
      <c r="S280" s="1" t="s">
        <v>27</v>
      </c>
      <c r="T280" s="1">
        <f t="shared" si="89"/>
        <v>0</v>
      </c>
      <c r="U280" s="1">
        <v>0</v>
      </c>
      <c r="V280" s="1">
        <v>0</v>
      </c>
      <c r="W280" s="1">
        <v>1</v>
      </c>
      <c r="X280" s="1">
        <v>0</v>
      </c>
      <c r="Y280" s="1">
        <v>0</v>
      </c>
      <c r="Z280" s="1">
        <v>1</v>
      </c>
      <c r="AA280" s="1">
        <v>0</v>
      </c>
      <c r="AB280" s="1" t="s">
        <v>85</v>
      </c>
      <c r="AC280" s="1">
        <f t="shared" si="101"/>
        <v>1</v>
      </c>
      <c r="AD280" s="1">
        <f t="shared" si="91"/>
        <v>1</v>
      </c>
      <c r="AE280" s="1">
        <v>1</v>
      </c>
      <c r="AF280" s="1">
        <v>7.6043960000000004</v>
      </c>
      <c r="AG280" s="1">
        <v>4.6913479999999996</v>
      </c>
      <c r="AH280" s="1">
        <f t="shared" si="111"/>
        <v>-4.4285714285714288</v>
      </c>
      <c r="AI280" s="1">
        <f t="shared" si="106"/>
        <v>-0.14470506683950041</v>
      </c>
      <c r="AJ280" s="1">
        <f t="shared" si="92"/>
        <v>3.2675337673435577E-2</v>
      </c>
      <c r="AK280" s="1">
        <f t="shared" si="93"/>
        <v>936.6122448979587</v>
      </c>
      <c r="AL280" s="1">
        <f t="shared" si="94"/>
        <v>30.60412137111534</v>
      </c>
      <c r="AM280" s="1">
        <v>0</v>
      </c>
      <c r="AN280" s="1">
        <v>1</v>
      </c>
      <c r="AO280" s="1">
        <v>0</v>
      </c>
      <c r="AP280" s="1">
        <f t="shared" si="107"/>
        <v>3.3022909334191324E-2</v>
      </c>
      <c r="AQ280" s="1">
        <v>0</v>
      </c>
      <c r="AR280" s="1">
        <v>1</v>
      </c>
      <c r="AS280" s="1">
        <v>0</v>
      </c>
      <c r="AT280" s="1">
        <v>0</v>
      </c>
      <c r="AU280" s="4">
        <v>0</v>
      </c>
      <c r="AV280" s="4">
        <v>0</v>
      </c>
      <c r="AW280" s="1">
        <f t="shared" si="108"/>
        <v>2.7777777777777776E-2</v>
      </c>
      <c r="AX280" s="1">
        <f t="shared" si="109"/>
        <v>7.716049382716049E-4</v>
      </c>
    </row>
    <row r="281" spans="1:50" x14ac:dyDescent="0.25">
      <c r="A281" s="1" t="s">
        <v>30</v>
      </c>
      <c r="B281" s="1">
        <v>2007</v>
      </c>
      <c r="C281" s="1">
        <f t="shared" si="110"/>
        <v>25</v>
      </c>
      <c r="D281" s="1" t="s">
        <v>24</v>
      </c>
      <c r="E281" s="1" t="s">
        <v>25</v>
      </c>
      <c r="F281" s="2">
        <v>-0.17699999999999999</v>
      </c>
      <c r="G281" s="3">
        <v>6.2E-2</v>
      </c>
      <c r="H281" s="1">
        <v>1</v>
      </c>
      <c r="I281" s="1">
        <v>85</v>
      </c>
      <c r="J281" s="1">
        <f t="shared" si="90"/>
        <v>84</v>
      </c>
      <c r="K281" s="1">
        <v>36</v>
      </c>
      <c r="L281" s="1">
        <v>1998</v>
      </c>
      <c r="M281" s="1">
        <v>2000</v>
      </c>
      <c r="N281" s="1">
        <f t="shared" si="116"/>
        <v>1999</v>
      </c>
      <c r="O281" s="1">
        <f t="shared" si="117"/>
        <v>3</v>
      </c>
      <c r="P281" s="1">
        <f t="shared" si="103"/>
        <v>1.0986122886681098</v>
      </c>
      <c r="Q281" s="1">
        <v>108</v>
      </c>
      <c r="R281" s="1">
        <v>5</v>
      </c>
      <c r="S281" s="1" t="s">
        <v>27</v>
      </c>
      <c r="T281" s="1">
        <f t="shared" si="89"/>
        <v>0</v>
      </c>
      <c r="U281" s="1">
        <v>0</v>
      </c>
      <c r="V281" s="1">
        <v>0</v>
      </c>
      <c r="W281" s="1">
        <v>1</v>
      </c>
      <c r="X281" s="1">
        <v>0</v>
      </c>
      <c r="Y281" s="1">
        <v>0</v>
      </c>
      <c r="Z281" s="1">
        <v>1</v>
      </c>
      <c r="AA281" s="1">
        <v>0</v>
      </c>
      <c r="AB281" s="1" t="s">
        <v>85</v>
      </c>
      <c r="AC281" s="1">
        <f t="shared" si="101"/>
        <v>1</v>
      </c>
      <c r="AD281" s="1">
        <f t="shared" si="91"/>
        <v>1</v>
      </c>
      <c r="AE281" s="1">
        <v>1</v>
      </c>
      <c r="AF281" s="1">
        <v>7.6043960000000004</v>
      </c>
      <c r="AG281" s="1">
        <v>4.6913479999999996</v>
      </c>
      <c r="AH281" s="1">
        <f t="shared" si="111"/>
        <v>-2.854838709677419</v>
      </c>
      <c r="AI281" s="1">
        <f t="shared" si="106"/>
        <v>-0.29739499950303344</v>
      </c>
      <c r="AJ281" s="1">
        <f t="shared" si="92"/>
        <v>0.10417225971292698</v>
      </c>
      <c r="AK281" s="1">
        <f t="shared" si="93"/>
        <v>92.150104058272618</v>
      </c>
      <c r="AL281" s="1">
        <f t="shared" si="94"/>
        <v>9.5994845725316225</v>
      </c>
      <c r="AM281" s="1">
        <v>0</v>
      </c>
      <c r="AN281" s="1">
        <v>1</v>
      </c>
      <c r="AO281" s="1">
        <v>0</v>
      </c>
      <c r="AP281" s="1">
        <f t="shared" si="107"/>
        <v>0.10910894511799619</v>
      </c>
      <c r="AQ281" s="1">
        <v>0</v>
      </c>
      <c r="AR281" s="1">
        <v>1</v>
      </c>
      <c r="AS281" s="1">
        <v>0</v>
      </c>
      <c r="AT281" s="1">
        <v>0</v>
      </c>
      <c r="AU281" s="4">
        <v>1</v>
      </c>
      <c r="AV281" s="4">
        <v>0</v>
      </c>
      <c r="AW281" s="1">
        <f t="shared" si="108"/>
        <v>2.7777777777777776E-2</v>
      </c>
      <c r="AX281" s="1">
        <f t="shared" si="109"/>
        <v>7.716049382716049E-4</v>
      </c>
    </row>
    <row r="282" spans="1:50" x14ac:dyDescent="0.25">
      <c r="A282" s="1" t="s">
        <v>30</v>
      </c>
      <c r="B282" s="1">
        <v>2007</v>
      </c>
      <c r="C282" s="1">
        <f t="shared" si="110"/>
        <v>25</v>
      </c>
      <c r="D282" s="1" t="s">
        <v>24</v>
      </c>
      <c r="E282" s="1" t="s">
        <v>25</v>
      </c>
      <c r="F282" s="2">
        <v>-0.126</v>
      </c>
      <c r="G282" s="3">
        <v>5.8999999999999997E-2</v>
      </c>
      <c r="H282" s="1">
        <v>1</v>
      </c>
      <c r="I282" s="1">
        <v>87</v>
      </c>
      <c r="J282" s="1">
        <f t="shared" si="90"/>
        <v>86</v>
      </c>
      <c r="K282" s="1">
        <v>36</v>
      </c>
      <c r="L282" s="1">
        <v>2000</v>
      </c>
      <c r="M282" s="1">
        <v>2002</v>
      </c>
      <c r="N282" s="1">
        <f t="shared" si="116"/>
        <v>2001</v>
      </c>
      <c r="O282" s="1">
        <f t="shared" si="117"/>
        <v>3</v>
      </c>
      <c r="P282" s="1">
        <f t="shared" si="103"/>
        <v>1.0986122886681098</v>
      </c>
      <c r="Q282" s="1">
        <v>108</v>
      </c>
      <c r="R282" s="1">
        <v>5</v>
      </c>
      <c r="S282" s="1" t="s">
        <v>27</v>
      </c>
      <c r="T282" s="1">
        <f t="shared" si="89"/>
        <v>0</v>
      </c>
      <c r="U282" s="1">
        <v>0</v>
      </c>
      <c r="V282" s="1">
        <v>0</v>
      </c>
      <c r="W282" s="1">
        <v>1</v>
      </c>
      <c r="X282" s="1">
        <v>0</v>
      </c>
      <c r="Y282" s="1">
        <v>0</v>
      </c>
      <c r="Z282" s="1">
        <v>1</v>
      </c>
      <c r="AA282" s="1">
        <v>0</v>
      </c>
      <c r="AB282" s="1" t="s">
        <v>85</v>
      </c>
      <c r="AC282" s="1">
        <f t="shared" si="101"/>
        <v>1</v>
      </c>
      <c r="AD282" s="1">
        <f t="shared" si="91"/>
        <v>1</v>
      </c>
      <c r="AE282" s="1">
        <v>1</v>
      </c>
      <c r="AF282" s="1">
        <v>7.6043960000000004</v>
      </c>
      <c r="AG282" s="1">
        <v>4.6913479999999996</v>
      </c>
      <c r="AH282" s="1">
        <f t="shared" si="111"/>
        <v>-2.1355932203389831</v>
      </c>
      <c r="AI282" s="1">
        <f t="shared" si="106"/>
        <v>-0.22441325656912095</v>
      </c>
      <c r="AJ282" s="1">
        <f t="shared" si="92"/>
        <v>0.1050823979172868</v>
      </c>
      <c r="AK282" s="1">
        <f t="shared" si="93"/>
        <v>90.560758402757813</v>
      </c>
      <c r="AL282" s="1">
        <f t="shared" si="94"/>
        <v>9.5163416501698705</v>
      </c>
      <c r="AM282" s="1">
        <v>0</v>
      </c>
      <c r="AN282" s="1">
        <v>1</v>
      </c>
      <c r="AO282" s="1">
        <v>0</v>
      </c>
      <c r="AP282" s="1">
        <f t="shared" si="107"/>
        <v>0.10783277320343841</v>
      </c>
      <c r="AQ282" s="1">
        <v>0</v>
      </c>
      <c r="AR282" s="1">
        <v>1</v>
      </c>
      <c r="AS282" s="1">
        <v>0</v>
      </c>
      <c r="AT282" s="1">
        <v>0</v>
      </c>
      <c r="AU282" s="4">
        <v>0</v>
      </c>
      <c r="AV282" s="4">
        <v>0</v>
      </c>
      <c r="AW282" s="1">
        <f t="shared" si="108"/>
        <v>2.7777777777777776E-2</v>
      </c>
      <c r="AX282" s="1">
        <f t="shared" si="109"/>
        <v>7.716049382716049E-4</v>
      </c>
    </row>
    <row r="283" spans="1:50" x14ac:dyDescent="0.25">
      <c r="A283" s="1" t="s">
        <v>30</v>
      </c>
      <c r="B283" s="1">
        <v>2007</v>
      </c>
      <c r="C283" s="1">
        <f t="shared" si="110"/>
        <v>25</v>
      </c>
      <c r="D283" s="1" t="s">
        <v>24</v>
      </c>
      <c r="E283" s="1" t="s">
        <v>25</v>
      </c>
      <c r="F283" s="2">
        <v>-0.13300000000000001</v>
      </c>
      <c r="G283" s="3">
        <v>4.1000000000000002E-2</v>
      </c>
      <c r="H283" s="1">
        <v>1</v>
      </c>
      <c r="I283" s="1">
        <v>130</v>
      </c>
      <c r="J283" s="1">
        <f t="shared" si="90"/>
        <v>129</v>
      </c>
      <c r="K283" s="1">
        <v>36</v>
      </c>
      <c r="L283" s="1">
        <v>1998</v>
      </c>
      <c r="M283" s="1">
        <v>2002</v>
      </c>
      <c r="N283" s="1">
        <f t="shared" si="116"/>
        <v>2000</v>
      </c>
      <c r="O283" s="1">
        <f t="shared" si="117"/>
        <v>5</v>
      </c>
      <c r="P283" s="1">
        <f t="shared" si="103"/>
        <v>1.6094379124341003</v>
      </c>
      <c r="Q283" s="1">
        <v>108</v>
      </c>
      <c r="R283" s="1">
        <v>5</v>
      </c>
      <c r="S283" s="1" t="s">
        <v>27</v>
      </c>
      <c r="T283" s="1">
        <f t="shared" si="89"/>
        <v>0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1</v>
      </c>
      <c r="AA283" s="1">
        <v>0</v>
      </c>
      <c r="AB283" s="1" t="s">
        <v>85</v>
      </c>
      <c r="AC283" s="1">
        <f t="shared" si="101"/>
        <v>1</v>
      </c>
      <c r="AD283" s="1">
        <f t="shared" si="91"/>
        <v>1</v>
      </c>
      <c r="AE283" s="1">
        <v>1</v>
      </c>
      <c r="AF283" s="1">
        <v>7.6043960000000004</v>
      </c>
      <c r="AG283" s="1">
        <v>4.6913479999999996</v>
      </c>
      <c r="AH283" s="1">
        <f t="shared" si="111"/>
        <v>-3.2439024390243905</v>
      </c>
      <c r="AI283" s="1">
        <f t="shared" si="106"/>
        <v>-0.27462813793118562</v>
      </c>
      <c r="AJ283" s="1">
        <f t="shared" si="92"/>
        <v>8.465980191863616E-2</v>
      </c>
      <c r="AK283" s="1">
        <f t="shared" si="93"/>
        <v>139.52290303390839</v>
      </c>
      <c r="AL283" s="1">
        <f t="shared" si="94"/>
        <v>11.811981333963764</v>
      </c>
      <c r="AM283" s="1">
        <v>0</v>
      </c>
      <c r="AN283" s="1">
        <v>1</v>
      </c>
      <c r="AO283" s="1">
        <v>0</v>
      </c>
      <c r="AP283" s="1">
        <f t="shared" si="107"/>
        <v>8.8045090632562384E-2</v>
      </c>
      <c r="AQ283" s="1">
        <v>0</v>
      </c>
      <c r="AR283" s="1">
        <v>1</v>
      </c>
      <c r="AS283" s="1">
        <v>0</v>
      </c>
      <c r="AT283" s="1">
        <v>0</v>
      </c>
      <c r="AU283" s="4">
        <v>0</v>
      </c>
      <c r="AV283" s="4">
        <v>0</v>
      </c>
      <c r="AW283" s="1">
        <f t="shared" si="108"/>
        <v>2.7777777777777776E-2</v>
      </c>
      <c r="AX283" s="1">
        <f t="shared" si="109"/>
        <v>7.716049382716049E-4</v>
      </c>
    </row>
    <row r="284" spans="1:50" x14ac:dyDescent="0.25">
      <c r="A284" s="1" t="s">
        <v>30</v>
      </c>
      <c r="B284" s="1">
        <v>2007</v>
      </c>
      <c r="C284" s="1">
        <f t="shared" si="110"/>
        <v>25</v>
      </c>
      <c r="D284" s="1" t="s">
        <v>24</v>
      </c>
      <c r="E284" s="1" t="s">
        <v>25</v>
      </c>
      <c r="F284" s="2">
        <v>-0.14000000000000001</v>
      </c>
      <c r="G284" s="3">
        <v>3.9E-2</v>
      </c>
      <c r="H284" s="1">
        <v>1</v>
      </c>
      <c r="I284" s="1">
        <v>313</v>
      </c>
      <c r="J284" s="1">
        <f t="shared" si="90"/>
        <v>312</v>
      </c>
      <c r="K284" s="1">
        <v>36</v>
      </c>
      <c r="L284" s="1">
        <v>1998</v>
      </c>
      <c r="M284" s="1">
        <v>2000</v>
      </c>
      <c r="N284" s="1">
        <f t="shared" si="116"/>
        <v>1999</v>
      </c>
      <c r="O284" s="1">
        <f t="shared" si="117"/>
        <v>3</v>
      </c>
      <c r="P284" s="1">
        <f t="shared" si="103"/>
        <v>1.0986122886681098</v>
      </c>
      <c r="Q284" s="1">
        <v>108</v>
      </c>
      <c r="R284" s="1">
        <v>5</v>
      </c>
      <c r="S284" s="1" t="s">
        <v>27</v>
      </c>
      <c r="T284" s="1">
        <f t="shared" si="89"/>
        <v>0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1</v>
      </c>
      <c r="AA284" s="1">
        <v>0</v>
      </c>
      <c r="AB284" s="1" t="s">
        <v>85</v>
      </c>
      <c r="AC284" s="1">
        <f t="shared" si="101"/>
        <v>1</v>
      </c>
      <c r="AD284" s="1">
        <f t="shared" si="91"/>
        <v>1</v>
      </c>
      <c r="AE284" s="1">
        <v>1</v>
      </c>
      <c r="AF284" s="1">
        <v>7.6043960000000004</v>
      </c>
      <c r="AG284" s="1">
        <v>4.6913479999999996</v>
      </c>
      <c r="AH284" s="1">
        <f t="shared" si="111"/>
        <v>-3.5897435897435899</v>
      </c>
      <c r="AI284" s="1">
        <f t="shared" si="106"/>
        <v>-0.19915800029274944</v>
      </c>
      <c r="AJ284" s="1">
        <f t="shared" si="92"/>
        <v>5.5479728652980197E-2</v>
      </c>
      <c r="AK284" s="1">
        <f t="shared" si="93"/>
        <v>324.88625904010513</v>
      </c>
      <c r="AL284" s="1">
        <f t="shared" si="94"/>
        <v>18.024601494626868</v>
      </c>
      <c r="AM284" s="1">
        <v>0</v>
      </c>
      <c r="AN284" s="1">
        <v>1</v>
      </c>
      <c r="AO284" s="1">
        <v>0</v>
      </c>
      <c r="AP284" s="1">
        <f t="shared" si="107"/>
        <v>5.6613851707229781E-2</v>
      </c>
      <c r="AQ284" s="1">
        <v>0</v>
      </c>
      <c r="AR284" s="1">
        <v>1</v>
      </c>
      <c r="AS284" s="1">
        <v>0</v>
      </c>
      <c r="AT284" s="1">
        <v>0</v>
      </c>
      <c r="AU284" s="4">
        <v>1</v>
      </c>
      <c r="AV284" s="4">
        <v>0</v>
      </c>
      <c r="AW284" s="1">
        <f t="shared" si="108"/>
        <v>2.7777777777777776E-2</v>
      </c>
      <c r="AX284" s="1">
        <f t="shared" si="109"/>
        <v>7.716049382716049E-4</v>
      </c>
    </row>
    <row r="285" spans="1:50" x14ac:dyDescent="0.25">
      <c r="A285" s="1" t="s">
        <v>30</v>
      </c>
      <c r="B285" s="1">
        <v>2007</v>
      </c>
      <c r="C285" s="1">
        <f t="shared" si="110"/>
        <v>25</v>
      </c>
      <c r="D285" s="1" t="s">
        <v>24</v>
      </c>
      <c r="E285" s="1" t="s">
        <v>25</v>
      </c>
      <c r="F285" s="2">
        <v>-0.06</v>
      </c>
      <c r="G285" s="3">
        <v>2.7E-2</v>
      </c>
      <c r="H285" s="1">
        <v>1</v>
      </c>
      <c r="I285" s="1">
        <v>322</v>
      </c>
      <c r="J285" s="1">
        <f t="shared" si="90"/>
        <v>321</v>
      </c>
      <c r="K285" s="1">
        <v>36</v>
      </c>
      <c r="L285" s="1">
        <v>2000</v>
      </c>
      <c r="M285" s="1">
        <v>2002</v>
      </c>
      <c r="N285" s="1">
        <f t="shared" si="116"/>
        <v>2001</v>
      </c>
      <c r="O285" s="1">
        <f t="shared" si="117"/>
        <v>3</v>
      </c>
      <c r="P285" s="1">
        <f t="shared" si="103"/>
        <v>1.0986122886681098</v>
      </c>
      <c r="Q285" s="1">
        <v>108</v>
      </c>
      <c r="R285" s="1">
        <v>5</v>
      </c>
      <c r="S285" s="1" t="s">
        <v>27</v>
      </c>
      <c r="T285" s="1">
        <f t="shared" si="89"/>
        <v>0</v>
      </c>
      <c r="U285" s="1">
        <v>0</v>
      </c>
      <c r="V285" s="1">
        <v>0</v>
      </c>
      <c r="W285" s="1">
        <v>1</v>
      </c>
      <c r="X285" s="1">
        <v>0</v>
      </c>
      <c r="Y285" s="1">
        <v>0</v>
      </c>
      <c r="Z285" s="1">
        <v>1</v>
      </c>
      <c r="AA285" s="1">
        <v>0</v>
      </c>
      <c r="AB285" s="1" t="s">
        <v>85</v>
      </c>
      <c r="AC285" s="1">
        <f t="shared" si="101"/>
        <v>1</v>
      </c>
      <c r="AD285" s="1">
        <f t="shared" si="91"/>
        <v>1</v>
      </c>
      <c r="AE285" s="1">
        <v>1</v>
      </c>
      <c r="AF285" s="1">
        <v>7.6043960000000004</v>
      </c>
      <c r="AG285" s="1">
        <v>4.6913479999999996</v>
      </c>
      <c r="AH285" s="1">
        <f t="shared" si="111"/>
        <v>-2.2222222222222223</v>
      </c>
      <c r="AI285" s="1">
        <f t="shared" si="106"/>
        <v>-0.12308915976732189</v>
      </c>
      <c r="AJ285" s="1">
        <f t="shared" si="92"/>
        <v>5.5390121895294846E-2</v>
      </c>
      <c r="AK285" s="1">
        <f t="shared" si="93"/>
        <v>325.93827160493834</v>
      </c>
      <c r="AL285" s="1">
        <f t="shared" si="94"/>
        <v>18.053760594539252</v>
      </c>
      <c r="AM285" s="1">
        <v>0</v>
      </c>
      <c r="AN285" s="1">
        <v>1</v>
      </c>
      <c r="AO285" s="1">
        <v>0</v>
      </c>
      <c r="AP285" s="1">
        <f t="shared" si="107"/>
        <v>5.5814557218594761E-2</v>
      </c>
      <c r="AQ285" s="1">
        <v>0</v>
      </c>
      <c r="AR285" s="1">
        <v>1</v>
      </c>
      <c r="AS285" s="1">
        <v>0</v>
      </c>
      <c r="AT285" s="1">
        <v>0</v>
      </c>
      <c r="AU285" s="4">
        <v>0</v>
      </c>
      <c r="AV285" s="4">
        <v>0</v>
      </c>
      <c r="AW285" s="1">
        <f t="shared" si="108"/>
        <v>2.7777777777777776E-2</v>
      </c>
      <c r="AX285" s="1">
        <f t="shared" si="109"/>
        <v>7.716049382716049E-4</v>
      </c>
    </row>
    <row r="286" spans="1:50" x14ac:dyDescent="0.25">
      <c r="A286" s="1" t="s">
        <v>30</v>
      </c>
      <c r="B286" s="1">
        <v>2007</v>
      </c>
      <c r="C286" s="1">
        <f t="shared" si="110"/>
        <v>25</v>
      </c>
      <c r="D286" s="1" t="s">
        <v>24</v>
      </c>
      <c r="E286" s="1" t="s">
        <v>25</v>
      </c>
      <c r="F286" s="2">
        <v>-9.4E-2</v>
      </c>
      <c r="G286" s="3">
        <v>0.02</v>
      </c>
      <c r="H286" s="1">
        <v>1</v>
      </c>
      <c r="I286" s="1">
        <v>471</v>
      </c>
      <c r="J286" s="1">
        <f t="shared" si="90"/>
        <v>470</v>
      </c>
      <c r="K286" s="1">
        <v>36</v>
      </c>
      <c r="L286" s="1">
        <v>1998</v>
      </c>
      <c r="M286" s="1">
        <v>2002</v>
      </c>
      <c r="N286" s="1">
        <f t="shared" si="116"/>
        <v>2000</v>
      </c>
      <c r="O286" s="1">
        <f t="shared" si="117"/>
        <v>5</v>
      </c>
      <c r="P286" s="1">
        <f t="shared" si="103"/>
        <v>1.6094379124341003</v>
      </c>
      <c r="Q286" s="1">
        <v>108</v>
      </c>
      <c r="R286" s="1">
        <v>5</v>
      </c>
      <c r="S286" s="1" t="s">
        <v>27</v>
      </c>
      <c r="T286" s="1">
        <f t="shared" si="89"/>
        <v>0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1</v>
      </c>
      <c r="AA286" s="1">
        <v>0</v>
      </c>
      <c r="AB286" s="1" t="s">
        <v>85</v>
      </c>
      <c r="AC286" s="1">
        <f t="shared" si="101"/>
        <v>1</v>
      </c>
      <c r="AD286" s="1">
        <f t="shared" si="91"/>
        <v>1</v>
      </c>
      <c r="AE286" s="1">
        <v>1</v>
      </c>
      <c r="AF286" s="1">
        <v>7.6043960000000004</v>
      </c>
      <c r="AG286" s="1">
        <v>4.6913479999999996</v>
      </c>
      <c r="AH286" s="1">
        <f t="shared" si="111"/>
        <v>-4.7</v>
      </c>
      <c r="AI286" s="1">
        <f t="shared" si="106"/>
        <v>-0.2118729864061778</v>
      </c>
      <c r="AJ286" s="1">
        <f t="shared" si="92"/>
        <v>4.5079358809825061E-2</v>
      </c>
      <c r="AK286" s="1">
        <f t="shared" si="93"/>
        <v>492.09</v>
      </c>
      <c r="AL286" s="1">
        <f t="shared" si="94"/>
        <v>22.183101676726814</v>
      </c>
      <c r="AM286" s="1">
        <v>0</v>
      </c>
      <c r="AN286" s="1">
        <v>1</v>
      </c>
      <c r="AO286" s="1">
        <v>0</v>
      </c>
      <c r="AP286" s="1">
        <f t="shared" si="107"/>
        <v>4.612656040144425E-2</v>
      </c>
      <c r="AQ286" s="1">
        <v>0</v>
      </c>
      <c r="AR286" s="1">
        <v>1</v>
      </c>
      <c r="AS286" s="1">
        <v>0</v>
      </c>
      <c r="AT286" s="1">
        <v>0</v>
      </c>
      <c r="AU286" s="4">
        <v>0</v>
      </c>
      <c r="AV286" s="4">
        <v>0</v>
      </c>
      <c r="AW286" s="1">
        <f t="shared" si="108"/>
        <v>2.7777777777777776E-2</v>
      </c>
      <c r="AX286" s="1">
        <f t="shared" si="109"/>
        <v>7.716049382716049E-4</v>
      </c>
    </row>
    <row r="287" spans="1:50" x14ac:dyDescent="0.25">
      <c r="A287" s="1" t="s">
        <v>30</v>
      </c>
      <c r="B287" s="1">
        <v>2007</v>
      </c>
      <c r="C287" s="1">
        <f t="shared" si="110"/>
        <v>25</v>
      </c>
      <c r="D287" s="1" t="s">
        <v>24</v>
      </c>
      <c r="E287" s="1" t="s">
        <v>25</v>
      </c>
      <c r="F287" s="2">
        <v>8.3000000000000004E-2</v>
      </c>
      <c r="G287" s="3">
        <v>0.125</v>
      </c>
      <c r="H287" s="1">
        <v>1</v>
      </c>
      <c r="I287" s="1">
        <v>305</v>
      </c>
      <c r="J287" s="1">
        <f t="shared" si="90"/>
        <v>304</v>
      </c>
      <c r="K287" s="1">
        <v>36</v>
      </c>
      <c r="L287" s="1">
        <v>1998</v>
      </c>
      <c r="M287" s="1">
        <v>2000</v>
      </c>
      <c r="N287" s="1">
        <f t="shared" si="116"/>
        <v>1999</v>
      </c>
      <c r="O287" s="1">
        <f t="shared" si="117"/>
        <v>3</v>
      </c>
      <c r="P287" s="1">
        <f t="shared" si="103"/>
        <v>1.0986122886681098</v>
      </c>
      <c r="Q287" s="1">
        <v>108</v>
      </c>
      <c r="R287" s="1">
        <v>5</v>
      </c>
      <c r="S287" s="1" t="s">
        <v>27</v>
      </c>
      <c r="T287" s="1">
        <f t="shared" si="89"/>
        <v>0</v>
      </c>
      <c r="U287" s="1">
        <v>0</v>
      </c>
      <c r="V287" s="1">
        <v>0</v>
      </c>
      <c r="W287" s="1">
        <v>1</v>
      </c>
      <c r="X287" s="1">
        <v>0</v>
      </c>
      <c r="Y287" s="1">
        <v>0</v>
      </c>
      <c r="Z287" s="1">
        <v>1</v>
      </c>
      <c r="AA287" s="1">
        <v>0</v>
      </c>
      <c r="AB287" s="1" t="s">
        <v>85</v>
      </c>
      <c r="AC287" s="1">
        <f t="shared" si="101"/>
        <v>1</v>
      </c>
      <c r="AD287" s="1">
        <f t="shared" si="91"/>
        <v>1</v>
      </c>
      <c r="AE287" s="1">
        <v>1</v>
      </c>
      <c r="AF287" s="1">
        <v>7.6043960000000004</v>
      </c>
      <c r="AG287" s="1">
        <v>4.6913479999999996</v>
      </c>
      <c r="AH287" s="1">
        <f t="shared" si="111"/>
        <v>0.66400000000000003</v>
      </c>
      <c r="AI287" s="1">
        <f t="shared" si="106"/>
        <v>3.8055425628730169E-2</v>
      </c>
      <c r="AJ287" s="1">
        <f t="shared" si="92"/>
        <v>5.7312387995075556E-2</v>
      </c>
      <c r="AK287" s="1">
        <f t="shared" si="93"/>
        <v>304.4408959999999</v>
      </c>
      <c r="AL287" s="1">
        <f t="shared" si="94"/>
        <v>17.448234753120438</v>
      </c>
      <c r="AM287" s="1">
        <v>0</v>
      </c>
      <c r="AN287" s="1">
        <v>1</v>
      </c>
      <c r="AO287" s="1">
        <v>0</v>
      </c>
      <c r="AP287" s="1">
        <f t="shared" si="107"/>
        <v>5.7353933467640436E-2</v>
      </c>
      <c r="AQ287" s="1">
        <v>0</v>
      </c>
      <c r="AR287" s="1">
        <v>1</v>
      </c>
      <c r="AS287" s="1">
        <v>0</v>
      </c>
      <c r="AT287" s="1">
        <v>0</v>
      </c>
      <c r="AU287" s="4">
        <v>1</v>
      </c>
      <c r="AV287" s="4">
        <v>0</v>
      </c>
      <c r="AW287" s="1">
        <f t="shared" si="108"/>
        <v>2.7777777777777776E-2</v>
      </c>
      <c r="AX287" s="1">
        <f t="shared" si="109"/>
        <v>7.716049382716049E-4</v>
      </c>
    </row>
    <row r="288" spans="1:50" x14ac:dyDescent="0.25">
      <c r="A288" s="1" t="s">
        <v>30</v>
      </c>
      <c r="B288" s="1">
        <v>2007</v>
      </c>
      <c r="C288" s="1">
        <f t="shared" si="110"/>
        <v>25</v>
      </c>
      <c r="D288" s="1" t="s">
        <v>24</v>
      </c>
      <c r="E288" s="1" t="s">
        <v>25</v>
      </c>
      <c r="F288" s="2">
        <v>-5.0999999999999997E-2</v>
      </c>
      <c r="G288" s="3">
        <v>2.7E-2</v>
      </c>
      <c r="H288" s="1">
        <v>1</v>
      </c>
      <c r="I288" s="1">
        <v>322</v>
      </c>
      <c r="J288" s="1">
        <f t="shared" si="90"/>
        <v>321</v>
      </c>
      <c r="K288" s="1">
        <v>36</v>
      </c>
      <c r="L288" s="1">
        <v>2000</v>
      </c>
      <c r="M288" s="1">
        <v>2002</v>
      </c>
      <c r="N288" s="1">
        <f t="shared" si="116"/>
        <v>2001</v>
      </c>
      <c r="O288" s="1">
        <f t="shared" si="117"/>
        <v>3</v>
      </c>
      <c r="P288" s="1">
        <f t="shared" si="103"/>
        <v>1.0986122886681098</v>
      </c>
      <c r="Q288" s="1">
        <v>108</v>
      </c>
      <c r="R288" s="1">
        <v>5</v>
      </c>
      <c r="S288" s="1" t="s">
        <v>27</v>
      </c>
      <c r="T288" s="1">
        <f t="shared" si="89"/>
        <v>0</v>
      </c>
      <c r="U288" s="1">
        <v>0</v>
      </c>
      <c r="V288" s="1">
        <v>0</v>
      </c>
      <c r="W288" s="1">
        <v>1</v>
      </c>
      <c r="X288" s="1">
        <v>0</v>
      </c>
      <c r="Y288" s="1">
        <v>0</v>
      </c>
      <c r="Z288" s="1">
        <v>1</v>
      </c>
      <c r="AA288" s="1">
        <v>0</v>
      </c>
      <c r="AB288" s="1" t="s">
        <v>85</v>
      </c>
      <c r="AC288" s="1">
        <f t="shared" si="101"/>
        <v>1</v>
      </c>
      <c r="AD288" s="1">
        <f t="shared" si="91"/>
        <v>1</v>
      </c>
      <c r="AE288" s="1">
        <v>1</v>
      </c>
      <c r="AF288" s="1">
        <v>7.6043960000000004</v>
      </c>
      <c r="AG288" s="1">
        <v>4.6913479999999996</v>
      </c>
      <c r="AH288" s="1">
        <f t="shared" si="111"/>
        <v>-1.8888888888888888</v>
      </c>
      <c r="AI288" s="1">
        <f t="shared" si="106"/>
        <v>-0.10484642539189931</v>
      </c>
      <c r="AJ288" s="1">
        <f t="shared" si="92"/>
        <v>5.5506931089829049E-2</v>
      </c>
      <c r="AK288" s="1">
        <f t="shared" si="93"/>
        <v>324.5679012345679</v>
      </c>
      <c r="AL288" s="1">
        <f t="shared" si="94"/>
        <v>18.015768127797603</v>
      </c>
      <c r="AM288" s="1">
        <v>0</v>
      </c>
      <c r="AN288" s="1">
        <v>1</v>
      </c>
      <c r="AO288" s="1">
        <v>0</v>
      </c>
      <c r="AP288" s="1">
        <f t="shared" si="107"/>
        <v>5.5814557218594761E-2</v>
      </c>
      <c r="AQ288" s="1">
        <v>0</v>
      </c>
      <c r="AR288" s="1">
        <v>1</v>
      </c>
      <c r="AS288" s="1">
        <v>0</v>
      </c>
      <c r="AT288" s="1">
        <v>0</v>
      </c>
      <c r="AU288" s="4">
        <v>0</v>
      </c>
      <c r="AV288" s="4">
        <v>0</v>
      </c>
      <c r="AW288" s="1">
        <f t="shared" si="108"/>
        <v>2.7777777777777776E-2</v>
      </c>
      <c r="AX288" s="1">
        <f t="shared" si="109"/>
        <v>7.716049382716049E-4</v>
      </c>
    </row>
    <row r="289" spans="1:50" x14ac:dyDescent="0.25">
      <c r="A289" s="1" t="s">
        <v>30</v>
      </c>
      <c r="B289" s="1">
        <v>2007</v>
      </c>
      <c r="C289" s="1">
        <f t="shared" si="110"/>
        <v>25</v>
      </c>
      <c r="D289" s="1" t="s">
        <v>24</v>
      </c>
      <c r="E289" s="1" t="s">
        <v>25</v>
      </c>
      <c r="F289" s="2">
        <v>-4.2000000000000003E-2</v>
      </c>
      <c r="G289" s="3">
        <v>0.02</v>
      </c>
      <c r="H289" s="1">
        <v>1</v>
      </c>
      <c r="I289" s="1">
        <v>467</v>
      </c>
      <c r="J289" s="1">
        <f t="shared" si="90"/>
        <v>466</v>
      </c>
      <c r="K289" s="1">
        <v>36</v>
      </c>
      <c r="L289" s="1">
        <v>1998</v>
      </c>
      <c r="M289" s="1">
        <v>2002</v>
      </c>
      <c r="N289" s="1">
        <f t="shared" si="116"/>
        <v>2000</v>
      </c>
      <c r="O289" s="1">
        <f t="shared" si="117"/>
        <v>5</v>
      </c>
      <c r="P289" s="1">
        <f t="shared" si="103"/>
        <v>1.6094379124341003</v>
      </c>
      <c r="Q289" s="1">
        <v>108</v>
      </c>
      <c r="R289" s="1">
        <v>5</v>
      </c>
      <c r="S289" s="1" t="s">
        <v>27</v>
      </c>
      <c r="T289" s="1">
        <f t="shared" si="89"/>
        <v>0</v>
      </c>
      <c r="U289" s="1">
        <v>0</v>
      </c>
      <c r="V289" s="1">
        <v>0</v>
      </c>
      <c r="W289" s="1">
        <v>1</v>
      </c>
      <c r="X289" s="1">
        <v>0</v>
      </c>
      <c r="Y289" s="1">
        <v>0</v>
      </c>
      <c r="Z289" s="1">
        <v>1</v>
      </c>
      <c r="AA289" s="1">
        <v>0</v>
      </c>
      <c r="AB289" s="1" t="s">
        <v>85</v>
      </c>
      <c r="AC289" s="1">
        <f t="shared" si="101"/>
        <v>1</v>
      </c>
      <c r="AD289" s="1">
        <f t="shared" si="91"/>
        <v>1</v>
      </c>
      <c r="AE289" s="1">
        <v>1</v>
      </c>
      <c r="AF289" s="1">
        <v>7.6043960000000004</v>
      </c>
      <c r="AG289" s="1">
        <v>4.6913479999999996</v>
      </c>
      <c r="AH289" s="1">
        <f t="shared" si="111"/>
        <v>-2.1</v>
      </c>
      <c r="AI289" s="1">
        <f t="shared" si="106"/>
        <v>-9.6823554498723652E-2</v>
      </c>
      <c r="AJ289" s="1">
        <f t="shared" si="92"/>
        <v>4.6106454523201737E-2</v>
      </c>
      <c r="AK289" s="1">
        <f t="shared" si="93"/>
        <v>470.41000000000008</v>
      </c>
      <c r="AL289" s="1">
        <f t="shared" si="94"/>
        <v>21.688937272259331</v>
      </c>
      <c r="AM289" s="1">
        <v>0</v>
      </c>
      <c r="AN289" s="1">
        <v>1</v>
      </c>
      <c r="AO289" s="1">
        <v>0</v>
      </c>
      <c r="AP289" s="1">
        <f t="shared" si="107"/>
        <v>4.6324105461207951E-2</v>
      </c>
      <c r="AQ289" s="1">
        <v>0</v>
      </c>
      <c r="AR289" s="1">
        <v>1</v>
      </c>
      <c r="AS289" s="1">
        <v>0</v>
      </c>
      <c r="AT289" s="1">
        <v>0</v>
      </c>
      <c r="AU289" s="4">
        <v>0</v>
      </c>
      <c r="AV289" s="4">
        <v>0</v>
      </c>
      <c r="AW289" s="1">
        <f t="shared" si="108"/>
        <v>2.7777777777777776E-2</v>
      </c>
      <c r="AX289" s="1">
        <f t="shared" si="109"/>
        <v>7.716049382716049E-4</v>
      </c>
    </row>
    <row r="290" spans="1:50" x14ac:dyDescent="0.25">
      <c r="A290" s="1" t="s">
        <v>30</v>
      </c>
      <c r="B290" s="1">
        <v>2007</v>
      </c>
      <c r="C290" s="1">
        <f t="shared" si="110"/>
        <v>25</v>
      </c>
      <c r="D290" s="1" t="s">
        <v>24</v>
      </c>
      <c r="E290" s="1" t="s">
        <v>25</v>
      </c>
      <c r="F290" s="2">
        <v>0.13400000000000001</v>
      </c>
      <c r="G290" s="3">
        <v>0.40600000000000003</v>
      </c>
      <c r="H290" s="1">
        <v>1</v>
      </c>
      <c r="I290" s="1">
        <v>30</v>
      </c>
      <c r="J290" s="1">
        <f t="shared" si="90"/>
        <v>29</v>
      </c>
      <c r="K290" s="1">
        <v>36</v>
      </c>
      <c r="L290" s="1">
        <v>1998</v>
      </c>
      <c r="M290" s="1">
        <v>2000</v>
      </c>
      <c r="N290" s="1">
        <f t="shared" si="116"/>
        <v>1999</v>
      </c>
      <c r="O290" s="1">
        <f t="shared" si="117"/>
        <v>3</v>
      </c>
      <c r="P290" s="1">
        <f t="shared" si="103"/>
        <v>1.0986122886681098</v>
      </c>
      <c r="Q290" s="1">
        <v>108</v>
      </c>
      <c r="R290" s="1">
        <v>5</v>
      </c>
      <c r="S290" s="1" t="s">
        <v>27</v>
      </c>
      <c r="T290" s="1">
        <f t="shared" si="89"/>
        <v>0</v>
      </c>
      <c r="U290" s="1">
        <v>0</v>
      </c>
      <c r="V290" s="1">
        <v>0</v>
      </c>
      <c r="W290" s="1">
        <v>1</v>
      </c>
      <c r="X290" s="1">
        <v>0</v>
      </c>
      <c r="Y290" s="1">
        <v>0</v>
      </c>
      <c r="Z290" s="1">
        <v>1</v>
      </c>
      <c r="AA290" s="1">
        <v>0</v>
      </c>
      <c r="AB290" s="1" t="s">
        <v>85</v>
      </c>
      <c r="AC290" s="1">
        <f t="shared" si="101"/>
        <v>1</v>
      </c>
      <c r="AD290" s="1">
        <f t="shared" si="91"/>
        <v>1</v>
      </c>
      <c r="AE290" s="1">
        <v>1</v>
      </c>
      <c r="AF290" s="1">
        <v>7.6043960000000004</v>
      </c>
      <c r="AG290" s="1">
        <v>4.6913479999999996</v>
      </c>
      <c r="AH290" s="1">
        <f t="shared" si="111"/>
        <v>0.33004926108374383</v>
      </c>
      <c r="AI290" s="1">
        <f t="shared" si="106"/>
        <v>6.1173823422157991E-2</v>
      </c>
      <c r="AJ290" s="1">
        <f t="shared" si="92"/>
        <v>0.18534755454773244</v>
      </c>
      <c r="AK290" s="1">
        <f t="shared" si="93"/>
        <v>29.108932514741912</v>
      </c>
      <c r="AL290" s="1">
        <f t="shared" si="94"/>
        <v>5.3952694571023896</v>
      </c>
      <c r="AM290" s="1">
        <v>0</v>
      </c>
      <c r="AN290" s="1">
        <v>1</v>
      </c>
      <c r="AO290" s="1">
        <v>0</v>
      </c>
      <c r="AP290" s="1">
        <f t="shared" si="107"/>
        <v>0.18569533817705186</v>
      </c>
      <c r="AQ290" s="1">
        <v>0</v>
      </c>
      <c r="AR290" s="1">
        <v>1</v>
      </c>
      <c r="AS290" s="1">
        <v>0</v>
      </c>
      <c r="AT290" s="1">
        <v>0</v>
      </c>
      <c r="AU290" s="4">
        <v>1</v>
      </c>
      <c r="AV290" s="4">
        <v>0</v>
      </c>
      <c r="AW290" s="1">
        <f t="shared" si="108"/>
        <v>2.7777777777777776E-2</v>
      </c>
      <c r="AX290" s="1">
        <f t="shared" si="109"/>
        <v>7.716049382716049E-4</v>
      </c>
    </row>
    <row r="291" spans="1:50" x14ac:dyDescent="0.25">
      <c r="A291" s="1" t="s">
        <v>30</v>
      </c>
      <c r="B291" s="1">
        <v>2007</v>
      </c>
      <c r="C291" s="1">
        <f t="shared" si="110"/>
        <v>25</v>
      </c>
      <c r="D291" s="1" t="s">
        <v>24</v>
      </c>
      <c r="E291" s="1" t="s">
        <v>25</v>
      </c>
      <c r="F291" s="2">
        <v>-3.0000000000000001E-3</v>
      </c>
      <c r="G291" s="3">
        <v>6.4000000000000001E-2</v>
      </c>
      <c r="H291" s="1">
        <v>1</v>
      </c>
      <c r="I291" s="1">
        <v>32</v>
      </c>
      <c r="J291" s="1">
        <f t="shared" si="90"/>
        <v>31</v>
      </c>
      <c r="K291" s="1">
        <v>36</v>
      </c>
      <c r="L291" s="1">
        <v>2000</v>
      </c>
      <c r="M291" s="1">
        <v>2002</v>
      </c>
      <c r="N291" s="1">
        <f t="shared" si="116"/>
        <v>2001</v>
      </c>
      <c r="O291" s="1">
        <f t="shared" si="117"/>
        <v>3</v>
      </c>
      <c r="P291" s="1">
        <f t="shared" si="103"/>
        <v>1.0986122886681098</v>
      </c>
      <c r="Q291" s="1">
        <v>108</v>
      </c>
      <c r="R291" s="1">
        <v>5</v>
      </c>
      <c r="S291" s="1" t="s">
        <v>27</v>
      </c>
      <c r="T291" s="1">
        <f t="shared" si="89"/>
        <v>0</v>
      </c>
      <c r="U291" s="1">
        <v>0</v>
      </c>
      <c r="V291" s="1">
        <v>0</v>
      </c>
      <c r="W291" s="1">
        <v>1</v>
      </c>
      <c r="X291" s="1">
        <v>0</v>
      </c>
      <c r="Y291" s="1">
        <v>0</v>
      </c>
      <c r="Z291" s="1">
        <v>1</v>
      </c>
      <c r="AA291" s="1">
        <v>0</v>
      </c>
      <c r="AB291" s="1" t="s">
        <v>85</v>
      </c>
      <c r="AC291" s="1">
        <f t="shared" si="101"/>
        <v>1</v>
      </c>
      <c r="AD291" s="1">
        <f t="shared" si="91"/>
        <v>1</v>
      </c>
      <c r="AE291" s="1">
        <v>1</v>
      </c>
      <c r="AF291" s="1">
        <v>7.6043960000000004</v>
      </c>
      <c r="AG291" s="1">
        <v>4.6913479999999996</v>
      </c>
      <c r="AH291" s="1">
        <f t="shared" si="111"/>
        <v>-4.6875E-2</v>
      </c>
      <c r="AI291" s="1">
        <f t="shared" si="106"/>
        <v>-8.4187001810092348E-3</v>
      </c>
      <c r="AJ291" s="1">
        <f t="shared" si="92"/>
        <v>0.17959893719486367</v>
      </c>
      <c r="AK291" s="1">
        <f t="shared" si="93"/>
        <v>31.002197265625007</v>
      </c>
      <c r="AL291" s="1">
        <f t="shared" si="94"/>
        <v>5.5679616796117593</v>
      </c>
      <c r="AM291" s="1">
        <v>0</v>
      </c>
      <c r="AN291" s="1">
        <v>1</v>
      </c>
      <c r="AO291" s="1">
        <v>0</v>
      </c>
      <c r="AP291" s="1">
        <f t="shared" si="107"/>
        <v>0.17960530202677491</v>
      </c>
      <c r="AQ291" s="1">
        <v>0</v>
      </c>
      <c r="AR291" s="1">
        <v>1</v>
      </c>
      <c r="AS291" s="1">
        <v>0</v>
      </c>
      <c r="AT291" s="1">
        <v>0</v>
      </c>
      <c r="AU291" s="4">
        <v>0</v>
      </c>
      <c r="AV291" s="4">
        <v>0</v>
      </c>
      <c r="AW291" s="1">
        <f t="shared" si="108"/>
        <v>2.7777777777777776E-2</v>
      </c>
      <c r="AX291" s="1">
        <f t="shared" si="109"/>
        <v>7.716049382716049E-4</v>
      </c>
    </row>
    <row r="292" spans="1:50" x14ac:dyDescent="0.25">
      <c r="A292" s="1" t="s">
        <v>30</v>
      </c>
      <c r="B292" s="1">
        <v>2007</v>
      </c>
      <c r="C292" s="1">
        <f t="shared" si="110"/>
        <v>25</v>
      </c>
      <c r="D292" s="1" t="s">
        <v>24</v>
      </c>
      <c r="E292" s="1" t="s">
        <v>25</v>
      </c>
      <c r="F292" s="2">
        <v>-3.5999999999999997E-2</v>
      </c>
      <c r="G292" s="3">
        <v>0.14099999999999999</v>
      </c>
      <c r="H292" s="1">
        <v>1</v>
      </c>
      <c r="I292" s="1">
        <v>42</v>
      </c>
      <c r="J292" s="1">
        <f t="shared" si="90"/>
        <v>41</v>
      </c>
      <c r="K292" s="1">
        <v>36</v>
      </c>
      <c r="L292" s="1">
        <v>1998</v>
      </c>
      <c r="M292" s="1">
        <v>2002</v>
      </c>
      <c r="N292" s="1">
        <f t="shared" si="116"/>
        <v>2000</v>
      </c>
      <c r="O292" s="1">
        <f t="shared" si="117"/>
        <v>5</v>
      </c>
      <c r="P292" s="1">
        <f t="shared" si="103"/>
        <v>1.6094379124341003</v>
      </c>
      <c r="Q292" s="1">
        <v>108</v>
      </c>
      <c r="R292" s="1">
        <v>5</v>
      </c>
      <c r="S292" s="1" t="s">
        <v>27</v>
      </c>
      <c r="T292" s="1">
        <f t="shared" si="89"/>
        <v>0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  <c r="Z292" s="1">
        <v>1</v>
      </c>
      <c r="AA292" s="1">
        <v>0</v>
      </c>
      <c r="AB292" s="1" t="s">
        <v>85</v>
      </c>
      <c r="AC292" s="1">
        <f t="shared" si="101"/>
        <v>1</v>
      </c>
      <c r="AD292" s="1">
        <f t="shared" si="91"/>
        <v>1</v>
      </c>
      <c r="AE292" s="1">
        <v>1</v>
      </c>
      <c r="AF292" s="1">
        <v>7.6043960000000004</v>
      </c>
      <c r="AG292" s="1">
        <v>4.6913479999999996</v>
      </c>
      <c r="AH292" s="1">
        <f t="shared" si="111"/>
        <v>-0.25531914893617019</v>
      </c>
      <c r="AI292" s="1">
        <f t="shared" si="106"/>
        <v>-3.9842490807265409E-2</v>
      </c>
      <c r="AJ292" s="1">
        <f t="shared" si="92"/>
        <v>0.15604975566178952</v>
      </c>
      <c r="AK292" s="1">
        <f t="shared" si="93"/>
        <v>41.065187867813506</v>
      </c>
      <c r="AL292" s="1">
        <f t="shared" si="94"/>
        <v>6.4082125329777808</v>
      </c>
      <c r="AM292" s="1">
        <v>0</v>
      </c>
      <c r="AN292" s="1">
        <v>1</v>
      </c>
      <c r="AO292" s="1">
        <v>0</v>
      </c>
      <c r="AP292" s="1">
        <f t="shared" si="107"/>
        <v>0.15617376188860607</v>
      </c>
      <c r="AQ292" s="1">
        <v>0</v>
      </c>
      <c r="AR292" s="1">
        <v>1</v>
      </c>
      <c r="AS292" s="1">
        <v>0</v>
      </c>
      <c r="AT292" s="1">
        <v>0</v>
      </c>
      <c r="AU292" s="4">
        <v>0</v>
      </c>
      <c r="AV292" s="4">
        <v>0</v>
      </c>
      <c r="AW292" s="1">
        <f t="shared" si="108"/>
        <v>2.7777777777777776E-2</v>
      </c>
      <c r="AX292" s="1">
        <f t="shared" si="109"/>
        <v>7.716049382716049E-4</v>
      </c>
    </row>
    <row r="293" spans="1:50" x14ac:dyDescent="0.25">
      <c r="A293" s="1" t="s">
        <v>30</v>
      </c>
      <c r="B293" s="1">
        <v>2007</v>
      </c>
      <c r="C293" s="1">
        <f t="shared" si="110"/>
        <v>25</v>
      </c>
      <c r="D293" s="1" t="s">
        <v>24</v>
      </c>
      <c r="E293" s="1" t="s">
        <v>25</v>
      </c>
      <c r="F293" s="2">
        <v>-8.3000000000000004E-2</v>
      </c>
      <c r="G293" s="3">
        <v>3.7999999999999999E-2</v>
      </c>
      <c r="H293" s="1">
        <v>1</v>
      </c>
      <c r="I293" s="1">
        <v>547</v>
      </c>
      <c r="J293" s="1">
        <f t="shared" si="90"/>
        <v>546</v>
      </c>
      <c r="K293" s="1">
        <v>36</v>
      </c>
      <c r="L293" s="1">
        <v>1998</v>
      </c>
      <c r="M293" s="1">
        <v>2000</v>
      </c>
      <c r="N293" s="1">
        <f t="shared" si="116"/>
        <v>1999</v>
      </c>
      <c r="O293" s="1">
        <f t="shared" si="117"/>
        <v>3</v>
      </c>
      <c r="P293" s="1">
        <f t="shared" si="103"/>
        <v>1.0986122886681098</v>
      </c>
      <c r="Q293" s="1">
        <v>108</v>
      </c>
      <c r="R293" s="1">
        <v>5</v>
      </c>
      <c r="S293" s="1" t="s">
        <v>27</v>
      </c>
      <c r="T293" s="1">
        <f t="shared" ref="T293:T339" si="118">IF(S293="OLS",0,IF(S293="FE",0,IF(S293="Probit model",0,IF(S293="3SLS",1,IF(S293="Logit",0,IF(S293="2SLS",1,IF(S293="SUR method",1,IF(S293="Modified LS",0,IF(S293="Zenner estimates",1,IF(S293="MLE",0,IF(S293="GLS",0,0)))))))))))</f>
        <v>0</v>
      </c>
      <c r="U293" s="1">
        <v>0</v>
      </c>
      <c r="V293" s="1">
        <v>0</v>
      </c>
      <c r="W293" s="1">
        <v>1</v>
      </c>
      <c r="X293" s="1">
        <v>0</v>
      </c>
      <c r="Y293" s="1">
        <v>0</v>
      </c>
      <c r="Z293" s="1">
        <v>1</v>
      </c>
      <c r="AA293" s="1">
        <v>0</v>
      </c>
      <c r="AB293" s="1" t="s">
        <v>85</v>
      </c>
      <c r="AC293" s="1">
        <f t="shared" si="101"/>
        <v>1</v>
      </c>
      <c r="AD293" s="1">
        <f t="shared" si="91"/>
        <v>1</v>
      </c>
      <c r="AE293" s="1">
        <v>1</v>
      </c>
      <c r="AF293" s="1">
        <v>7.6043960000000004</v>
      </c>
      <c r="AG293" s="1">
        <v>4.6913479999999996</v>
      </c>
      <c r="AH293" s="1">
        <f t="shared" si="111"/>
        <v>-2.1842105263157898</v>
      </c>
      <c r="AI293" s="1">
        <f t="shared" si="106"/>
        <v>-9.3069858083140361E-2</v>
      </c>
      <c r="AJ293" s="1">
        <f t="shared" si="92"/>
        <v>4.2610296471799196E-2</v>
      </c>
      <c r="AK293" s="1">
        <f t="shared" si="93"/>
        <v>550.77077562326872</v>
      </c>
      <c r="AL293" s="1">
        <f t="shared" si="94"/>
        <v>23.46850603731027</v>
      </c>
      <c r="AM293" s="1">
        <v>0</v>
      </c>
      <c r="AN293" s="1">
        <v>1</v>
      </c>
      <c r="AO293" s="1">
        <v>0</v>
      </c>
      <c r="AP293" s="1">
        <f t="shared" si="107"/>
        <v>4.2796049251091289E-2</v>
      </c>
      <c r="AQ293" s="1">
        <v>0</v>
      </c>
      <c r="AR293" s="1">
        <v>1</v>
      </c>
      <c r="AS293" s="1">
        <v>0</v>
      </c>
      <c r="AT293" s="1">
        <v>0</v>
      </c>
      <c r="AU293" s="4">
        <v>1</v>
      </c>
      <c r="AV293" s="4">
        <v>0</v>
      </c>
      <c r="AW293" s="1">
        <f t="shared" si="108"/>
        <v>2.7777777777777776E-2</v>
      </c>
      <c r="AX293" s="1">
        <f t="shared" si="109"/>
        <v>7.716049382716049E-4</v>
      </c>
    </row>
    <row r="294" spans="1:50" x14ac:dyDescent="0.25">
      <c r="A294" s="1" t="s">
        <v>30</v>
      </c>
      <c r="B294" s="1">
        <v>2007</v>
      </c>
      <c r="C294" s="1">
        <f t="shared" si="110"/>
        <v>25</v>
      </c>
      <c r="D294" s="1" t="s">
        <v>24</v>
      </c>
      <c r="E294" s="1" t="s">
        <v>25</v>
      </c>
      <c r="F294" s="2">
        <v>-5.1999999999999998E-2</v>
      </c>
      <c r="G294" s="3">
        <v>2.1999999999999999E-2</v>
      </c>
      <c r="H294" s="1">
        <v>1</v>
      </c>
      <c r="I294" s="1">
        <v>567</v>
      </c>
      <c r="J294" s="1">
        <f t="shared" si="90"/>
        <v>566</v>
      </c>
      <c r="K294" s="1">
        <v>36</v>
      </c>
      <c r="L294" s="1">
        <v>2000</v>
      </c>
      <c r="M294" s="1">
        <v>2002</v>
      </c>
      <c r="N294" s="1">
        <f t="shared" si="116"/>
        <v>2001</v>
      </c>
      <c r="O294" s="1">
        <f t="shared" si="117"/>
        <v>3</v>
      </c>
      <c r="P294" s="1">
        <f t="shared" si="103"/>
        <v>1.0986122886681098</v>
      </c>
      <c r="Q294" s="1">
        <v>108</v>
      </c>
      <c r="R294" s="1">
        <v>5</v>
      </c>
      <c r="S294" s="1" t="s">
        <v>27</v>
      </c>
      <c r="T294" s="1">
        <f t="shared" si="118"/>
        <v>0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1</v>
      </c>
      <c r="AA294" s="1">
        <v>0</v>
      </c>
      <c r="AB294" s="1" t="s">
        <v>85</v>
      </c>
      <c r="AC294" s="1">
        <f t="shared" si="101"/>
        <v>1</v>
      </c>
      <c r="AD294" s="1">
        <f t="shared" si="91"/>
        <v>1</v>
      </c>
      <c r="AE294" s="1">
        <v>1</v>
      </c>
      <c r="AF294" s="1">
        <v>7.6043960000000004</v>
      </c>
      <c r="AG294" s="1">
        <v>4.6913479999999996</v>
      </c>
      <c r="AH294" s="1">
        <f t="shared" si="111"/>
        <v>-2.3636363636363638</v>
      </c>
      <c r="AI294" s="1">
        <f t="shared" si="106"/>
        <v>-9.8864318319899391E-2</v>
      </c>
      <c r="AJ294" s="1">
        <f t="shared" si="92"/>
        <v>4.1827211596880506E-2</v>
      </c>
      <c r="AK294" s="1">
        <f t="shared" si="93"/>
        <v>571.58677685950397</v>
      </c>
      <c r="AL294" s="1">
        <f t="shared" si="94"/>
        <v>23.907881061681397</v>
      </c>
      <c r="AM294" s="1">
        <v>0</v>
      </c>
      <c r="AN294" s="1">
        <v>1</v>
      </c>
      <c r="AO294" s="1">
        <v>0</v>
      </c>
      <c r="AP294" s="1">
        <f t="shared" si="107"/>
        <v>4.2033135170919861E-2</v>
      </c>
      <c r="AQ294" s="1">
        <v>0</v>
      </c>
      <c r="AR294" s="1">
        <v>1</v>
      </c>
      <c r="AS294" s="1">
        <v>0</v>
      </c>
      <c r="AT294" s="1">
        <v>0</v>
      </c>
      <c r="AU294" s="4">
        <v>0</v>
      </c>
      <c r="AV294" s="4">
        <v>0</v>
      </c>
      <c r="AW294" s="1">
        <f t="shared" si="108"/>
        <v>2.7777777777777776E-2</v>
      </c>
      <c r="AX294" s="1">
        <f t="shared" si="109"/>
        <v>7.716049382716049E-4</v>
      </c>
    </row>
    <row r="295" spans="1:50" x14ac:dyDescent="0.25">
      <c r="A295" s="1" t="s">
        <v>30</v>
      </c>
      <c r="B295" s="1">
        <v>2007</v>
      </c>
      <c r="C295" s="1">
        <f t="shared" si="110"/>
        <v>25</v>
      </c>
      <c r="D295" s="1" t="s">
        <v>24</v>
      </c>
      <c r="E295" s="1" t="s">
        <v>25</v>
      </c>
      <c r="F295" s="2">
        <v>-5.6000000000000001E-2</v>
      </c>
      <c r="G295" s="3">
        <v>1.4999999999999999E-2</v>
      </c>
      <c r="H295" s="1">
        <v>1</v>
      </c>
      <c r="I295" s="1">
        <v>829</v>
      </c>
      <c r="J295" s="1">
        <f t="shared" si="90"/>
        <v>828</v>
      </c>
      <c r="K295" s="1">
        <v>36</v>
      </c>
      <c r="L295" s="1">
        <v>1998</v>
      </c>
      <c r="M295" s="1">
        <v>2002</v>
      </c>
      <c r="N295" s="1">
        <f t="shared" si="116"/>
        <v>2000</v>
      </c>
      <c r="O295" s="1">
        <f t="shared" si="117"/>
        <v>5</v>
      </c>
      <c r="P295" s="1">
        <f t="shared" si="103"/>
        <v>1.6094379124341003</v>
      </c>
      <c r="Q295" s="1">
        <v>108</v>
      </c>
      <c r="R295" s="1">
        <v>5</v>
      </c>
      <c r="S295" s="1" t="s">
        <v>27</v>
      </c>
      <c r="T295" s="1">
        <f t="shared" si="118"/>
        <v>0</v>
      </c>
      <c r="U295" s="1">
        <v>0</v>
      </c>
      <c r="V295" s="1">
        <v>0</v>
      </c>
      <c r="W295" s="1">
        <v>1</v>
      </c>
      <c r="X295" s="1">
        <v>0</v>
      </c>
      <c r="Y295" s="1">
        <v>0</v>
      </c>
      <c r="Z295" s="1">
        <v>1</v>
      </c>
      <c r="AA295" s="1">
        <v>0</v>
      </c>
      <c r="AB295" s="1" t="s">
        <v>85</v>
      </c>
      <c r="AC295" s="1">
        <f t="shared" si="101"/>
        <v>1</v>
      </c>
      <c r="AD295" s="1">
        <f t="shared" si="91"/>
        <v>1</v>
      </c>
      <c r="AE295" s="1">
        <v>1</v>
      </c>
      <c r="AF295" s="1">
        <v>7.6043960000000004</v>
      </c>
      <c r="AG295" s="1">
        <v>4.6913479999999996</v>
      </c>
      <c r="AH295" s="1">
        <f t="shared" si="111"/>
        <v>-3.7333333333333334</v>
      </c>
      <c r="AI295" s="1">
        <f t="shared" si="106"/>
        <v>-0.12866391723419951</v>
      </c>
      <c r="AJ295" s="1">
        <f t="shared" si="92"/>
        <v>3.4463549259160585E-2</v>
      </c>
      <c r="AK295" s="1">
        <f t="shared" si="93"/>
        <v>841.93777777777791</v>
      </c>
      <c r="AL295" s="1">
        <f t="shared" si="94"/>
        <v>29.016164077592645</v>
      </c>
      <c r="AM295" s="1">
        <v>0</v>
      </c>
      <c r="AN295" s="1">
        <v>1</v>
      </c>
      <c r="AO295" s="1">
        <v>0</v>
      </c>
      <c r="AP295" s="1">
        <f t="shared" si="107"/>
        <v>3.4752402342845795E-2</v>
      </c>
      <c r="AQ295" s="1">
        <v>0</v>
      </c>
      <c r="AR295" s="1">
        <v>1</v>
      </c>
      <c r="AS295" s="1">
        <v>0</v>
      </c>
      <c r="AT295" s="1">
        <v>0</v>
      </c>
      <c r="AU295" s="4">
        <v>0</v>
      </c>
      <c r="AV295" s="4">
        <v>0</v>
      </c>
      <c r="AW295" s="1">
        <f t="shared" si="108"/>
        <v>2.7777777777777776E-2</v>
      </c>
      <c r="AX295" s="1">
        <f t="shared" si="109"/>
        <v>7.716049382716049E-4</v>
      </c>
    </row>
    <row r="296" spans="1:50" x14ac:dyDescent="0.25">
      <c r="A296" s="1" t="s">
        <v>30</v>
      </c>
      <c r="B296" s="1">
        <v>2007</v>
      </c>
      <c r="C296" s="1">
        <f t="shared" si="110"/>
        <v>25</v>
      </c>
      <c r="D296" s="1" t="s">
        <v>24</v>
      </c>
      <c r="E296" s="1" t="s">
        <v>25</v>
      </c>
      <c r="F296" s="2">
        <v>-1.9E-2</v>
      </c>
      <c r="G296" s="3">
        <v>2.7E-2</v>
      </c>
      <c r="H296" s="1">
        <v>1</v>
      </c>
      <c r="I296" s="1">
        <v>196</v>
      </c>
      <c r="J296" s="1">
        <f t="shared" si="90"/>
        <v>195</v>
      </c>
      <c r="K296" s="1">
        <v>36</v>
      </c>
      <c r="L296" s="1">
        <v>1998</v>
      </c>
      <c r="M296" s="1">
        <v>2000</v>
      </c>
      <c r="N296" s="1">
        <f t="shared" si="116"/>
        <v>1999</v>
      </c>
      <c r="O296" s="1">
        <f t="shared" si="117"/>
        <v>3</v>
      </c>
      <c r="P296" s="1">
        <f t="shared" si="103"/>
        <v>1.0986122886681098</v>
      </c>
      <c r="Q296" s="1">
        <v>108</v>
      </c>
      <c r="R296" s="1">
        <v>5</v>
      </c>
      <c r="S296" s="1" t="s">
        <v>27</v>
      </c>
      <c r="T296" s="1">
        <f t="shared" si="118"/>
        <v>0</v>
      </c>
      <c r="U296" s="1">
        <v>0</v>
      </c>
      <c r="V296" s="1">
        <v>0</v>
      </c>
      <c r="W296" s="1">
        <v>1</v>
      </c>
      <c r="X296" s="1">
        <v>0</v>
      </c>
      <c r="Y296" s="1">
        <v>0</v>
      </c>
      <c r="Z296" s="1">
        <v>1</v>
      </c>
      <c r="AA296" s="1">
        <v>0</v>
      </c>
      <c r="AB296" s="1" t="s">
        <v>85</v>
      </c>
      <c r="AC296" s="1">
        <f t="shared" si="101"/>
        <v>1</v>
      </c>
      <c r="AD296" s="1">
        <f t="shared" si="91"/>
        <v>1</v>
      </c>
      <c r="AE296" s="1">
        <v>1</v>
      </c>
      <c r="AF296" s="1">
        <v>7.6043960000000004</v>
      </c>
      <c r="AG296" s="1">
        <v>4.6913479999999996</v>
      </c>
      <c r="AH296" s="1">
        <f t="shared" si="111"/>
        <v>-0.70370370370370372</v>
      </c>
      <c r="AI296" s="1">
        <f t="shared" si="106"/>
        <v>-5.0329404137372073E-2</v>
      </c>
      <c r="AJ296" s="1">
        <f t="shared" si="92"/>
        <v>7.1520732195212947E-2</v>
      </c>
      <c r="AK296" s="1">
        <f t="shared" si="93"/>
        <v>195.49519890260632</v>
      </c>
      <c r="AL296" s="1">
        <f t="shared" si="94"/>
        <v>13.981959766163193</v>
      </c>
      <c r="AM296" s="1">
        <v>0</v>
      </c>
      <c r="AN296" s="1">
        <v>1</v>
      </c>
      <c r="AO296" s="1">
        <v>0</v>
      </c>
      <c r="AP296" s="1">
        <f t="shared" si="107"/>
        <v>7.1611487403943297E-2</v>
      </c>
      <c r="AQ296" s="1">
        <v>0</v>
      </c>
      <c r="AR296" s="1">
        <v>1</v>
      </c>
      <c r="AS296" s="1">
        <v>0</v>
      </c>
      <c r="AT296" s="1">
        <v>0</v>
      </c>
      <c r="AU296" s="4">
        <v>1</v>
      </c>
      <c r="AV296" s="4">
        <v>0</v>
      </c>
      <c r="AW296" s="1">
        <f t="shared" si="108"/>
        <v>2.7777777777777776E-2</v>
      </c>
      <c r="AX296" s="1">
        <f t="shared" si="109"/>
        <v>7.716049382716049E-4</v>
      </c>
    </row>
    <row r="297" spans="1:50" x14ac:dyDescent="0.25">
      <c r="A297" s="1" t="s">
        <v>30</v>
      </c>
      <c r="B297" s="1">
        <v>2007</v>
      </c>
      <c r="C297" s="1">
        <f t="shared" si="110"/>
        <v>25</v>
      </c>
      <c r="D297" s="1" t="s">
        <v>24</v>
      </c>
      <c r="E297" s="1" t="s">
        <v>25</v>
      </c>
      <c r="F297" s="2">
        <v>-5.5E-2</v>
      </c>
      <c r="G297" s="3">
        <v>3.3000000000000002E-2</v>
      </c>
      <c r="H297" s="1">
        <v>1</v>
      </c>
      <c r="I297" s="1">
        <v>207</v>
      </c>
      <c r="J297" s="1">
        <f t="shared" si="90"/>
        <v>206</v>
      </c>
      <c r="K297" s="1">
        <v>36</v>
      </c>
      <c r="L297" s="1">
        <v>2000</v>
      </c>
      <c r="M297" s="1">
        <v>2002</v>
      </c>
      <c r="N297" s="1">
        <f t="shared" si="116"/>
        <v>2001</v>
      </c>
      <c r="O297" s="1">
        <f t="shared" si="117"/>
        <v>3</v>
      </c>
      <c r="P297" s="1">
        <f t="shared" si="103"/>
        <v>1.0986122886681098</v>
      </c>
      <c r="Q297" s="1">
        <v>108</v>
      </c>
      <c r="R297" s="1">
        <v>5</v>
      </c>
      <c r="S297" s="1" t="s">
        <v>27</v>
      </c>
      <c r="T297" s="1">
        <f t="shared" si="118"/>
        <v>0</v>
      </c>
      <c r="U297" s="1">
        <v>0</v>
      </c>
      <c r="V297" s="1">
        <v>0</v>
      </c>
      <c r="W297" s="1">
        <v>1</v>
      </c>
      <c r="X297" s="1">
        <v>0</v>
      </c>
      <c r="Y297" s="1">
        <v>0</v>
      </c>
      <c r="Z297" s="1">
        <v>1</v>
      </c>
      <c r="AA297" s="1">
        <v>0</v>
      </c>
      <c r="AB297" s="1" t="s">
        <v>85</v>
      </c>
      <c r="AC297" s="1">
        <f t="shared" si="101"/>
        <v>1</v>
      </c>
      <c r="AD297" s="1">
        <f t="shared" si="91"/>
        <v>1</v>
      </c>
      <c r="AE297" s="1">
        <v>1</v>
      </c>
      <c r="AF297" s="1">
        <v>7.6043960000000004</v>
      </c>
      <c r="AG297" s="1">
        <v>4.6913479999999996</v>
      </c>
      <c r="AH297" s="1">
        <f t="shared" si="111"/>
        <v>-1.6666666666666665</v>
      </c>
      <c r="AI297" s="1">
        <f t="shared" si="106"/>
        <v>-0.11534708249969794</v>
      </c>
      <c r="AJ297" s="1">
        <f t="shared" si="92"/>
        <v>6.9208249499818769E-2</v>
      </c>
      <c r="AK297" s="1">
        <f t="shared" si="93"/>
        <v>208.77777777777774</v>
      </c>
      <c r="AL297" s="1">
        <f t="shared" si="94"/>
        <v>14.449144534462162</v>
      </c>
      <c r="AM297" s="1">
        <v>0</v>
      </c>
      <c r="AN297" s="1">
        <v>1</v>
      </c>
      <c r="AO297" s="1">
        <v>0</v>
      </c>
      <c r="AP297" s="1">
        <f t="shared" si="107"/>
        <v>6.9673301429161769E-2</v>
      </c>
      <c r="AQ297" s="1">
        <v>0</v>
      </c>
      <c r="AR297" s="1">
        <v>1</v>
      </c>
      <c r="AS297" s="1">
        <v>0</v>
      </c>
      <c r="AT297" s="1">
        <v>0</v>
      </c>
      <c r="AU297" s="4">
        <v>0</v>
      </c>
      <c r="AV297" s="4">
        <v>0</v>
      </c>
      <c r="AW297" s="1">
        <f t="shared" si="108"/>
        <v>2.7777777777777776E-2</v>
      </c>
      <c r="AX297" s="1">
        <f t="shared" si="109"/>
        <v>7.716049382716049E-4</v>
      </c>
    </row>
    <row r="298" spans="1:50" x14ac:dyDescent="0.25">
      <c r="A298" s="1" t="s">
        <v>30</v>
      </c>
      <c r="B298" s="1">
        <v>2007</v>
      </c>
      <c r="C298" s="1">
        <f t="shared" si="110"/>
        <v>25</v>
      </c>
      <c r="D298" s="1" t="s">
        <v>24</v>
      </c>
      <c r="E298" s="1" t="s">
        <v>25</v>
      </c>
      <c r="F298" s="2">
        <v>-2.3E-2</v>
      </c>
      <c r="G298" s="3">
        <v>1.7000000000000001E-2</v>
      </c>
      <c r="H298" s="1">
        <v>1</v>
      </c>
      <c r="I298" s="1">
        <v>305</v>
      </c>
      <c r="J298" s="1">
        <f t="shared" si="90"/>
        <v>304</v>
      </c>
      <c r="K298" s="1">
        <v>36</v>
      </c>
      <c r="L298" s="1">
        <v>1998</v>
      </c>
      <c r="M298" s="1">
        <v>2002</v>
      </c>
      <c r="N298" s="1">
        <f t="shared" si="116"/>
        <v>2000</v>
      </c>
      <c r="O298" s="1">
        <f t="shared" si="117"/>
        <v>5</v>
      </c>
      <c r="P298" s="1">
        <f t="shared" si="103"/>
        <v>1.6094379124341003</v>
      </c>
      <c r="Q298" s="1">
        <v>108</v>
      </c>
      <c r="R298" s="1">
        <v>5</v>
      </c>
      <c r="S298" s="1" t="s">
        <v>27</v>
      </c>
      <c r="T298" s="1">
        <f t="shared" si="118"/>
        <v>0</v>
      </c>
      <c r="U298" s="1">
        <v>0</v>
      </c>
      <c r="V298" s="1">
        <v>0</v>
      </c>
      <c r="W298" s="1">
        <v>1</v>
      </c>
      <c r="X298" s="1">
        <v>0</v>
      </c>
      <c r="Y298" s="1">
        <v>0</v>
      </c>
      <c r="Z298" s="1">
        <v>1</v>
      </c>
      <c r="AA298" s="1">
        <v>0</v>
      </c>
      <c r="AB298" s="1" t="s">
        <v>85</v>
      </c>
      <c r="AC298" s="1">
        <f t="shared" si="101"/>
        <v>1</v>
      </c>
      <c r="AD298" s="1">
        <f t="shared" si="91"/>
        <v>1</v>
      </c>
      <c r="AE298" s="1">
        <v>1</v>
      </c>
      <c r="AF298" s="1">
        <v>7.6043960000000004</v>
      </c>
      <c r="AG298" s="1">
        <v>4.6913479999999996</v>
      </c>
      <c r="AH298" s="1">
        <f t="shared" si="111"/>
        <v>-1.3529411764705881</v>
      </c>
      <c r="AI298" s="1">
        <f t="shared" si="106"/>
        <v>-7.7363935270327325E-2</v>
      </c>
      <c r="AJ298" s="1">
        <f t="shared" si="92"/>
        <v>5.7182039112850636E-2</v>
      </c>
      <c r="AK298" s="1">
        <f t="shared" si="93"/>
        <v>305.83044982698971</v>
      </c>
      <c r="AL298" s="1">
        <f t="shared" si="94"/>
        <v>17.488008743907631</v>
      </c>
      <c r="AM298" s="1">
        <v>0</v>
      </c>
      <c r="AN298" s="1">
        <v>1</v>
      </c>
      <c r="AO298" s="1">
        <v>0</v>
      </c>
      <c r="AP298" s="1">
        <f t="shared" si="107"/>
        <v>5.7353933467640436E-2</v>
      </c>
      <c r="AQ298" s="1">
        <v>0</v>
      </c>
      <c r="AR298" s="1">
        <v>1</v>
      </c>
      <c r="AS298" s="1">
        <v>0</v>
      </c>
      <c r="AT298" s="1">
        <v>0</v>
      </c>
      <c r="AU298" s="4">
        <v>0</v>
      </c>
      <c r="AV298" s="4">
        <v>0</v>
      </c>
      <c r="AW298" s="1">
        <f t="shared" si="108"/>
        <v>2.7777777777777776E-2</v>
      </c>
      <c r="AX298" s="1">
        <f t="shared" si="109"/>
        <v>7.716049382716049E-4</v>
      </c>
    </row>
    <row r="299" spans="1:50" x14ac:dyDescent="0.25">
      <c r="A299" s="1" t="s">
        <v>44</v>
      </c>
      <c r="B299" s="1">
        <v>1993</v>
      </c>
      <c r="C299" s="1">
        <f t="shared" si="110"/>
        <v>26</v>
      </c>
      <c r="D299" s="1" t="s">
        <v>24</v>
      </c>
      <c r="E299" s="1" t="s">
        <v>25</v>
      </c>
      <c r="F299" s="2">
        <v>-0.41</v>
      </c>
      <c r="G299" s="3">
        <f>+F299/AH299</f>
        <v>0.24117647058823499</v>
      </c>
      <c r="H299" s="1">
        <v>6</v>
      </c>
      <c r="I299" s="1">
        <v>29</v>
      </c>
      <c r="J299" s="1">
        <f t="shared" si="90"/>
        <v>23</v>
      </c>
      <c r="K299" s="1">
        <v>3</v>
      </c>
      <c r="L299" s="1">
        <v>1962</v>
      </c>
      <c r="M299" s="1">
        <v>1990</v>
      </c>
      <c r="N299" s="1">
        <f t="shared" si="95"/>
        <v>1976</v>
      </c>
      <c r="O299" s="1">
        <f t="shared" si="117"/>
        <v>29</v>
      </c>
      <c r="P299" s="1">
        <f t="shared" si="103"/>
        <v>3.3672958299864741</v>
      </c>
      <c r="Q299" s="1">
        <v>12</v>
      </c>
      <c r="R299" s="1">
        <v>2</v>
      </c>
      <c r="S299" s="1" t="s">
        <v>26</v>
      </c>
      <c r="T299" s="1">
        <f t="shared" si="118"/>
        <v>0</v>
      </c>
      <c r="U299" s="1">
        <v>0</v>
      </c>
      <c r="V299" s="1">
        <v>0</v>
      </c>
      <c r="W299" s="1">
        <v>0</v>
      </c>
      <c r="X299" s="1">
        <v>0</v>
      </c>
      <c r="Y299" s="1">
        <v>1</v>
      </c>
      <c r="Z299" s="1">
        <v>0</v>
      </c>
      <c r="AA299" s="1">
        <v>0</v>
      </c>
      <c r="AB299" s="1" t="s">
        <v>85</v>
      </c>
      <c r="AC299" s="1">
        <f t="shared" si="101"/>
        <v>1</v>
      </c>
      <c r="AD299" s="1">
        <f t="shared" si="91"/>
        <v>1</v>
      </c>
      <c r="AE299" s="1">
        <v>1</v>
      </c>
      <c r="AF299" s="1">
        <v>7.5973959999999998</v>
      </c>
      <c r="AG299" s="1">
        <v>2.5649489999999999</v>
      </c>
      <c r="AH299" s="1">
        <v>-1.700000000000002</v>
      </c>
      <c r="AI299" s="1">
        <f t="shared" si="106"/>
        <v>-0.33410493930404878</v>
      </c>
      <c r="AJ299" s="1">
        <f t="shared" si="92"/>
        <v>0.19653231723767553</v>
      </c>
      <c r="AK299" s="1">
        <f t="shared" si="93"/>
        <v>25.890000000000011</v>
      </c>
      <c r="AL299" s="1">
        <f t="shared" si="94"/>
        <v>5.0882216932834217</v>
      </c>
      <c r="AM299" s="1">
        <v>1</v>
      </c>
      <c r="AN299" s="1">
        <v>0</v>
      </c>
      <c r="AO299" s="1">
        <v>0</v>
      </c>
      <c r="AP299" s="1">
        <f t="shared" si="107"/>
        <v>0.20851441405707477</v>
      </c>
      <c r="AQ299" s="1">
        <v>1</v>
      </c>
      <c r="AR299" s="1">
        <v>0</v>
      </c>
      <c r="AS299" s="1">
        <v>0</v>
      </c>
      <c r="AT299" s="1">
        <v>0</v>
      </c>
      <c r="AU299" s="4">
        <v>1</v>
      </c>
      <c r="AV299" s="4">
        <v>0</v>
      </c>
      <c r="AW299" s="1">
        <f t="shared" si="108"/>
        <v>0.33333333333333331</v>
      </c>
      <c r="AX299" s="1">
        <f t="shared" si="109"/>
        <v>0.1111111111111111</v>
      </c>
    </row>
    <row r="300" spans="1:50" x14ac:dyDescent="0.25">
      <c r="A300" s="1" t="s">
        <v>44</v>
      </c>
      <c r="B300" s="1">
        <v>1993</v>
      </c>
      <c r="C300" s="1">
        <f t="shared" si="110"/>
        <v>26</v>
      </c>
      <c r="D300" s="1" t="s">
        <v>24</v>
      </c>
      <c r="E300" s="1" t="s">
        <v>25</v>
      </c>
      <c r="F300" s="2">
        <v>-0.15</v>
      </c>
      <c r="G300" s="3">
        <f>+F300/AH300</f>
        <v>3.2894736842105303E-2</v>
      </c>
      <c r="H300" s="1">
        <v>6</v>
      </c>
      <c r="I300" s="1">
        <v>29</v>
      </c>
      <c r="J300" s="1">
        <f t="shared" si="90"/>
        <v>23</v>
      </c>
      <c r="K300" s="1">
        <v>3</v>
      </c>
      <c r="L300" s="1">
        <v>1962</v>
      </c>
      <c r="M300" s="1">
        <v>1990</v>
      </c>
      <c r="N300" s="1">
        <f t="shared" ref="N300:N301" si="119">+L300+(M300-L300)/2</f>
        <v>1976</v>
      </c>
      <c r="O300" s="1">
        <f t="shared" ref="O300:O302" si="120">+M300-L300+1</f>
        <v>29</v>
      </c>
      <c r="P300" s="1">
        <f t="shared" si="103"/>
        <v>3.3672958299864741</v>
      </c>
      <c r="Q300" s="1">
        <v>12</v>
      </c>
      <c r="R300" s="1">
        <v>2</v>
      </c>
      <c r="S300" s="1" t="s">
        <v>26</v>
      </c>
      <c r="T300" s="1">
        <f t="shared" si="118"/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0</v>
      </c>
      <c r="AA300" s="1">
        <v>0</v>
      </c>
      <c r="AB300" s="1" t="s">
        <v>85</v>
      </c>
      <c r="AC300" s="1">
        <f t="shared" si="101"/>
        <v>1</v>
      </c>
      <c r="AD300" s="1">
        <f t="shared" si="91"/>
        <v>1</v>
      </c>
      <c r="AE300" s="1">
        <v>1</v>
      </c>
      <c r="AF300" s="1">
        <v>7.5973959999999998</v>
      </c>
      <c r="AG300" s="1">
        <v>2.5649489999999999</v>
      </c>
      <c r="AH300" s="1">
        <v>-4.5599999999999943</v>
      </c>
      <c r="AI300" s="1">
        <f t="shared" si="106"/>
        <v>-0.68906393355528939</v>
      </c>
      <c r="AJ300" s="1">
        <f t="shared" si="92"/>
        <v>0.15111051174458121</v>
      </c>
      <c r="AK300" s="1">
        <f t="shared" si="93"/>
        <v>43.793599999999934</v>
      </c>
      <c r="AL300" s="1">
        <f t="shared" si="94"/>
        <v>6.6176733071374816</v>
      </c>
      <c r="AM300" s="1">
        <v>1</v>
      </c>
      <c r="AN300" s="1">
        <v>0</v>
      </c>
      <c r="AO300" s="1">
        <v>0</v>
      </c>
      <c r="AP300" s="1">
        <f t="shared" si="107"/>
        <v>0.20851441405707477</v>
      </c>
      <c r="AQ300" s="1">
        <v>1</v>
      </c>
      <c r="AR300" s="1">
        <v>0</v>
      </c>
      <c r="AS300" s="1">
        <v>0</v>
      </c>
      <c r="AT300" s="1">
        <v>0</v>
      </c>
      <c r="AU300" s="4">
        <v>0</v>
      </c>
      <c r="AV300" s="4">
        <v>1</v>
      </c>
      <c r="AW300" s="1">
        <f t="shared" si="108"/>
        <v>0.33333333333333331</v>
      </c>
      <c r="AX300" s="1">
        <f t="shared" si="109"/>
        <v>0.1111111111111111</v>
      </c>
    </row>
    <row r="301" spans="1:50" x14ac:dyDescent="0.25">
      <c r="A301" s="1" t="s">
        <v>44</v>
      </c>
      <c r="B301" s="1">
        <v>1993</v>
      </c>
      <c r="C301" s="1">
        <f t="shared" si="110"/>
        <v>26</v>
      </c>
      <c r="D301" s="1" t="s">
        <v>24</v>
      </c>
      <c r="E301" s="1" t="s">
        <v>25</v>
      </c>
      <c r="F301" s="2">
        <v>0.03</v>
      </c>
      <c r="G301" s="3">
        <f>+F301/AH301</f>
        <v>0.15</v>
      </c>
      <c r="H301" s="1">
        <v>6</v>
      </c>
      <c r="I301" s="1">
        <v>29</v>
      </c>
      <c r="J301" s="1">
        <f t="shared" si="90"/>
        <v>23</v>
      </c>
      <c r="K301" s="1">
        <v>3</v>
      </c>
      <c r="L301" s="1">
        <v>1962</v>
      </c>
      <c r="M301" s="1">
        <v>1990</v>
      </c>
      <c r="N301" s="1">
        <f t="shared" si="119"/>
        <v>1976</v>
      </c>
      <c r="O301" s="1">
        <f t="shared" si="120"/>
        <v>29</v>
      </c>
      <c r="P301" s="1">
        <f t="shared" si="103"/>
        <v>3.3672958299864741</v>
      </c>
      <c r="Q301" s="1">
        <v>12</v>
      </c>
      <c r="R301" s="1">
        <v>2</v>
      </c>
      <c r="S301" s="1" t="s">
        <v>26</v>
      </c>
      <c r="T301" s="1">
        <f t="shared" si="118"/>
        <v>0</v>
      </c>
      <c r="U301" s="1">
        <v>0</v>
      </c>
      <c r="V301" s="1">
        <v>0</v>
      </c>
      <c r="W301" s="1">
        <v>0</v>
      </c>
      <c r="X301" s="1">
        <v>0</v>
      </c>
      <c r="Y301" s="1">
        <v>1</v>
      </c>
      <c r="Z301" s="1">
        <v>0</v>
      </c>
      <c r="AA301" s="1">
        <v>0</v>
      </c>
      <c r="AB301" s="1" t="s">
        <v>85</v>
      </c>
      <c r="AC301" s="1">
        <f t="shared" si="101"/>
        <v>1</v>
      </c>
      <c r="AD301" s="1">
        <f t="shared" si="91"/>
        <v>1</v>
      </c>
      <c r="AE301" s="1">
        <v>1</v>
      </c>
      <c r="AF301" s="1">
        <v>7.5973959999999998</v>
      </c>
      <c r="AG301" s="1">
        <v>2.5649489999999999</v>
      </c>
      <c r="AH301" s="1">
        <v>0.2</v>
      </c>
      <c r="AI301" s="1">
        <f t="shared" si="106"/>
        <v>4.1666666666666671E-2</v>
      </c>
      <c r="AJ301" s="1">
        <f t="shared" si="92"/>
        <v>0.20833333333333334</v>
      </c>
      <c r="AK301" s="1">
        <f t="shared" si="93"/>
        <v>23.039999999999996</v>
      </c>
      <c r="AL301" s="1">
        <f t="shared" si="94"/>
        <v>4.8</v>
      </c>
      <c r="AM301" s="1">
        <v>1</v>
      </c>
      <c r="AN301" s="1">
        <v>0</v>
      </c>
      <c r="AO301" s="1">
        <v>0</v>
      </c>
      <c r="AP301" s="1">
        <f t="shared" si="107"/>
        <v>0.20851441405707477</v>
      </c>
      <c r="AQ301" s="1">
        <v>1</v>
      </c>
      <c r="AR301" s="1">
        <v>0</v>
      </c>
      <c r="AS301" s="1">
        <v>0</v>
      </c>
      <c r="AT301" s="1">
        <v>0</v>
      </c>
      <c r="AU301" s="4">
        <v>1</v>
      </c>
      <c r="AV301" s="4">
        <v>0</v>
      </c>
      <c r="AW301" s="1">
        <f t="shared" si="108"/>
        <v>0.33333333333333331</v>
      </c>
      <c r="AX301" s="1">
        <f t="shared" si="109"/>
        <v>0.1111111111111111</v>
      </c>
    </row>
    <row r="302" spans="1:50" x14ac:dyDescent="0.25">
      <c r="A302" s="1" t="s">
        <v>66</v>
      </c>
      <c r="B302" s="1">
        <v>1978</v>
      </c>
      <c r="C302" s="1">
        <f t="shared" si="110"/>
        <v>27</v>
      </c>
      <c r="D302" s="1" t="s">
        <v>24</v>
      </c>
      <c r="E302" s="1" t="s">
        <v>25</v>
      </c>
      <c r="F302" s="2">
        <v>-0.159</v>
      </c>
      <c r="G302" s="3">
        <v>7.0999999999999994E-2</v>
      </c>
      <c r="H302" s="1">
        <v>2</v>
      </c>
      <c r="I302" s="1">
        <v>65</v>
      </c>
      <c r="J302" s="1">
        <f t="shared" ref="J302:J354" si="121">+I302-H302</f>
        <v>63</v>
      </c>
      <c r="K302" s="1">
        <v>10</v>
      </c>
      <c r="L302" s="1">
        <v>1970</v>
      </c>
      <c r="M302" s="1">
        <v>1970</v>
      </c>
      <c r="N302" s="1">
        <f t="shared" si="95"/>
        <v>1970</v>
      </c>
      <c r="O302" s="1">
        <f t="shared" si="120"/>
        <v>1</v>
      </c>
      <c r="P302" s="1">
        <f t="shared" si="103"/>
        <v>0</v>
      </c>
      <c r="Q302" s="1">
        <v>21</v>
      </c>
      <c r="R302" s="1">
        <v>0</v>
      </c>
      <c r="S302" s="1" t="s">
        <v>26</v>
      </c>
      <c r="T302" s="1">
        <f t="shared" si="118"/>
        <v>0</v>
      </c>
      <c r="U302" s="1">
        <v>0</v>
      </c>
      <c r="V302" s="1">
        <v>1</v>
      </c>
      <c r="W302" s="1">
        <v>1</v>
      </c>
      <c r="X302" s="1">
        <v>1</v>
      </c>
      <c r="Y302" s="1">
        <v>0</v>
      </c>
      <c r="Z302" s="1">
        <v>0</v>
      </c>
      <c r="AA302" s="1">
        <v>0</v>
      </c>
      <c r="AB302" s="1" t="s">
        <v>85</v>
      </c>
      <c r="AC302" s="1">
        <f t="shared" si="101"/>
        <v>1</v>
      </c>
      <c r="AD302" s="1">
        <f t="shared" ref="AD302:AD354" si="122">IF(AB302="USA",1,0)</f>
        <v>1</v>
      </c>
      <c r="AE302" s="1">
        <v>1</v>
      </c>
      <c r="AF302" s="1">
        <v>7.5898409999999998</v>
      </c>
      <c r="AG302" s="1">
        <v>3.091043</v>
      </c>
      <c r="AH302" s="1">
        <f t="shared" ref="AH302:AH333" si="123">+F302/G302</f>
        <v>-2.23943661971831</v>
      </c>
      <c r="AI302" s="1">
        <f t="shared" si="106"/>
        <v>-0.27154147989670735</v>
      </c>
      <c r="AJ302" s="1">
        <f t="shared" ref="AJ302:AJ354" si="124">+AI302/AH302</f>
        <v>0.12125437152620265</v>
      </c>
      <c r="AK302" s="1">
        <f t="shared" ref="AK302:AK354" si="125">1/AJ302^2</f>
        <v>68.015076373735354</v>
      </c>
      <c r="AL302" s="1">
        <f t="shared" ref="AL302:AL354" si="126">1/AJ302</f>
        <v>8.2471253400039561</v>
      </c>
      <c r="AM302" s="1">
        <v>0</v>
      </c>
      <c r="AN302" s="1">
        <v>0</v>
      </c>
      <c r="AO302" s="1">
        <v>1</v>
      </c>
      <c r="AP302" s="1">
        <f t="shared" si="107"/>
        <v>0.12598815766974239</v>
      </c>
      <c r="AQ302" s="1">
        <v>1</v>
      </c>
      <c r="AR302" s="1">
        <v>0</v>
      </c>
      <c r="AS302" s="1">
        <v>0</v>
      </c>
      <c r="AT302" s="1">
        <v>0</v>
      </c>
      <c r="AU302" s="4">
        <v>1</v>
      </c>
      <c r="AV302" s="4">
        <v>0</v>
      </c>
      <c r="AW302" s="1">
        <f t="shared" si="108"/>
        <v>0.1</v>
      </c>
      <c r="AX302" s="1">
        <f t="shared" si="109"/>
        <v>0.01</v>
      </c>
    </row>
    <row r="303" spans="1:50" x14ac:dyDescent="0.25">
      <c r="A303" s="1" t="s">
        <v>66</v>
      </c>
      <c r="B303" s="1">
        <v>1978</v>
      </c>
      <c r="C303" s="1">
        <f t="shared" si="110"/>
        <v>27</v>
      </c>
      <c r="D303" s="1" t="s">
        <v>24</v>
      </c>
      <c r="E303" s="1" t="s">
        <v>25</v>
      </c>
      <c r="F303" s="2">
        <v>-0.442</v>
      </c>
      <c r="G303" s="3">
        <v>0.15</v>
      </c>
      <c r="H303" s="1">
        <v>3</v>
      </c>
      <c r="I303" s="1">
        <v>21</v>
      </c>
      <c r="J303" s="1">
        <f t="shared" si="121"/>
        <v>18</v>
      </c>
      <c r="K303" s="1">
        <v>10</v>
      </c>
      <c r="L303" s="1">
        <v>1970</v>
      </c>
      <c r="M303" s="1">
        <v>1970</v>
      </c>
      <c r="N303" s="1">
        <f t="shared" ref="N303:N321" si="127">+L303+(M303-L303)/2</f>
        <v>1970</v>
      </c>
      <c r="O303" s="1">
        <f t="shared" ref="O303:O339" si="128">+M303-L303+1</f>
        <v>1</v>
      </c>
      <c r="P303" s="1">
        <f t="shared" si="103"/>
        <v>0</v>
      </c>
      <c r="Q303" s="1">
        <v>21</v>
      </c>
      <c r="R303" s="1">
        <v>0</v>
      </c>
      <c r="S303" s="1" t="s">
        <v>26</v>
      </c>
      <c r="T303" s="1">
        <f t="shared" si="118"/>
        <v>0</v>
      </c>
      <c r="U303" s="1">
        <v>0</v>
      </c>
      <c r="V303" s="1">
        <v>1</v>
      </c>
      <c r="W303" s="1">
        <v>1</v>
      </c>
      <c r="X303" s="1">
        <v>1</v>
      </c>
      <c r="Y303" s="1">
        <v>0</v>
      </c>
      <c r="Z303" s="1">
        <v>0</v>
      </c>
      <c r="AA303" s="1">
        <v>0</v>
      </c>
      <c r="AB303" s="1" t="s">
        <v>85</v>
      </c>
      <c r="AC303" s="1">
        <f t="shared" si="101"/>
        <v>1</v>
      </c>
      <c r="AD303" s="1">
        <f t="shared" si="122"/>
        <v>1</v>
      </c>
      <c r="AE303" s="1">
        <v>1</v>
      </c>
      <c r="AF303" s="1">
        <v>7.5898409999999998</v>
      </c>
      <c r="AG303" s="1">
        <v>3.091043</v>
      </c>
      <c r="AH303" s="1">
        <f t="shared" si="123"/>
        <v>-2.9466666666666668</v>
      </c>
      <c r="AI303" s="1">
        <f t="shared" si="106"/>
        <v>-0.57044653712738302</v>
      </c>
      <c r="AJ303" s="1">
        <f t="shared" si="124"/>
        <v>0.19359045377626119</v>
      </c>
      <c r="AK303" s="1">
        <f t="shared" si="125"/>
        <v>26.682844444444452</v>
      </c>
      <c r="AL303" s="1">
        <f t="shared" si="126"/>
        <v>5.1655439640413912</v>
      </c>
      <c r="AM303" s="1">
        <v>0</v>
      </c>
      <c r="AN303" s="1">
        <v>0</v>
      </c>
      <c r="AO303" s="1">
        <v>1</v>
      </c>
      <c r="AP303" s="1">
        <f t="shared" si="107"/>
        <v>0.23570226039551587</v>
      </c>
      <c r="AQ303" s="1">
        <v>1</v>
      </c>
      <c r="AR303" s="1">
        <v>0</v>
      </c>
      <c r="AS303" s="1">
        <v>0</v>
      </c>
      <c r="AT303" s="1">
        <v>0</v>
      </c>
      <c r="AU303" s="4">
        <v>1</v>
      </c>
      <c r="AV303" s="4">
        <v>0</v>
      </c>
      <c r="AW303" s="1">
        <f t="shared" si="108"/>
        <v>0.1</v>
      </c>
      <c r="AX303" s="1">
        <f t="shared" si="109"/>
        <v>0.01</v>
      </c>
    </row>
    <row r="304" spans="1:50" x14ac:dyDescent="0.25">
      <c r="A304" s="1" t="s">
        <v>66</v>
      </c>
      <c r="B304" s="1">
        <v>1978</v>
      </c>
      <c r="C304" s="1">
        <f t="shared" si="110"/>
        <v>27</v>
      </c>
      <c r="D304" s="1" t="s">
        <v>24</v>
      </c>
      <c r="E304" s="1" t="s">
        <v>25</v>
      </c>
      <c r="F304" s="2">
        <v>-0.14699999999999999</v>
      </c>
      <c r="G304" s="3">
        <v>0.11799999999999999</v>
      </c>
      <c r="H304" s="1">
        <v>3</v>
      </c>
      <c r="I304" s="1">
        <v>33</v>
      </c>
      <c r="J304" s="1">
        <f t="shared" si="121"/>
        <v>30</v>
      </c>
      <c r="K304" s="1">
        <v>10</v>
      </c>
      <c r="L304" s="1">
        <v>1970</v>
      </c>
      <c r="M304" s="1">
        <v>1970</v>
      </c>
      <c r="N304" s="1">
        <f t="shared" si="127"/>
        <v>1970</v>
      </c>
      <c r="O304" s="1">
        <f t="shared" si="128"/>
        <v>1</v>
      </c>
      <c r="P304" s="1">
        <f t="shared" si="103"/>
        <v>0</v>
      </c>
      <c r="Q304" s="1">
        <v>21</v>
      </c>
      <c r="R304" s="1">
        <v>0</v>
      </c>
      <c r="S304" s="1" t="s">
        <v>26</v>
      </c>
      <c r="T304" s="1">
        <f t="shared" si="118"/>
        <v>0</v>
      </c>
      <c r="U304" s="1">
        <v>0</v>
      </c>
      <c r="V304" s="1">
        <v>1</v>
      </c>
      <c r="W304" s="1">
        <v>1</v>
      </c>
      <c r="X304" s="1">
        <v>1</v>
      </c>
      <c r="Y304" s="1">
        <v>0</v>
      </c>
      <c r="Z304" s="1">
        <v>0</v>
      </c>
      <c r="AA304" s="1">
        <v>0</v>
      </c>
      <c r="AB304" s="1" t="s">
        <v>85</v>
      </c>
      <c r="AC304" s="1">
        <f t="shared" si="101"/>
        <v>1</v>
      </c>
      <c r="AD304" s="1">
        <f t="shared" si="122"/>
        <v>1</v>
      </c>
      <c r="AE304" s="1">
        <v>1</v>
      </c>
      <c r="AF304" s="1">
        <v>7.5898409999999998</v>
      </c>
      <c r="AG304" s="1">
        <v>3.091043</v>
      </c>
      <c r="AH304" s="1">
        <f t="shared" si="123"/>
        <v>-1.2457627118644068</v>
      </c>
      <c r="AI304" s="1">
        <f t="shared" si="106"/>
        <v>-0.22178001004366346</v>
      </c>
      <c r="AJ304" s="1">
        <f t="shared" si="124"/>
        <v>0.17802749105545773</v>
      </c>
      <c r="AK304" s="1">
        <f t="shared" si="125"/>
        <v>31.551924734271761</v>
      </c>
      <c r="AL304" s="1">
        <f t="shared" si="126"/>
        <v>5.6171099984130421</v>
      </c>
      <c r="AM304" s="1">
        <v>0</v>
      </c>
      <c r="AN304" s="1">
        <v>0</v>
      </c>
      <c r="AO304" s="1">
        <v>1</v>
      </c>
      <c r="AP304" s="1">
        <f t="shared" si="107"/>
        <v>0.18257418583505536</v>
      </c>
      <c r="AQ304" s="1">
        <v>1</v>
      </c>
      <c r="AR304" s="1">
        <v>0</v>
      </c>
      <c r="AS304" s="1">
        <v>0</v>
      </c>
      <c r="AT304" s="1">
        <v>0</v>
      </c>
      <c r="AU304" s="4">
        <v>1</v>
      </c>
      <c r="AV304" s="4">
        <v>0</v>
      </c>
      <c r="AW304" s="1">
        <f t="shared" si="108"/>
        <v>0.1</v>
      </c>
      <c r="AX304" s="1">
        <f t="shared" si="109"/>
        <v>0.01</v>
      </c>
    </row>
    <row r="305" spans="1:50" x14ac:dyDescent="0.25">
      <c r="A305" s="1" t="s">
        <v>66</v>
      </c>
      <c r="B305" s="1">
        <v>1978</v>
      </c>
      <c r="C305" s="1">
        <f t="shared" si="110"/>
        <v>27</v>
      </c>
      <c r="D305" s="1" t="s">
        <v>24</v>
      </c>
      <c r="E305" s="1" t="s">
        <v>25</v>
      </c>
      <c r="F305" s="2">
        <v>-0.152</v>
      </c>
      <c r="G305" s="3">
        <v>8.4000000000000005E-2</v>
      </c>
      <c r="H305" s="1">
        <v>2</v>
      </c>
      <c r="I305" s="1">
        <v>65</v>
      </c>
      <c r="J305" s="1">
        <f t="shared" si="121"/>
        <v>63</v>
      </c>
      <c r="K305" s="1">
        <v>10</v>
      </c>
      <c r="L305" s="1">
        <v>1970</v>
      </c>
      <c r="M305" s="1">
        <v>1970</v>
      </c>
      <c r="N305" s="1">
        <f t="shared" si="127"/>
        <v>1970</v>
      </c>
      <c r="O305" s="1">
        <f t="shared" si="128"/>
        <v>1</v>
      </c>
      <c r="P305" s="1">
        <f t="shared" si="103"/>
        <v>0</v>
      </c>
      <c r="Q305" s="1">
        <v>21</v>
      </c>
      <c r="R305" s="1">
        <v>0</v>
      </c>
      <c r="S305" s="1" t="s">
        <v>26</v>
      </c>
      <c r="T305" s="1">
        <f t="shared" si="118"/>
        <v>0</v>
      </c>
      <c r="U305" s="1">
        <v>0</v>
      </c>
      <c r="V305" s="1">
        <v>1</v>
      </c>
      <c r="W305" s="1">
        <v>1</v>
      </c>
      <c r="X305" s="1">
        <v>1</v>
      </c>
      <c r="Y305" s="1">
        <v>0</v>
      </c>
      <c r="Z305" s="1">
        <v>0</v>
      </c>
      <c r="AA305" s="1">
        <v>0</v>
      </c>
      <c r="AB305" s="1" t="s">
        <v>85</v>
      </c>
      <c r="AC305" s="1">
        <f t="shared" si="101"/>
        <v>1</v>
      </c>
      <c r="AD305" s="1">
        <f t="shared" si="122"/>
        <v>1</v>
      </c>
      <c r="AE305" s="1">
        <v>1</v>
      </c>
      <c r="AF305" s="1">
        <v>7.5898409999999998</v>
      </c>
      <c r="AG305" s="1">
        <v>3.091043</v>
      </c>
      <c r="AH305" s="1">
        <f t="shared" si="123"/>
        <v>-1.8095238095238093</v>
      </c>
      <c r="AI305" s="1">
        <f t="shared" si="106"/>
        <v>-0.22227543908740943</v>
      </c>
      <c r="AJ305" s="1">
        <f t="shared" si="124"/>
        <v>0.1228364268640947</v>
      </c>
      <c r="AK305" s="1">
        <f t="shared" si="125"/>
        <v>66.274376417233555</v>
      </c>
      <c r="AL305" s="1">
        <f t="shared" si="126"/>
        <v>8.1409075917389924</v>
      </c>
      <c r="AM305" s="1">
        <v>0</v>
      </c>
      <c r="AN305" s="1">
        <v>0</v>
      </c>
      <c r="AO305" s="1">
        <v>1</v>
      </c>
      <c r="AP305" s="1">
        <f t="shared" si="107"/>
        <v>0.12598815766974239</v>
      </c>
      <c r="AQ305" s="1">
        <v>1</v>
      </c>
      <c r="AR305" s="1">
        <v>0</v>
      </c>
      <c r="AS305" s="1">
        <v>0</v>
      </c>
      <c r="AT305" s="1">
        <v>0</v>
      </c>
      <c r="AU305" s="4">
        <v>0</v>
      </c>
      <c r="AV305" s="4">
        <v>0</v>
      </c>
      <c r="AW305" s="1">
        <f t="shared" si="108"/>
        <v>0.1</v>
      </c>
      <c r="AX305" s="1">
        <f t="shared" si="109"/>
        <v>0.01</v>
      </c>
    </row>
    <row r="306" spans="1:50" x14ac:dyDescent="0.25">
      <c r="A306" s="1" t="s">
        <v>66</v>
      </c>
      <c r="B306" s="1">
        <v>1978</v>
      </c>
      <c r="C306" s="1">
        <f t="shared" si="110"/>
        <v>27</v>
      </c>
      <c r="D306" s="1" t="s">
        <v>24</v>
      </c>
      <c r="E306" s="1" t="s">
        <v>25</v>
      </c>
      <c r="F306" s="2">
        <v>-0.41699999999999998</v>
      </c>
      <c r="G306" s="3">
        <v>0.373</v>
      </c>
      <c r="H306" s="1">
        <v>3</v>
      </c>
      <c r="I306" s="1">
        <v>21</v>
      </c>
      <c r="J306" s="1">
        <f t="shared" si="121"/>
        <v>18</v>
      </c>
      <c r="K306" s="1">
        <v>10</v>
      </c>
      <c r="L306" s="1">
        <v>1970</v>
      </c>
      <c r="M306" s="1">
        <v>1970</v>
      </c>
      <c r="N306" s="1">
        <f t="shared" si="127"/>
        <v>1970</v>
      </c>
      <c r="O306" s="1">
        <f t="shared" si="128"/>
        <v>1</v>
      </c>
      <c r="P306" s="1">
        <f t="shared" si="103"/>
        <v>0</v>
      </c>
      <c r="Q306" s="1">
        <v>21</v>
      </c>
      <c r="R306" s="1">
        <v>0</v>
      </c>
      <c r="S306" s="1" t="s">
        <v>26</v>
      </c>
      <c r="T306" s="1">
        <f t="shared" si="118"/>
        <v>0</v>
      </c>
      <c r="U306" s="1">
        <v>0</v>
      </c>
      <c r="V306" s="1">
        <v>1</v>
      </c>
      <c r="W306" s="1">
        <v>1</v>
      </c>
      <c r="X306" s="1">
        <v>1</v>
      </c>
      <c r="Y306" s="1">
        <v>0</v>
      </c>
      <c r="Z306" s="1">
        <v>0</v>
      </c>
      <c r="AA306" s="1">
        <v>0</v>
      </c>
      <c r="AB306" s="1" t="s">
        <v>85</v>
      </c>
      <c r="AC306" s="1">
        <f t="shared" si="101"/>
        <v>1</v>
      </c>
      <c r="AD306" s="1">
        <f t="shared" si="122"/>
        <v>1</v>
      </c>
      <c r="AE306" s="1">
        <v>1</v>
      </c>
      <c r="AF306" s="1">
        <v>7.5898409999999998</v>
      </c>
      <c r="AG306" s="1">
        <v>3.091043</v>
      </c>
      <c r="AH306" s="1">
        <f t="shared" si="123"/>
        <v>-1.1179624664879355</v>
      </c>
      <c r="AI306" s="1">
        <f t="shared" si="106"/>
        <v>-0.25480835272226215</v>
      </c>
      <c r="AJ306" s="1">
        <f t="shared" si="124"/>
        <v>0.22792209967722732</v>
      </c>
      <c r="AK306" s="1">
        <f t="shared" si="125"/>
        <v>19.249840076475795</v>
      </c>
      <c r="AL306" s="1">
        <f t="shared" si="126"/>
        <v>4.3874639686812005</v>
      </c>
      <c r="AM306" s="1">
        <v>0</v>
      </c>
      <c r="AN306" s="1">
        <v>0</v>
      </c>
      <c r="AO306" s="1">
        <v>1</v>
      </c>
      <c r="AP306" s="1">
        <f t="shared" si="107"/>
        <v>0.23570226039551587</v>
      </c>
      <c r="AQ306" s="1">
        <v>1</v>
      </c>
      <c r="AR306" s="1">
        <v>0</v>
      </c>
      <c r="AS306" s="1">
        <v>0</v>
      </c>
      <c r="AT306" s="1">
        <v>0</v>
      </c>
      <c r="AU306" s="4">
        <v>0</v>
      </c>
      <c r="AV306" s="4">
        <v>0</v>
      </c>
      <c r="AW306" s="1">
        <f t="shared" si="108"/>
        <v>0.1</v>
      </c>
      <c r="AX306" s="1">
        <f t="shared" si="109"/>
        <v>0.01</v>
      </c>
    </row>
    <row r="307" spans="1:50" x14ac:dyDescent="0.25">
      <c r="A307" s="1" t="s">
        <v>66</v>
      </c>
      <c r="B307" s="1">
        <v>1978</v>
      </c>
      <c r="C307" s="1">
        <f t="shared" si="110"/>
        <v>27</v>
      </c>
      <c r="D307" s="1" t="s">
        <v>24</v>
      </c>
      <c r="E307" s="1" t="s">
        <v>25</v>
      </c>
      <c r="F307" s="2">
        <v>-0.14199999999999999</v>
      </c>
      <c r="G307" s="3">
        <v>0.14499999999999999</v>
      </c>
      <c r="H307" s="1">
        <v>3</v>
      </c>
      <c r="I307" s="1">
        <v>33</v>
      </c>
      <c r="J307" s="1">
        <f t="shared" si="121"/>
        <v>30</v>
      </c>
      <c r="K307" s="1">
        <v>10</v>
      </c>
      <c r="L307" s="1">
        <v>1970</v>
      </c>
      <c r="M307" s="1">
        <v>1970</v>
      </c>
      <c r="N307" s="1">
        <f t="shared" si="127"/>
        <v>1970</v>
      </c>
      <c r="O307" s="1">
        <f t="shared" si="128"/>
        <v>1</v>
      </c>
      <c r="P307" s="1">
        <f t="shared" si="103"/>
        <v>0</v>
      </c>
      <c r="Q307" s="1">
        <v>21</v>
      </c>
      <c r="R307" s="1">
        <v>0</v>
      </c>
      <c r="S307" s="1" t="s">
        <v>26</v>
      </c>
      <c r="T307" s="1">
        <f t="shared" si="118"/>
        <v>0</v>
      </c>
      <c r="U307" s="1">
        <v>0</v>
      </c>
      <c r="V307" s="1">
        <v>1</v>
      </c>
      <c r="W307" s="1">
        <v>1</v>
      </c>
      <c r="X307" s="1">
        <v>1</v>
      </c>
      <c r="Y307" s="1">
        <v>0</v>
      </c>
      <c r="Z307" s="1">
        <v>0</v>
      </c>
      <c r="AA307" s="1">
        <v>0</v>
      </c>
      <c r="AB307" s="1" t="s">
        <v>85</v>
      </c>
      <c r="AC307" s="1">
        <f t="shared" si="101"/>
        <v>1</v>
      </c>
      <c r="AD307" s="1">
        <f t="shared" si="122"/>
        <v>1</v>
      </c>
      <c r="AE307" s="1">
        <v>1</v>
      </c>
      <c r="AF307" s="1">
        <v>7.5898409999999998</v>
      </c>
      <c r="AG307" s="1">
        <v>3.091043</v>
      </c>
      <c r="AH307" s="1">
        <f t="shared" si="123"/>
        <v>-0.97931034482758617</v>
      </c>
      <c r="AI307" s="1">
        <f t="shared" si="106"/>
        <v>-0.17600562109689241</v>
      </c>
      <c r="AJ307" s="1">
        <f t="shared" si="124"/>
        <v>0.17972404971161549</v>
      </c>
      <c r="AK307" s="1">
        <f t="shared" si="125"/>
        <v>30.959048751486328</v>
      </c>
      <c r="AL307" s="1">
        <f t="shared" si="126"/>
        <v>5.5640856168364561</v>
      </c>
      <c r="AM307" s="1">
        <v>0</v>
      </c>
      <c r="AN307" s="1">
        <v>0</v>
      </c>
      <c r="AO307" s="1">
        <v>1</v>
      </c>
      <c r="AP307" s="1">
        <f t="shared" si="107"/>
        <v>0.18257418583505536</v>
      </c>
      <c r="AQ307" s="1">
        <v>1</v>
      </c>
      <c r="AR307" s="1">
        <v>0</v>
      </c>
      <c r="AS307" s="1">
        <v>0</v>
      </c>
      <c r="AT307" s="1">
        <v>0</v>
      </c>
      <c r="AU307" s="4">
        <v>0</v>
      </c>
      <c r="AV307" s="4">
        <v>0</v>
      </c>
      <c r="AW307" s="1">
        <f t="shared" si="108"/>
        <v>0.1</v>
      </c>
      <c r="AX307" s="1">
        <f t="shared" si="109"/>
        <v>0.01</v>
      </c>
    </row>
    <row r="308" spans="1:50" x14ac:dyDescent="0.25">
      <c r="A308" s="1" t="s">
        <v>66</v>
      </c>
      <c r="B308" s="1">
        <v>1979</v>
      </c>
      <c r="C308" s="1">
        <f t="shared" si="110"/>
        <v>27</v>
      </c>
      <c r="D308" s="1" t="s">
        <v>24</v>
      </c>
      <c r="E308" s="1" t="s">
        <v>25</v>
      </c>
      <c r="F308" s="2">
        <v>0.13700000000000001</v>
      </c>
      <c r="G308" s="3">
        <v>0.187</v>
      </c>
      <c r="H308" s="1">
        <v>2</v>
      </c>
      <c r="I308" s="1">
        <v>33</v>
      </c>
      <c r="J308" s="1">
        <f t="shared" si="121"/>
        <v>31</v>
      </c>
      <c r="K308" s="1">
        <v>10</v>
      </c>
      <c r="L308" s="1">
        <v>1970</v>
      </c>
      <c r="M308" s="1">
        <v>1970</v>
      </c>
      <c r="N308" s="1">
        <f t="shared" si="127"/>
        <v>1970</v>
      </c>
      <c r="O308" s="1">
        <f t="shared" si="128"/>
        <v>1</v>
      </c>
      <c r="P308" s="1">
        <f t="shared" si="103"/>
        <v>0</v>
      </c>
      <c r="Q308" s="1">
        <v>21</v>
      </c>
      <c r="R308" s="1">
        <v>0</v>
      </c>
      <c r="S308" s="1" t="s">
        <v>26</v>
      </c>
      <c r="T308" s="1">
        <f t="shared" si="118"/>
        <v>0</v>
      </c>
      <c r="U308" s="1">
        <v>0</v>
      </c>
      <c r="V308" s="1">
        <v>1</v>
      </c>
      <c r="W308" s="1">
        <v>1</v>
      </c>
      <c r="X308" s="1">
        <v>1</v>
      </c>
      <c r="Y308" s="1">
        <v>0</v>
      </c>
      <c r="Z308" s="1">
        <v>0</v>
      </c>
      <c r="AA308" s="1">
        <v>0</v>
      </c>
      <c r="AB308" s="1" t="s">
        <v>85</v>
      </c>
      <c r="AC308" s="1">
        <f t="shared" si="101"/>
        <v>1</v>
      </c>
      <c r="AD308" s="1">
        <f t="shared" ref="AD308:AD311" si="129">IF(AB308="USA",1,0)</f>
        <v>1</v>
      </c>
      <c r="AE308" s="1">
        <v>1</v>
      </c>
      <c r="AF308" s="1">
        <v>7.5898409999999998</v>
      </c>
      <c r="AG308" s="1">
        <v>3.091043</v>
      </c>
      <c r="AH308" s="1">
        <f t="shared" si="123"/>
        <v>0.73262032085561501</v>
      </c>
      <c r="AI308" s="1">
        <f t="shared" si="106"/>
        <v>0.13045796904827081</v>
      </c>
      <c r="AJ308" s="1">
        <f t="shared" ref="AJ308:AJ311" si="130">+AI308/AH308</f>
        <v>0.17807036651114336</v>
      </c>
      <c r="AK308" s="1">
        <f t="shared" ref="AK308:AK311" si="131">1/AJ308^2</f>
        <v>31.536732534530572</v>
      </c>
      <c r="AL308" s="1">
        <f t="shared" ref="AL308:AL311" si="132">1/AJ308</f>
        <v>5.6157575209877582</v>
      </c>
      <c r="AM308" s="1">
        <v>0</v>
      </c>
      <c r="AN308" s="1">
        <v>0</v>
      </c>
      <c r="AO308" s="1">
        <v>1</v>
      </c>
      <c r="AP308" s="1">
        <f t="shared" si="107"/>
        <v>0.17960530202677491</v>
      </c>
      <c r="AQ308" s="1">
        <v>1</v>
      </c>
      <c r="AR308" s="1">
        <v>0</v>
      </c>
      <c r="AS308" s="1">
        <v>0</v>
      </c>
      <c r="AT308" s="1">
        <v>0</v>
      </c>
      <c r="AU308" s="4">
        <v>0</v>
      </c>
      <c r="AV308" s="4">
        <v>0</v>
      </c>
      <c r="AW308" s="1">
        <f t="shared" si="108"/>
        <v>0.1</v>
      </c>
      <c r="AX308" s="1">
        <f t="shared" si="109"/>
        <v>0.01</v>
      </c>
    </row>
    <row r="309" spans="1:50" x14ac:dyDescent="0.25">
      <c r="A309" s="1" t="s">
        <v>66</v>
      </c>
      <c r="B309" s="1">
        <v>1980</v>
      </c>
      <c r="C309" s="1">
        <f t="shared" si="110"/>
        <v>27</v>
      </c>
      <c r="D309" s="1" t="s">
        <v>24</v>
      </c>
      <c r="E309" s="1" t="s">
        <v>25</v>
      </c>
      <c r="F309" s="2">
        <v>0.30399999999999999</v>
      </c>
      <c r="G309" s="3">
        <v>0.255</v>
      </c>
      <c r="H309" s="1">
        <v>3</v>
      </c>
      <c r="I309" s="1">
        <v>65</v>
      </c>
      <c r="J309" s="1">
        <f t="shared" si="121"/>
        <v>62</v>
      </c>
      <c r="K309" s="1">
        <v>10</v>
      </c>
      <c r="L309" s="1">
        <v>1970</v>
      </c>
      <c r="M309" s="1">
        <v>1970</v>
      </c>
      <c r="N309" s="1">
        <f t="shared" si="127"/>
        <v>1970</v>
      </c>
      <c r="O309" s="1">
        <f t="shared" si="128"/>
        <v>1</v>
      </c>
      <c r="P309" s="1">
        <f t="shared" si="103"/>
        <v>0</v>
      </c>
      <c r="Q309" s="1">
        <v>21</v>
      </c>
      <c r="R309" s="1">
        <v>0</v>
      </c>
      <c r="S309" s="1" t="s">
        <v>26</v>
      </c>
      <c r="T309" s="1">
        <f t="shared" si="118"/>
        <v>0</v>
      </c>
      <c r="U309" s="1">
        <v>0</v>
      </c>
      <c r="V309" s="1">
        <v>1</v>
      </c>
      <c r="W309" s="1">
        <v>1</v>
      </c>
      <c r="X309" s="1">
        <v>1</v>
      </c>
      <c r="Y309" s="1">
        <v>0</v>
      </c>
      <c r="Z309" s="1">
        <v>0</v>
      </c>
      <c r="AA309" s="1">
        <v>0</v>
      </c>
      <c r="AB309" s="1" t="s">
        <v>85</v>
      </c>
      <c r="AC309" s="1">
        <f t="shared" si="101"/>
        <v>1</v>
      </c>
      <c r="AD309" s="1">
        <f t="shared" si="129"/>
        <v>1</v>
      </c>
      <c r="AE309" s="1">
        <v>1</v>
      </c>
      <c r="AF309" s="1">
        <v>7.5898409999999998</v>
      </c>
      <c r="AG309" s="1">
        <v>3.091043</v>
      </c>
      <c r="AH309" s="1">
        <f t="shared" si="123"/>
        <v>1.192156862745098</v>
      </c>
      <c r="AI309" s="1">
        <f t="shared" si="106"/>
        <v>0.14969801635816105</v>
      </c>
      <c r="AJ309" s="1">
        <f t="shared" si="130"/>
        <v>0.12556905977411537</v>
      </c>
      <c r="AK309" s="1">
        <f t="shared" si="131"/>
        <v>63.421237985390199</v>
      </c>
      <c r="AL309" s="1">
        <f t="shared" si="132"/>
        <v>7.9637452235358586</v>
      </c>
      <c r="AM309" s="1">
        <v>0</v>
      </c>
      <c r="AN309" s="1">
        <v>0</v>
      </c>
      <c r="AO309" s="1">
        <v>1</v>
      </c>
      <c r="AP309" s="1">
        <f t="shared" si="107"/>
        <v>0.1270001270001905</v>
      </c>
      <c r="AQ309" s="1">
        <v>1</v>
      </c>
      <c r="AR309" s="1">
        <v>0</v>
      </c>
      <c r="AS309" s="1">
        <v>0</v>
      </c>
      <c r="AT309" s="1">
        <v>0</v>
      </c>
      <c r="AU309" s="4">
        <v>0</v>
      </c>
      <c r="AV309" s="4">
        <v>0</v>
      </c>
      <c r="AW309" s="1">
        <f t="shared" si="108"/>
        <v>0.1</v>
      </c>
      <c r="AX309" s="1">
        <f t="shared" si="109"/>
        <v>0.01</v>
      </c>
    </row>
    <row r="310" spans="1:50" x14ac:dyDescent="0.25">
      <c r="A310" s="1" t="s">
        <v>66</v>
      </c>
      <c r="B310" s="1">
        <v>1981</v>
      </c>
      <c r="C310" s="1">
        <f t="shared" si="110"/>
        <v>27</v>
      </c>
      <c r="D310" s="1" t="s">
        <v>24</v>
      </c>
      <c r="E310" s="1" t="s">
        <v>25</v>
      </c>
      <c r="F310" s="2">
        <v>-1.0999999999999999E-2</v>
      </c>
      <c r="G310" s="3">
        <v>0.126</v>
      </c>
      <c r="H310" s="1">
        <v>3</v>
      </c>
      <c r="I310" s="1">
        <v>21</v>
      </c>
      <c r="J310" s="1">
        <f t="shared" si="121"/>
        <v>18</v>
      </c>
      <c r="K310" s="1">
        <v>10</v>
      </c>
      <c r="L310" s="1">
        <v>1970</v>
      </c>
      <c r="M310" s="1">
        <v>1970</v>
      </c>
      <c r="N310" s="1">
        <f t="shared" si="127"/>
        <v>1970</v>
      </c>
      <c r="O310" s="1">
        <f t="shared" si="128"/>
        <v>1</v>
      </c>
      <c r="P310" s="1">
        <f t="shared" si="103"/>
        <v>0</v>
      </c>
      <c r="Q310" s="1">
        <v>21</v>
      </c>
      <c r="R310" s="1">
        <v>0</v>
      </c>
      <c r="S310" s="1" t="s">
        <v>26</v>
      </c>
      <c r="T310" s="1">
        <f t="shared" si="118"/>
        <v>0</v>
      </c>
      <c r="U310" s="1">
        <v>0</v>
      </c>
      <c r="V310" s="1">
        <v>1</v>
      </c>
      <c r="W310" s="1">
        <v>1</v>
      </c>
      <c r="X310" s="1">
        <v>1</v>
      </c>
      <c r="Y310" s="1">
        <v>0</v>
      </c>
      <c r="Z310" s="1">
        <v>0</v>
      </c>
      <c r="AA310" s="1">
        <v>0</v>
      </c>
      <c r="AB310" s="1" t="s">
        <v>85</v>
      </c>
      <c r="AC310" s="1">
        <f t="shared" si="101"/>
        <v>1</v>
      </c>
      <c r="AD310" s="1">
        <f t="shared" si="129"/>
        <v>1</v>
      </c>
      <c r="AE310" s="1">
        <v>1</v>
      </c>
      <c r="AF310" s="1">
        <v>7.5898409999999998</v>
      </c>
      <c r="AG310" s="1">
        <v>3.091043</v>
      </c>
      <c r="AH310" s="1">
        <f t="shared" si="123"/>
        <v>-8.7301587301587297E-2</v>
      </c>
      <c r="AI310" s="1">
        <f t="shared" si="106"/>
        <v>-2.0572826446882051E-2</v>
      </c>
      <c r="AJ310" s="1">
        <f t="shared" si="130"/>
        <v>0.23565237566428532</v>
      </c>
      <c r="AK310" s="1">
        <f t="shared" si="131"/>
        <v>18.007621567145385</v>
      </c>
      <c r="AL310" s="1">
        <f t="shared" si="132"/>
        <v>4.2435388023612299</v>
      </c>
      <c r="AM310" s="1">
        <v>0</v>
      </c>
      <c r="AN310" s="1">
        <v>0</v>
      </c>
      <c r="AO310" s="1">
        <v>1</v>
      </c>
      <c r="AP310" s="1">
        <f t="shared" si="107"/>
        <v>0.23570226039551587</v>
      </c>
      <c r="AQ310" s="1">
        <v>1</v>
      </c>
      <c r="AR310" s="1">
        <v>0</v>
      </c>
      <c r="AS310" s="1">
        <v>0</v>
      </c>
      <c r="AT310" s="1">
        <v>0</v>
      </c>
      <c r="AU310" s="4">
        <v>1</v>
      </c>
      <c r="AV310" s="4">
        <v>0</v>
      </c>
      <c r="AW310" s="1">
        <f t="shared" si="108"/>
        <v>0.1</v>
      </c>
      <c r="AX310" s="1">
        <f t="shared" si="109"/>
        <v>0.01</v>
      </c>
    </row>
    <row r="311" spans="1:50" x14ac:dyDescent="0.25">
      <c r="A311" s="1" t="s">
        <v>66</v>
      </c>
      <c r="B311" s="1">
        <v>1982</v>
      </c>
      <c r="C311" s="1">
        <f t="shared" si="110"/>
        <v>27</v>
      </c>
      <c r="D311" s="1" t="s">
        <v>24</v>
      </c>
      <c r="E311" s="1" t="s">
        <v>25</v>
      </c>
      <c r="F311" s="2">
        <v>-2.4E-2</v>
      </c>
      <c r="G311" s="3">
        <v>0.122</v>
      </c>
      <c r="H311" s="1">
        <v>3</v>
      </c>
      <c r="I311" s="1">
        <v>33</v>
      </c>
      <c r="J311" s="1">
        <f t="shared" si="121"/>
        <v>30</v>
      </c>
      <c r="K311" s="1">
        <v>10</v>
      </c>
      <c r="L311" s="1">
        <v>1970</v>
      </c>
      <c r="M311" s="1">
        <v>1970</v>
      </c>
      <c r="N311" s="1">
        <f t="shared" si="127"/>
        <v>1970</v>
      </c>
      <c r="O311" s="1">
        <f t="shared" si="128"/>
        <v>1</v>
      </c>
      <c r="P311" s="1">
        <f t="shared" si="103"/>
        <v>0</v>
      </c>
      <c r="Q311" s="1">
        <v>21</v>
      </c>
      <c r="R311" s="1">
        <v>0</v>
      </c>
      <c r="S311" s="1" t="s">
        <v>26</v>
      </c>
      <c r="T311" s="1">
        <f t="shared" si="118"/>
        <v>0</v>
      </c>
      <c r="U311" s="1">
        <v>0</v>
      </c>
      <c r="V311" s="1">
        <v>1</v>
      </c>
      <c r="W311" s="1">
        <v>1</v>
      </c>
      <c r="X311" s="1">
        <v>1</v>
      </c>
      <c r="Y311" s="1">
        <v>0</v>
      </c>
      <c r="Z311" s="1">
        <v>0</v>
      </c>
      <c r="AA311" s="1">
        <v>0</v>
      </c>
      <c r="AB311" s="1" t="s">
        <v>85</v>
      </c>
      <c r="AC311" s="1">
        <f t="shared" si="101"/>
        <v>1</v>
      </c>
      <c r="AD311" s="1">
        <f t="shared" si="129"/>
        <v>1</v>
      </c>
      <c r="AE311" s="1">
        <v>1</v>
      </c>
      <c r="AF311" s="1">
        <v>7.5898409999999998</v>
      </c>
      <c r="AG311" s="1">
        <v>3.091043</v>
      </c>
      <c r="AH311" s="1">
        <f t="shared" si="123"/>
        <v>-0.19672131147540983</v>
      </c>
      <c r="AI311" s="1">
        <f t="shared" si="106"/>
        <v>-3.5893090131086533E-2</v>
      </c>
      <c r="AJ311" s="1">
        <f t="shared" si="130"/>
        <v>0.18245654149968987</v>
      </c>
      <c r="AK311" s="1">
        <f t="shared" si="131"/>
        <v>30.038699274388609</v>
      </c>
      <c r="AL311" s="1">
        <f t="shared" si="132"/>
        <v>5.4807571807541891</v>
      </c>
      <c r="AM311" s="1">
        <v>0</v>
      </c>
      <c r="AN311" s="1">
        <v>0</v>
      </c>
      <c r="AO311" s="1">
        <v>1</v>
      </c>
      <c r="AP311" s="1">
        <f t="shared" si="107"/>
        <v>0.18257418583505536</v>
      </c>
      <c r="AQ311" s="1">
        <v>1</v>
      </c>
      <c r="AR311" s="1">
        <v>0</v>
      </c>
      <c r="AS311" s="1">
        <v>0</v>
      </c>
      <c r="AT311" s="1">
        <v>0</v>
      </c>
      <c r="AU311" s="4">
        <v>1</v>
      </c>
      <c r="AV311" s="4">
        <v>0</v>
      </c>
      <c r="AW311" s="1">
        <f t="shared" si="108"/>
        <v>0.1</v>
      </c>
      <c r="AX311" s="1">
        <f t="shared" si="109"/>
        <v>0.01</v>
      </c>
    </row>
    <row r="312" spans="1:50" x14ac:dyDescent="0.25">
      <c r="A312" s="1" t="s">
        <v>51</v>
      </c>
      <c r="B312" s="1">
        <v>1976</v>
      </c>
      <c r="C312" s="1">
        <f t="shared" si="110"/>
        <v>28</v>
      </c>
      <c r="D312" s="1" t="s">
        <v>24</v>
      </c>
      <c r="E312" s="1" t="s">
        <v>25</v>
      </c>
      <c r="F312" s="2">
        <v>-0.2374</v>
      </c>
      <c r="G312" s="3">
        <v>0.122371134020619</v>
      </c>
      <c r="H312" s="1">
        <v>2</v>
      </c>
      <c r="I312" s="1">
        <v>53</v>
      </c>
      <c r="J312" s="1">
        <f t="shared" si="121"/>
        <v>51</v>
      </c>
      <c r="K312" s="1">
        <v>28</v>
      </c>
      <c r="L312" s="1">
        <v>1970</v>
      </c>
      <c r="M312" s="1">
        <v>1970</v>
      </c>
      <c r="N312" s="1">
        <f t="shared" si="127"/>
        <v>1970</v>
      </c>
      <c r="O312" s="1">
        <f t="shared" si="128"/>
        <v>1</v>
      </c>
      <c r="P312" s="1">
        <f t="shared" si="103"/>
        <v>0</v>
      </c>
      <c r="Q312" s="1">
        <v>8</v>
      </c>
      <c r="R312" s="1">
        <v>1</v>
      </c>
      <c r="S312" s="1" t="s">
        <v>26</v>
      </c>
      <c r="T312" s="1">
        <f t="shared" si="118"/>
        <v>0</v>
      </c>
      <c r="U312" s="1">
        <v>0</v>
      </c>
      <c r="V312" s="1">
        <v>1</v>
      </c>
      <c r="W312" s="1">
        <v>1</v>
      </c>
      <c r="X312" s="1">
        <v>1</v>
      </c>
      <c r="Y312" s="1">
        <v>0</v>
      </c>
      <c r="Z312" s="1">
        <v>0</v>
      </c>
      <c r="AA312" s="1">
        <v>0</v>
      </c>
      <c r="AB312" s="1" t="s">
        <v>85</v>
      </c>
      <c r="AC312" s="1">
        <f t="shared" si="101"/>
        <v>1</v>
      </c>
      <c r="AD312" s="1">
        <f t="shared" si="122"/>
        <v>1</v>
      </c>
      <c r="AE312" s="1">
        <v>0</v>
      </c>
      <c r="AF312" s="1">
        <v>7.5888299999999997</v>
      </c>
      <c r="AG312" s="1">
        <v>2.197225</v>
      </c>
      <c r="AH312" s="1">
        <f t="shared" si="123"/>
        <v>-1.9399999999999931</v>
      </c>
      <c r="AI312" s="1">
        <f t="shared" si="106"/>
        <v>-0.26215354513100653</v>
      </c>
      <c r="AJ312" s="1">
        <f t="shared" si="124"/>
        <v>0.13513069336649869</v>
      </c>
      <c r="AK312" s="1">
        <f t="shared" si="125"/>
        <v>54.763599999999975</v>
      </c>
      <c r="AL312" s="1">
        <f t="shared" si="126"/>
        <v>7.4002432392455839</v>
      </c>
      <c r="AM312" s="1">
        <v>0</v>
      </c>
      <c r="AN312" s="1">
        <v>0</v>
      </c>
      <c r="AO312" s="1">
        <v>1</v>
      </c>
      <c r="AP312" s="1">
        <f t="shared" si="107"/>
        <v>0.14002800840280097</v>
      </c>
      <c r="AQ312" s="1">
        <v>1</v>
      </c>
      <c r="AR312" s="1">
        <v>0</v>
      </c>
      <c r="AS312" s="1">
        <v>1</v>
      </c>
      <c r="AT312" s="1">
        <v>0</v>
      </c>
      <c r="AU312" s="4">
        <v>0</v>
      </c>
      <c r="AV312" s="4">
        <v>1</v>
      </c>
      <c r="AW312" s="1">
        <f t="shared" si="108"/>
        <v>3.5714285714285712E-2</v>
      </c>
      <c r="AX312" s="1">
        <f t="shared" si="109"/>
        <v>1.2755102040816326E-3</v>
      </c>
    </row>
    <row r="313" spans="1:50" x14ac:dyDescent="0.25">
      <c r="A313" s="1" t="s">
        <v>51</v>
      </c>
      <c r="B313" s="1">
        <v>1976</v>
      </c>
      <c r="C313" s="1">
        <f t="shared" si="110"/>
        <v>28</v>
      </c>
      <c r="D313" s="1" t="s">
        <v>24</v>
      </c>
      <c r="E313" s="1" t="s">
        <v>25</v>
      </c>
      <c r="F313" s="2">
        <v>-0.25259999999999999</v>
      </c>
      <c r="G313" s="3">
        <v>0.13803278688524601</v>
      </c>
      <c r="H313" s="1">
        <v>3</v>
      </c>
      <c r="I313" s="1">
        <v>53</v>
      </c>
      <c r="J313" s="1">
        <f t="shared" si="121"/>
        <v>50</v>
      </c>
      <c r="K313" s="1">
        <v>28</v>
      </c>
      <c r="L313" s="1">
        <v>1970</v>
      </c>
      <c r="M313" s="1">
        <v>1970</v>
      </c>
      <c r="N313" s="1">
        <f t="shared" si="127"/>
        <v>1970</v>
      </c>
      <c r="O313" s="1">
        <f t="shared" si="128"/>
        <v>1</v>
      </c>
      <c r="P313" s="1">
        <f t="shared" si="103"/>
        <v>0</v>
      </c>
      <c r="Q313" s="1">
        <v>8</v>
      </c>
      <c r="R313" s="1">
        <v>1</v>
      </c>
      <c r="S313" s="1" t="s">
        <v>26</v>
      </c>
      <c r="T313" s="1">
        <f t="shared" si="118"/>
        <v>0</v>
      </c>
      <c r="U313" s="1">
        <v>0</v>
      </c>
      <c r="V313" s="1">
        <v>1</v>
      </c>
      <c r="W313" s="1">
        <v>1</v>
      </c>
      <c r="X313" s="1">
        <v>1</v>
      </c>
      <c r="Y313" s="1">
        <v>0</v>
      </c>
      <c r="Z313" s="1">
        <v>0</v>
      </c>
      <c r="AA313" s="1">
        <v>0</v>
      </c>
      <c r="AB313" s="1" t="s">
        <v>85</v>
      </c>
      <c r="AC313" s="1">
        <f t="shared" si="101"/>
        <v>1</v>
      </c>
      <c r="AD313" s="1">
        <f t="shared" si="122"/>
        <v>1</v>
      </c>
      <c r="AE313" s="1">
        <v>0</v>
      </c>
      <c r="AF313" s="1">
        <v>7.5888299999999997</v>
      </c>
      <c r="AG313" s="1">
        <v>2.197225</v>
      </c>
      <c r="AH313" s="1">
        <f t="shared" si="123"/>
        <v>-1.8299999999999985</v>
      </c>
      <c r="AI313" s="1">
        <f t="shared" si="106"/>
        <v>-0.25054650859516486</v>
      </c>
      <c r="AJ313" s="1">
        <f t="shared" si="124"/>
        <v>0.13691066043451644</v>
      </c>
      <c r="AK313" s="1">
        <f t="shared" si="125"/>
        <v>53.348899999999986</v>
      </c>
      <c r="AL313" s="1">
        <f t="shared" si="126"/>
        <v>7.304033132454971</v>
      </c>
      <c r="AM313" s="1">
        <v>0</v>
      </c>
      <c r="AN313" s="1">
        <v>0</v>
      </c>
      <c r="AO313" s="1">
        <v>1</v>
      </c>
      <c r="AP313" s="1">
        <f t="shared" si="107"/>
        <v>0.1414213562373095</v>
      </c>
      <c r="AQ313" s="1">
        <v>1</v>
      </c>
      <c r="AR313" s="1">
        <v>0</v>
      </c>
      <c r="AS313" s="1">
        <v>1</v>
      </c>
      <c r="AT313" s="1">
        <v>0</v>
      </c>
      <c r="AU313" s="4">
        <v>0</v>
      </c>
      <c r="AV313" s="4">
        <v>1</v>
      </c>
      <c r="AW313" s="1">
        <f t="shared" si="108"/>
        <v>3.5714285714285712E-2</v>
      </c>
      <c r="AX313" s="1">
        <f t="shared" si="109"/>
        <v>1.2755102040816326E-3</v>
      </c>
    </row>
    <row r="314" spans="1:50" x14ac:dyDescent="0.25">
      <c r="A314" s="1" t="s">
        <v>51</v>
      </c>
      <c r="B314" s="1">
        <v>1976</v>
      </c>
      <c r="C314" s="1">
        <f t="shared" si="110"/>
        <v>28</v>
      </c>
      <c r="D314" s="1" t="s">
        <v>24</v>
      </c>
      <c r="E314" s="1" t="s">
        <v>25</v>
      </c>
      <c r="F314" s="2">
        <v>-0.24310000000000001</v>
      </c>
      <c r="G314" s="3">
        <v>0.127947368421053</v>
      </c>
      <c r="H314" s="1">
        <v>4</v>
      </c>
      <c r="I314" s="1">
        <v>53</v>
      </c>
      <c r="J314" s="1">
        <f t="shared" si="121"/>
        <v>49</v>
      </c>
      <c r="K314" s="1">
        <v>28</v>
      </c>
      <c r="L314" s="1">
        <v>1970</v>
      </c>
      <c r="M314" s="1">
        <v>1970</v>
      </c>
      <c r="N314" s="1">
        <f t="shared" si="127"/>
        <v>1970</v>
      </c>
      <c r="O314" s="1">
        <f t="shared" si="128"/>
        <v>1</v>
      </c>
      <c r="P314" s="1">
        <f t="shared" si="103"/>
        <v>0</v>
      </c>
      <c r="Q314" s="1">
        <v>8</v>
      </c>
      <c r="R314" s="1">
        <v>1</v>
      </c>
      <c r="S314" s="1" t="s">
        <v>26</v>
      </c>
      <c r="T314" s="1">
        <f t="shared" si="118"/>
        <v>0</v>
      </c>
      <c r="U314" s="1">
        <v>0</v>
      </c>
      <c r="V314" s="1">
        <v>1</v>
      </c>
      <c r="W314" s="1">
        <v>1</v>
      </c>
      <c r="X314" s="1">
        <v>1</v>
      </c>
      <c r="Y314" s="1">
        <v>0</v>
      </c>
      <c r="Z314" s="1">
        <v>0</v>
      </c>
      <c r="AA314" s="1">
        <v>0</v>
      </c>
      <c r="AB314" s="1" t="s">
        <v>85</v>
      </c>
      <c r="AC314" s="1">
        <f t="shared" si="101"/>
        <v>1</v>
      </c>
      <c r="AD314" s="1">
        <f t="shared" si="122"/>
        <v>1</v>
      </c>
      <c r="AE314" s="1">
        <v>0</v>
      </c>
      <c r="AF314" s="1">
        <v>7.5888299999999997</v>
      </c>
      <c r="AG314" s="1">
        <v>2.197225</v>
      </c>
      <c r="AH314" s="1">
        <f t="shared" si="123"/>
        <v>-1.8999999999999946</v>
      </c>
      <c r="AI314" s="1">
        <f t="shared" si="106"/>
        <v>-0.26195063167457311</v>
      </c>
      <c r="AJ314" s="1">
        <f t="shared" si="124"/>
        <v>0.1378687535129336</v>
      </c>
      <c r="AK314" s="1">
        <f t="shared" si="125"/>
        <v>52.609999999999985</v>
      </c>
      <c r="AL314" s="1">
        <f t="shared" si="126"/>
        <v>7.2532751223154355</v>
      </c>
      <c r="AM314" s="1">
        <v>0</v>
      </c>
      <c r="AN314" s="1">
        <v>0</v>
      </c>
      <c r="AO314" s="1">
        <v>1</v>
      </c>
      <c r="AP314" s="1">
        <f t="shared" si="107"/>
        <v>0.14285714285714285</v>
      </c>
      <c r="AQ314" s="1">
        <v>1</v>
      </c>
      <c r="AR314" s="1">
        <v>0</v>
      </c>
      <c r="AS314" s="1">
        <v>1</v>
      </c>
      <c r="AT314" s="1">
        <v>0</v>
      </c>
      <c r="AU314" s="4">
        <v>0</v>
      </c>
      <c r="AV314" s="4">
        <v>1</v>
      </c>
      <c r="AW314" s="1">
        <f t="shared" si="108"/>
        <v>3.5714285714285712E-2</v>
      </c>
      <c r="AX314" s="1">
        <f t="shared" si="109"/>
        <v>1.2755102040816326E-3</v>
      </c>
    </row>
    <row r="315" spans="1:50" x14ac:dyDescent="0.25">
      <c r="A315" s="1" t="s">
        <v>51</v>
      </c>
      <c r="B315" s="1">
        <v>1976</v>
      </c>
      <c r="C315" s="1">
        <f t="shared" si="110"/>
        <v>28</v>
      </c>
      <c r="D315" s="1" t="s">
        <v>24</v>
      </c>
      <c r="E315" s="1" t="s">
        <v>25</v>
      </c>
      <c r="F315" s="2">
        <v>-0.39710000000000001</v>
      </c>
      <c r="G315" s="3">
        <v>0.13415540540540499</v>
      </c>
      <c r="H315" s="1">
        <v>5</v>
      </c>
      <c r="I315" s="1">
        <v>53</v>
      </c>
      <c r="J315" s="1">
        <f t="shared" si="121"/>
        <v>48</v>
      </c>
      <c r="K315" s="1">
        <v>28</v>
      </c>
      <c r="L315" s="1">
        <v>1970</v>
      </c>
      <c r="M315" s="1">
        <v>1970</v>
      </c>
      <c r="N315" s="1">
        <f t="shared" si="127"/>
        <v>1970</v>
      </c>
      <c r="O315" s="1">
        <f t="shared" si="128"/>
        <v>1</v>
      </c>
      <c r="P315" s="1">
        <f t="shared" si="103"/>
        <v>0</v>
      </c>
      <c r="Q315" s="1">
        <v>8</v>
      </c>
      <c r="R315" s="1">
        <v>1</v>
      </c>
      <c r="S315" s="1" t="s">
        <v>26</v>
      </c>
      <c r="T315" s="1">
        <f t="shared" si="118"/>
        <v>0</v>
      </c>
      <c r="U315" s="1">
        <v>0</v>
      </c>
      <c r="V315" s="1">
        <v>1</v>
      </c>
      <c r="W315" s="1">
        <v>1</v>
      </c>
      <c r="X315" s="1">
        <v>1</v>
      </c>
      <c r="Y315" s="1">
        <v>0</v>
      </c>
      <c r="Z315" s="1">
        <v>0</v>
      </c>
      <c r="AA315" s="1">
        <v>0</v>
      </c>
      <c r="AB315" s="1" t="s">
        <v>85</v>
      </c>
      <c r="AC315" s="1">
        <f t="shared" si="101"/>
        <v>1</v>
      </c>
      <c r="AD315" s="1">
        <f t="shared" si="122"/>
        <v>1</v>
      </c>
      <c r="AE315" s="1">
        <v>0</v>
      </c>
      <c r="AF315" s="1">
        <v>7.5888299999999997</v>
      </c>
      <c r="AG315" s="1">
        <v>2.197225</v>
      </c>
      <c r="AH315" s="1">
        <f t="shared" si="123"/>
        <v>-2.9600000000000093</v>
      </c>
      <c r="AI315" s="1">
        <f t="shared" si="106"/>
        <v>-0.39288404873064608</v>
      </c>
      <c r="AJ315" s="1">
        <f t="shared" si="124"/>
        <v>0.13273109754413678</v>
      </c>
      <c r="AK315" s="1">
        <f t="shared" si="125"/>
        <v>56.761600000000051</v>
      </c>
      <c r="AL315" s="1">
        <f t="shared" si="126"/>
        <v>7.5340294663612815</v>
      </c>
      <c r="AM315" s="1">
        <v>0</v>
      </c>
      <c r="AN315" s="1">
        <v>0</v>
      </c>
      <c r="AO315" s="1">
        <v>1</v>
      </c>
      <c r="AP315" s="1">
        <f t="shared" si="107"/>
        <v>0.14433756729740646</v>
      </c>
      <c r="AQ315" s="1">
        <v>1</v>
      </c>
      <c r="AR315" s="1">
        <v>0</v>
      </c>
      <c r="AS315" s="1">
        <v>1</v>
      </c>
      <c r="AT315" s="1">
        <v>0</v>
      </c>
      <c r="AU315" s="4">
        <v>0</v>
      </c>
      <c r="AV315" s="4">
        <v>1</v>
      </c>
      <c r="AW315" s="1">
        <f t="shared" si="108"/>
        <v>3.5714285714285712E-2</v>
      </c>
      <c r="AX315" s="1">
        <f t="shared" si="109"/>
        <v>1.2755102040816326E-3</v>
      </c>
    </row>
    <row r="316" spans="1:50" x14ac:dyDescent="0.25">
      <c r="A316" s="1" t="s">
        <v>51</v>
      </c>
      <c r="B316" s="1">
        <v>1976</v>
      </c>
      <c r="C316" s="1">
        <f t="shared" si="110"/>
        <v>28</v>
      </c>
      <c r="D316" s="1" t="s">
        <v>24</v>
      </c>
      <c r="E316" s="1" t="s">
        <v>25</v>
      </c>
      <c r="F316" s="2">
        <v>-0.4325</v>
      </c>
      <c r="G316" s="3">
        <v>0.136867088607595</v>
      </c>
      <c r="H316" s="1">
        <v>6</v>
      </c>
      <c r="I316" s="1">
        <v>53</v>
      </c>
      <c r="J316" s="1">
        <f t="shared" si="121"/>
        <v>47</v>
      </c>
      <c r="K316" s="1">
        <v>28</v>
      </c>
      <c r="L316" s="1">
        <v>1970</v>
      </c>
      <c r="M316" s="1">
        <v>1970</v>
      </c>
      <c r="N316" s="1">
        <f t="shared" si="127"/>
        <v>1970</v>
      </c>
      <c r="O316" s="1">
        <f t="shared" si="128"/>
        <v>1</v>
      </c>
      <c r="P316" s="1">
        <f t="shared" si="103"/>
        <v>0</v>
      </c>
      <c r="Q316" s="1">
        <v>8</v>
      </c>
      <c r="R316" s="1">
        <v>1</v>
      </c>
      <c r="S316" s="1" t="s">
        <v>26</v>
      </c>
      <c r="T316" s="1">
        <f t="shared" si="118"/>
        <v>0</v>
      </c>
      <c r="U316" s="1">
        <v>0</v>
      </c>
      <c r="V316" s="1">
        <v>1</v>
      </c>
      <c r="W316" s="1">
        <v>1</v>
      </c>
      <c r="X316" s="1">
        <v>1</v>
      </c>
      <c r="Y316" s="1">
        <v>0</v>
      </c>
      <c r="Z316" s="1">
        <v>0</v>
      </c>
      <c r="AA316" s="1">
        <v>0</v>
      </c>
      <c r="AB316" s="1" t="s">
        <v>85</v>
      </c>
      <c r="AC316" s="1">
        <f t="shared" si="101"/>
        <v>1</v>
      </c>
      <c r="AD316" s="1">
        <f t="shared" si="122"/>
        <v>1</v>
      </c>
      <c r="AE316" s="1">
        <v>0</v>
      </c>
      <c r="AF316" s="1">
        <v>7.5888299999999997</v>
      </c>
      <c r="AG316" s="1">
        <v>2.197225</v>
      </c>
      <c r="AH316" s="1">
        <f t="shared" si="123"/>
        <v>-3.1599999999999984</v>
      </c>
      <c r="AI316" s="1">
        <f t="shared" si="106"/>
        <v>-0.41860510460680594</v>
      </c>
      <c r="AJ316" s="1">
        <f t="shared" si="124"/>
        <v>0.13246996981228043</v>
      </c>
      <c r="AK316" s="1">
        <f t="shared" si="125"/>
        <v>56.985599999999998</v>
      </c>
      <c r="AL316" s="1">
        <f t="shared" si="126"/>
        <v>7.5488807117346868</v>
      </c>
      <c r="AM316" s="1">
        <v>0</v>
      </c>
      <c r="AN316" s="1">
        <v>0</v>
      </c>
      <c r="AO316" s="1">
        <v>1</v>
      </c>
      <c r="AP316" s="1">
        <f t="shared" si="107"/>
        <v>0.14586499149789456</v>
      </c>
      <c r="AQ316" s="1">
        <v>1</v>
      </c>
      <c r="AR316" s="1">
        <v>0</v>
      </c>
      <c r="AS316" s="1">
        <v>1</v>
      </c>
      <c r="AT316" s="1">
        <v>0</v>
      </c>
      <c r="AU316" s="4">
        <v>0</v>
      </c>
      <c r="AV316" s="4">
        <v>1</v>
      </c>
      <c r="AW316" s="1">
        <f t="shared" si="108"/>
        <v>3.5714285714285712E-2</v>
      </c>
      <c r="AX316" s="1">
        <f t="shared" si="109"/>
        <v>1.2755102040816326E-3</v>
      </c>
    </row>
    <row r="317" spans="1:50" x14ac:dyDescent="0.25">
      <c r="A317" s="1" t="s">
        <v>51</v>
      </c>
      <c r="B317" s="1">
        <v>1976</v>
      </c>
      <c r="C317" s="1">
        <f t="shared" si="110"/>
        <v>28</v>
      </c>
      <c r="D317" s="1" t="s">
        <v>24</v>
      </c>
      <c r="E317" s="1" t="s">
        <v>25</v>
      </c>
      <c r="F317" s="2">
        <v>-0.45860000000000001</v>
      </c>
      <c r="G317" s="3">
        <v>0.127388888888889</v>
      </c>
      <c r="H317" s="1">
        <v>7</v>
      </c>
      <c r="I317" s="1">
        <v>53</v>
      </c>
      <c r="J317" s="1">
        <f t="shared" si="121"/>
        <v>46</v>
      </c>
      <c r="K317" s="1">
        <v>28</v>
      </c>
      <c r="L317" s="1">
        <v>1970</v>
      </c>
      <c r="M317" s="1">
        <v>1970</v>
      </c>
      <c r="N317" s="1">
        <f t="shared" si="127"/>
        <v>1970</v>
      </c>
      <c r="O317" s="1">
        <f t="shared" si="128"/>
        <v>1</v>
      </c>
      <c r="P317" s="1">
        <f t="shared" si="103"/>
        <v>0</v>
      </c>
      <c r="Q317" s="1">
        <v>8</v>
      </c>
      <c r="R317" s="1">
        <v>1</v>
      </c>
      <c r="S317" s="1" t="s">
        <v>26</v>
      </c>
      <c r="T317" s="1">
        <f t="shared" si="118"/>
        <v>0</v>
      </c>
      <c r="U317" s="1">
        <v>0</v>
      </c>
      <c r="V317" s="1">
        <v>1</v>
      </c>
      <c r="W317" s="1">
        <v>1</v>
      </c>
      <c r="X317" s="1">
        <v>1</v>
      </c>
      <c r="Y317" s="1">
        <v>0</v>
      </c>
      <c r="Z317" s="1">
        <v>0</v>
      </c>
      <c r="AA317" s="1">
        <v>0</v>
      </c>
      <c r="AB317" s="1" t="s">
        <v>85</v>
      </c>
      <c r="AC317" s="1">
        <f t="shared" si="101"/>
        <v>1</v>
      </c>
      <c r="AD317" s="1">
        <f t="shared" si="122"/>
        <v>1</v>
      </c>
      <c r="AE317" s="1">
        <v>0</v>
      </c>
      <c r="AF317" s="1">
        <v>7.5888299999999997</v>
      </c>
      <c r="AG317" s="1">
        <v>2.197225</v>
      </c>
      <c r="AH317" s="1">
        <f t="shared" si="123"/>
        <v>-3.599999999999997</v>
      </c>
      <c r="AI317" s="1">
        <f t="shared" si="106"/>
        <v>-0.46883903496356061</v>
      </c>
      <c r="AJ317" s="1">
        <f t="shared" si="124"/>
        <v>0.13023306526765582</v>
      </c>
      <c r="AK317" s="1">
        <f t="shared" si="125"/>
        <v>58.959999999999994</v>
      </c>
      <c r="AL317" s="1">
        <f t="shared" si="126"/>
        <v>7.6785415281809861</v>
      </c>
      <c r="AM317" s="1">
        <v>0</v>
      </c>
      <c r="AN317" s="1">
        <v>0</v>
      </c>
      <c r="AO317" s="1">
        <v>1</v>
      </c>
      <c r="AP317" s="1">
        <f t="shared" si="107"/>
        <v>0.14744195615489714</v>
      </c>
      <c r="AQ317" s="1">
        <v>1</v>
      </c>
      <c r="AR317" s="1">
        <v>0</v>
      </c>
      <c r="AS317" s="1">
        <v>1</v>
      </c>
      <c r="AT317" s="1">
        <v>0</v>
      </c>
      <c r="AU317" s="4">
        <v>0</v>
      </c>
      <c r="AV317" s="4">
        <v>1</v>
      </c>
      <c r="AW317" s="1">
        <f t="shared" si="108"/>
        <v>3.5714285714285712E-2</v>
      </c>
      <c r="AX317" s="1">
        <f t="shared" si="109"/>
        <v>1.2755102040816326E-3</v>
      </c>
    </row>
    <row r="318" spans="1:50" x14ac:dyDescent="0.25">
      <c r="A318" s="1" t="s">
        <v>51</v>
      </c>
      <c r="B318" s="1">
        <v>1976</v>
      </c>
      <c r="C318" s="1">
        <f t="shared" si="110"/>
        <v>28</v>
      </c>
      <c r="D318" s="1" t="s">
        <v>24</v>
      </c>
      <c r="E318" s="1" t="s">
        <v>25</v>
      </c>
      <c r="F318" s="2">
        <v>-1.9400000000000001E-2</v>
      </c>
      <c r="G318" s="3">
        <v>7.1586715867159E-3</v>
      </c>
      <c r="H318" s="1">
        <v>6</v>
      </c>
      <c r="I318" s="1">
        <v>53</v>
      </c>
      <c r="J318" s="1">
        <f t="shared" si="121"/>
        <v>47</v>
      </c>
      <c r="K318" s="1">
        <v>28</v>
      </c>
      <c r="L318" s="1">
        <v>1970</v>
      </c>
      <c r="M318" s="1">
        <v>1970</v>
      </c>
      <c r="N318" s="1">
        <f t="shared" si="127"/>
        <v>1970</v>
      </c>
      <c r="O318" s="1">
        <f t="shared" si="128"/>
        <v>1</v>
      </c>
      <c r="P318" s="1">
        <f t="shared" si="103"/>
        <v>0</v>
      </c>
      <c r="Q318" s="1">
        <v>8</v>
      </c>
      <c r="R318" s="1">
        <v>1</v>
      </c>
      <c r="S318" s="1" t="s">
        <v>26</v>
      </c>
      <c r="T318" s="1">
        <f t="shared" si="118"/>
        <v>0</v>
      </c>
      <c r="U318" s="1">
        <v>0</v>
      </c>
      <c r="V318" s="1">
        <v>1</v>
      </c>
      <c r="W318" s="1">
        <v>1</v>
      </c>
      <c r="X318" s="1">
        <v>1</v>
      </c>
      <c r="Y318" s="1">
        <v>0</v>
      </c>
      <c r="Z318" s="1">
        <v>0</v>
      </c>
      <c r="AA318" s="1">
        <v>0</v>
      </c>
      <c r="AB318" s="1" t="s">
        <v>85</v>
      </c>
      <c r="AC318" s="1">
        <f t="shared" si="101"/>
        <v>1</v>
      </c>
      <c r="AD318" s="1">
        <f t="shared" si="122"/>
        <v>1</v>
      </c>
      <c r="AE318" s="1">
        <v>0</v>
      </c>
      <c r="AF318" s="1">
        <v>7.5888299999999997</v>
      </c>
      <c r="AG318" s="1">
        <v>2.197225</v>
      </c>
      <c r="AH318" s="1">
        <f t="shared" si="123"/>
        <v>-2.7099999999999875</v>
      </c>
      <c r="AI318" s="1">
        <f t="shared" si="106"/>
        <v>-0.36761488713972212</v>
      </c>
      <c r="AJ318" s="1">
        <f t="shared" si="124"/>
        <v>0.13565124986705676</v>
      </c>
      <c r="AK318" s="1">
        <f t="shared" si="125"/>
        <v>54.344099999999933</v>
      </c>
      <c r="AL318" s="1">
        <f t="shared" si="126"/>
        <v>7.3718450879003106</v>
      </c>
      <c r="AM318" s="1">
        <v>0</v>
      </c>
      <c r="AN318" s="1">
        <v>0</v>
      </c>
      <c r="AO318" s="1">
        <v>1</v>
      </c>
      <c r="AP318" s="1">
        <f t="shared" si="107"/>
        <v>0.14586499149789456</v>
      </c>
      <c r="AQ318" s="1">
        <v>1</v>
      </c>
      <c r="AR318" s="1">
        <v>0</v>
      </c>
      <c r="AS318" s="1">
        <v>1</v>
      </c>
      <c r="AT318" s="1">
        <v>0</v>
      </c>
      <c r="AU318" s="4">
        <v>0</v>
      </c>
      <c r="AV318" s="4">
        <v>1</v>
      </c>
      <c r="AW318" s="1">
        <f t="shared" si="108"/>
        <v>3.5714285714285712E-2</v>
      </c>
      <c r="AX318" s="1">
        <f t="shared" si="109"/>
        <v>1.2755102040816326E-3</v>
      </c>
    </row>
    <row r="319" spans="1:50" x14ac:dyDescent="0.25">
      <c r="A319" s="1" t="s">
        <v>51</v>
      </c>
      <c r="B319" s="1">
        <v>1976</v>
      </c>
      <c r="C319" s="1">
        <f t="shared" si="110"/>
        <v>28</v>
      </c>
      <c r="D319" s="1" t="s">
        <v>24</v>
      </c>
      <c r="E319" s="1" t="s">
        <v>25</v>
      </c>
      <c r="F319" s="2">
        <v>-0.1673</v>
      </c>
      <c r="G319" s="3">
        <v>9.6705202312138694E-2</v>
      </c>
      <c r="H319" s="1">
        <v>2</v>
      </c>
      <c r="I319" s="1">
        <v>53</v>
      </c>
      <c r="J319" s="1">
        <f t="shared" si="121"/>
        <v>51</v>
      </c>
      <c r="K319" s="1">
        <v>28</v>
      </c>
      <c r="L319" s="1">
        <v>1970</v>
      </c>
      <c r="M319" s="1">
        <v>1970</v>
      </c>
      <c r="N319" s="1">
        <f t="shared" si="127"/>
        <v>1970</v>
      </c>
      <c r="O319" s="1">
        <f t="shared" si="128"/>
        <v>1</v>
      </c>
      <c r="P319" s="1">
        <f t="shared" si="103"/>
        <v>0</v>
      </c>
      <c r="Q319" s="1">
        <v>8</v>
      </c>
      <c r="R319" s="1">
        <v>1</v>
      </c>
      <c r="S319" s="1" t="s">
        <v>26</v>
      </c>
      <c r="T319" s="1">
        <f t="shared" si="118"/>
        <v>0</v>
      </c>
      <c r="U319" s="1">
        <v>0</v>
      </c>
      <c r="V319" s="1">
        <v>1</v>
      </c>
      <c r="W319" s="1">
        <v>1</v>
      </c>
      <c r="X319" s="1">
        <v>1</v>
      </c>
      <c r="Y319" s="1">
        <v>0</v>
      </c>
      <c r="Z319" s="1">
        <v>0</v>
      </c>
      <c r="AA319" s="1">
        <v>0</v>
      </c>
      <c r="AB319" s="1" t="s">
        <v>85</v>
      </c>
      <c r="AC319" s="1">
        <f t="shared" si="101"/>
        <v>1</v>
      </c>
      <c r="AD319" s="1">
        <f t="shared" si="122"/>
        <v>1</v>
      </c>
      <c r="AE319" s="1">
        <v>0</v>
      </c>
      <c r="AF319" s="1">
        <v>7.5888299999999997</v>
      </c>
      <c r="AG319" s="1">
        <v>2.197225</v>
      </c>
      <c r="AH319" s="1">
        <f t="shared" si="123"/>
        <v>-1.7300000000000006</v>
      </c>
      <c r="AI319" s="1">
        <f t="shared" si="106"/>
        <v>-0.23543865925481763</v>
      </c>
      <c r="AJ319" s="1">
        <f t="shared" si="124"/>
        <v>0.13609171055191766</v>
      </c>
      <c r="AK319" s="1">
        <f t="shared" si="125"/>
        <v>53.992900000000013</v>
      </c>
      <c r="AL319" s="1">
        <f t="shared" si="126"/>
        <v>7.3479861186586364</v>
      </c>
      <c r="AM319" s="1">
        <v>0</v>
      </c>
      <c r="AN319" s="1">
        <v>0</v>
      </c>
      <c r="AO319" s="1">
        <v>1</v>
      </c>
      <c r="AP319" s="1">
        <f t="shared" si="107"/>
        <v>0.14002800840280097</v>
      </c>
      <c r="AQ319" s="1">
        <v>1</v>
      </c>
      <c r="AR319" s="1">
        <v>0</v>
      </c>
      <c r="AS319" s="1">
        <v>0</v>
      </c>
      <c r="AT319" s="1">
        <v>1</v>
      </c>
      <c r="AU319" s="4">
        <v>0</v>
      </c>
      <c r="AV319" s="4">
        <v>1</v>
      </c>
      <c r="AW319" s="1">
        <f t="shared" si="108"/>
        <v>3.5714285714285712E-2</v>
      </c>
      <c r="AX319" s="1">
        <f t="shared" si="109"/>
        <v>1.2755102040816326E-3</v>
      </c>
    </row>
    <row r="320" spans="1:50" x14ac:dyDescent="0.25">
      <c r="A320" s="1" t="s">
        <v>51</v>
      </c>
      <c r="B320" s="1">
        <v>1976</v>
      </c>
      <c r="C320" s="1">
        <f t="shared" si="110"/>
        <v>28</v>
      </c>
      <c r="D320" s="1" t="s">
        <v>24</v>
      </c>
      <c r="E320" s="1" t="s">
        <v>25</v>
      </c>
      <c r="F320" s="2">
        <v>-0.16600000000000001</v>
      </c>
      <c r="G320" s="3">
        <v>0.10921052631578899</v>
      </c>
      <c r="H320" s="1">
        <v>3</v>
      </c>
      <c r="I320" s="1">
        <v>53</v>
      </c>
      <c r="J320" s="1">
        <f t="shared" si="121"/>
        <v>50</v>
      </c>
      <c r="K320" s="1">
        <v>28</v>
      </c>
      <c r="L320" s="1">
        <v>1970</v>
      </c>
      <c r="M320" s="1">
        <v>1970</v>
      </c>
      <c r="N320" s="1">
        <f t="shared" si="127"/>
        <v>1970</v>
      </c>
      <c r="O320" s="1">
        <f t="shared" si="128"/>
        <v>1</v>
      </c>
      <c r="P320" s="1">
        <f t="shared" si="103"/>
        <v>0</v>
      </c>
      <c r="Q320" s="1">
        <v>8</v>
      </c>
      <c r="R320" s="1">
        <v>1</v>
      </c>
      <c r="S320" s="1" t="s">
        <v>26</v>
      </c>
      <c r="T320" s="1">
        <f t="shared" si="118"/>
        <v>0</v>
      </c>
      <c r="U320" s="1">
        <v>0</v>
      </c>
      <c r="V320" s="1">
        <v>1</v>
      </c>
      <c r="W320" s="1">
        <v>1</v>
      </c>
      <c r="X320" s="1">
        <v>1</v>
      </c>
      <c r="Y320" s="1">
        <v>0</v>
      </c>
      <c r="Z320" s="1">
        <v>0</v>
      </c>
      <c r="AA320" s="1">
        <v>0</v>
      </c>
      <c r="AB320" s="1" t="s">
        <v>85</v>
      </c>
      <c r="AC320" s="1">
        <f t="shared" ref="AC320:AC368" si="133">IF(AB320="USA",1,IF(AB320="UK",2,IF(AB320="Canada",3,IF(AB320="Germany",4,IF(AB320="Netherlands",5,IF(AB320="India",20,IF(AB320="Indonesia",7,IF(AB320="Korea",8,IF(AB320="Philippines",9,IF(AB320="Taiwan",10,IF(AB320="Greece",11,IF(AB320="Iran",12,IF(AB320="Israel",13,IF(AB320="Kuwait",14,IF(AB320="Lebanon",15,IF(AB320="Saudi Arabia",16,IF(AB320="Turkey",17,IF(AB320="Ethiopia",18,IF(AB320="Kenya",19,IF(AB320="Nigeria",20,IF(AB320="Multinational",6,"")))))))))))))))))))))</f>
        <v>1</v>
      </c>
      <c r="AD320" s="1">
        <f t="shared" si="122"/>
        <v>1</v>
      </c>
      <c r="AE320" s="1">
        <v>0</v>
      </c>
      <c r="AF320" s="1">
        <v>7.5888299999999997</v>
      </c>
      <c r="AG320" s="1">
        <v>2.197225</v>
      </c>
      <c r="AH320" s="1">
        <f t="shared" si="123"/>
        <v>-1.5200000000000067</v>
      </c>
      <c r="AI320" s="1">
        <f t="shared" si="106"/>
        <v>-0.21015976176815299</v>
      </c>
      <c r="AJ320" s="1">
        <f t="shared" si="124"/>
        <v>0.13826300116325793</v>
      </c>
      <c r="AK320" s="1">
        <f t="shared" si="125"/>
        <v>52.310400000000016</v>
      </c>
      <c r="AL320" s="1">
        <f t="shared" si="126"/>
        <v>7.2325928960504902</v>
      </c>
      <c r="AM320" s="1">
        <v>0</v>
      </c>
      <c r="AN320" s="1">
        <v>0</v>
      </c>
      <c r="AO320" s="1">
        <v>1</v>
      </c>
      <c r="AP320" s="1">
        <f t="shared" si="107"/>
        <v>0.1414213562373095</v>
      </c>
      <c r="AQ320" s="1">
        <v>1</v>
      </c>
      <c r="AR320" s="1">
        <v>0</v>
      </c>
      <c r="AS320" s="1">
        <v>0</v>
      </c>
      <c r="AT320" s="1">
        <v>1</v>
      </c>
      <c r="AU320" s="4">
        <v>0</v>
      </c>
      <c r="AV320" s="4">
        <v>1</v>
      </c>
      <c r="AW320" s="1">
        <f t="shared" si="108"/>
        <v>3.5714285714285712E-2</v>
      </c>
      <c r="AX320" s="1">
        <f t="shared" si="109"/>
        <v>1.2755102040816326E-3</v>
      </c>
    </row>
    <row r="321" spans="1:50" x14ac:dyDescent="0.25">
      <c r="A321" s="1" t="s">
        <v>51</v>
      </c>
      <c r="B321" s="1">
        <v>1976</v>
      </c>
      <c r="C321" s="1">
        <f t="shared" si="110"/>
        <v>28</v>
      </c>
      <c r="D321" s="1" t="s">
        <v>24</v>
      </c>
      <c r="E321" s="1" t="s">
        <v>25</v>
      </c>
      <c r="F321" s="2">
        <v>-0.15959999999999999</v>
      </c>
      <c r="G321" s="3">
        <v>0.104313725490196</v>
      </c>
      <c r="H321" s="1">
        <v>4</v>
      </c>
      <c r="I321" s="1">
        <v>53</v>
      </c>
      <c r="J321" s="1">
        <f t="shared" si="121"/>
        <v>49</v>
      </c>
      <c r="K321" s="1">
        <v>28</v>
      </c>
      <c r="L321" s="1">
        <v>1970</v>
      </c>
      <c r="M321" s="1">
        <v>1970</v>
      </c>
      <c r="N321" s="1">
        <f t="shared" si="127"/>
        <v>1970</v>
      </c>
      <c r="O321" s="1">
        <f t="shared" si="128"/>
        <v>1</v>
      </c>
      <c r="P321" s="1">
        <f t="shared" ref="P321:P384" si="134">+LN(O320:O321)</f>
        <v>0</v>
      </c>
      <c r="Q321" s="1">
        <v>8</v>
      </c>
      <c r="R321" s="1">
        <v>1</v>
      </c>
      <c r="S321" s="1" t="s">
        <v>26</v>
      </c>
      <c r="T321" s="1">
        <f t="shared" si="118"/>
        <v>0</v>
      </c>
      <c r="U321" s="1">
        <v>0</v>
      </c>
      <c r="V321" s="1">
        <v>1</v>
      </c>
      <c r="W321" s="1">
        <v>1</v>
      </c>
      <c r="X321" s="1">
        <v>1</v>
      </c>
      <c r="Y321" s="1">
        <v>0</v>
      </c>
      <c r="Z321" s="1">
        <v>0</v>
      </c>
      <c r="AA321" s="1">
        <v>0</v>
      </c>
      <c r="AB321" s="1" t="s">
        <v>85</v>
      </c>
      <c r="AC321" s="1">
        <f t="shared" si="133"/>
        <v>1</v>
      </c>
      <c r="AD321" s="1">
        <f t="shared" si="122"/>
        <v>1</v>
      </c>
      <c r="AE321" s="1">
        <v>0</v>
      </c>
      <c r="AF321" s="1">
        <v>7.5888299999999997</v>
      </c>
      <c r="AG321" s="1">
        <v>2.197225</v>
      </c>
      <c r="AH321" s="1">
        <f t="shared" si="123"/>
        <v>-1.5300000000000009</v>
      </c>
      <c r="AI321" s="1">
        <f t="shared" si="106"/>
        <v>-0.21353038939933139</v>
      </c>
      <c r="AJ321" s="1">
        <f t="shared" si="124"/>
        <v>0.13956234601263481</v>
      </c>
      <c r="AK321" s="1">
        <f t="shared" si="125"/>
        <v>51.340900000000005</v>
      </c>
      <c r="AL321" s="1">
        <f t="shared" si="126"/>
        <v>7.1652564504000837</v>
      </c>
      <c r="AM321" s="1">
        <v>0</v>
      </c>
      <c r="AN321" s="1">
        <v>0</v>
      </c>
      <c r="AO321" s="1">
        <v>1</v>
      </c>
      <c r="AP321" s="1">
        <f t="shared" si="107"/>
        <v>0.14285714285714285</v>
      </c>
      <c r="AQ321" s="1">
        <v>1</v>
      </c>
      <c r="AR321" s="1">
        <v>0</v>
      </c>
      <c r="AS321" s="1">
        <v>0</v>
      </c>
      <c r="AT321" s="1">
        <v>1</v>
      </c>
      <c r="AU321" s="4">
        <v>0</v>
      </c>
      <c r="AV321" s="4">
        <v>1</v>
      </c>
      <c r="AW321" s="1">
        <f t="shared" si="108"/>
        <v>3.5714285714285712E-2</v>
      </c>
      <c r="AX321" s="1">
        <f t="shared" si="109"/>
        <v>1.2755102040816326E-3</v>
      </c>
    </row>
    <row r="322" spans="1:50" x14ac:dyDescent="0.25">
      <c r="A322" s="1" t="s">
        <v>51</v>
      </c>
      <c r="B322" s="1">
        <v>1976</v>
      </c>
      <c r="C322" s="1">
        <f t="shared" si="110"/>
        <v>28</v>
      </c>
      <c r="D322" s="1" t="s">
        <v>24</v>
      </c>
      <c r="E322" s="1" t="s">
        <v>25</v>
      </c>
      <c r="F322" s="2">
        <v>-0.2787</v>
      </c>
      <c r="G322" s="3">
        <v>0.110595238095238</v>
      </c>
      <c r="H322" s="1">
        <v>5</v>
      </c>
      <c r="I322" s="1">
        <v>53</v>
      </c>
      <c r="J322" s="1">
        <f t="shared" si="121"/>
        <v>48</v>
      </c>
      <c r="K322" s="1">
        <v>28</v>
      </c>
      <c r="L322" s="1">
        <v>1970</v>
      </c>
      <c r="M322" s="1">
        <v>1970</v>
      </c>
      <c r="N322" s="1">
        <f t="shared" ref="N322:N339" si="135">+L322+(M322-L322)/2</f>
        <v>1970</v>
      </c>
      <c r="O322" s="1">
        <f t="shared" si="128"/>
        <v>1</v>
      </c>
      <c r="P322" s="1">
        <f t="shared" si="134"/>
        <v>0</v>
      </c>
      <c r="Q322" s="1">
        <v>8</v>
      </c>
      <c r="R322" s="1">
        <v>1</v>
      </c>
      <c r="S322" s="1" t="s">
        <v>26</v>
      </c>
      <c r="T322" s="1">
        <f t="shared" si="118"/>
        <v>0</v>
      </c>
      <c r="U322" s="1">
        <v>0</v>
      </c>
      <c r="V322" s="1">
        <v>1</v>
      </c>
      <c r="W322" s="1">
        <v>1</v>
      </c>
      <c r="X322" s="1">
        <v>1</v>
      </c>
      <c r="Y322" s="1">
        <v>0</v>
      </c>
      <c r="Z322" s="1">
        <v>0</v>
      </c>
      <c r="AA322" s="1">
        <v>0</v>
      </c>
      <c r="AB322" s="1" t="s">
        <v>85</v>
      </c>
      <c r="AC322" s="1">
        <f t="shared" si="133"/>
        <v>1</v>
      </c>
      <c r="AD322" s="1">
        <f t="shared" si="122"/>
        <v>1</v>
      </c>
      <c r="AE322" s="1">
        <v>0</v>
      </c>
      <c r="AF322" s="1">
        <v>7.5888299999999997</v>
      </c>
      <c r="AG322" s="1">
        <v>2.197225</v>
      </c>
      <c r="AH322" s="1">
        <f t="shared" si="123"/>
        <v>-2.5200000000000022</v>
      </c>
      <c r="AI322" s="1">
        <f t="shared" ref="AI322:AI385" si="136">AH322/SQRT(AH322^2+J322)</f>
        <v>-0.34182133691609023</v>
      </c>
      <c r="AJ322" s="1">
        <f t="shared" si="124"/>
        <v>0.13564338766511505</v>
      </c>
      <c r="AK322" s="1">
        <f t="shared" si="125"/>
        <v>54.3504</v>
      </c>
      <c r="AL322" s="1">
        <f t="shared" si="126"/>
        <v>7.3722723769540695</v>
      </c>
      <c r="AM322" s="1">
        <v>0</v>
      </c>
      <c r="AN322" s="1">
        <v>0</v>
      </c>
      <c r="AO322" s="1">
        <v>1</v>
      </c>
      <c r="AP322" s="1">
        <f t="shared" ref="AP322:AP385" si="137">1/SQRT(J322)</f>
        <v>0.14433756729740646</v>
      </c>
      <c r="AQ322" s="1">
        <v>1</v>
      </c>
      <c r="AR322" s="1">
        <v>0</v>
      </c>
      <c r="AS322" s="1">
        <v>0</v>
      </c>
      <c r="AT322" s="1">
        <v>1</v>
      </c>
      <c r="AU322" s="4">
        <v>0</v>
      </c>
      <c r="AV322" s="4">
        <v>1</v>
      </c>
      <c r="AW322" s="1">
        <f t="shared" ref="AW322:AW385" si="138">1/K322</f>
        <v>3.5714285714285712E-2</v>
      </c>
      <c r="AX322" s="1">
        <f t="shared" ref="AX322:AX385" si="139">1/(K322*K322)</f>
        <v>1.2755102040816326E-3</v>
      </c>
    </row>
    <row r="323" spans="1:50" x14ac:dyDescent="0.25">
      <c r="A323" s="1" t="s">
        <v>51</v>
      </c>
      <c r="B323" s="1">
        <v>1976</v>
      </c>
      <c r="C323" s="1">
        <f t="shared" si="110"/>
        <v>28</v>
      </c>
      <c r="D323" s="1" t="s">
        <v>24</v>
      </c>
      <c r="E323" s="1" t="s">
        <v>25</v>
      </c>
      <c r="F323" s="2">
        <v>-0.30199999999999999</v>
      </c>
      <c r="G323" s="3">
        <v>0.113533834586466</v>
      </c>
      <c r="H323" s="1">
        <v>6</v>
      </c>
      <c r="I323" s="1">
        <v>53</v>
      </c>
      <c r="J323" s="1">
        <f t="shared" si="121"/>
        <v>47</v>
      </c>
      <c r="K323" s="1">
        <v>28</v>
      </c>
      <c r="L323" s="1">
        <v>1970</v>
      </c>
      <c r="M323" s="1">
        <v>1970</v>
      </c>
      <c r="N323" s="1">
        <f t="shared" si="135"/>
        <v>1970</v>
      </c>
      <c r="O323" s="1">
        <f t="shared" si="128"/>
        <v>1</v>
      </c>
      <c r="P323" s="1">
        <f t="shared" si="134"/>
        <v>0</v>
      </c>
      <c r="Q323" s="1">
        <v>8</v>
      </c>
      <c r="R323" s="1">
        <v>1</v>
      </c>
      <c r="S323" s="1" t="s">
        <v>26</v>
      </c>
      <c r="T323" s="1">
        <f t="shared" si="118"/>
        <v>0</v>
      </c>
      <c r="U323" s="1">
        <v>0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0</v>
      </c>
      <c r="AB323" s="1" t="s">
        <v>85</v>
      </c>
      <c r="AC323" s="1">
        <f t="shared" si="133"/>
        <v>1</v>
      </c>
      <c r="AD323" s="1">
        <f t="shared" si="122"/>
        <v>1</v>
      </c>
      <c r="AE323" s="1">
        <v>0</v>
      </c>
      <c r="AF323" s="1">
        <v>7.5888299999999997</v>
      </c>
      <c r="AG323" s="1">
        <v>2.197225</v>
      </c>
      <c r="AH323" s="1">
        <f t="shared" si="123"/>
        <v>-2.6600000000000037</v>
      </c>
      <c r="AI323" s="1">
        <f t="shared" si="136"/>
        <v>-0.36172703051773708</v>
      </c>
      <c r="AJ323" s="1">
        <f t="shared" si="124"/>
        <v>0.1359876054577957</v>
      </c>
      <c r="AK323" s="1">
        <f t="shared" si="125"/>
        <v>54.07560000000003</v>
      </c>
      <c r="AL323" s="1">
        <f t="shared" si="126"/>
        <v>7.3536113576935804</v>
      </c>
      <c r="AM323" s="1">
        <v>0</v>
      </c>
      <c r="AN323" s="1">
        <v>0</v>
      </c>
      <c r="AO323" s="1">
        <v>1</v>
      </c>
      <c r="AP323" s="1">
        <f t="shared" si="137"/>
        <v>0.14586499149789456</v>
      </c>
      <c r="AQ323" s="1">
        <v>1</v>
      </c>
      <c r="AR323" s="1">
        <v>0</v>
      </c>
      <c r="AS323" s="1">
        <v>0</v>
      </c>
      <c r="AT323" s="1">
        <v>1</v>
      </c>
      <c r="AU323" s="4">
        <v>0</v>
      </c>
      <c r="AV323" s="4">
        <v>1</v>
      </c>
      <c r="AW323" s="1">
        <f t="shared" si="138"/>
        <v>3.5714285714285712E-2</v>
      </c>
      <c r="AX323" s="1">
        <f t="shared" si="139"/>
        <v>1.2755102040816326E-3</v>
      </c>
    </row>
    <row r="324" spans="1:50" x14ac:dyDescent="0.25">
      <c r="A324" s="1" t="s">
        <v>51</v>
      </c>
      <c r="B324" s="1">
        <v>1976</v>
      </c>
      <c r="C324" s="1">
        <f t="shared" ref="C324:C387" si="140">+IF(A324=A323,C323,C323+1)</f>
        <v>28</v>
      </c>
      <c r="D324" s="1" t="s">
        <v>24</v>
      </c>
      <c r="E324" s="1" t="s">
        <v>25</v>
      </c>
      <c r="F324" s="2">
        <v>-0.31969999999999998</v>
      </c>
      <c r="G324" s="3">
        <v>0.108372881355932</v>
      </c>
      <c r="H324" s="1">
        <v>7</v>
      </c>
      <c r="I324" s="1">
        <v>53</v>
      </c>
      <c r="J324" s="1">
        <f t="shared" si="121"/>
        <v>46</v>
      </c>
      <c r="K324" s="1">
        <v>28</v>
      </c>
      <c r="L324" s="1">
        <v>1970</v>
      </c>
      <c r="M324" s="1">
        <v>1970</v>
      </c>
      <c r="N324" s="1">
        <f t="shared" si="135"/>
        <v>1970</v>
      </c>
      <c r="O324" s="1">
        <f t="shared" si="128"/>
        <v>1</v>
      </c>
      <c r="P324" s="1">
        <f t="shared" si="134"/>
        <v>0</v>
      </c>
      <c r="Q324" s="1">
        <v>8</v>
      </c>
      <c r="R324" s="1">
        <v>1</v>
      </c>
      <c r="S324" s="1" t="s">
        <v>26</v>
      </c>
      <c r="T324" s="1">
        <f t="shared" si="118"/>
        <v>0</v>
      </c>
      <c r="U324" s="1">
        <v>0</v>
      </c>
      <c r="V324" s="1">
        <v>1</v>
      </c>
      <c r="W324" s="1">
        <v>1</v>
      </c>
      <c r="X324" s="1">
        <v>1</v>
      </c>
      <c r="Y324" s="1">
        <v>0</v>
      </c>
      <c r="Z324" s="1">
        <v>0</v>
      </c>
      <c r="AA324" s="1">
        <v>0</v>
      </c>
      <c r="AB324" s="1" t="s">
        <v>85</v>
      </c>
      <c r="AC324" s="1">
        <f t="shared" si="133"/>
        <v>1</v>
      </c>
      <c r="AD324" s="1">
        <f t="shared" si="122"/>
        <v>1</v>
      </c>
      <c r="AE324" s="1">
        <v>0</v>
      </c>
      <c r="AF324" s="1">
        <v>7.5888299999999997</v>
      </c>
      <c r="AG324" s="1">
        <v>2.197225</v>
      </c>
      <c r="AH324" s="1">
        <f t="shared" si="123"/>
        <v>-2.9500000000000055</v>
      </c>
      <c r="AI324" s="1">
        <f t="shared" si="136"/>
        <v>-0.39885811144124272</v>
      </c>
      <c r="AJ324" s="1">
        <f t="shared" si="124"/>
        <v>0.13520613947160745</v>
      </c>
      <c r="AK324" s="1">
        <f t="shared" si="125"/>
        <v>54.702500000000029</v>
      </c>
      <c r="AL324" s="1">
        <f t="shared" si="126"/>
        <v>7.3961138444456109</v>
      </c>
      <c r="AM324" s="1">
        <v>0</v>
      </c>
      <c r="AN324" s="1">
        <v>0</v>
      </c>
      <c r="AO324" s="1">
        <v>1</v>
      </c>
      <c r="AP324" s="1">
        <f t="shared" si="137"/>
        <v>0.14744195615489714</v>
      </c>
      <c r="AQ324" s="1">
        <v>1</v>
      </c>
      <c r="AR324" s="1">
        <v>0</v>
      </c>
      <c r="AS324" s="1">
        <v>0</v>
      </c>
      <c r="AT324" s="1">
        <v>1</v>
      </c>
      <c r="AU324" s="4">
        <v>0</v>
      </c>
      <c r="AV324" s="4">
        <v>1</v>
      </c>
      <c r="AW324" s="1">
        <f t="shared" si="138"/>
        <v>3.5714285714285712E-2</v>
      </c>
      <c r="AX324" s="1">
        <f t="shared" si="139"/>
        <v>1.2755102040816326E-3</v>
      </c>
    </row>
    <row r="325" spans="1:50" x14ac:dyDescent="0.25">
      <c r="A325" s="1" t="s">
        <v>51</v>
      </c>
      <c r="B325" s="1">
        <v>1976</v>
      </c>
      <c r="C325" s="1">
        <f t="shared" si="140"/>
        <v>28</v>
      </c>
      <c r="D325" s="1" t="s">
        <v>24</v>
      </c>
      <c r="E325" s="1" t="s">
        <v>25</v>
      </c>
      <c r="F325" s="2">
        <v>-1.3100000000000001E-2</v>
      </c>
      <c r="G325" s="3">
        <v>4.5804195804196E-3</v>
      </c>
      <c r="H325" s="1">
        <v>6</v>
      </c>
      <c r="I325" s="1">
        <v>53</v>
      </c>
      <c r="J325" s="1">
        <f t="shared" si="121"/>
        <v>47</v>
      </c>
      <c r="K325" s="1">
        <v>28</v>
      </c>
      <c r="L325" s="1">
        <v>1970</v>
      </c>
      <c r="M325" s="1">
        <v>1970</v>
      </c>
      <c r="N325" s="1">
        <f t="shared" si="135"/>
        <v>1970</v>
      </c>
      <c r="O325" s="1">
        <f t="shared" si="128"/>
        <v>1</v>
      </c>
      <c r="P325" s="1">
        <f t="shared" si="134"/>
        <v>0</v>
      </c>
      <c r="Q325" s="1">
        <v>8</v>
      </c>
      <c r="R325" s="1">
        <v>1</v>
      </c>
      <c r="S325" s="1" t="s">
        <v>26</v>
      </c>
      <c r="T325" s="1">
        <f t="shared" si="118"/>
        <v>0</v>
      </c>
      <c r="U325" s="1">
        <v>0</v>
      </c>
      <c r="V325" s="1">
        <v>1</v>
      </c>
      <c r="W325" s="1">
        <v>1</v>
      </c>
      <c r="X325" s="1">
        <v>1</v>
      </c>
      <c r="Y325" s="1">
        <v>0</v>
      </c>
      <c r="Z325" s="1">
        <v>0</v>
      </c>
      <c r="AA325" s="1">
        <v>0</v>
      </c>
      <c r="AB325" s="1" t="s">
        <v>85</v>
      </c>
      <c r="AC325" s="1">
        <f t="shared" si="133"/>
        <v>1</v>
      </c>
      <c r="AD325" s="1">
        <f t="shared" si="122"/>
        <v>1</v>
      </c>
      <c r="AE325" s="1">
        <v>0</v>
      </c>
      <c r="AF325" s="1">
        <v>7.5888299999999997</v>
      </c>
      <c r="AG325" s="1">
        <v>2.197225</v>
      </c>
      <c r="AH325" s="1">
        <f t="shared" si="123"/>
        <v>-2.8599999999999879</v>
      </c>
      <c r="AI325" s="1">
        <f t="shared" si="136"/>
        <v>-0.38501421047607903</v>
      </c>
      <c r="AJ325" s="1">
        <f t="shared" si="124"/>
        <v>0.13462035331331493</v>
      </c>
      <c r="AK325" s="1">
        <f t="shared" si="125"/>
        <v>55.179599999999908</v>
      </c>
      <c r="AL325" s="1">
        <f t="shared" si="126"/>
        <v>7.4282972476873805</v>
      </c>
      <c r="AM325" s="1">
        <v>0</v>
      </c>
      <c r="AN325" s="1">
        <v>0</v>
      </c>
      <c r="AO325" s="1">
        <v>1</v>
      </c>
      <c r="AP325" s="1">
        <f t="shared" si="137"/>
        <v>0.14586499149789456</v>
      </c>
      <c r="AQ325" s="1">
        <v>1</v>
      </c>
      <c r="AR325" s="1">
        <v>0</v>
      </c>
      <c r="AS325" s="1">
        <v>0</v>
      </c>
      <c r="AT325" s="1">
        <v>1</v>
      </c>
      <c r="AU325" s="4">
        <v>0</v>
      </c>
      <c r="AV325" s="4">
        <v>1</v>
      </c>
      <c r="AW325" s="1">
        <f t="shared" si="138"/>
        <v>3.5714285714285712E-2</v>
      </c>
      <c r="AX325" s="1">
        <f t="shared" si="139"/>
        <v>1.2755102040816326E-3</v>
      </c>
    </row>
    <row r="326" spans="1:50" x14ac:dyDescent="0.25">
      <c r="A326" s="1" t="s">
        <v>51</v>
      </c>
      <c r="B326" s="1">
        <v>1976</v>
      </c>
      <c r="C326" s="1">
        <f t="shared" si="140"/>
        <v>28</v>
      </c>
      <c r="D326" s="1" t="s">
        <v>24</v>
      </c>
      <c r="E326" s="1" t="s">
        <v>25</v>
      </c>
      <c r="F326" s="2">
        <v>-1.6199999999999999E-2</v>
      </c>
      <c r="G326" s="3">
        <v>5.6055363321799003E-3</v>
      </c>
      <c r="H326" s="1">
        <v>6</v>
      </c>
      <c r="I326" s="1">
        <v>53</v>
      </c>
      <c r="J326" s="1">
        <f t="shared" si="121"/>
        <v>47</v>
      </c>
      <c r="K326" s="1">
        <v>28</v>
      </c>
      <c r="L326" s="1">
        <v>1970</v>
      </c>
      <c r="M326" s="1">
        <v>1970</v>
      </c>
      <c r="N326" s="1">
        <f t="shared" si="135"/>
        <v>1970</v>
      </c>
      <c r="O326" s="1">
        <f t="shared" si="128"/>
        <v>1</v>
      </c>
      <c r="P326" s="1">
        <f t="shared" si="134"/>
        <v>0</v>
      </c>
      <c r="Q326" s="1">
        <v>8</v>
      </c>
      <c r="R326" s="1">
        <v>1</v>
      </c>
      <c r="S326" s="1" t="s">
        <v>26</v>
      </c>
      <c r="T326" s="1">
        <f t="shared" si="118"/>
        <v>0</v>
      </c>
      <c r="U326" s="1">
        <v>0</v>
      </c>
      <c r="V326" s="1">
        <v>1</v>
      </c>
      <c r="W326" s="1">
        <v>1</v>
      </c>
      <c r="X326" s="1">
        <v>1</v>
      </c>
      <c r="Y326" s="1">
        <v>0</v>
      </c>
      <c r="Z326" s="1">
        <v>0</v>
      </c>
      <c r="AA326" s="1">
        <v>0</v>
      </c>
      <c r="AB326" s="1" t="s">
        <v>85</v>
      </c>
      <c r="AC326" s="1">
        <f t="shared" si="133"/>
        <v>1</v>
      </c>
      <c r="AD326" s="1">
        <f t="shared" si="122"/>
        <v>1</v>
      </c>
      <c r="AE326" s="1">
        <v>0</v>
      </c>
      <c r="AF326" s="1">
        <v>7.5888299999999997</v>
      </c>
      <c r="AG326" s="1">
        <v>2.197225</v>
      </c>
      <c r="AH326" s="1">
        <f t="shared" si="123"/>
        <v>-2.8900000000000157</v>
      </c>
      <c r="AI326" s="1">
        <f t="shared" si="136"/>
        <v>-0.38844612340599999</v>
      </c>
      <c r="AJ326" s="1">
        <f t="shared" si="124"/>
        <v>0.13441042332387471</v>
      </c>
      <c r="AK326" s="1">
        <f t="shared" si="125"/>
        <v>55.3521000000001</v>
      </c>
      <c r="AL326" s="1">
        <f t="shared" si="126"/>
        <v>7.4398991928654583</v>
      </c>
      <c r="AM326" s="1">
        <v>0</v>
      </c>
      <c r="AN326" s="1">
        <v>0</v>
      </c>
      <c r="AO326" s="1">
        <v>1</v>
      </c>
      <c r="AP326" s="1">
        <f t="shared" si="137"/>
        <v>0.14586499149789456</v>
      </c>
      <c r="AQ326" s="1">
        <v>1</v>
      </c>
      <c r="AR326" s="1">
        <v>0</v>
      </c>
      <c r="AS326" s="1">
        <v>0</v>
      </c>
      <c r="AT326" s="1">
        <v>0</v>
      </c>
      <c r="AU326" s="4">
        <v>0</v>
      </c>
      <c r="AV326" s="4">
        <v>1</v>
      </c>
      <c r="AW326" s="1">
        <f t="shared" si="138"/>
        <v>3.5714285714285712E-2</v>
      </c>
      <c r="AX326" s="1">
        <f t="shared" si="139"/>
        <v>1.2755102040816326E-3</v>
      </c>
    </row>
    <row r="327" spans="1:50" x14ac:dyDescent="0.25">
      <c r="A327" s="1" t="s">
        <v>51</v>
      </c>
      <c r="B327" s="1">
        <v>1976</v>
      </c>
      <c r="C327" s="1">
        <f t="shared" si="140"/>
        <v>28</v>
      </c>
      <c r="D327" s="1" t="s">
        <v>24</v>
      </c>
      <c r="E327" s="1" t="s">
        <v>25</v>
      </c>
      <c r="F327" s="2">
        <v>1.21E-2</v>
      </c>
      <c r="G327" s="3">
        <v>4.8399999999999999E-2</v>
      </c>
      <c r="H327" s="1">
        <v>3</v>
      </c>
      <c r="I327" s="1">
        <v>53</v>
      </c>
      <c r="J327" s="1">
        <f t="shared" si="121"/>
        <v>50</v>
      </c>
      <c r="K327" s="1">
        <v>28</v>
      </c>
      <c r="L327" s="1">
        <v>1970</v>
      </c>
      <c r="M327" s="1">
        <v>1970</v>
      </c>
      <c r="N327" s="1">
        <f t="shared" si="135"/>
        <v>1970</v>
      </c>
      <c r="O327" s="1">
        <f t="shared" si="128"/>
        <v>1</v>
      </c>
      <c r="P327" s="1">
        <f t="shared" si="134"/>
        <v>0</v>
      </c>
      <c r="Q327" s="1">
        <v>8</v>
      </c>
      <c r="R327" s="1">
        <v>1</v>
      </c>
      <c r="S327" s="1" t="s">
        <v>26</v>
      </c>
      <c r="T327" s="1">
        <f t="shared" si="118"/>
        <v>0</v>
      </c>
      <c r="U327" s="1">
        <v>0</v>
      </c>
      <c r="V327" s="1">
        <v>1</v>
      </c>
      <c r="W327" s="1">
        <v>1</v>
      </c>
      <c r="X327" s="1">
        <v>1</v>
      </c>
      <c r="Y327" s="1">
        <v>0</v>
      </c>
      <c r="Z327" s="1">
        <v>0</v>
      </c>
      <c r="AA327" s="1">
        <v>0</v>
      </c>
      <c r="AB327" s="1" t="s">
        <v>85</v>
      </c>
      <c r="AC327" s="1">
        <f t="shared" si="133"/>
        <v>1</v>
      </c>
      <c r="AD327" s="1">
        <f t="shared" si="122"/>
        <v>1</v>
      </c>
      <c r="AE327" s="1">
        <v>0</v>
      </c>
      <c r="AF327" s="1">
        <v>7.5888299999999997</v>
      </c>
      <c r="AG327" s="1">
        <v>2.197225</v>
      </c>
      <c r="AH327" s="1">
        <f t="shared" si="123"/>
        <v>0.25</v>
      </c>
      <c r="AI327" s="1">
        <f t="shared" si="136"/>
        <v>3.5333262666878668E-2</v>
      </c>
      <c r="AJ327" s="1">
        <f t="shared" si="124"/>
        <v>0.14133305066751467</v>
      </c>
      <c r="AK327" s="1">
        <f t="shared" si="125"/>
        <v>50.0625</v>
      </c>
      <c r="AL327" s="1">
        <f t="shared" si="126"/>
        <v>7.0754858490424528</v>
      </c>
      <c r="AM327" s="1">
        <v>0</v>
      </c>
      <c r="AN327" s="1">
        <v>0</v>
      </c>
      <c r="AO327" s="1">
        <v>1</v>
      </c>
      <c r="AP327" s="1">
        <f t="shared" si="137"/>
        <v>0.1414213562373095</v>
      </c>
      <c r="AQ327" s="1">
        <v>1</v>
      </c>
      <c r="AR327" s="1">
        <v>0</v>
      </c>
      <c r="AS327" s="1">
        <v>1</v>
      </c>
      <c r="AT327" s="1">
        <v>0</v>
      </c>
      <c r="AU327" s="4">
        <v>1</v>
      </c>
      <c r="AV327" s="4">
        <v>0</v>
      </c>
      <c r="AW327" s="1">
        <f t="shared" si="138"/>
        <v>3.5714285714285712E-2</v>
      </c>
      <c r="AX327" s="1">
        <f t="shared" si="139"/>
        <v>1.2755102040816326E-3</v>
      </c>
    </row>
    <row r="328" spans="1:50" x14ac:dyDescent="0.25">
      <c r="A328" s="1" t="s">
        <v>51</v>
      </c>
      <c r="B328" s="1">
        <v>1976</v>
      </c>
      <c r="C328" s="1">
        <f t="shared" si="140"/>
        <v>28</v>
      </c>
      <c r="D328" s="1" t="s">
        <v>24</v>
      </c>
      <c r="E328" s="1" t="s">
        <v>25</v>
      </c>
      <c r="F328" s="2">
        <v>6.1000000000000004E-3</v>
      </c>
      <c r="G328" s="3">
        <v>4.6923076923076901E-2</v>
      </c>
      <c r="H328" s="1">
        <v>4</v>
      </c>
      <c r="I328" s="1">
        <v>53</v>
      </c>
      <c r="J328" s="1">
        <f t="shared" si="121"/>
        <v>49</v>
      </c>
      <c r="K328" s="1">
        <v>28</v>
      </c>
      <c r="L328" s="1">
        <v>1970</v>
      </c>
      <c r="M328" s="1">
        <v>1970</v>
      </c>
      <c r="N328" s="1">
        <f t="shared" si="135"/>
        <v>1970</v>
      </c>
      <c r="O328" s="1">
        <f t="shared" si="128"/>
        <v>1</v>
      </c>
      <c r="P328" s="1">
        <f t="shared" si="134"/>
        <v>0</v>
      </c>
      <c r="Q328" s="1">
        <v>8</v>
      </c>
      <c r="R328" s="1">
        <v>1</v>
      </c>
      <c r="S328" s="1" t="s">
        <v>26</v>
      </c>
      <c r="T328" s="1">
        <f t="shared" si="118"/>
        <v>0</v>
      </c>
      <c r="U328" s="1">
        <v>0</v>
      </c>
      <c r="V328" s="1">
        <v>1</v>
      </c>
      <c r="W328" s="1">
        <v>1</v>
      </c>
      <c r="X328" s="1">
        <v>1</v>
      </c>
      <c r="Y328" s="1">
        <v>0</v>
      </c>
      <c r="Z328" s="1">
        <v>0</v>
      </c>
      <c r="AA328" s="1">
        <v>0</v>
      </c>
      <c r="AB328" s="1" t="s">
        <v>85</v>
      </c>
      <c r="AC328" s="1">
        <f t="shared" si="133"/>
        <v>1</v>
      </c>
      <c r="AD328" s="1">
        <f t="shared" si="122"/>
        <v>1</v>
      </c>
      <c r="AE328" s="1">
        <v>0</v>
      </c>
      <c r="AF328" s="1">
        <v>7.5888299999999997</v>
      </c>
      <c r="AG328" s="1">
        <v>2.197225</v>
      </c>
      <c r="AH328" s="1">
        <f t="shared" si="123"/>
        <v>0.13000000000000006</v>
      </c>
      <c r="AI328" s="1">
        <f t="shared" si="136"/>
        <v>1.8568226775717678E-2</v>
      </c>
      <c r="AJ328" s="1">
        <f t="shared" si="124"/>
        <v>0.14283251365936669</v>
      </c>
      <c r="AK328" s="1">
        <f t="shared" si="125"/>
        <v>49.0169</v>
      </c>
      <c r="AL328" s="1">
        <f t="shared" si="126"/>
        <v>7.0012070387898113</v>
      </c>
      <c r="AM328" s="1">
        <v>0</v>
      </c>
      <c r="AN328" s="1">
        <v>0</v>
      </c>
      <c r="AO328" s="1">
        <v>1</v>
      </c>
      <c r="AP328" s="1">
        <f t="shared" si="137"/>
        <v>0.14285714285714285</v>
      </c>
      <c r="AQ328" s="1">
        <v>1</v>
      </c>
      <c r="AR328" s="1">
        <v>0</v>
      </c>
      <c r="AS328" s="1">
        <v>1</v>
      </c>
      <c r="AT328" s="1">
        <v>0</v>
      </c>
      <c r="AU328" s="4">
        <v>1</v>
      </c>
      <c r="AV328" s="4">
        <v>0</v>
      </c>
      <c r="AW328" s="1">
        <f t="shared" si="138"/>
        <v>3.5714285714285712E-2</v>
      </c>
      <c r="AX328" s="1">
        <f t="shared" si="139"/>
        <v>1.2755102040816326E-3</v>
      </c>
    </row>
    <row r="329" spans="1:50" x14ac:dyDescent="0.25">
      <c r="A329" s="1" t="s">
        <v>51</v>
      </c>
      <c r="B329" s="1">
        <v>1976</v>
      </c>
      <c r="C329" s="1">
        <f t="shared" si="140"/>
        <v>28</v>
      </c>
      <c r="D329" s="1" t="s">
        <v>24</v>
      </c>
      <c r="E329" s="1" t="s">
        <v>25</v>
      </c>
      <c r="F329" s="2">
        <v>-2.2700000000000001E-2</v>
      </c>
      <c r="G329" s="3">
        <v>4.3653846153846203E-2</v>
      </c>
      <c r="H329" s="1">
        <v>5</v>
      </c>
      <c r="I329" s="1">
        <v>53</v>
      </c>
      <c r="J329" s="1">
        <f t="shared" si="121"/>
        <v>48</v>
      </c>
      <c r="K329" s="1">
        <v>28</v>
      </c>
      <c r="L329" s="1">
        <v>1970</v>
      </c>
      <c r="M329" s="1">
        <v>1970</v>
      </c>
      <c r="N329" s="1">
        <f t="shared" si="135"/>
        <v>1970</v>
      </c>
      <c r="O329" s="1">
        <f t="shared" si="128"/>
        <v>1</v>
      </c>
      <c r="P329" s="1">
        <f t="shared" si="134"/>
        <v>0</v>
      </c>
      <c r="Q329" s="1">
        <v>8</v>
      </c>
      <c r="R329" s="1">
        <v>1</v>
      </c>
      <c r="S329" s="1" t="s">
        <v>26</v>
      </c>
      <c r="T329" s="1">
        <f t="shared" si="118"/>
        <v>0</v>
      </c>
      <c r="U329" s="1">
        <v>0</v>
      </c>
      <c r="V329" s="1">
        <v>1</v>
      </c>
      <c r="W329" s="1">
        <v>1</v>
      </c>
      <c r="X329" s="1">
        <v>1</v>
      </c>
      <c r="Y329" s="1">
        <v>0</v>
      </c>
      <c r="Z329" s="1">
        <v>0</v>
      </c>
      <c r="AA329" s="1">
        <v>0</v>
      </c>
      <c r="AB329" s="1" t="s">
        <v>85</v>
      </c>
      <c r="AC329" s="1">
        <f t="shared" si="133"/>
        <v>1</v>
      </c>
      <c r="AD329" s="1">
        <f t="shared" si="122"/>
        <v>1</v>
      </c>
      <c r="AE329" s="1">
        <v>0</v>
      </c>
      <c r="AF329" s="1">
        <v>7.5888299999999997</v>
      </c>
      <c r="AG329" s="1">
        <v>2.197225</v>
      </c>
      <c r="AH329" s="1">
        <f t="shared" si="123"/>
        <v>-0.51999999999999946</v>
      </c>
      <c r="AI329" s="1">
        <f t="shared" si="136"/>
        <v>-7.4845017590745647E-2</v>
      </c>
      <c r="AJ329" s="1">
        <f t="shared" si="124"/>
        <v>0.14393272613604946</v>
      </c>
      <c r="AK329" s="1">
        <f t="shared" si="125"/>
        <v>48.270400000000009</v>
      </c>
      <c r="AL329" s="1">
        <f t="shared" si="126"/>
        <v>6.947690263677563</v>
      </c>
      <c r="AM329" s="1">
        <v>0</v>
      </c>
      <c r="AN329" s="1">
        <v>0</v>
      </c>
      <c r="AO329" s="1">
        <v>1</v>
      </c>
      <c r="AP329" s="1">
        <f t="shared" si="137"/>
        <v>0.14433756729740646</v>
      </c>
      <c r="AQ329" s="1">
        <v>1</v>
      </c>
      <c r="AR329" s="1">
        <v>0</v>
      </c>
      <c r="AS329" s="1">
        <v>1</v>
      </c>
      <c r="AT329" s="1">
        <v>0</v>
      </c>
      <c r="AU329" s="4">
        <v>1</v>
      </c>
      <c r="AV329" s="4">
        <v>0</v>
      </c>
      <c r="AW329" s="1">
        <f t="shared" si="138"/>
        <v>3.5714285714285712E-2</v>
      </c>
      <c r="AX329" s="1">
        <f t="shared" si="139"/>
        <v>1.2755102040816326E-3</v>
      </c>
    </row>
    <row r="330" spans="1:50" x14ac:dyDescent="0.25">
      <c r="A330" s="1" t="s">
        <v>51</v>
      </c>
      <c r="B330" s="1">
        <v>1976</v>
      </c>
      <c r="C330" s="1">
        <f t="shared" si="140"/>
        <v>28</v>
      </c>
      <c r="D330" s="1" t="s">
        <v>24</v>
      </c>
      <c r="E330" s="1" t="s">
        <v>25</v>
      </c>
      <c r="F330" s="2">
        <v>-3.32E-2</v>
      </c>
      <c r="G330" s="3">
        <v>4.4864864864864899E-2</v>
      </c>
      <c r="H330" s="1">
        <v>6</v>
      </c>
      <c r="I330" s="1">
        <v>53</v>
      </c>
      <c r="J330" s="1">
        <f t="shared" si="121"/>
        <v>47</v>
      </c>
      <c r="K330" s="1">
        <v>28</v>
      </c>
      <c r="L330" s="1">
        <v>1970</v>
      </c>
      <c r="M330" s="1">
        <v>1970</v>
      </c>
      <c r="N330" s="1">
        <f t="shared" si="135"/>
        <v>1970</v>
      </c>
      <c r="O330" s="1">
        <f t="shared" si="128"/>
        <v>1</v>
      </c>
      <c r="P330" s="1">
        <f t="shared" si="134"/>
        <v>0</v>
      </c>
      <c r="Q330" s="1">
        <v>8</v>
      </c>
      <c r="R330" s="1">
        <v>1</v>
      </c>
      <c r="S330" s="1" t="s">
        <v>26</v>
      </c>
      <c r="T330" s="1">
        <f t="shared" si="118"/>
        <v>0</v>
      </c>
      <c r="U330" s="1">
        <v>0</v>
      </c>
      <c r="V330" s="1">
        <v>1</v>
      </c>
      <c r="W330" s="1">
        <v>1</v>
      </c>
      <c r="X330" s="1">
        <v>1</v>
      </c>
      <c r="Y330" s="1">
        <v>0</v>
      </c>
      <c r="Z330" s="1">
        <v>0</v>
      </c>
      <c r="AA330" s="1">
        <v>0</v>
      </c>
      <c r="AB330" s="1" t="s">
        <v>85</v>
      </c>
      <c r="AC330" s="1">
        <f t="shared" si="133"/>
        <v>1</v>
      </c>
      <c r="AD330" s="1">
        <f t="shared" si="122"/>
        <v>1</v>
      </c>
      <c r="AE330" s="1">
        <v>0</v>
      </c>
      <c r="AF330" s="1">
        <v>7.5888299999999997</v>
      </c>
      <c r="AG330" s="1">
        <v>2.197225</v>
      </c>
      <c r="AH330" s="1">
        <f t="shared" si="123"/>
        <v>-0.73999999999999944</v>
      </c>
      <c r="AI330" s="1">
        <f t="shared" si="136"/>
        <v>-0.10731672715211696</v>
      </c>
      <c r="AJ330" s="1">
        <f t="shared" si="124"/>
        <v>0.14502260425961763</v>
      </c>
      <c r="AK330" s="1">
        <f t="shared" si="125"/>
        <v>47.547599999999989</v>
      </c>
      <c r="AL330" s="1">
        <f t="shared" si="126"/>
        <v>6.8954767782945936</v>
      </c>
      <c r="AM330" s="1">
        <v>0</v>
      </c>
      <c r="AN330" s="1">
        <v>0</v>
      </c>
      <c r="AO330" s="1">
        <v>1</v>
      </c>
      <c r="AP330" s="1">
        <f t="shared" si="137"/>
        <v>0.14586499149789456</v>
      </c>
      <c r="AQ330" s="1">
        <v>1</v>
      </c>
      <c r="AR330" s="1">
        <v>0</v>
      </c>
      <c r="AS330" s="1">
        <v>1</v>
      </c>
      <c r="AT330" s="1">
        <v>0</v>
      </c>
      <c r="AU330" s="4">
        <v>1</v>
      </c>
      <c r="AV330" s="4">
        <v>0</v>
      </c>
      <c r="AW330" s="1">
        <f t="shared" si="138"/>
        <v>3.5714285714285712E-2</v>
      </c>
      <c r="AX330" s="1">
        <f t="shared" si="139"/>
        <v>1.2755102040816326E-3</v>
      </c>
    </row>
    <row r="331" spans="1:50" x14ac:dyDescent="0.25">
      <c r="A331" s="1" t="s">
        <v>51</v>
      </c>
      <c r="B331" s="1">
        <v>1976</v>
      </c>
      <c r="C331" s="1">
        <f t="shared" si="140"/>
        <v>28</v>
      </c>
      <c r="D331" s="1" t="s">
        <v>24</v>
      </c>
      <c r="E331" s="1" t="s">
        <v>25</v>
      </c>
      <c r="F331" s="2">
        <v>-3.9100000000000003E-2</v>
      </c>
      <c r="G331" s="3">
        <v>4.1595744680851102E-2</v>
      </c>
      <c r="H331" s="1">
        <v>7</v>
      </c>
      <c r="I331" s="1">
        <v>53</v>
      </c>
      <c r="J331" s="1">
        <f t="shared" si="121"/>
        <v>46</v>
      </c>
      <c r="K331" s="1">
        <v>28</v>
      </c>
      <c r="L331" s="1">
        <v>1970</v>
      </c>
      <c r="M331" s="1">
        <v>1970</v>
      </c>
      <c r="N331" s="1">
        <f t="shared" si="135"/>
        <v>1970</v>
      </c>
      <c r="O331" s="1">
        <f t="shared" si="128"/>
        <v>1</v>
      </c>
      <c r="P331" s="1">
        <f t="shared" si="134"/>
        <v>0</v>
      </c>
      <c r="Q331" s="1">
        <v>8</v>
      </c>
      <c r="R331" s="1">
        <v>1</v>
      </c>
      <c r="S331" s="1" t="s">
        <v>26</v>
      </c>
      <c r="T331" s="1">
        <f t="shared" si="118"/>
        <v>0</v>
      </c>
      <c r="U331" s="1">
        <v>0</v>
      </c>
      <c r="V331" s="1">
        <v>1</v>
      </c>
      <c r="W331" s="1">
        <v>1</v>
      </c>
      <c r="X331" s="1">
        <v>1</v>
      </c>
      <c r="Y331" s="1">
        <v>0</v>
      </c>
      <c r="Z331" s="1">
        <v>0</v>
      </c>
      <c r="AA331" s="1">
        <v>0</v>
      </c>
      <c r="AB331" s="1" t="s">
        <v>85</v>
      </c>
      <c r="AC331" s="1">
        <f t="shared" si="133"/>
        <v>1</v>
      </c>
      <c r="AD331" s="1">
        <f t="shared" si="122"/>
        <v>1</v>
      </c>
      <c r="AE331" s="1">
        <v>0</v>
      </c>
      <c r="AF331" s="1">
        <v>7.5888299999999997</v>
      </c>
      <c r="AG331" s="1">
        <v>2.197225</v>
      </c>
      <c r="AH331" s="1">
        <f t="shared" si="123"/>
        <v>-0.93999999999999917</v>
      </c>
      <c r="AI331" s="1">
        <f t="shared" si="136"/>
        <v>-0.13728319488045085</v>
      </c>
      <c r="AJ331" s="1">
        <f t="shared" si="124"/>
        <v>0.14604595200047976</v>
      </c>
      <c r="AK331" s="1">
        <f t="shared" si="125"/>
        <v>46.883599999999994</v>
      </c>
      <c r="AL331" s="1">
        <f t="shared" si="126"/>
        <v>6.8471599952096929</v>
      </c>
      <c r="AM331" s="1">
        <v>0</v>
      </c>
      <c r="AN331" s="1">
        <v>0</v>
      </c>
      <c r="AO331" s="1">
        <v>1</v>
      </c>
      <c r="AP331" s="1">
        <f t="shared" si="137"/>
        <v>0.14744195615489714</v>
      </c>
      <c r="AQ331" s="1">
        <v>1</v>
      </c>
      <c r="AR331" s="1">
        <v>0</v>
      </c>
      <c r="AS331" s="1">
        <v>1</v>
      </c>
      <c r="AT331" s="1">
        <v>0</v>
      </c>
      <c r="AU331" s="4">
        <v>1</v>
      </c>
      <c r="AV331" s="4">
        <v>0</v>
      </c>
      <c r="AW331" s="1">
        <f t="shared" si="138"/>
        <v>3.5714285714285712E-2</v>
      </c>
      <c r="AX331" s="1">
        <f t="shared" si="139"/>
        <v>1.2755102040816326E-3</v>
      </c>
    </row>
    <row r="332" spans="1:50" x14ac:dyDescent="0.25">
      <c r="A332" s="1" t="s">
        <v>51</v>
      </c>
      <c r="B332" s="1">
        <v>1976</v>
      </c>
      <c r="C332" s="1">
        <f t="shared" si="140"/>
        <v>28</v>
      </c>
      <c r="D332" s="1" t="s">
        <v>24</v>
      </c>
      <c r="E332" s="1" t="s">
        <v>25</v>
      </c>
      <c r="F332" s="2">
        <v>-3.0999999999999999E-3</v>
      </c>
      <c r="G332" s="3">
        <v>8.3783783783780003E-4</v>
      </c>
      <c r="H332" s="1">
        <v>6</v>
      </c>
      <c r="I332" s="1">
        <v>53</v>
      </c>
      <c r="J332" s="1">
        <f t="shared" si="121"/>
        <v>47</v>
      </c>
      <c r="K332" s="1">
        <v>28</v>
      </c>
      <c r="L332" s="1">
        <v>1970</v>
      </c>
      <c r="M332" s="1">
        <v>1970</v>
      </c>
      <c r="N332" s="1">
        <f t="shared" si="135"/>
        <v>1970</v>
      </c>
      <c r="O332" s="1">
        <f t="shared" si="128"/>
        <v>1</v>
      </c>
      <c r="P332" s="1">
        <f t="shared" si="134"/>
        <v>0</v>
      </c>
      <c r="Q332" s="1">
        <v>8</v>
      </c>
      <c r="R332" s="1">
        <v>1</v>
      </c>
      <c r="S332" s="1" t="s">
        <v>26</v>
      </c>
      <c r="T332" s="1">
        <f t="shared" si="118"/>
        <v>0</v>
      </c>
      <c r="U332" s="1">
        <v>0</v>
      </c>
      <c r="V332" s="1">
        <v>1</v>
      </c>
      <c r="W332" s="1">
        <v>1</v>
      </c>
      <c r="X332" s="1">
        <v>1</v>
      </c>
      <c r="Y332" s="1">
        <v>0</v>
      </c>
      <c r="Z332" s="1">
        <v>0</v>
      </c>
      <c r="AA332" s="1">
        <v>0</v>
      </c>
      <c r="AB332" s="1" t="s">
        <v>85</v>
      </c>
      <c r="AC332" s="1">
        <f t="shared" si="133"/>
        <v>1</v>
      </c>
      <c r="AD332" s="1">
        <f t="shared" si="122"/>
        <v>1</v>
      </c>
      <c r="AE332" s="1">
        <v>0</v>
      </c>
      <c r="AF332" s="1">
        <v>7.5888299999999997</v>
      </c>
      <c r="AG332" s="1">
        <v>2.197225</v>
      </c>
      <c r="AH332" s="1">
        <f t="shared" si="123"/>
        <v>-3.7000000000001667</v>
      </c>
      <c r="AI332" s="1">
        <f t="shared" si="136"/>
        <v>-0.47494481992541171</v>
      </c>
      <c r="AJ332" s="1">
        <f t="shared" si="124"/>
        <v>0.12836346484470007</v>
      </c>
      <c r="AK332" s="1">
        <f t="shared" si="125"/>
        <v>60.690000000001255</v>
      </c>
      <c r="AL332" s="1">
        <f t="shared" si="126"/>
        <v>7.7903786814250084</v>
      </c>
      <c r="AM332" s="1">
        <v>0</v>
      </c>
      <c r="AN332" s="1">
        <v>0</v>
      </c>
      <c r="AO332" s="1">
        <v>1</v>
      </c>
      <c r="AP332" s="1">
        <f t="shared" si="137"/>
        <v>0.14586499149789456</v>
      </c>
      <c r="AQ332" s="1">
        <v>1</v>
      </c>
      <c r="AR332" s="1">
        <v>0</v>
      </c>
      <c r="AS332" s="1">
        <v>1</v>
      </c>
      <c r="AT332" s="1">
        <v>0</v>
      </c>
      <c r="AU332" s="4">
        <v>1</v>
      </c>
      <c r="AV332" s="4">
        <v>0</v>
      </c>
      <c r="AW332" s="1">
        <f t="shared" si="138"/>
        <v>3.5714285714285712E-2</v>
      </c>
      <c r="AX332" s="1">
        <f t="shared" si="139"/>
        <v>1.2755102040816326E-3</v>
      </c>
    </row>
    <row r="333" spans="1:50" x14ac:dyDescent="0.25">
      <c r="A333" s="1" t="s">
        <v>51</v>
      </c>
      <c r="B333" s="1">
        <v>1976</v>
      </c>
      <c r="C333" s="1">
        <f t="shared" si="140"/>
        <v>28</v>
      </c>
      <c r="D333" s="1" t="s">
        <v>24</v>
      </c>
      <c r="E333" s="1" t="s">
        <v>25</v>
      </c>
      <c r="F333" s="2">
        <v>-5.0000000000000001E-4</v>
      </c>
      <c r="G333" s="3">
        <v>0.05</v>
      </c>
      <c r="H333" s="1">
        <v>3</v>
      </c>
      <c r="I333" s="1">
        <v>53</v>
      </c>
      <c r="J333" s="1">
        <f t="shared" si="121"/>
        <v>50</v>
      </c>
      <c r="K333" s="1">
        <v>28</v>
      </c>
      <c r="L333" s="1">
        <v>1970</v>
      </c>
      <c r="M333" s="1">
        <v>1970</v>
      </c>
      <c r="N333" s="1">
        <f t="shared" si="135"/>
        <v>1970</v>
      </c>
      <c r="O333" s="1">
        <f t="shared" si="128"/>
        <v>1</v>
      </c>
      <c r="P333" s="1">
        <f t="shared" si="134"/>
        <v>0</v>
      </c>
      <c r="Q333" s="1">
        <v>8</v>
      </c>
      <c r="R333" s="1">
        <v>1</v>
      </c>
      <c r="S333" s="1" t="s">
        <v>26</v>
      </c>
      <c r="T333" s="1">
        <f t="shared" si="118"/>
        <v>0</v>
      </c>
      <c r="U333" s="1">
        <v>0</v>
      </c>
      <c r="V333" s="1">
        <v>1</v>
      </c>
      <c r="W333" s="1">
        <v>1</v>
      </c>
      <c r="X333" s="1">
        <v>1</v>
      </c>
      <c r="Y333" s="1">
        <v>0</v>
      </c>
      <c r="Z333" s="1">
        <v>0</v>
      </c>
      <c r="AA333" s="1">
        <v>0</v>
      </c>
      <c r="AB333" s="1" t="s">
        <v>85</v>
      </c>
      <c r="AC333" s="1">
        <f t="shared" si="133"/>
        <v>1</v>
      </c>
      <c r="AD333" s="1">
        <f t="shared" si="122"/>
        <v>1</v>
      </c>
      <c r="AE333" s="1">
        <v>0</v>
      </c>
      <c r="AF333" s="1">
        <v>7.5888299999999997</v>
      </c>
      <c r="AG333" s="1">
        <v>2.197225</v>
      </c>
      <c r="AH333" s="1">
        <f t="shared" si="123"/>
        <v>-0.01</v>
      </c>
      <c r="AI333" s="1">
        <f t="shared" si="136"/>
        <v>-1.4142121481616539E-3</v>
      </c>
      <c r="AJ333" s="1">
        <f t="shared" si="124"/>
        <v>0.1414212148161654</v>
      </c>
      <c r="AK333" s="1">
        <f t="shared" si="125"/>
        <v>50.000100000000003</v>
      </c>
      <c r="AL333" s="1">
        <f t="shared" si="126"/>
        <v>7.0710748829297518</v>
      </c>
      <c r="AM333" s="1">
        <v>0</v>
      </c>
      <c r="AN333" s="1">
        <v>0</v>
      </c>
      <c r="AO333" s="1">
        <v>1</v>
      </c>
      <c r="AP333" s="1">
        <f t="shared" si="137"/>
        <v>0.1414213562373095</v>
      </c>
      <c r="AQ333" s="1">
        <v>1</v>
      </c>
      <c r="AR333" s="1">
        <v>0</v>
      </c>
      <c r="AS333" s="1">
        <v>0</v>
      </c>
      <c r="AT333" s="1">
        <v>1</v>
      </c>
      <c r="AU333" s="4">
        <v>1</v>
      </c>
      <c r="AV333" s="4">
        <v>0</v>
      </c>
      <c r="AW333" s="1">
        <f t="shared" si="138"/>
        <v>3.5714285714285712E-2</v>
      </c>
      <c r="AX333" s="1">
        <f t="shared" si="139"/>
        <v>1.2755102040816326E-3</v>
      </c>
    </row>
    <row r="334" spans="1:50" x14ac:dyDescent="0.25">
      <c r="A334" s="1" t="s">
        <v>51</v>
      </c>
      <c r="B334" s="1">
        <v>1976</v>
      </c>
      <c r="C334" s="1">
        <f t="shared" si="140"/>
        <v>28</v>
      </c>
      <c r="D334" s="1" t="s">
        <v>24</v>
      </c>
      <c r="E334" s="1" t="s">
        <v>25</v>
      </c>
      <c r="F334" s="2">
        <v>-5.0000000000000001E-3</v>
      </c>
      <c r="G334" s="3">
        <v>3.5714285714285698E-2</v>
      </c>
      <c r="H334" s="1">
        <v>4</v>
      </c>
      <c r="I334" s="1">
        <v>53</v>
      </c>
      <c r="J334" s="1">
        <f t="shared" si="121"/>
        <v>49</v>
      </c>
      <c r="K334" s="1">
        <v>28</v>
      </c>
      <c r="L334" s="1">
        <v>1970</v>
      </c>
      <c r="M334" s="1">
        <v>1970</v>
      </c>
      <c r="N334" s="1">
        <f t="shared" si="135"/>
        <v>1970</v>
      </c>
      <c r="O334" s="1">
        <f t="shared" si="128"/>
        <v>1</v>
      </c>
      <c r="P334" s="1">
        <f t="shared" si="134"/>
        <v>0</v>
      </c>
      <c r="Q334" s="1">
        <v>8</v>
      </c>
      <c r="R334" s="1">
        <v>1</v>
      </c>
      <c r="S334" s="1" t="s">
        <v>26</v>
      </c>
      <c r="T334" s="1">
        <f t="shared" si="118"/>
        <v>0</v>
      </c>
      <c r="U334" s="1">
        <v>0</v>
      </c>
      <c r="V334" s="1">
        <v>1</v>
      </c>
      <c r="W334" s="1">
        <v>1</v>
      </c>
      <c r="X334" s="1">
        <v>1</v>
      </c>
      <c r="Y334" s="1">
        <v>0</v>
      </c>
      <c r="Z334" s="1">
        <v>0</v>
      </c>
      <c r="AA334" s="1">
        <v>0</v>
      </c>
      <c r="AB334" s="1" t="s">
        <v>85</v>
      </c>
      <c r="AC334" s="1">
        <f t="shared" si="133"/>
        <v>1</v>
      </c>
      <c r="AD334" s="1">
        <f t="shared" si="122"/>
        <v>1</v>
      </c>
      <c r="AE334" s="1">
        <v>0</v>
      </c>
      <c r="AF334" s="1">
        <v>7.5888299999999997</v>
      </c>
      <c r="AG334" s="1">
        <v>2.197225</v>
      </c>
      <c r="AH334" s="1">
        <f t="shared" ref="AH334:AH365" si="141">+F334/G334</f>
        <v>-0.14000000000000007</v>
      </c>
      <c r="AI334" s="1">
        <f t="shared" si="136"/>
        <v>-1.9996001199600148E-2</v>
      </c>
      <c r="AJ334" s="1">
        <f t="shared" si="124"/>
        <v>0.14282857999714385</v>
      </c>
      <c r="AK334" s="1">
        <f t="shared" si="125"/>
        <v>49.019600000000004</v>
      </c>
      <c r="AL334" s="1">
        <f t="shared" si="126"/>
        <v>7.001399860027993</v>
      </c>
      <c r="AM334" s="1">
        <v>0</v>
      </c>
      <c r="AN334" s="1">
        <v>0</v>
      </c>
      <c r="AO334" s="1">
        <v>1</v>
      </c>
      <c r="AP334" s="1">
        <f t="shared" si="137"/>
        <v>0.14285714285714285</v>
      </c>
      <c r="AQ334" s="1">
        <v>1</v>
      </c>
      <c r="AR334" s="1">
        <v>0</v>
      </c>
      <c r="AS334" s="1">
        <v>0</v>
      </c>
      <c r="AT334" s="1">
        <v>1</v>
      </c>
      <c r="AU334" s="4">
        <v>1</v>
      </c>
      <c r="AV334" s="4">
        <v>0</v>
      </c>
      <c r="AW334" s="1">
        <f t="shared" si="138"/>
        <v>3.5714285714285712E-2</v>
      </c>
      <c r="AX334" s="1">
        <f t="shared" si="139"/>
        <v>1.2755102040816326E-3</v>
      </c>
    </row>
    <row r="335" spans="1:50" x14ac:dyDescent="0.25">
      <c r="A335" s="1" t="s">
        <v>51</v>
      </c>
      <c r="B335" s="1">
        <v>1976</v>
      </c>
      <c r="C335" s="1">
        <f t="shared" si="140"/>
        <v>28</v>
      </c>
      <c r="D335" s="1" t="s">
        <v>24</v>
      </c>
      <c r="E335" s="1" t="s">
        <v>25</v>
      </c>
      <c r="F335" s="2">
        <v>-2.69E-2</v>
      </c>
      <c r="G335" s="3">
        <v>3.6351351351351403E-2</v>
      </c>
      <c r="H335" s="1">
        <v>5</v>
      </c>
      <c r="I335" s="1">
        <v>53</v>
      </c>
      <c r="J335" s="1">
        <f t="shared" si="121"/>
        <v>48</v>
      </c>
      <c r="K335" s="1">
        <v>28</v>
      </c>
      <c r="L335" s="1">
        <v>1970</v>
      </c>
      <c r="M335" s="1">
        <v>1970</v>
      </c>
      <c r="N335" s="1">
        <f t="shared" si="135"/>
        <v>1970</v>
      </c>
      <c r="O335" s="1">
        <f t="shared" si="128"/>
        <v>1</v>
      </c>
      <c r="P335" s="1">
        <f t="shared" si="134"/>
        <v>0</v>
      </c>
      <c r="Q335" s="1">
        <v>8</v>
      </c>
      <c r="R335" s="1">
        <v>1</v>
      </c>
      <c r="S335" s="1" t="s">
        <v>26</v>
      </c>
      <c r="T335" s="1">
        <f t="shared" si="118"/>
        <v>0</v>
      </c>
      <c r="U335" s="1">
        <v>0</v>
      </c>
      <c r="V335" s="1">
        <v>1</v>
      </c>
      <c r="W335" s="1">
        <v>1</v>
      </c>
      <c r="X335" s="1">
        <v>1</v>
      </c>
      <c r="Y335" s="1">
        <v>0</v>
      </c>
      <c r="Z335" s="1">
        <v>0</v>
      </c>
      <c r="AA335" s="1">
        <v>0</v>
      </c>
      <c r="AB335" s="1" t="s">
        <v>85</v>
      </c>
      <c r="AC335" s="1">
        <f t="shared" si="133"/>
        <v>1</v>
      </c>
      <c r="AD335" s="1">
        <f t="shared" si="122"/>
        <v>1</v>
      </c>
      <c r="AE335" s="1">
        <v>0</v>
      </c>
      <c r="AF335" s="1">
        <v>7.5888299999999997</v>
      </c>
      <c r="AG335" s="1">
        <v>2.197225</v>
      </c>
      <c r="AH335" s="1">
        <f t="shared" si="141"/>
        <v>-0.73999999999999899</v>
      </c>
      <c r="AI335" s="1">
        <f t="shared" si="136"/>
        <v>-0.10620570281905926</v>
      </c>
      <c r="AJ335" s="1">
        <f t="shared" si="124"/>
        <v>0.14352122002575596</v>
      </c>
      <c r="AK335" s="1">
        <f t="shared" si="125"/>
        <v>48.547599999999996</v>
      </c>
      <c r="AL335" s="1">
        <f t="shared" si="126"/>
        <v>6.9676107813223895</v>
      </c>
      <c r="AM335" s="1">
        <v>0</v>
      </c>
      <c r="AN335" s="1">
        <v>0</v>
      </c>
      <c r="AO335" s="1">
        <v>1</v>
      </c>
      <c r="AP335" s="1">
        <f t="shared" si="137"/>
        <v>0.14433756729740646</v>
      </c>
      <c r="AQ335" s="1">
        <v>1</v>
      </c>
      <c r="AR335" s="1">
        <v>0</v>
      </c>
      <c r="AS335" s="1">
        <v>0</v>
      </c>
      <c r="AT335" s="1">
        <v>1</v>
      </c>
      <c r="AU335" s="4">
        <v>1</v>
      </c>
      <c r="AV335" s="4">
        <v>0</v>
      </c>
      <c r="AW335" s="1">
        <f t="shared" si="138"/>
        <v>3.5714285714285712E-2</v>
      </c>
      <c r="AX335" s="1">
        <f t="shared" si="139"/>
        <v>1.2755102040816326E-3</v>
      </c>
    </row>
    <row r="336" spans="1:50" x14ac:dyDescent="0.25">
      <c r="A336" s="1" t="s">
        <v>51</v>
      </c>
      <c r="B336" s="1">
        <v>1976</v>
      </c>
      <c r="C336" s="1">
        <f t="shared" si="140"/>
        <v>28</v>
      </c>
      <c r="D336" s="1" t="s">
        <v>24</v>
      </c>
      <c r="E336" s="1" t="s">
        <v>25</v>
      </c>
      <c r="F336" s="2">
        <v>-3.3599999999999998E-2</v>
      </c>
      <c r="G336" s="3">
        <v>3.6923076923076899E-2</v>
      </c>
      <c r="H336" s="1">
        <v>6</v>
      </c>
      <c r="I336" s="1">
        <v>53</v>
      </c>
      <c r="J336" s="1">
        <f t="shared" si="121"/>
        <v>47</v>
      </c>
      <c r="K336" s="1">
        <v>28</v>
      </c>
      <c r="L336" s="1">
        <v>1970</v>
      </c>
      <c r="M336" s="1">
        <v>1970</v>
      </c>
      <c r="N336" s="1">
        <f t="shared" si="135"/>
        <v>1970</v>
      </c>
      <c r="O336" s="1">
        <f t="shared" si="128"/>
        <v>1</v>
      </c>
      <c r="P336" s="1">
        <f t="shared" si="134"/>
        <v>0</v>
      </c>
      <c r="Q336" s="1">
        <v>8</v>
      </c>
      <c r="R336" s="1">
        <v>1</v>
      </c>
      <c r="S336" s="1" t="s">
        <v>26</v>
      </c>
      <c r="T336" s="1">
        <f t="shared" si="118"/>
        <v>0</v>
      </c>
      <c r="U336" s="1">
        <v>0</v>
      </c>
      <c r="V336" s="1">
        <v>1</v>
      </c>
      <c r="W336" s="1">
        <v>1</v>
      </c>
      <c r="X336" s="1">
        <v>1</v>
      </c>
      <c r="Y336" s="1">
        <v>0</v>
      </c>
      <c r="Z336" s="1">
        <v>0</v>
      </c>
      <c r="AA336" s="1">
        <v>0</v>
      </c>
      <c r="AB336" s="1" t="s">
        <v>85</v>
      </c>
      <c r="AC336" s="1">
        <f t="shared" si="133"/>
        <v>1</v>
      </c>
      <c r="AD336" s="1">
        <f t="shared" si="122"/>
        <v>1</v>
      </c>
      <c r="AE336" s="1">
        <v>0</v>
      </c>
      <c r="AF336" s="1">
        <v>7.5888299999999997</v>
      </c>
      <c r="AG336" s="1">
        <v>2.197225</v>
      </c>
      <c r="AH336" s="1">
        <f t="shared" si="141"/>
        <v>-0.91000000000000059</v>
      </c>
      <c r="AI336" s="1">
        <f t="shared" si="136"/>
        <v>-0.13158301340239401</v>
      </c>
      <c r="AJ336" s="1">
        <f t="shared" si="124"/>
        <v>0.14459671802460872</v>
      </c>
      <c r="AK336" s="1">
        <f t="shared" si="125"/>
        <v>47.828099999999992</v>
      </c>
      <c r="AL336" s="1">
        <f t="shared" si="126"/>
        <v>6.9157862893527868</v>
      </c>
      <c r="AM336" s="1">
        <v>0</v>
      </c>
      <c r="AN336" s="1">
        <v>0</v>
      </c>
      <c r="AO336" s="1">
        <v>1</v>
      </c>
      <c r="AP336" s="1">
        <f t="shared" si="137"/>
        <v>0.14586499149789456</v>
      </c>
      <c r="AQ336" s="1">
        <v>1</v>
      </c>
      <c r="AR336" s="1">
        <v>0</v>
      </c>
      <c r="AS336" s="1">
        <v>0</v>
      </c>
      <c r="AT336" s="1">
        <v>1</v>
      </c>
      <c r="AU336" s="4">
        <v>1</v>
      </c>
      <c r="AV336" s="4">
        <v>0</v>
      </c>
      <c r="AW336" s="1">
        <f t="shared" si="138"/>
        <v>3.5714285714285712E-2</v>
      </c>
      <c r="AX336" s="1">
        <f t="shared" si="139"/>
        <v>1.2755102040816326E-3</v>
      </c>
    </row>
    <row r="337" spans="1:50" x14ac:dyDescent="0.25">
      <c r="A337" s="1" t="s">
        <v>51</v>
      </c>
      <c r="B337" s="1">
        <v>1976</v>
      </c>
      <c r="C337" s="1">
        <f t="shared" si="140"/>
        <v>28</v>
      </c>
      <c r="D337" s="1" t="s">
        <v>24</v>
      </c>
      <c r="E337" s="1" t="s">
        <v>25</v>
      </c>
      <c r="F337" s="2">
        <v>-3.7900000000000003E-2</v>
      </c>
      <c r="G337" s="3">
        <v>3.5092592592592599E-2</v>
      </c>
      <c r="H337" s="1">
        <v>7</v>
      </c>
      <c r="I337" s="1">
        <v>53</v>
      </c>
      <c r="J337" s="1">
        <f t="shared" si="121"/>
        <v>46</v>
      </c>
      <c r="K337" s="1">
        <v>28</v>
      </c>
      <c r="L337" s="1">
        <v>1970</v>
      </c>
      <c r="M337" s="1">
        <v>1970</v>
      </c>
      <c r="N337" s="1">
        <f t="shared" si="135"/>
        <v>1970</v>
      </c>
      <c r="O337" s="1">
        <f t="shared" si="128"/>
        <v>1</v>
      </c>
      <c r="P337" s="1">
        <f t="shared" si="134"/>
        <v>0</v>
      </c>
      <c r="Q337" s="1">
        <v>8</v>
      </c>
      <c r="R337" s="1">
        <v>1</v>
      </c>
      <c r="S337" s="1" t="s">
        <v>26</v>
      </c>
      <c r="T337" s="1">
        <f t="shared" si="118"/>
        <v>0</v>
      </c>
      <c r="U337" s="1">
        <v>0</v>
      </c>
      <c r="V337" s="1">
        <v>1</v>
      </c>
      <c r="W337" s="1">
        <v>1</v>
      </c>
      <c r="X337" s="1">
        <v>1</v>
      </c>
      <c r="Y337" s="1">
        <v>0</v>
      </c>
      <c r="Z337" s="1">
        <v>0</v>
      </c>
      <c r="AA337" s="1">
        <v>0</v>
      </c>
      <c r="AB337" s="1" t="s">
        <v>85</v>
      </c>
      <c r="AC337" s="1">
        <f t="shared" si="133"/>
        <v>1</v>
      </c>
      <c r="AD337" s="1">
        <f t="shared" si="122"/>
        <v>1</v>
      </c>
      <c r="AE337" s="1">
        <v>0</v>
      </c>
      <c r="AF337" s="1">
        <v>7.5888299999999997</v>
      </c>
      <c r="AG337" s="1">
        <v>2.197225</v>
      </c>
      <c r="AH337" s="1">
        <f t="shared" si="141"/>
        <v>-1.0799999999999998</v>
      </c>
      <c r="AI337" s="1">
        <f t="shared" si="136"/>
        <v>-0.15725606009040549</v>
      </c>
      <c r="AJ337" s="1">
        <f t="shared" si="124"/>
        <v>0.14560746304667177</v>
      </c>
      <c r="AK337" s="1">
        <f t="shared" si="125"/>
        <v>47.166400000000003</v>
      </c>
      <c r="AL337" s="1">
        <f t="shared" si="126"/>
        <v>6.8677798450445398</v>
      </c>
      <c r="AM337" s="1">
        <v>0</v>
      </c>
      <c r="AN337" s="1">
        <v>0</v>
      </c>
      <c r="AO337" s="1">
        <v>1</v>
      </c>
      <c r="AP337" s="1">
        <f t="shared" si="137"/>
        <v>0.14744195615489714</v>
      </c>
      <c r="AQ337" s="1">
        <v>1</v>
      </c>
      <c r="AR337" s="1">
        <v>0</v>
      </c>
      <c r="AS337" s="1">
        <v>0</v>
      </c>
      <c r="AT337" s="1">
        <v>1</v>
      </c>
      <c r="AU337" s="4">
        <v>1</v>
      </c>
      <c r="AV337" s="4">
        <v>0</v>
      </c>
      <c r="AW337" s="1">
        <f t="shared" si="138"/>
        <v>3.5714285714285712E-2</v>
      </c>
      <c r="AX337" s="1">
        <f t="shared" si="139"/>
        <v>1.2755102040816326E-3</v>
      </c>
    </row>
    <row r="338" spans="1:50" x14ac:dyDescent="0.25">
      <c r="A338" s="1" t="s">
        <v>51</v>
      </c>
      <c r="B338" s="1">
        <v>1976</v>
      </c>
      <c r="C338" s="1">
        <f t="shared" si="140"/>
        <v>28</v>
      </c>
      <c r="D338" s="1" t="s">
        <v>24</v>
      </c>
      <c r="E338" s="1" t="s">
        <v>25</v>
      </c>
      <c r="F338" s="2">
        <v>-2.8999999999999998E-3</v>
      </c>
      <c r="G338" s="3">
        <v>1.5183246073298001E-3</v>
      </c>
      <c r="H338" s="1">
        <v>6</v>
      </c>
      <c r="I338" s="1">
        <v>53</v>
      </c>
      <c r="J338" s="1">
        <f t="shared" si="121"/>
        <v>47</v>
      </c>
      <c r="K338" s="1">
        <v>28</v>
      </c>
      <c r="L338" s="1">
        <v>1970</v>
      </c>
      <c r="M338" s="1">
        <v>1970</v>
      </c>
      <c r="N338" s="1">
        <f t="shared" si="135"/>
        <v>1970</v>
      </c>
      <c r="O338" s="1">
        <f t="shared" si="128"/>
        <v>1</v>
      </c>
      <c r="P338" s="1">
        <f t="shared" si="134"/>
        <v>0</v>
      </c>
      <c r="Q338" s="1">
        <v>8</v>
      </c>
      <c r="R338" s="1">
        <v>1</v>
      </c>
      <c r="S338" s="1" t="s">
        <v>26</v>
      </c>
      <c r="T338" s="1">
        <f t="shared" si="118"/>
        <v>0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0</v>
      </c>
      <c r="AB338" s="1" t="s">
        <v>85</v>
      </c>
      <c r="AC338" s="1">
        <f t="shared" si="133"/>
        <v>1</v>
      </c>
      <c r="AD338" s="1">
        <f t="shared" si="122"/>
        <v>1</v>
      </c>
      <c r="AE338" s="1">
        <v>0</v>
      </c>
      <c r="AF338" s="1">
        <v>7.5888299999999997</v>
      </c>
      <c r="AG338" s="1">
        <v>2.197225</v>
      </c>
      <c r="AH338" s="1">
        <f t="shared" si="141"/>
        <v>-1.9100000000000537</v>
      </c>
      <c r="AI338" s="1">
        <f t="shared" si="136"/>
        <v>-0.26838101328191216</v>
      </c>
      <c r="AJ338" s="1">
        <f t="shared" si="124"/>
        <v>0.14051361951932179</v>
      </c>
      <c r="AK338" s="1">
        <f t="shared" si="125"/>
        <v>50.648100000000191</v>
      </c>
      <c r="AL338" s="1">
        <f t="shared" si="126"/>
        <v>7.1167478527765899</v>
      </c>
      <c r="AM338" s="1">
        <v>0</v>
      </c>
      <c r="AN338" s="1">
        <v>0</v>
      </c>
      <c r="AO338" s="1">
        <v>1</v>
      </c>
      <c r="AP338" s="1">
        <f t="shared" si="137"/>
        <v>0.14586499149789456</v>
      </c>
      <c r="AQ338" s="1">
        <v>1</v>
      </c>
      <c r="AR338" s="1">
        <v>0</v>
      </c>
      <c r="AS338" s="1">
        <v>0</v>
      </c>
      <c r="AT338" s="1">
        <v>1</v>
      </c>
      <c r="AU338" s="4">
        <v>1</v>
      </c>
      <c r="AV338" s="4">
        <v>0</v>
      </c>
      <c r="AW338" s="1">
        <f t="shared" si="138"/>
        <v>3.5714285714285712E-2</v>
      </c>
      <c r="AX338" s="1">
        <f t="shared" si="139"/>
        <v>1.2755102040816326E-3</v>
      </c>
    </row>
    <row r="339" spans="1:50" x14ac:dyDescent="0.25">
      <c r="A339" s="1" t="s">
        <v>51</v>
      </c>
      <c r="B339" s="1">
        <v>1976</v>
      </c>
      <c r="C339" s="1">
        <f t="shared" si="140"/>
        <v>28</v>
      </c>
      <c r="D339" s="1" t="s">
        <v>24</v>
      </c>
      <c r="E339" s="1" t="s">
        <v>25</v>
      </c>
      <c r="F339" s="2">
        <v>-3.2000000000000002E-3</v>
      </c>
      <c r="G339" s="3">
        <v>1.849710982659E-3</v>
      </c>
      <c r="H339" s="1">
        <v>6</v>
      </c>
      <c r="I339" s="1">
        <v>53</v>
      </c>
      <c r="J339" s="1">
        <f t="shared" si="121"/>
        <v>47</v>
      </c>
      <c r="K339" s="1">
        <v>28</v>
      </c>
      <c r="L339" s="1">
        <v>1970</v>
      </c>
      <c r="M339" s="1">
        <v>1970</v>
      </c>
      <c r="N339" s="1">
        <f t="shared" si="135"/>
        <v>1970</v>
      </c>
      <c r="O339" s="1">
        <f t="shared" si="128"/>
        <v>1</v>
      </c>
      <c r="P339" s="1">
        <f t="shared" si="134"/>
        <v>0</v>
      </c>
      <c r="Q339" s="1">
        <v>8</v>
      </c>
      <c r="R339" s="1">
        <v>1</v>
      </c>
      <c r="S339" s="1" t="s">
        <v>26</v>
      </c>
      <c r="T339" s="1">
        <f t="shared" si="118"/>
        <v>0</v>
      </c>
      <c r="U339" s="1">
        <v>0</v>
      </c>
      <c r="V339" s="1">
        <v>1</v>
      </c>
      <c r="W339" s="1">
        <v>1</v>
      </c>
      <c r="X339" s="1">
        <v>1</v>
      </c>
      <c r="Y339" s="1">
        <v>0</v>
      </c>
      <c r="Z339" s="1">
        <v>0</v>
      </c>
      <c r="AA339" s="1">
        <v>0</v>
      </c>
      <c r="AB339" s="1" t="s">
        <v>85</v>
      </c>
      <c r="AC339" s="1">
        <f t="shared" si="133"/>
        <v>1</v>
      </c>
      <c r="AD339" s="1">
        <f t="shared" si="122"/>
        <v>1</v>
      </c>
      <c r="AE339" s="1">
        <v>0</v>
      </c>
      <c r="AF339" s="1">
        <v>7.5888299999999997</v>
      </c>
      <c r="AG339" s="1">
        <v>2.197225</v>
      </c>
      <c r="AH339" s="1">
        <f t="shared" si="141"/>
        <v>-1.7299999999999622</v>
      </c>
      <c r="AI339" s="1">
        <f t="shared" si="136"/>
        <v>-0.24467631892593464</v>
      </c>
      <c r="AJ339" s="1">
        <f t="shared" si="124"/>
        <v>0.1414313982230867</v>
      </c>
      <c r="AK339" s="1">
        <f t="shared" si="125"/>
        <v>49.99289999999985</v>
      </c>
      <c r="AL339" s="1">
        <f t="shared" si="126"/>
        <v>7.0705657482269304</v>
      </c>
      <c r="AM339" s="1">
        <v>0</v>
      </c>
      <c r="AN339" s="1">
        <v>0</v>
      </c>
      <c r="AO339" s="1">
        <v>1</v>
      </c>
      <c r="AP339" s="1">
        <f t="shared" si="137"/>
        <v>0.14586499149789456</v>
      </c>
      <c r="AQ339" s="1">
        <v>1</v>
      </c>
      <c r="AR339" s="1">
        <v>0</v>
      </c>
      <c r="AS339" s="1">
        <v>0</v>
      </c>
      <c r="AT339" s="1">
        <v>0</v>
      </c>
      <c r="AU339" s="4">
        <v>1</v>
      </c>
      <c r="AV339" s="4">
        <v>0</v>
      </c>
      <c r="AW339" s="1">
        <f t="shared" si="138"/>
        <v>3.5714285714285712E-2</v>
      </c>
      <c r="AX339" s="1">
        <f t="shared" si="139"/>
        <v>1.2755102040816326E-3</v>
      </c>
    </row>
    <row r="340" spans="1:50" x14ac:dyDescent="0.25">
      <c r="A340" s="1" t="s">
        <v>111</v>
      </c>
      <c r="B340" s="1">
        <v>1991</v>
      </c>
      <c r="C340" s="1">
        <f t="shared" si="140"/>
        <v>29</v>
      </c>
      <c r="D340" s="1" t="s">
        <v>24</v>
      </c>
      <c r="E340" s="1" t="s">
        <v>25</v>
      </c>
      <c r="F340" s="2">
        <v>-6.8000000000000005E-2</v>
      </c>
      <c r="G340" s="3">
        <v>2.3E-2</v>
      </c>
      <c r="H340" s="1">
        <v>11</v>
      </c>
      <c r="I340" s="1">
        <v>66</v>
      </c>
      <c r="J340" s="1">
        <f t="shared" si="121"/>
        <v>55</v>
      </c>
      <c r="K340" s="1">
        <v>3</v>
      </c>
      <c r="L340" s="1">
        <v>1974</v>
      </c>
      <c r="M340" s="1">
        <v>1984</v>
      </c>
      <c r="N340" s="1">
        <f t="shared" ref="N340:N343" si="142">+L340+(M340-L340)/2</f>
        <v>1979</v>
      </c>
      <c r="O340" s="1">
        <f t="shared" ref="O340" si="143">+M340-L340+1</f>
        <v>11</v>
      </c>
      <c r="P340" s="1">
        <f t="shared" si="134"/>
        <v>2.3978952727983707</v>
      </c>
      <c r="Q340" s="1">
        <v>290</v>
      </c>
      <c r="R340" s="1">
        <v>38</v>
      </c>
      <c r="S340" s="1" t="s">
        <v>26</v>
      </c>
      <c r="T340" s="1">
        <f t="shared" ref="T340:T371" si="144">IF(S340="OLS",0,IF(S340="FE",0,IF(S340="Probit model",0,IF(S340="3SLS",1,IF(S340="Logit",0,IF(S340="2SLS",1,IF(S340="SUR method",1,IF(S340="Modified LS",0,IF(S340="Zenner estimates",1,IF(S340="MLE",0,IF(S340="GLS",0,0)))))))))))</f>
        <v>0</v>
      </c>
      <c r="U340" s="1">
        <v>0</v>
      </c>
      <c r="V340" s="1">
        <v>1</v>
      </c>
      <c r="W340" s="1">
        <v>0</v>
      </c>
      <c r="X340" s="1">
        <v>1</v>
      </c>
      <c r="Y340" s="1">
        <v>0</v>
      </c>
      <c r="Z340" s="1">
        <v>0</v>
      </c>
      <c r="AA340" s="1">
        <v>0</v>
      </c>
      <c r="AB340" s="1" t="s">
        <v>85</v>
      </c>
      <c r="AC340" s="1">
        <f t="shared" si="133"/>
        <v>1</v>
      </c>
      <c r="AD340" s="1">
        <f t="shared" si="122"/>
        <v>1</v>
      </c>
      <c r="AE340" s="1">
        <v>1</v>
      </c>
      <c r="AF340" s="1">
        <v>7.5963919999999998</v>
      </c>
      <c r="AG340" s="1">
        <v>5.6733229999999999</v>
      </c>
      <c r="AH340" s="1">
        <f t="shared" si="141"/>
        <v>-2.956521739130435</v>
      </c>
      <c r="AI340" s="1">
        <f t="shared" si="136"/>
        <v>-0.37031522645504694</v>
      </c>
      <c r="AJ340" s="1">
        <f t="shared" si="124"/>
        <v>0.12525367953626587</v>
      </c>
      <c r="AK340" s="1">
        <f t="shared" si="125"/>
        <v>63.741020793950845</v>
      </c>
      <c r="AL340" s="1">
        <f t="shared" si="126"/>
        <v>7.9837973918399792</v>
      </c>
      <c r="AM340" s="1">
        <v>0</v>
      </c>
      <c r="AN340" s="1">
        <v>0</v>
      </c>
      <c r="AO340" s="1">
        <v>1</v>
      </c>
      <c r="AP340" s="1">
        <f t="shared" si="137"/>
        <v>0.13483997249264842</v>
      </c>
      <c r="AQ340" s="1">
        <v>1</v>
      </c>
      <c r="AR340" s="1">
        <v>0</v>
      </c>
      <c r="AS340" s="1">
        <v>0</v>
      </c>
      <c r="AT340" s="1">
        <v>0</v>
      </c>
      <c r="AU340" s="4">
        <v>0</v>
      </c>
      <c r="AV340" s="4">
        <v>0</v>
      </c>
      <c r="AW340" s="1">
        <f t="shared" si="138"/>
        <v>0.33333333333333331</v>
      </c>
      <c r="AX340" s="1">
        <f t="shared" si="139"/>
        <v>0.1111111111111111</v>
      </c>
    </row>
    <row r="341" spans="1:50" x14ac:dyDescent="0.25">
      <c r="A341" s="1" t="s">
        <v>111</v>
      </c>
      <c r="B341" s="1">
        <v>1991</v>
      </c>
      <c r="C341" s="1">
        <f t="shared" si="140"/>
        <v>29</v>
      </c>
      <c r="D341" s="1" t="s">
        <v>24</v>
      </c>
      <c r="E341" s="1" t="s">
        <v>25</v>
      </c>
      <c r="F341" s="2">
        <v>-3.5999999999999997E-2</v>
      </c>
      <c r="G341" s="3">
        <v>6.0000000000000001E-3</v>
      </c>
      <c r="H341" s="1">
        <v>11</v>
      </c>
      <c r="I341" s="1">
        <v>60</v>
      </c>
      <c r="J341" s="1">
        <f t="shared" si="121"/>
        <v>49</v>
      </c>
      <c r="K341" s="1">
        <v>3</v>
      </c>
      <c r="L341" s="1">
        <v>1974</v>
      </c>
      <c r="M341" s="1">
        <v>1984</v>
      </c>
      <c r="N341" s="1">
        <f t="shared" ref="N341:N342" si="145">+L341+(M341-L341)/2</f>
        <v>1979</v>
      </c>
      <c r="O341" s="1">
        <f t="shared" ref="O341:O343" si="146">+M341-L341+1</f>
        <v>11</v>
      </c>
      <c r="P341" s="1">
        <f t="shared" si="134"/>
        <v>2.3978952727983707</v>
      </c>
      <c r="Q341" s="1">
        <v>290</v>
      </c>
      <c r="R341" s="1">
        <v>38</v>
      </c>
      <c r="S341" s="1" t="s">
        <v>26</v>
      </c>
      <c r="T341" s="1">
        <f t="shared" si="144"/>
        <v>0</v>
      </c>
      <c r="U341" s="1">
        <v>0</v>
      </c>
      <c r="V341" s="1">
        <v>1</v>
      </c>
      <c r="W341" s="1">
        <v>0</v>
      </c>
      <c r="X341" s="1">
        <v>1</v>
      </c>
      <c r="Y341" s="1">
        <v>0</v>
      </c>
      <c r="Z341" s="1">
        <v>0</v>
      </c>
      <c r="AA341" s="1">
        <v>0</v>
      </c>
      <c r="AB341" s="1" t="s">
        <v>85</v>
      </c>
      <c r="AC341" s="1">
        <f t="shared" si="133"/>
        <v>1</v>
      </c>
      <c r="AD341" s="1">
        <f t="shared" si="122"/>
        <v>1</v>
      </c>
      <c r="AE341" s="1">
        <v>1</v>
      </c>
      <c r="AF341" s="1">
        <v>7.5963919999999998</v>
      </c>
      <c r="AG341" s="1">
        <v>5.6733229999999999</v>
      </c>
      <c r="AH341" s="1">
        <f t="shared" si="141"/>
        <v>-5.9999999999999991</v>
      </c>
      <c r="AI341" s="1">
        <f t="shared" si="136"/>
        <v>-0.65079137345596849</v>
      </c>
      <c r="AJ341" s="1">
        <f t="shared" si="124"/>
        <v>0.1084652289093281</v>
      </c>
      <c r="AK341" s="1">
        <f t="shared" si="125"/>
        <v>84.999999999999986</v>
      </c>
      <c r="AL341" s="1">
        <f t="shared" si="126"/>
        <v>9.2195444572928871</v>
      </c>
      <c r="AM341" s="1">
        <v>0</v>
      </c>
      <c r="AN341" s="1">
        <v>0</v>
      </c>
      <c r="AO341" s="1">
        <v>1</v>
      </c>
      <c r="AP341" s="1">
        <f t="shared" si="137"/>
        <v>0.14285714285714285</v>
      </c>
      <c r="AQ341" s="1">
        <v>1</v>
      </c>
      <c r="AR341" s="1">
        <v>0</v>
      </c>
      <c r="AS341" s="1">
        <v>0</v>
      </c>
      <c r="AT341" s="1">
        <v>0</v>
      </c>
      <c r="AU341" s="4">
        <v>1</v>
      </c>
      <c r="AV341" s="4">
        <v>0</v>
      </c>
      <c r="AW341" s="1">
        <f t="shared" si="138"/>
        <v>0.33333333333333331</v>
      </c>
      <c r="AX341" s="1">
        <f t="shared" si="139"/>
        <v>0.1111111111111111</v>
      </c>
    </row>
    <row r="342" spans="1:50" x14ac:dyDescent="0.25">
      <c r="A342" s="1" t="s">
        <v>111</v>
      </c>
      <c r="B342" s="1">
        <v>1991</v>
      </c>
      <c r="C342" s="1">
        <f t="shared" si="140"/>
        <v>29</v>
      </c>
      <c r="D342" s="1" t="s">
        <v>24</v>
      </c>
      <c r="E342" s="1" t="s">
        <v>25</v>
      </c>
      <c r="F342" s="2">
        <v>-3.7999999999999999E-2</v>
      </c>
      <c r="G342" s="3">
        <v>3.4000000000000002E-2</v>
      </c>
      <c r="H342" s="1">
        <v>11</v>
      </c>
      <c r="I342" s="1">
        <v>60</v>
      </c>
      <c r="J342" s="1">
        <f t="shared" si="121"/>
        <v>49</v>
      </c>
      <c r="K342" s="1">
        <v>3</v>
      </c>
      <c r="L342" s="1">
        <v>1974</v>
      </c>
      <c r="M342" s="1">
        <v>1984</v>
      </c>
      <c r="N342" s="1">
        <f t="shared" si="145"/>
        <v>1979</v>
      </c>
      <c r="O342" s="1">
        <f t="shared" si="146"/>
        <v>11</v>
      </c>
      <c r="P342" s="1">
        <f t="shared" si="134"/>
        <v>2.3978952727983707</v>
      </c>
      <c r="Q342" s="1">
        <v>290</v>
      </c>
      <c r="R342" s="1">
        <v>38</v>
      </c>
      <c r="S342" s="1" t="s">
        <v>26</v>
      </c>
      <c r="T342" s="1">
        <f t="shared" si="144"/>
        <v>0</v>
      </c>
      <c r="U342" s="1">
        <v>0</v>
      </c>
      <c r="V342" s="1">
        <v>1</v>
      </c>
      <c r="W342" s="1">
        <v>0</v>
      </c>
      <c r="X342" s="1">
        <v>1</v>
      </c>
      <c r="Y342" s="1">
        <v>0</v>
      </c>
      <c r="Z342" s="1">
        <v>0</v>
      </c>
      <c r="AA342" s="1">
        <v>0</v>
      </c>
      <c r="AB342" s="1" t="s">
        <v>85</v>
      </c>
      <c r="AC342" s="1">
        <f t="shared" si="133"/>
        <v>1</v>
      </c>
      <c r="AD342" s="1">
        <f t="shared" si="122"/>
        <v>1</v>
      </c>
      <c r="AE342" s="1">
        <v>1</v>
      </c>
      <c r="AF342" s="1">
        <v>7.5963919999999998</v>
      </c>
      <c r="AG342" s="1">
        <v>5.6733229999999999</v>
      </c>
      <c r="AH342" s="1">
        <f t="shared" si="141"/>
        <v>-1.1176470588235292</v>
      </c>
      <c r="AI342" s="1">
        <f t="shared" si="136"/>
        <v>-0.1576668477240217</v>
      </c>
      <c r="AJ342" s="1">
        <f t="shared" si="124"/>
        <v>0.14107033743728259</v>
      </c>
      <c r="AK342" s="1">
        <f t="shared" si="125"/>
        <v>50.249134948096902</v>
      </c>
      <c r="AL342" s="1">
        <f t="shared" si="126"/>
        <v>7.0886624230595787</v>
      </c>
      <c r="AM342" s="1">
        <v>0</v>
      </c>
      <c r="AN342" s="1">
        <v>0</v>
      </c>
      <c r="AO342" s="1">
        <v>1</v>
      </c>
      <c r="AP342" s="1">
        <f t="shared" si="137"/>
        <v>0.14285714285714285</v>
      </c>
      <c r="AQ342" s="1">
        <v>1</v>
      </c>
      <c r="AR342" s="1">
        <v>0</v>
      </c>
      <c r="AS342" s="1">
        <v>0</v>
      </c>
      <c r="AT342" s="1">
        <v>0</v>
      </c>
      <c r="AU342" s="4">
        <v>0</v>
      </c>
      <c r="AV342" s="4">
        <v>1</v>
      </c>
      <c r="AW342" s="1">
        <f t="shared" si="138"/>
        <v>0.33333333333333331</v>
      </c>
      <c r="AX342" s="1">
        <f t="shared" si="139"/>
        <v>0.1111111111111111</v>
      </c>
    </row>
    <row r="343" spans="1:50" x14ac:dyDescent="0.25">
      <c r="A343" s="1" t="s">
        <v>57</v>
      </c>
      <c r="B343" s="1">
        <v>2005</v>
      </c>
      <c r="C343" s="1">
        <f t="shared" si="140"/>
        <v>30</v>
      </c>
      <c r="D343" s="1" t="s">
        <v>24</v>
      </c>
      <c r="E343" s="1" t="s">
        <v>25</v>
      </c>
      <c r="F343" s="2">
        <v>-0.26500000000000001</v>
      </c>
      <c r="G343" s="3">
        <v>6.0779816513761499E-2</v>
      </c>
      <c r="H343" s="1">
        <v>6</v>
      </c>
      <c r="I343" s="1">
        <v>165</v>
      </c>
      <c r="J343" s="1">
        <f t="shared" si="121"/>
        <v>159</v>
      </c>
      <c r="K343" s="1">
        <v>47</v>
      </c>
      <c r="L343" s="1">
        <v>1992</v>
      </c>
      <c r="M343" s="1">
        <v>2001</v>
      </c>
      <c r="N343" s="1">
        <f t="shared" si="142"/>
        <v>1996.5</v>
      </c>
      <c r="O343" s="1">
        <f t="shared" si="146"/>
        <v>10</v>
      </c>
      <c r="P343" s="1">
        <f t="shared" si="134"/>
        <v>2.3025850929940459</v>
      </c>
      <c r="Q343" s="1">
        <v>42</v>
      </c>
      <c r="R343" s="1">
        <v>9</v>
      </c>
      <c r="S343" s="1" t="s">
        <v>27</v>
      </c>
      <c r="T343" s="1">
        <f t="shared" si="144"/>
        <v>0</v>
      </c>
      <c r="U343" s="1">
        <v>1</v>
      </c>
      <c r="V343" s="1">
        <v>1</v>
      </c>
      <c r="W343" s="1">
        <v>0</v>
      </c>
      <c r="X343" s="1">
        <v>1</v>
      </c>
      <c r="Y343" s="1">
        <v>0</v>
      </c>
      <c r="Z343" s="1">
        <v>0</v>
      </c>
      <c r="AA343" s="1">
        <v>0</v>
      </c>
      <c r="AB343" s="1" t="s">
        <v>88</v>
      </c>
      <c r="AC343" s="1">
        <f t="shared" si="133"/>
        <v>3</v>
      </c>
      <c r="AD343" s="1">
        <f t="shared" si="122"/>
        <v>0</v>
      </c>
      <c r="AE343" s="1">
        <v>1</v>
      </c>
      <c r="AF343" s="1">
        <v>7.6033989999999996</v>
      </c>
      <c r="AG343" s="1">
        <v>3.7612000000000001</v>
      </c>
      <c r="AH343" s="1">
        <f t="shared" si="141"/>
        <v>-4.3599999999999977</v>
      </c>
      <c r="AI343" s="1">
        <f t="shared" si="136"/>
        <v>-0.32678700428718538</v>
      </c>
      <c r="AJ343" s="1">
        <f t="shared" si="124"/>
        <v>7.4951147772290269E-2</v>
      </c>
      <c r="AK343" s="1">
        <f t="shared" si="125"/>
        <v>178.00959999999998</v>
      </c>
      <c r="AL343" s="1">
        <f t="shared" si="126"/>
        <v>13.34202383448628</v>
      </c>
      <c r="AM343" s="1">
        <v>0</v>
      </c>
      <c r="AN343" s="1">
        <v>1</v>
      </c>
      <c r="AO343" s="1">
        <v>0</v>
      </c>
      <c r="AP343" s="1">
        <f t="shared" si="137"/>
        <v>7.9305158571814416E-2</v>
      </c>
      <c r="AQ343" s="1">
        <v>0</v>
      </c>
      <c r="AR343" s="1">
        <v>1</v>
      </c>
      <c r="AS343" s="1">
        <v>1</v>
      </c>
      <c r="AT343" s="1">
        <v>0</v>
      </c>
      <c r="AU343" s="4">
        <v>0</v>
      </c>
      <c r="AV343" s="4">
        <v>1</v>
      </c>
      <c r="AW343" s="1">
        <f t="shared" si="138"/>
        <v>2.1276595744680851E-2</v>
      </c>
      <c r="AX343" s="1">
        <f t="shared" si="139"/>
        <v>4.526935264825713E-4</v>
      </c>
    </row>
    <row r="344" spans="1:50" x14ac:dyDescent="0.25">
      <c r="A344" s="1" t="s">
        <v>57</v>
      </c>
      <c r="B344" s="1">
        <v>2005</v>
      </c>
      <c r="C344" s="1">
        <f t="shared" si="140"/>
        <v>30</v>
      </c>
      <c r="D344" s="1" t="s">
        <v>24</v>
      </c>
      <c r="E344" s="1" t="s">
        <v>25</v>
      </c>
      <c r="F344" s="2">
        <v>-0.28599999999999998</v>
      </c>
      <c r="G344" s="3">
        <v>5.0619469026548701E-2</v>
      </c>
      <c r="H344" s="1">
        <v>3</v>
      </c>
      <c r="I344" s="1">
        <v>165</v>
      </c>
      <c r="J344" s="1">
        <f t="shared" si="121"/>
        <v>162</v>
      </c>
      <c r="K344" s="1">
        <v>47</v>
      </c>
      <c r="L344" s="1">
        <v>1992</v>
      </c>
      <c r="M344" s="1">
        <v>2001</v>
      </c>
      <c r="N344" s="1">
        <f t="shared" ref="N344:N389" si="147">+L344+(M344-L344)/2</f>
        <v>1996.5</v>
      </c>
      <c r="O344" s="1">
        <f t="shared" ref="O344:O391" si="148">+M344-L344+1</f>
        <v>10</v>
      </c>
      <c r="P344" s="1">
        <f t="shared" si="134"/>
        <v>2.3025850929940459</v>
      </c>
      <c r="Q344" s="1">
        <v>42</v>
      </c>
      <c r="R344" s="1">
        <v>9</v>
      </c>
      <c r="S344" s="1" t="s">
        <v>27</v>
      </c>
      <c r="T344" s="1">
        <f t="shared" si="144"/>
        <v>0</v>
      </c>
      <c r="U344" s="1">
        <v>1</v>
      </c>
      <c r="V344" s="1">
        <v>0</v>
      </c>
      <c r="W344" s="1">
        <v>0</v>
      </c>
      <c r="X344" s="1">
        <v>1</v>
      </c>
      <c r="Y344" s="1">
        <v>0</v>
      </c>
      <c r="Z344" s="1">
        <v>0</v>
      </c>
      <c r="AA344" s="1">
        <v>0</v>
      </c>
      <c r="AB344" s="1" t="s">
        <v>88</v>
      </c>
      <c r="AC344" s="1">
        <f t="shared" si="133"/>
        <v>3</v>
      </c>
      <c r="AD344" s="1">
        <f t="shared" si="122"/>
        <v>0</v>
      </c>
      <c r="AE344" s="1">
        <v>1</v>
      </c>
      <c r="AF344" s="1">
        <v>7.6033989999999996</v>
      </c>
      <c r="AG344" s="1">
        <v>3.7612000000000001</v>
      </c>
      <c r="AH344" s="1">
        <f t="shared" si="141"/>
        <v>-5.6499999999999968</v>
      </c>
      <c r="AI344" s="1">
        <f t="shared" si="136"/>
        <v>-0.40572740862709245</v>
      </c>
      <c r="AJ344" s="1">
        <f t="shared" si="124"/>
        <v>7.1810160818954458E-2</v>
      </c>
      <c r="AK344" s="1">
        <f t="shared" si="125"/>
        <v>193.92249999999996</v>
      </c>
      <c r="AL344" s="1">
        <f t="shared" si="126"/>
        <v>13.92560591141369</v>
      </c>
      <c r="AM344" s="1">
        <v>0</v>
      </c>
      <c r="AN344" s="1">
        <v>1</v>
      </c>
      <c r="AO344" s="1">
        <v>0</v>
      </c>
      <c r="AP344" s="1">
        <f t="shared" si="137"/>
        <v>7.8567420131838608E-2</v>
      </c>
      <c r="AQ344" s="1">
        <v>0</v>
      </c>
      <c r="AR344" s="1">
        <v>1</v>
      </c>
      <c r="AS344" s="1">
        <v>1</v>
      </c>
      <c r="AT344" s="1">
        <v>0</v>
      </c>
      <c r="AU344" s="4">
        <v>0</v>
      </c>
      <c r="AV344" s="4">
        <v>1</v>
      </c>
      <c r="AW344" s="1">
        <f t="shared" si="138"/>
        <v>2.1276595744680851E-2</v>
      </c>
      <c r="AX344" s="1">
        <f t="shared" si="139"/>
        <v>4.526935264825713E-4</v>
      </c>
    </row>
    <row r="345" spans="1:50" x14ac:dyDescent="0.25">
      <c r="A345" s="1" t="s">
        <v>57</v>
      </c>
      <c r="B345" s="1">
        <v>2005</v>
      </c>
      <c r="C345" s="1">
        <f t="shared" si="140"/>
        <v>30</v>
      </c>
      <c r="D345" s="1" t="s">
        <v>24</v>
      </c>
      <c r="E345" s="1" t="s">
        <v>25</v>
      </c>
      <c r="F345" s="2">
        <v>2.7E-2</v>
      </c>
      <c r="G345" s="3">
        <v>7.1052631578947395E-2</v>
      </c>
      <c r="H345" s="1">
        <v>6</v>
      </c>
      <c r="I345" s="1">
        <v>50</v>
      </c>
      <c r="J345" s="1">
        <f t="shared" si="121"/>
        <v>44</v>
      </c>
      <c r="K345" s="1">
        <v>47</v>
      </c>
      <c r="L345" s="1">
        <v>1992</v>
      </c>
      <c r="M345" s="1">
        <v>2001</v>
      </c>
      <c r="N345" s="1">
        <f t="shared" si="147"/>
        <v>1996.5</v>
      </c>
      <c r="O345" s="1">
        <f t="shared" si="148"/>
        <v>10</v>
      </c>
      <c r="P345" s="1">
        <f t="shared" si="134"/>
        <v>2.3025850929940459</v>
      </c>
      <c r="Q345" s="1">
        <v>42</v>
      </c>
      <c r="R345" s="1">
        <v>9</v>
      </c>
      <c r="S345" s="1" t="s">
        <v>27</v>
      </c>
      <c r="T345" s="1">
        <f t="shared" si="144"/>
        <v>0</v>
      </c>
      <c r="U345" s="1">
        <v>1</v>
      </c>
      <c r="V345" s="1">
        <v>1</v>
      </c>
      <c r="W345" s="1">
        <v>0</v>
      </c>
      <c r="X345" s="1">
        <v>1</v>
      </c>
      <c r="Y345" s="1">
        <v>0</v>
      </c>
      <c r="Z345" s="1">
        <v>0</v>
      </c>
      <c r="AA345" s="1">
        <v>0</v>
      </c>
      <c r="AB345" s="1" t="s">
        <v>88</v>
      </c>
      <c r="AC345" s="1">
        <f t="shared" si="133"/>
        <v>3</v>
      </c>
      <c r="AD345" s="1">
        <f t="shared" si="122"/>
        <v>0</v>
      </c>
      <c r="AE345" s="1">
        <v>1</v>
      </c>
      <c r="AF345" s="1">
        <v>7.6033989999999996</v>
      </c>
      <c r="AG345" s="1">
        <v>3.7612000000000001</v>
      </c>
      <c r="AH345" s="1">
        <f t="shared" si="141"/>
        <v>0.37999999999999984</v>
      </c>
      <c r="AI345" s="1">
        <f t="shared" si="136"/>
        <v>5.7193383200207774E-2</v>
      </c>
      <c r="AJ345" s="1">
        <f t="shared" si="124"/>
        <v>0.15050890315844156</v>
      </c>
      <c r="AK345" s="1">
        <f t="shared" si="125"/>
        <v>44.144399999999997</v>
      </c>
      <c r="AL345" s="1">
        <f t="shared" si="126"/>
        <v>6.6441252245875075</v>
      </c>
      <c r="AM345" s="1">
        <v>0</v>
      </c>
      <c r="AN345" s="1">
        <v>1</v>
      </c>
      <c r="AO345" s="1">
        <v>0</v>
      </c>
      <c r="AP345" s="1">
        <f t="shared" si="137"/>
        <v>0.15075567228888181</v>
      </c>
      <c r="AQ345" s="1">
        <v>0</v>
      </c>
      <c r="AR345" s="1">
        <v>1</v>
      </c>
      <c r="AS345" s="1">
        <v>1</v>
      </c>
      <c r="AT345" s="1">
        <v>0</v>
      </c>
      <c r="AU345" s="4">
        <v>0</v>
      </c>
      <c r="AV345" s="4">
        <v>1</v>
      </c>
      <c r="AW345" s="1">
        <f t="shared" si="138"/>
        <v>2.1276595744680851E-2</v>
      </c>
      <c r="AX345" s="1">
        <f t="shared" si="139"/>
        <v>4.526935264825713E-4</v>
      </c>
    </row>
    <row r="346" spans="1:50" x14ac:dyDescent="0.25">
      <c r="A346" s="1" t="s">
        <v>57</v>
      </c>
      <c r="B346" s="1">
        <v>2005</v>
      </c>
      <c r="C346" s="1">
        <f t="shared" si="140"/>
        <v>30</v>
      </c>
      <c r="D346" s="1" t="s">
        <v>24</v>
      </c>
      <c r="E346" s="1" t="s">
        <v>25</v>
      </c>
      <c r="F346" s="2">
        <v>-0.255</v>
      </c>
      <c r="G346" s="3">
        <v>8.5858585858585898E-2</v>
      </c>
      <c r="H346" s="1">
        <v>6</v>
      </c>
      <c r="I346" s="1">
        <v>49</v>
      </c>
      <c r="J346" s="1">
        <f t="shared" si="121"/>
        <v>43</v>
      </c>
      <c r="K346" s="1">
        <v>47</v>
      </c>
      <c r="L346" s="1">
        <v>1992</v>
      </c>
      <c r="M346" s="1">
        <v>2001</v>
      </c>
      <c r="N346" s="1">
        <f t="shared" si="147"/>
        <v>1996.5</v>
      </c>
      <c r="O346" s="1">
        <f t="shared" si="148"/>
        <v>10</v>
      </c>
      <c r="P346" s="1">
        <f t="shared" si="134"/>
        <v>2.3025850929940459</v>
      </c>
      <c r="Q346" s="1">
        <v>42</v>
      </c>
      <c r="R346" s="1">
        <v>9</v>
      </c>
      <c r="S346" s="1" t="s">
        <v>27</v>
      </c>
      <c r="T346" s="1">
        <f t="shared" si="144"/>
        <v>0</v>
      </c>
      <c r="U346" s="1">
        <v>1</v>
      </c>
      <c r="V346" s="1">
        <v>1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  <c r="AB346" s="1" t="s">
        <v>88</v>
      </c>
      <c r="AC346" s="1">
        <f t="shared" si="133"/>
        <v>3</v>
      </c>
      <c r="AD346" s="1">
        <f t="shared" si="122"/>
        <v>0</v>
      </c>
      <c r="AE346" s="1">
        <v>1</v>
      </c>
      <c r="AF346" s="1">
        <v>7.6033989999999996</v>
      </c>
      <c r="AG346" s="1">
        <v>3.7612000000000001</v>
      </c>
      <c r="AH346" s="1">
        <f t="shared" si="141"/>
        <v>-2.9699999999999989</v>
      </c>
      <c r="AI346" s="1">
        <f t="shared" si="136"/>
        <v>-0.4125760120352206</v>
      </c>
      <c r="AJ346" s="1">
        <f t="shared" si="124"/>
        <v>0.13891448216674099</v>
      </c>
      <c r="AK346" s="1">
        <f t="shared" si="125"/>
        <v>51.820900000000002</v>
      </c>
      <c r="AL346" s="1">
        <f t="shared" si="126"/>
        <v>7.1986734889144683</v>
      </c>
      <c r="AM346" s="1">
        <v>0</v>
      </c>
      <c r="AN346" s="1">
        <v>1</v>
      </c>
      <c r="AO346" s="1">
        <v>0</v>
      </c>
      <c r="AP346" s="1">
        <f t="shared" si="137"/>
        <v>0.15249857033260467</v>
      </c>
      <c r="AQ346" s="1">
        <v>0</v>
      </c>
      <c r="AR346" s="1">
        <v>1</v>
      </c>
      <c r="AS346" s="1">
        <v>1</v>
      </c>
      <c r="AT346" s="1">
        <v>0</v>
      </c>
      <c r="AU346" s="4">
        <v>0</v>
      </c>
      <c r="AV346" s="4">
        <v>1</v>
      </c>
      <c r="AW346" s="1">
        <f t="shared" si="138"/>
        <v>2.1276595744680851E-2</v>
      </c>
      <c r="AX346" s="1">
        <f t="shared" si="139"/>
        <v>4.526935264825713E-4</v>
      </c>
    </row>
    <row r="347" spans="1:50" x14ac:dyDescent="0.25">
      <c r="A347" s="1" t="s">
        <v>57</v>
      </c>
      <c r="B347" s="1">
        <v>2005</v>
      </c>
      <c r="C347" s="1">
        <f t="shared" si="140"/>
        <v>30</v>
      </c>
      <c r="D347" s="1" t="s">
        <v>24</v>
      </c>
      <c r="E347" s="1" t="s">
        <v>25</v>
      </c>
      <c r="F347" s="2">
        <v>-0.24</v>
      </c>
      <c r="G347" s="3">
        <v>7.9207920792079195E-2</v>
      </c>
      <c r="H347" s="1">
        <v>3</v>
      </c>
      <c r="I347" s="1">
        <v>49</v>
      </c>
      <c r="J347" s="1">
        <f t="shared" si="121"/>
        <v>46</v>
      </c>
      <c r="K347" s="1">
        <v>47</v>
      </c>
      <c r="L347" s="1">
        <v>1992</v>
      </c>
      <c r="M347" s="1">
        <v>2001</v>
      </c>
      <c r="N347" s="1">
        <f t="shared" si="147"/>
        <v>1996.5</v>
      </c>
      <c r="O347" s="1">
        <f t="shared" si="148"/>
        <v>10</v>
      </c>
      <c r="P347" s="1">
        <f t="shared" si="134"/>
        <v>2.3025850929940459</v>
      </c>
      <c r="Q347" s="1">
        <v>42</v>
      </c>
      <c r="R347" s="1">
        <v>9</v>
      </c>
      <c r="S347" s="1" t="s">
        <v>27</v>
      </c>
      <c r="T347" s="1">
        <f t="shared" si="144"/>
        <v>0</v>
      </c>
      <c r="U347" s="1">
        <v>1</v>
      </c>
      <c r="V347" s="1">
        <v>1</v>
      </c>
      <c r="W347" s="1">
        <v>0</v>
      </c>
      <c r="X347" s="1">
        <v>1</v>
      </c>
      <c r="Y347" s="1">
        <v>0</v>
      </c>
      <c r="Z347" s="1">
        <v>0</v>
      </c>
      <c r="AA347" s="1">
        <v>0</v>
      </c>
      <c r="AB347" s="1" t="s">
        <v>88</v>
      </c>
      <c r="AC347" s="1">
        <f t="shared" si="133"/>
        <v>3</v>
      </c>
      <c r="AD347" s="1">
        <f t="shared" si="122"/>
        <v>0</v>
      </c>
      <c r="AE347" s="1">
        <v>1</v>
      </c>
      <c r="AF347" s="1">
        <v>7.6033989999999996</v>
      </c>
      <c r="AG347" s="1">
        <v>3.7612000000000001</v>
      </c>
      <c r="AH347" s="1">
        <f t="shared" si="141"/>
        <v>-3.0300000000000002</v>
      </c>
      <c r="AI347" s="1">
        <f t="shared" si="136"/>
        <v>-0.40789486568209371</v>
      </c>
      <c r="AJ347" s="1">
        <f t="shared" si="124"/>
        <v>0.1346187675518461</v>
      </c>
      <c r="AK347" s="1">
        <f t="shared" si="125"/>
        <v>55.180900000000008</v>
      </c>
      <c r="AL347" s="1">
        <f t="shared" si="126"/>
        <v>7.4283847504016647</v>
      </c>
      <c r="AM347" s="1">
        <v>0</v>
      </c>
      <c r="AN347" s="1">
        <v>1</v>
      </c>
      <c r="AO347" s="1">
        <v>0</v>
      </c>
      <c r="AP347" s="1">
        <f t="shared" si="137"/>
        <v>0.14744195615489714</v>
      </c>
      <c r="AQ347" s="1">
        <v>0</v>
      </c>
      <c r="AR347" s="1">
        <v>1</v>
      </c>
      <c r="AS347" s="1">
        <v>1</v>
      </c>
      <c r="AT347" s="1">
        <v>0</v>
      </c>
      <c r="AU347" s="4">
        <v>0</v>
      </c>
      <c r="AV347" s="4">
        <v>1</v>
      </c>
      <c r="AW347" s="1">
        <f t="shared" si="138"/>
        <v>2.1276595744680851E-2</v>
      </c>
      <c r="AX347" s="1">
        <f t="shared" si="139"/>
        <v>4.526935264825713E-4</v>
      </c>
    </row>
    <row r="348" spans="1:50" x14ac:dyDescent="0.25">
      <c r="A348" s="1" t="s">
        <v>57</v>
      </c>
      <c r="B348" s="1">
        <v>2005</v>
      </c>
      <c r="C348" s="1">
        <f t="shared" si="140"/>
        <v>30</v>
      </c>
      <c r="D348" s="1" t="s">
        <v>24</v>
      </c>
      <c r="E348" s="1" t="s">
        <v>25</v>
      </c>
      <c r="F348" s="2">
        <v>-0.51700000000000002</v>
      </c>
      <c r="G348" s="3">
        <v>0.127339901477832</v>
      </c>
      <c r="H348" s="1">
        <v>6</v>
      </c>
      <c r="I348" s="1">
        <v>66</v>
      </c>
      <c r="J348" s="1">
        <f t="shared" si="121"/>
        <v>60</v>
      </c>
      <c r="K348" s="1">
        <v>47</v>
      </c>
      <c r="L348" s="1">
        <v>1992</v>
      </c>
      <c r="M348" s="1">
        <v>2001</v>
      </c>
      <c r="N348" s="1">
        <f t="shared" si="147"/>
        <v>1996.5</v>
      </c>
      <c r="O348" s="1">
        <f t="shared" si="148"/>
        <v>10</v>
      </c>
      <c r="P348" s="1">
        <f t="shared" si="134"/>
        <v>2.3025850929940459</v>
      </c>
      <c r="Q348" s="1">
        <v>42</v>
      </c>
      <c r="R348" s="1">
        <v>9</v>
      </c>
      <c r="S348" s="1" t="s">
        <v>27</v>
      </c>
      <c r="T348" s="1">
        <f t="shared" si="144"/>
        <v>0</v>
      </c>
      <c r="U348" s="1">
        <v>1</v>
      </c>
      <c r="V348" s="1">
        <v>1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  <c r="AB348" s="1" t="s">
        <v>88</v>
      </c>
      <c r="AC348" s="1">
        <f t="shared" si="133"/>
        <v>3</v>
      </c>
      <c r="AD348" s="1">
        <f t="shared" si="122"/>
        <v>0</v>
      </c>
      <c r="AE348" s="1">
        <v>1</v>
      </c>
      <c r="AF348" s="1">
        <v>7.6033989999999996</v>
      </c>
      <c r="AG348" s="1">
        <v>3.7612000000000001</v>
      </c>
      <c r="AH348" s="1">
        <f t="shared" si="141"/>
        <v>-4.0600000000000165</v>
      </c>
      <c r="AI348" s="1">
        <f t="shared" si="136"/>
        <v>-0.46423926804771759</v>
      </c>
      <c r="AJ348" s="1">
        <f t="shared" si="124"/>
        <v>0.11434464730239303</v>
      </c>
      <c r="AK348" s="1">
        <f t="shared" si="125"/>
        <v>76.483600000000123</v>
      </c>
      <c r="AL348" s="1">
        <f t="shared" si="126"/>
        <v>8.7454902664173222</v>
      </c>
      <c r="AM348" s="1">
        <v>0</v>
      </c>
      <c r="AN348" s="1">
        <v>1</v>
      </c>
      <c r="AO348" s="1">
        <v>0</v>
      </c>
      <c r="AP348" s="1">
        <f t="shared" si="137"/>
        <v>0.12909944487358055</v>
      </c>
      <c r="AQ348" s="1">
        <v>0</v>
      </c>
      <c r="AR348" s="1">
        <v>1</v>
      </c>
      <c r="AS348" s="1">
        <v>1</v>
      </c>
      <c r="AT348" s="1">
        <v>0</v>
      </c>
      <c r="AU348" s="4">
        <v>0</v>
      </c>
      <c r="AV348" s="4">
        <v>1</v>
      </c>
      <c r="AW348" s="1">
        <f t="shared" si="138"/>
        <v>2.1276595744680851E-2</v>
      </c>
      <c r="AX348" s="1">
        <f t="shared" si="139"/>
        <v>4.526935264825713E-4</v>
      </c>
    </row>
    <row r="349" spans="1:50" x14ac:dyDescent="0.25">
      <c r="A349" s="1" t="s">
        <v>57</v>
      </c>
      <c r="B349" s="1">
        <v>2005</v>
      </c>
      <c r="C349" s="1">
        <f t="shared" si="140"/>
        <v>30</v>
      </c>
      <c r="D349" s="1" t="s">
        <v>24</v>
      </c>
      <c r="E349" s="1" t="s">
        <v>25</v>
      </c>
      <c r="F349" s="2">
        <v>-0.59199999999999997</v>
      </c>
      <c r="G349" s="3">
        <v>7.9463087248322101E-2</v>
      </c>
      <c r="H349" s="1">
        <v>3</v>
      </c>
      <c r="I349" s="1">
        <v>66</v>
      </c>
      <c r="J349" s="1">
        <f t="shared" si="121"/>
        <v>63</v>
      </c>
      <c r="K349" s="1">
        <v>47</v>
      </c>
      <c r="L349" s="1">
        <v>1992</v>
      </c>
      <c r="M349" s="1">
        <v>2001</v>
      </c>
      <c r="N349" s="1">
        <f t="shared" si="147"/>
        <v>1996.5</v>
      </c>
      <c r="O349" s="1">
        <f t="shared" si="148"/>
        <v>10</v>
      </c>
      <c r="P349" s="1">
        <f t="shared" si="134"/>
        <v>2.3025850929940459</v>
      </c>
      <c r="Q349" s="1">
        <v>42</v>
      </c>
      <c r="R349" s="1">
        <v>9</v>
      </c>
      <c r="S349" s="1" t="s">
        <v>27</v>
      </c>
      <c r="T349" s="1">
        <f t="shared" si="144"/>
        <v>0</v>
      </c>
      <c r="U349" s="1">
        <v>1</v>
      </c>
      <c r="V349" s="1">
        <v>0</v>
      </c>
      <c r="W349" s="1">
        <v>0</v>
      </c>
      <c r="X349" s="1">
        <v>1</v>
      </c>
      <c r="Y349" s="1">
        <v>0</v>
      </c>
      <c r="Z349" s="1">
        <v>0</v>
      </c>
      <c r="AA349" s="1">
        <v>0</v>
      </c>
      <c r="AB349" s="1" t="s">
        <v>88</v>
      </c>
      <c r="AC349" s="1">
        <f t="shared" si="133"/>
        <v>3</v>
      </c>
      <c r="AD349" s="1">
        <f t="shared" si="122"/>
        <v>0</v>
      </c>
      <c r="AE349" s="1">
        <v>1</v>
      </c>
      <c r="AF349" s="1">
        <v>7.6033989999999996</v>
      </c>
      <c r="AG349" s="1">
        <v>3.7612000000000001</v>
      </c>
      <c r="AH349" s="1">
        <f t="shared" si="141"/>
        <v>-7.4500000000000037</v>
      </c>
      <c r="AI349" s="1">
        <f t="shared" si="136"/>
        <v>-0.68437244705962719</v>
      </c>
      <c r="AJ349" s="1">
        <f t="shared" si="124"/>
        <v>9.1862073430822394E-2</v>
      </c>
      <c r="AK349" s="1">
        <f t="shared" si="125"/>
        <v>118.50250000000005</v>
      </c>
      <c r="AL349" s="1">
        <f t="shared" si="126"/>
        <v>10.885885356736036</v>
      </c>
      <c r="AM349" s="1">
        <v>0</v>
      </c>
      <c r="AN349" s="1">
        <v>1</v>
      </c>
      <c r="AO349" s="1">
        <v>0</v>
      </c>
      <c r="AP349" s="1">
        <f t="shared" si="137"/>
        <v>0.12598815766974239</v>
      </c>
      <c r="AQ349" s="1">
        <v>0</v>
      </c>
      <c r="AR349" s="1">
        <v>1</v>
      </c>
      <c r="AS349" s="1">
        <v>1</v>
      </c>
      <c r="AT349" s="1">
        <v>0</v>
      </c>
      <c r="AU349" s="4">
        <v>0</v>
      </c>
      <c r="AV349" s="4">
        <v>1</v>
      </c>
      <c r="AW349" s="1">
        <f t="shared" si="138"/>
        <v>2.1276595744680851E-2</v>
      </c>
      <c r="AX349" s="1">
        <f t="shared" si="139"/>
        <v>4.526935264825713E-4</v>
      </c>
    </row>
    <row r="350" spans="1:50" x14ac:dyDescent="0.25">
      <c r="A350" s="1" t="s">
        <v>57</v>
      </c>
      <c r="B350" s="1">
        <v>2005</v>
      </c>
      <c r="C350" s="1">
        <f t="shared" si="140"/>
        <v>30</v>
      </c>
      <c r="D350" s="1" t="s">
        <v>24</v>
      </c>
      <c r="E350" s="1" t="s">
        <v>25</v>
      </c>
      <c r="F350" s="2">
        <v>-0.24199999999999999</v>
      </c>
      <c r="G350" s="3">
        <v>6.0499999999999998E-2</v>
      </c>
      <c r="H350" s="1">
        <v>6</v>
      </c>
      <c r="I350" s="1">
        <v>165</v>
      </c>
      <c r="J350" s="1">
        <f t="shared" si="121"/>
        <v>159</v>
      </c>
      <c r="K350" s="1">
        <v>47</v>
      </c>
      <c r="L350" s="1">
        <v>1992</v>
      </c>
      <c r="M350" s="1">
        <v>2001</v>
      </c>
      <c r="N350" s="1">
        <f t="shared" si="147"/>
        <v>1996.5</v>
      </c>
      <c r="O350" s="1">
        <f t="shared" si="148"/>
        <v>10</v>
      </c>
      <c r="P350" s="1">
        <f t="shared" si="134"/>
        <v>2.3025850929940459</v>
      </c>
      <c r="Q350" s="1">
        <v>42</v>
      </c>
      <c r="R350" s="1">
        <v>9</v>
      </c>
      <c r="S350" s="1" t="s">
        <v>27</v>
      </c>
      <c r="T350" s="1">
        <f t="shared" si="144"/>
        <v>0</v>
      </c>
      <c r="U350" s="1">
        <v>1</v>
      </c>
      <c r="V350" s="1">
        <v>1</v>
      </c>
      <c r="W350" s="1">
        <v>0</v>
      </c>
      <c r="X350" s="1">
        <v>1</v>
      </c>
      <c r="Y350" s="1">
        <v>0</v>
      </c>
      <c r="Z350" s="1">
        <v>0</v>
      </c>
      <c r="AA350" s="1">
        <v>0</v>
      </c>
      <c r="AB350" s="1" t="s">
        <v>88</v>
      </c>
      <c r="AC350" s="1">
        <f t="shared" si="133"/>
        <v>3</v>
      </c>
      <c r="AD350" s="1">
        <f t="shared" si="122"/>
        <v>0</v>
      </c>
      <c r="AE350" s="1">
        <v>1</v>
      </c>
      <c r="AF350" s="1">
        <v>7.6033989999999996</v>
      </c>
      <c r="AG350" s="1">
        <v>3.7612000000000001</v>
      </c>
      <c r="AH350" s="1">
        <f t="shared" si="141"/>
        <v>-4</v>
      </c>
      <c r="AI350" s="1">
        <f t="shared" si="136"/>
        <v>-0.30237157840738177</v>
      </c>
      <c r="AJ350" s="1">
        <f t="shared" si="124"/>
        <v>7.5592894601845442E-2</v>
      </c>
      <c r="AK350" s="1">
        <f t="shared" si="125"/>
        <v>175.00000000000003</v>
      </c>
      <c r="AL350" s="1">
        <f t="shared" si="126"/>
        <v>13.228756555322953</v>
      </c>
      <c r="AM350" s="1">
        <v>0</v>
      </c>
      <c r="AN350" s="1">
        <v>1</v>
      </c>
      <c r="AO350" s="1">
        <v>0</v>
      </c>
      <c r="AP350" s="1">
        <f t="shared" si="137"/>
        <v>7.9305158571814416E-2</v>
      </c>
      <c r="AQ350" s="1">
        <v>0</v>
      </c>
      <c r="AR350" s="1">
        <v>1</v>
      </c>
      <c r="AS350" s="1">
        <v>1</v>
      </c>
      <c r="AT350" s="1">
        <v>0</v>
      </c>
      <c r="AU350" s="4">
        <v>0</v>
      </c>
      <c r="AV350" s="4">
        <v>1</v>
      </c>
      <c r="AW350" s="1">
        <f t="shared" si="138"/>
        <v>2.1276595744680851E-2</v>
      </c>
      <c r="AX350" s="1">
        <f t="shared" si="139"/>
        <v>4.526935264825713E-4</v>
      </c>
    </row>
    <row r="351" spans="1:50" x14ac:dyDescent="0.25">
      <c r="A351" s="1" t="s">
        <v>57</v>
      </c>
      <c r="B351" s="1">
        <v>2005</v>
      </c>
      <c r="C351" s="1">
        <f t="shared" si="140"/>
        <v>30</v>
      </c>
      <c r="D351" s="1" t="s">
        <v>24</v>
      </c>
      <c r="E351" s="1" t="s">
        <v>25</v>
      </c>
      <c r="F351" s="2">
        <v>-0.248</v>
      </c>
      <c r="G351" s="3">
        <v>5.0101010101010097E-2</v>
      </c>
      <c r="H351" s="1">
        <v>3</v>
      </c>
      <c r="I351" s="1">
        <v>165</v>
      </c>
      <c r="J351" s="1">
        <f t="shared" si="121"/>
        <v>162</v>
      </c>
      <c r="K351" s="1">
        <v>47</v>
      </c>
      <c r="L351" s="1">
        <v>1992</v>
      </c>
      <c r="M351" s="1">
        <v>2001</v>
      </c>
      <c r="N351" s="1">
        <f t="shared" si="147"/>
        <v>1996.5</v>
      </c>
      <c r="O351" s="1">
        <f t="shared" si="148"/>
        <v>10</v>
      </c>
      <c r="P351" s="1">
        <f t="shared" si="134"/>
        <v>2.3025850929940459</v>
      </c>
      <c r="Q351" s="1">
        <v>42</v>
      </c>
      <c r="R351" s="1">
        <v>9</v>
      </c>
      <c r="S351" s="1" t="s">
        <v>27</v>
      </c>
      <c r="T351" s="1">
        <f t="shared" si="144"/>
        <v>0</v>
      </c>
      <c r="U351" s="1">
        <v>1</v>
      </c>
      <c r="V351" s="1">
        <v>0</v>
      </c>
      <c r="W351" s="1">
        <v>0</v>
      </c>
      <c r="X351" s="1">
        <v>1</v>
      </c>
      <c r="Y351" s="1">
        <v>0</v>
      </c>
      <c r="Z351" s="1">
        <v>0</v>
      </c>
      <c r="AA351" s="1">
        <v>0</v>
      </c>
      <c r="AB351" s="1" t="s">
        <v>88</v>
      </c>
      <c r="AC351" s="1">
        <f t="shared" si="133"/>
        <v>3</v>
      </c>
      <c r="AD351" s="1">
        <f t="shared" si="122"/>
        <v>0</v>
      </c>
      <c r="AE351" s="1">
        <v>1</v>
      </c>
      <c r="AF351" s="1">
        <v>7.6033989999999996</v>
      </c>
      <c r="AG351" s="1">
        <v>3.7612000000000001</v>
      </c>
      <c r="AH351" s="1">
        <f t="shared" si="141"/>
        <v>-4.95</v>
      </c>
      <c r="AI351" s="1">
        <f t="shared" si="136"/>
        <v>-0.36246232347541524</v>
      </c>
      <c r="AJ351" s="1">
        <f t="shared" si="124"/>
        <v>7.3224711813215201E-2</v>
      </c>
      <c r="AK351" s="1">
        <f t="shared" si="125"/>
        <v>186.50249999999994</v>
      </c>
      <c r="AL351" s="1">
        <f t="shared" si="126"/>
        <v>13.656591814944164</v>
      </c>
      <c r="AM351" s="1">
        <v>0</v>
      </c>
      <c r="AN351" s="1">
        <v>1</v>
      </c>
      <c r="AO351" s="1">
        <v>0</v>
      </c>
      <c r="AP351" s="1">
        <f t="shared" si="137"/>
        <v>7.8567420131838608E-2</v>
      </c>
      <c r="AQ351" s="1">
        <v>0</v>
      </c>
      <c r="AR351" s="1">
        <v>1</v>
      </c>
      <c r="AS351" s="1">
        <v>1</v>
      </c>
      <c r="AT351" s="1">
        <v>0</v>
      </c>
      <c r="AU351" s="4">
        <v>0</v>
      </c>
      <c r="AV351" s="4">
        <v>1</v>
      </c>
      <c r="AW351" s="1">
        <f t="shared" si="138"/>
        <v>2.1276595744680851E-2</v>
      </c>
      <c r="AX351" s="1">
        <f t="shared" si="139"/>
        <v>4.526935264825713E-4</v>
      </c>
    </row>
    <row r="352" spans="1:50" x14ac:dyDescent="0.25">
      <c r="A352" s="1" t="s">
        <v>57</v>
      </c>
      <c r="B352" s="1">
        <v>2005</v>
      </c>
      <c r="C352" s="1">
        <f t="shared" si="140"/>
        <v>30</v>
      </c>
      <c r="D352" s="1" t="s">
        <v>24</v>
      </c>
      <c r="E352" s="1" t="s">
        <v>25</v>
      </c>
      <c r="F352" s="2">
        <v>-0.27100000000000002</v>
      </c>
      <c r="G352" s="3">
        <v>7.2654155495978603E-2</v>
      </c>
      <c r="H352" s="1">
        <v>6</v>
      </c>
      <c r="I352" s="1">
        <v>165</v>
      </c>
      <c r="J352" s="1">
        <f t="shared" si="121"/>
        <v>159</v>
      </c>
      <c r="K352" s="1">
        <v>47</v>
      </c>
      <c r="L352" s="1">
        <v>1992</v>
      </c>
      <c r="M352" s="1">
        <v>2001</v>
      </c>
      <c r="N352" s="1">
        <f t="shared" si="147"/>
        <v>1996.5</v>
      </c>
      <c r="O352" s="1">
        <f t="shared" si="148"/>
        <v>10</v>
      </c>
      <c r="P352" s="1">
        <f t="shared" si="134"/>
        <v>2.3025850929940459</v>
      </c>
      <c r="Q352" s="1">
        <v>42</v>
      </c>
      <c r="R352" s="1">
        <v>9</v>
      </c>
      <c r="S352" s="1" t="s">
        <v>27</v>
      </c>
      <c r="T352" s="1">
        <f t="shared" si="144"/>
        <v>0</v>
      </c>
      <c r="U352" s="1">
        <v>1</v>
      </c>
      <c r="V352" s="1">
        <v>1</v>
      </c>
      <c r="W352" s="1">
        <v>0</v>
      </c>
      <c r="X352" s="1">
        <v>1</v>
      </c>
      <c r="Y352" s="1">
        <v>0</v>
      </c>
      <c r="Z352" s="1">
        <v>0</v>
      </c>
      <c r="AA352" s="1">
        <v>0</v>
      </c>
      <c r="AB352" s="1" t="s">
        <v>88</v>
      </c>
      <c r="AC352" s="1">
        <f t="shared" si="133"/>
        <v>3</v>
      </c>
      <c r="AD352" s="1">
        <f t="shared" si="122"/>
        <v>0</v>
      </c>
      <c r="AE352" s="1">
        <v>1</v>
      </c>
      <c r="AF352" s="1">
        <v>7.6033989999999996</v>
      </c>
      <c r="AG352" s="1">
        <v>3.7612000000000001</v>
      </c>
      <c r="AH352" s="1">
        <f t="shared" si="141"/>
        <v>-3.7299999999999978</v>
      </c>
      <c r="AI352" s="1">
        <f t="shared" si="136"/>
        <v>-0.28365806403218202</v>
      </c>
      <c r="AJ352" s="1">
        <f t="shared" si="124"/>
        <v>7.6047738346429541E-2</v>
      </c>
      <c r="AK352" s="1">
        <f t="shared" si="125"/>
        <v>172.91289999999998</v>
      </c>
      <c r="AL352" s="1">
        <f t="shared" si="126"/>
        <v>13.149634975922334</v>
      </c>
      <c r="AM352" s="1">
        <v>0</v>
      </c>
      <c r="AN352" s="1">
        <v>1</v>
      </c>
      <c r="AO352" s="1">
        <v>0</v>
      </c>
      <c r="AP352" s="1">
        <f t="shared" si="137"/>
        <v>7.9305158571814416E-2</v>
      </c>
      <c r="AQ352" s="1">
        <v>0</v>
      </c>
      <c r="AR352" s="1">
        <v>1</v>
      </c>
      <c r="AS352" s="1">
        <v>1</v>
      </c>
      <c r="AT352" s="1">
        <v>0</v>
      </c>
      <c r="AU352" s="4">
        <v>0</v>
      </c>
      <c r="AV352" s="4">
        <v>1</v>
      </c>
      <c r="AW352" s="1">
        <f t="shared" si="138"/>
        <v>2.1276595744680851E-2</v>
      </c>
      <c r="AX352" s="1">
        <f t="shared" si="139"/>
        <v>4.526935264825713E-4</v>
      </c>
    </row>
    <row r="353" spans="1:50" x14ac:dyDescent="0.25">
      <c r="A353" s="1" t="s">
        <v>57</v>
      </c>
      <c r="B353" s="1">
        <v>2005</v>
      </c>
      <c r="C353" s="1">
        <f t="shared" si="140"/>
        <v>30</v>
      </c>
      <c r="D353" s="1" t="s">
        <v>24</v>
      </c>
      <c r="E353" s="1" t="s">
        <v>25</v>
      </c>
      <c r="F353" s="2">
        <v>-0.29499999999999998</v>
      </c>
      <c r="G353" s="3">
        <v>6.0327198364008197E-2</v>
      </c>
      <c r="H353" s="1">
        <v>3</v>
      </c>
      <c r="I353" s="1">
        <v>165</v>
      </c>
      <c r="J353" s="1">
        <f t="shared" si="121"/>
        <v>162</v>
      </c>
      <c r="K353" s="1">
        <v>47</v>
      </c>
      <c r="L353" s="1">
        <v>1992</v>
      </c>
      <c r="M353" s="1">
        <v>2001</v>
      </c>
      <c r="N353" s="1">
        <f t="shared" si="147"/>
        <v>1996.5</v>
      </c>
      <c r="O353" s="1">
        <f t="shared" si="148"/>
        <v>10</v>
      </c>
      <c r="P353" s="1">
        <f t="shared" si="134"/>
        <v>2.3025850929940459</v>
      </c>
      <c r="Q353" s="1">
        <v>42</v>
      </c>
      <c r="R353" s="1">
        <v>9</v>
      </c>
      <c r="S353" s="1" t="s">
        <v>27</v>
      </c>
      <c r="T353" s="1">
        <f t="shared" si="144"/>
        <v>0</v>
      </c>
      <c r="U353" s="1">
        <v>1</v>
      </c>
      <c r="V353" s="1">
        <v>0</v>
      </c>
      <c r="W353" s="1">
        <v>0</v>
      </c>
      <c r="X353" s="1">
        <v>1</v>
      </c>
      <c r="Y353" s="1">
        <v>0</v>
      </c>
      <c r="Z353" s="1">
        <v>0</v>
      </c>
      <c r="AA353" s="1">
        <v>0</v>
      </c>
      <c r="AB353" s="1" t="s">
        <v>88</v>
      </c>
      <c r="AC353" s="1">
        <f t="shared" si="133"/>
        <v>3</v>
      </c>
      <c r="AD353" s="1">
        <f t="shared" si="122"/>
        <v>0</v>
      </c>
      <c r="AE353" s="1">
        <v>1</v>
      </c>
      <c r="AF353" s="1">
        <v>7.6033989999999996</v>
      </c>
      <c r="AG353" s="1">
        <v>3.7612000000000001</v>
      </c>
      <c r="AH353" s="1">
        <f t="shared" si="141"/>
        <v>-4.8899999999999988</v>
      </c>
      <c r="AI353" s="1">
        <f t="shared" si="136"/>
        <v>-0.35863694868177776</v>
      </c>
      <c r="AJ353" s="1">
        <f t="shared" si="124"/>
        <v>7.3340889300977069E-2</v>
      </c>
      <c r="AK353" s="1">
        <f t="shared" si="125"/>
        <v>185.91209999999995</v>
      </c>
      <c r="AL353" s="1">
        <f t="shared" si="126"/>
        <v>13.634958745812177</v>
      </c>
      <c r="AM353" s="1">
        <v>0</v>
      </c>
      <c r="AN353" s="1">
        <v>1</v>
      </c>
      <c r="AO353" s="1">
        <v>0</v>
      </c>
      <c r="AP353" s="1">
        <f t="shared" si="137"/>
        <v>7.8567420131838608E-2</v>
      </c>
      <c r="AQ353" s="1">
        <v>0</v>
      </c>
      <c r="AR353" s="1">
        <v>1</v>
      </c>
      <c r="AS353" s="1">
        <v>1</v>
      </c>
      <c r="AT353" s="1">
        <v>0</v>
      </c>
      <c r="AU353" s="4">
        <v>0</v>
      </c>
      <c r="AV353" s="4">
        <v>1</v>
      </c>
      <c r="AW353" s="1">
        <f t="shared" si="138"/>
        <v>2.1276595744680851E-2</v>
      </c>
      <c r="AX353" s="1">
        <f t="shared" si="139"/>
        <v>4.526935264825713E-4</v>
      </c>
    </row>
    <row r="354" spans="1:50" x14ac:dyDescent="0.25">
      <c r="A354" s="1" t="s">
        <v>57</v>
      </c>
      <c r="B354" s="1">
        <v>2005</v>
      </c>
      <c r="C354" s="1">
        <f t="shared" si="140"/>
        <v>30</v>
      </c>
      <c r="D354" s="1" t="s">
        <v>24</v>
      </c>
      <c r="E354" s="1" t="s">
        <v>25</v>
      </c>
      <c r="F354" s="2">
        <v>-0.56899999999999995</v>
      </c>
      <c r="G354" s="3">
        <v>6.9137302551640301E-2</v>
      </c>
      <c r="H354" s="1">
        <v>6</v>
      </c>
      <c r="I354" s="1">
        <v>165</v>
      </c>
      <c r="J354" s="1">
        <f t="shared" si="121"/>
        <v>159</v>
      </c>
      <c r="K354" s="1">
        <v>47</v>
      </c>
      <c r="L354" s="1">
        <v>1992</v>
      </c>
      <c r="M354" s="1">
        <v>2001</v>
      </c>
      <c r="N354" s="1">
        <f t="shared" si="147"/>
        <v>1996.5</v>
      </c>
      <c r="O354" s="1">
        <f t="shared" si="148"/>
        <v>10</v>
      </c>
      <c r="P354" s="1">
        <f t="shared" si="134"/>
        <v>2.3025850929940459</v>
      </c>
      <c r="Q354" s="1">
        <v>42</v>
      </c>
      <c r="R354" s="1">
        <v>9</v>
      </c>
      <c r="S354" s="1" t="s">
        <v>27</v>
      </c>
      <c r="T354" s="1">
        <f t="shared" si="144"/>
        <v>0</v>
      </c>
      <c r="U354" s="1">
        <v>1</v>
      </c>
      <c r="V354" s="1">
        <v>1</v>
      </c>
      <c r="W354" s="1">
        <v>0</v>
      </c>
      <c r="X354" s="1">
        <v>1</v>
      </c>
      <c r="Y354" s="1">
        <v>0</v>
      </c>
      <c r="Z354" s="1">
        <v>0</v>
      </c>
      <c r="AA354" s="1">
        <v>0</v>
      </c>
      <c r="AB354" s="1" t="s">
        <v>88</v>
      </c>
      <c r="AC354" s="1">
        <f t="shared" si="133"/>
        <v>3</v>
      </c>
      <c r="AD354" s="1">
        <f t="shared" si="122"/>
        <v>0</v>
      </c>
      <c r="AE354" s="1">
        <v>1</v>
      </c>
      <c r="AF354" s="1">
        <v>7.6033989999999996</v>
      </c>
      <c r="AG354" s="1">
        <v>3.7612000000000001</v>
      </c>
      <c r="AH354" s="1">
        <f t="shared" si="141"/>
        <v>-8.230000000000004</v>
      </c>
      <c r="AI354" s="1">
        <f t="shared" si="136"/>
        <v>-0.54656593904104833</v>
      </c>
      <c r="AJ354" s="1">
        <f t="shared" si="124"/>
        <v>6.6411414221269505E-2</v>
      </c>
      <c r="AK354" s="1">
        <f t="shared" si="125"/>
        <v>226.73290000000009</v>
      </c>
      <c r="AL354" s="1">
        <f t="shared" si="126"/>
        <v>15.057652539489682</v>
      </c>
      <c r="AM354" s="1">
        <v>0</v>
      </c>
      <c r="AN354" s="1">
        <v>1</v>
      </c>
      <c r="AO354" s="1">
        <v>0</v>
      </c>
      <c r="AP354" s="1">
        <f t="shared" si="137"/>
        <v>7.9305158571814416E-2</v>
      </c>
      <c r="AQ354" s="1">
        <v>0</v>
      </c>
      <c r="AR354" s="1">
        <v>1</v>
      </c>
      <c r="AS354" s="1">
        <v>1</v>
      </c>
      <c r="AT354" s="1">
        <v>0</v>
      </c>
      <c r="AU354" s="4">
        <v>0</v>
      </c>
      <c r="AV354" s="4">
        <v>1</v>
      </c>
      <c r="AW354" s="1">
        <f t="shared" si="138"/>
        <v>2.1276595744680851E-2</v>
      </c>
      <c r="AX354" s="1">
        <f t="shared" si="139"/>
        <v>4.526935264825713E-4</v>
      </c>
    </row>
    <row r="355" spans="1:50" x14ac:dyDescent="0.25">
      <c r="A355" s="1" t="s">
        <v>57</v>
      </c>
      <c r="B355" s="1">
        <v>2005</v>
      </c>
      <c r="C355" s="1">
        <f t="shared" si="140"/>
        <v>30</v>
      </c>
      <c r="D355" s="1" t="s">
        <v>24</v>
      </c>
      <c r="E355" s="1" t="s">
        <v>25</v>
      </c>
      <c r="F355" s="2">
        <v>-0.56899999999999995</v>
      </c>
      <c r="G355" s="3">
        <v>6.9137302551640301E-2</v>
      </c>
      <c r="H355" s="1">
        <v>6</v>
      </c>
      <c r="I355" s="1">
        <v>165</v>
      </c>
      <c r="J355" s="1">
        <f t="shared" ref="J355:J413" si="149">+I355-H355</f>
        <v>159</v>
      </c>
      <c r="K355" s="1">
        <v>47</v>
      </c>
      <c r="L355" s="1">
        <v>1992</v>
      </c>
      <c r="M355" s="1">
        <v>2001</v>
      </c>
      <c r="N355" s="1">
        <f t="shared" si="147"/>
        <v>1996.5</v>
      </c>
      <c r="O355" s="1">
        <f t="shared" si="148"/>
        <v>10</v>
      </c>
      <c r="P355" s="1">
        <f t="shared" si="134"/>
        <v>2.3025850929940459</v>
      </c>
      <c r="Q355" s="1">
        <v>42</v>
      </c>
      <c r="R355" s="1">
        <v>9</v>
      </c>
      <c r="S355" s="1" t="s">
        <v>27</v>
      </c>
      <c r="T355" s="1">
        <f t="shared" si="144"/>
        <v>0</v>
      </c>
      <c r="U355" s="1">
        <v>1</v>
      </c>
      <c r="V355" s="1">
        <v>1</v>
      </c>
      <c r="W355" s="1">
        <v>0</v>
      </c>
      <c r="X355" s="1">
        <v>1</v>
      </c>
      <c r="Y355" s="1">
        <v>0</v>
      </c>
      <c r="Z355" s="1">
        <v>0</v>
      </c>
      <c r="AA355" s="1">
        <v>0</v>
      </c>
      <c r="AB355" s="1" t="s">
        <v>88</v>
      </c>
      <c r="AC355" s="1">
        <f t="shared" si="133"/>
        <v>3</v>
      </c>
      <c r="AD355" s="1">
        <f t="shared" ref="AD355:AD413" si="150">IF(AB355="USA",1,0)</f>
        <v>0</v>
      </c>
      <c r="AE355" s="1">
        <v>1</v>
      </c>
      <c r="AF355" s="1">
        <v>7.6033989999999996</v>
      </c>
      <c r="AG355" s="1">
        <v>3.7612000000000001</v>
      </c>
      <c r="AH355" s="1">
        <f t="shared" si="141"/>
        <v>-8.230000000000004</v>
      </c>
      <c r="AI355" s="1">
        <f t="shared" si="136"/>
        <v>-0.54656593904104833</v>
      </c>
      <c r="AJ355" s="1">
        <f t="shared" ref="AJ355:AJ413" si="151">+AI355/AH355</f>
        <v>6.6411414221269505E-2</v>
      </c>
      <c r="AK355" s="1">
        <f t="shared" ref="AK355:AK413" si="152">1/AJ355^2</f>
        <v>226.73290000000009</v>
      </c>
      <c r="AL355" s="1">
        <f t="shared" ref="AL355:AL413" si="153">1/AJ355</f>
        <v>15.057652539489682</v>
      </c>
      <c r="AM355" s="1">
        <v>0</v>
      </c>
      <c r="AN355" s="1">
        <v>1</v>
      </c>
      <c r="AO355" s="1">
        <v>0</v>
      </c>
      <c r="AP355" s="1">
        <f t="shared" si="137"/>
        <v>7.9305158571814416E-2</v>
      </c>
      <c r="AQ355" s="1">
        <v>0</v>
      </c>
      <c r="AR355" s="1">
        <v>1</v>
      </c>
      <c r="AS355" s="1">
        <v>1</v>
      </c>
      <c r="AT355" s="1">
        <v>0</v>
      </c>
      <c r="AU355" s="4">
        <v>0</v>
      </c>
      <c r="AV355" s="4">
        <v>1</v>
      </c>
      <c r="AW355" s="1">
        <f t="shared" si="138"/>
        <v>2.1276595744680851E-2</v>
      </c>
      <c r="AX355" s="1">
        <f t="shared" si="139"/>
        <v>4.526935264825713E-4</v>
      </c>
    </row>
    <row r="356" spans="1:50" x14ac:dyDescent="0.25">
      <c r="A356" s="1" t="s">
        <v>57</v>
      </c>
      <c r="B356" s="1">
        <v>2005</v>
      </c>
      <c r="C356" s="1">
        <f t="shared" si="140"/>
        <v>30</v>
      </c>
      <c r="D356" s="1" t="s">
        <v>24</v>
      </c>
      <c r="E356" s="1" t="s">
        <v>25</v>
      </c>
      <c r="F356" s="2">
        <v>-0.22700000000000001</v>
      </c>
      <c r="G356" s="3">
        <v>0.119473684210526</v>
      </c>
      <c r="H356" s="1">
        <v>6</v>
      </c>
      <c r="I356" s="1">
        <v>50</v>
      </c>
      <c r="J356" s="1">
        <f t="shared" si="149"/>
        <v>44</v>
      </c>
      <c r="K356" s="1">
        <v>47</v>
      </c>
      <c r="L356" s="1">
        <v>1992</v>
      </c>
      <c r="M356" s="1">
        <v>2001</v>
      </c>
      <c r="N356" s="1">
        <f t="shared" si="147"/>
        <v>1996.5</v>
      </c>
      <c r="O356" s="1">
        <f t="shared" si="148"/>
        <v>10</v>
      </c>
      <c r="P356" s="1">
        <f t="shared" si="134"/>
        <v>2.3025850929940459</v>
      </c>
      <c r="Q356" s="1">
        <v>42</v>
      </c>
      <c r="R356" s="1">
        <v>9</v>
      </c>
      <c r="S356" s="1" t="s">
        <v>27</v>
      </c>
      <c r="T356" s="1">
        <f t="shared" si="144"/>
        <v>0</v>
      </c>
      <c r="U356" s="1">
        <v>1</v>
      </c>
      <c r="V356" s="1">
        <v>1</v>
      </c>
      <c r="W356" s="1">
        <v>0</v>
      </c>
      <c r="X356" s="1">
        <v>1</v>
      </c>
      <c r="Y356" s="1">
        <v>0</v>
      </c>
      <c r="Z356" s="1">
        <v>0</v>
      </c>
      <c r="AA356" s="1">
        <v>0</v>
      </c>
      <c r="AB356" s="1" t="s">
        <v>88</v>
      </c>
      <c r="AC356" s="1">
        <f t="shared" si="133"/>
        <v>3</v>
      </c>
      <c r="AD356" s="1">
        <f t="shared" si="150"/>
        <v>0</v>
      </c>
      <c r="AE356" s="1">
        <v>1</v>
      </c>
      <c r="AF356" s="1">
        <v>7.6033989999999996</v>
      </c>
      <c r="AG356" s="1">
        <v>3.7612000000000001</v>
      </c>
      <c r="AH356" s="1">
        <f t="shared" si="141"/>
        <v>-1.9000000000000052</v>
      </c>
      <c r="AI356" s="1">
        <f t="shared" si="136"/>
        <v>-0.27536231884058043</v>
      </c>
      <c r="AJ356" s="1">
        <f t="shared" si="151"/>
        <v>0.14492753623188404</v>
      </c>
      <c r="AK356" s="1">
        <f t="shared" si="152"/>
        <v>47.610000000000014</v>
      </c>
      <c r="AL356" s="1">
        <f t="shared" si="153"/>
        <v>6.9000000000000012</v>
      </c>
      <c r="AM356" s="1">
        <v>0</v>
      </c>
      <c r="AN356" s="1">
        <v>1</v>
      </c>
      <c r="AO356" s="1">
        <v>0</v>
      </c>
      <c r="AP356" s="1">
        <f t="shared" si="137"/>
        <v>0.15075567228888181</v>
      </c>
      <c r="AQ356" s="1">
        <v>0</v>
      </c>
      <c r="AR356" s="1">
        <v>1</v>
      </c>
      <c r="AS356" s="1">
        <v>1</v>
      </c>
      <c r="AT356" s="1">
        <v>0</v>
      </c>
      <c r="AU356" s="4">
        <v>0</v>
      </c>
      <c r="AV356" s="4">
        <v>1</v>
      </c>
      <c r="AW356" s="1">
        <f t="shared" si="138"/>
        <v>2.1276595744680851E-2</v>
      </c>
      <c r="AX356" s="1">
        <f t="shared" si="139"/>
        <v>4.526935264825713E-4</v>
      </c>
    </row>
    <row r="357" spans="1:50" x14ac:dyDescent="0.25">
      <c r="A357" s="1" t="s">
        <v>57</v>
      </c>
      <c r="B357" s="1">
        <v>2005</v>
      </c>
      <c r="C357" s="1">
        <f t="shared" si="140"/>
        <v>30</v>
      </c>
      <c r="D357" s="1" t="s">
        <v>24</v>
      </c>
      <c r="E357" s="1" t="s">
        <v>25</v>
      </c>
      <c r="F357" s="2">
        <v>-0.23699999999999999</v>
      </c>
      <c r="G357" s="3">
        <v>8.9433962264150901E-2</v>
      </c>
      <c r="H357" s="1">
        <v>3</v>
      </c>
      <c r="I357" s="1">
        <v>50</v>
      </c>
      <c r="J357" s="1">
        <f t="shared" si="149"/>
        <v>47</v>
      </c>
      <c r="K357" s="1">
        <v>47</v>
      </c>
      <c r="L357" s="1">
        <v>1992</v>
      </c>
      <c r="M357" s="1">
        <v>2001</v>
      </c>
      <c r="N357" s="1">
        <f t="shared" si="147"/>
        <v>1996.5</v>
      </c>
      <c r="O357" s="1">
        <f t="shared" si="148"/>
        <v>10</v>
      </c>
      <c r="P357" s="1">
        <f t="shared" si="134"/>
        <v>2.3025850929940459</v>
      </c>
      <c r="Q357" s="1">
        <v>42</v>
      </c>
      <c r="R357" s="1">
        <v>9</v>
      </c>
      <c r="S357" s="1" t="s">
        <v>27</v>
      </c>
      <c r="T357" s="1">
        <f t="shared" si="144"/>
        <v>0</v>
      </c>
      <c r="U357" s="1">
        <v>0</v>
      </c>
      <c r="V357" s="1">
        <v>1</v>
      </c>
      <c r="W357" s="1">
        <v>0</v>
      </c>
      <c r="X357" s="1">
        <v>1</v>
      </c>
      <c r="Y357" s="1">
        <v>0</v>
      </c>
      <c r="Z357" s="1">
        <v>0</v>
      </c>
      <c r="AA357" s="1">
        <v>0</v>
      </c>
      <c r="AB357" s="1" t="s">
        <v>88</v>
      </c>
      <c r="AC357" s="1">
        <f t="shared" si="133"/>
        <v>3</v>
      </c>
      <c r="AD357" s="1">
        <f t="shared" si="150"/>
        <v>0</v>
      </c>
      <c r="AE357" s="1">
        <v>1</v>
      </c>
      <c r="AF357" s="1">
        <v>7.6033989999999996</v>
      </c>
      <c r="AG357" s="1">
        <v>3.7612000000000001</v>
      </c>
      <c r="AH357" s="1">
        <f t="shared" si="141"/>
        <v>-2.6500000000000012</v>
      </c>
      <c r="AI357" s="1">
        <f t="shared" si="136"/>
        <v>-0.36054421768707495</v>
      </c>
      <c r="AJ357" s="1">
        <f t="shared" si="151"/>
        <v>0.13605442176870747</v>
      </c>
      <c r="AK357" s="1">
        <f t="shared" si="152"/>
        <v>54.022500000000015</v>
      </c>
      <c r="AL357" s="1">
        <f t="shared" si="153"/>
        <v>7.3500000000000005</v>
      </c>
      <c r="AM357" s="1">
        <v>0</v>
      </c>
      <c r="AN357" s="1">
        <v>1</v>
      </c>
      <c r="AO357" s="1">
        <v>0</v>
      </c>
      <c r="AP357" s="1">
        <f t="shared" si="137"/>
        <v>0.14586499149789456</v>
      </c>
      <c r="AQ357" s="1">
        <v>0</v>
      </c>
      <c r="AR357" s="1">
        <v>1</v>
      </c>
      <c r="AS357" s="1">
        <v>1</v>
      </c>
      <c r="AT357" s="1">
        <v>0</v>
      </c>
      <c r="AU357" s="4">
        <v>0</v>
      </c>
      <c r="AV357" s="4">
        <v>1</v>
      </c>
      <c r="AW357" s="1">
        <f t="shared" si="138"/>
        <v>2.1276595744680851E-2</v>
      </c>
      <c r="AX357" s="1">
        <f t="shared" si="139"/>
        <v>4.526935264825713E-4</v>
      </c>
    </row>
    <row r="358" spans="1:50" x14ac:dyDescent="0.25">
      <c r="A358" s="1" t="s">
        <v>57</v>
      </c>
      <c r="B358" s="1">
        <v>2005</v>
      </c>
      <c r="C358" s="1">
        <f t="shared" si="140"/>
        <v>30</v>
      </c>
      <c r="D358" s="1" t="s">
        <v>24</v>
      </c>
      <c r="E358" s="1" t="s">
        <v>25</v>
      </c>
      <c r="F358" s="2">
        <v>-0.42199999999999999</v>
      </c>
      <c r="G358" s="3">
        <v>0.106297229219143</v>
      </c>
      <c r="H358" s="1">
        <v>6</v>
      </c>
      <c r="I358" s="1">
        <v>49</v>
      </c>
      <c r="J358" s="1">
        <f t="shared" si="149"/>
        <v>43</v>
      </c>
      <c r="K358" s="1">
        <v>47</v>
      </c>
      <c r="L358" s="1">
        <v>1992</v>
      </c>
      <c r="M358" s="1">
        <v>2001</v>
      </c>
      <c r="N358" s="1">
        <f t="shared" si="147"/>
        <v>1996.5</v>
      </c>
      <c r="O358" s="1">
        <f t="shared" si="148"/>
        <v>10</v>
      </c>
      <c r="P358" s="1">
        <f t="shared" si="134"/>
        <v>2.3025850929940459</v>
      </c>
      <c r="Q358" s="1">
        <v>42</v>
      </c>
      <c r="R358" s="1">
        <v>9</v>
      </c>
      <c r="S358" s="1" t="s">
        <v>27</v>
      </c>
      <c r="T358" s="1">
        <f t="shared" si="144"/>
        <v>0</v>
      </c>
      <c r="U358" s="1">
        <v>1</v>
      </c>
      <c r="V358" s="1">
        <v>1</v>
      </c>
      <c r="W358" s="1">
        <v>0</v>
      </c>
      <c r="X358" s="1">
        <v>1</v>
      </c>
      <c r="Y358" s="1">
        <v>0</v>
      </c>
      <c r="Z358" s="1">
        <v>0</v>
      </c>
      <c r="AA358" s="1">
        <v>0</v>
      </c>
      <c r="AB358" s="1" t="s">
        <v>88</v>
      </c>
      <c r="AC358" s="1">
        <f t="shared" si="133"/>
        <v>3</v>
      </c>
      <c r="AD358" s="1">
        <f t="shared" si="150"/>
        <v>0</v>
      </c>
      <c r="AE358" s="1">
        <v>1</v>
      </c>
      <c r="AF358" s="1">
        <v>7.6033989999999996</v>
      </c>
      <c r="AG358" s="1">
        <v>3.7612000000000001</v>
      </c>
      <c r="AH358" s="1">
        <f t="shared" si="141"/>
        <v>-3.9700000000000215</v>
      </c>
      <c r="AI358" s="1">
        <f t="shared" si="136"/>
        <v>-0.51790044870164464</v>
      </c>
      <c r="AJ358" s="1">
        <f t="shared" si="151"/>
        <v>0.13045351352686194</v>
      </c>
      <c r="AK358" s="1">
        <f t="shared" si="152"/>
        <v>58.760900000000142</v>
      </c>
      <c r="AL358" s="1">
        <f t="shared" si="153"/>
        <v>7.6655658630006007</v>
      </c>
      <c r="AM358" s="1">
        <v>0</v>
      </c>
      <c r="AN358" s="1">
        <v>1</v>
      </c>
      <c r="AO358" s="1">
        <v>0</v>
      </c>
      <c r="AP358" s="1">
        <f t="shared" si="137"/>
        <v>0.15249857033260467</v>
      </c>
      <c r="AQ358" s="1">
        <v>0</v>
      </c>
      <c r="AR358" s="1">
        <v>1</v>
      </c>
      <c r="AS358" s="1">
        <v>1</v>
      </c>
      <c r="AT358" s="1">
        <v>0</v>
      </c>
      <c r="AU358" s="4">
        <v>0</v>
      </c>
      <c r="AV358" s="4">
        <v>1</v>
      </c>
      <c r="AW358" s="1">
        <f t="shared" si="138"/>
        <v>2.1276595744680851E-2</v>
      </c>
      <c r="AX358" s="1">
        <f t="shared" si="139"/>
        <v>4.526935264825713E-4</v>
      </c>
    </row>
    <row r="359" spans="1:50" x14ac:dyDescent="0.25">
      <c r="A359" s="1" t="s">
        <v>57</v>
      </c>
      <c r="B359" s="1">
        <v>2005</v>
      </c>
      <c r="C359" s="1">
        <f t="shared" si="140"/>
        <v>30</v>
      </c>
      <c r="D359" s="1" t="s">
        <v>24</v>
      </c>
      <c r="E359" s="1" t="s">
        <v>25</v>
      </c>
      <c r="F359" s="2">
        <v>-0.39600000000000002</v>
      </c>
      <c r="G359" s="3">
        <v>9.5652173913043495E-2</v>
      </c>
      <c r="H359" s="1">
        <v>5</v>
      </c>
      <c r="I359" s="1">
        <v>49</v>
      </c>
      <c r="J359" s="1">
        <f t="shared" si="149"/>
        <v>44</v>
      </c>
      <c r="K359" s="1">
        <v>47</v>
      </c>
      <c r="L359" s="1">
        <v>1992</v>
      </c>
      <c r="M359" s="1">
        <v>2001</v>
      </c>
      <c r="N359" s="1">
        <f t="shared" si="147"/>
        <v>1996.5</v>
      </c>
      <c r="O359" s="1">
        <f t="shared" si="148"/>
        <v>10</v>
      </c>
      <c r="P359" s="1">
        <f t="shared" si="134"/>
        <v>2.3025850929940459</v>
      </c>
      <c r="Q359" s="1">
        <v>42</v>
      </c>
      <c r="R359" s="1">
        <v>9</v>
      </c>
      <c r="S359" s="1" t="s">
        <v>27</v>
      </c>
      <c r="T359" s="1">
        <f t="shared" si="144"/>
        <v>0</v>
      </c>
      <c r="U359" s="1">
        <v>1</v>
      </c>
      <c r="V359" s="1">
        <v>1</v>
      </c>
      <c r="W359" s="1">
        <v>0</v>
      </c>
      <c r="X359" s="1">
        <v>1</v>
      </c>
      <c r="Y359" s="1">
        <v>0</v>
      </c>
      <c r="Z359" s="1">
        <v>0</v>
      </c>
      <c r="AA359" s="1">
        <v>0</v>
      </c>
      <c r="AB359" s="1" t="s">
        <v>88</v>
      </c>
      <c r="AC359" s="1">
        <f t="shared" si="133"/>
        <v>3</v>
      </c>
      <c r="AD359" s="1">
        <f t="shared" si="150"/>
        <v>0</v>
      </c>
      <c r="AE359" s="1">
        <v>1</v>
      </c>
      <c r="AF359" s="1">
        <v>7.6033989999999996</v>
      </c>
      <c r="AG359" s="1">
        <v>3.7612000000000001</v>
      </c>
      <c r="AH359" s="1">
        <f t="shared" si="141"/>
        <v>-4.1399999999999997</v>
      </c>
      <c r="AI359" s="1">
        <f t="shared" si="136"/>
        <v>-0.52946717982104541</v>
      </c>
      <c r="AJ359" s="1">
        <f t="shared" si="151"/>
        <v>0.12789062314518007</v>
      </c>
      <c r="AK359" s="1">
        <f t="shared" si="152"/>
        <v>61.139600000000002</v>
      </c>
      <c r="AL359" s="1">
        <f t="shared" si="153"/>
        <v>7.8191815428470521</v>
      </c>
      <c r="AM359" s="1">
        <v>0</v>
      </c>
      <c r="AN359" s="1">
        <v>1</v>
      </c>
      <c r="AO359" s="1">
        <v>0</v>
      </c>
      <c r="AP359" s="1">
        <f t="shared" si="137"/>
        <v>0.15075567228888181</v>
      </c>
      <c r="AQ359" s="1">
        <v>0</v>
      </c>
      <c r="AR359" s="1">
        <v>1</v>
      </c>
      <c r="AS359" s="1">
        <v>1</v>
      </c>
      <c r="AT359" s="1">
        <v>0</v>
      </c>
      <c r="AU359" s="4">
        <v>0</v>
      </c>
      <c r="AV359" s="4">
        <v>1</v>
      </c>
      <c r="AW359" s="1">
        <f t="shared" si="138"/>
        <v>2.1276595744680851E-2</v>
      </c>
      <c r="AX359" s="1">
        <f t="shared" si="139"/>
        <v>4.526935264825713E-4</v>
      </c>
    </row>
    <row r="360" spans="1:50" x14ac:dyDescent="0.25">
      <c r="A360" s="1" t="s">
        <v>57</v>
      </c>
      <c r="B360" s="1">
        <v>2005</v>
      </c>
      <c r="C360" s="1">
        <f t="shared" si="140"/>
        <v>30</v>
      </c>
      <c r="D360" s="1" t="s">
        <v>24</v>
      </c>
      <c r="E360" s="1" t="s">
        <v>25</v>
      </c>
      <c r="F360" s="2">
        <v>-0.98799999999999999</v>
      </c>
      <c r="G360" s="3">
        <v>0.110267857142857</v>
      </c>
      <c r="H360" s="1">
        <v>6</v>
      </c>
      <c r="I360" s="1">
        <v>66</v>
      </c>
      <c r="J360" s="1">
        <f t="shared" si="149"/>
        <v>60</v>
      </c>
      <c r="K360" s="1">
        <v>47</v>
      </c>
      <c r="L360" s="1">
        <v>1992</v>
      </c>
      <c r="M360" s="1">
        <v>2001</v>
      </c>
      <c r="N360" s="1">
        <f t="shared" si="147"/>
        <v>1996.5</v>
      </c>
      <c r="O360" s="1">
        <f t="shared" si="148"/>
        <v>10</v>
      </c>
      <c r="P360" s="1">
        <f t="shared" si="134"/>
        <v>2.3025850929940459</v>
      </c>
      <c r="Q360" s="1">
        <v>42</v>
      </c>
      <c r="R360" s="1">
        <v>9</v>
      </c>
      <c r="S360" s="1" t="s">
        <v>27</v>
      </c>
      <c r="T360" s="1">
        <f t="shared" si="144"/>
        <v>0</v>
      </c>
      <c r="U360" s="1">
        <v>1</v>
      </c>
      <c r="V360" s="1">
        <v>1</v>
      </c>
      <c r="W360" s="1">
        <v>0</v>
      </c>
      <c r="X360" s="1">
        <v>1</v>
      </c>
      <c r="Y360" s="1">
        <v>0</v>
      </c>
      <c r="Z360" s="1">
        <v>0</v>
      </c>
      <c r="AA360" s="1">
        <v>0</v>
      </c>
      <c r="AB360" s="1" t="s">
        <v>88</v>
      </c>
      <c r="AC360" s="1">
        <f t="shared" si="133"/>
        <v>3</v>
      </c>
      <c r="AD360" s="1">
        <f t="shared" si="150"/>
        <v>0</v>
      </c>
      <c r="AE360" s="1">
        <v>1</v>
      </c>
      <c r="AF360" s="1">
        <v>7.6033989999999996</v>
      </c>
      <c r="AG360" s="1">
        <v>3.7612000000000001</v>
      </c>
      <c r="AH360" s="1">
        <f t="shared" si="141"/>
        <v>-8.9600000000000115</v>
      </c>
      <c r="AI360" s="1">
        <f t="shared" si="136"/>
        <v>-0.7564977738183063</v>
      </c>
      <c r="AJ360" s="1">
        <f t="shared" si="151"/>
        <v>8.4430555113650149E-2</v>
      </c>
      <c r="AK360" s="1">
        <f t="shared" si="152"/>
        <v>140.28160000000017</v>
      </c>
      <c r="AL360" s="1">
        <f t="shared" si="153"/>
        <v>11.844053360231038</v>
      </c>
      <c r="AM360" s="1">
        <v>0</v>
      </c>
      <c r="AN360" s="1">
        <v>1</v>
      </c>
      <c r="AO360" s="1">
        <v>0</v>
      </c>
      <c r="AP360" s="1">
        <f t="shared" si="137"/>
        <v>0.12909944487358055</v>
      </c>
      <c r="AQ360" s="1">
        <v>0</v>
      </c>
      <c r="AR360" s="1">
        <v>1</v>
      </c>
      <c r="AS360" s="1">
        <v>1</v>
      </c>
      <c r="AT360" s="1">
        <v>0</v>
      </c>
      <c r="AU360" s="4">
        <v>0</v>
      </c>
      <c r="AV360" s="4">
        <v>1</v>
      </c>
      <c r="AW360" s="1">
        <f t="shared" si="138"/>
        <v>2.1276595744680851E-2</v>
      </c>
      <c r="AX360" s="1">
        <f t="shared" si="139"/>
        <v>4.526935264825713E-4</v>
      </c>
    </row>
    <row r="361" spans="1:50" x14ac:dyDescent="0.25">
      <c r="A361" s="1" t="s">
        <v>57</v>
      </c>
      <c r="B361" s="1">
        <v>2005</v>
      </c>
      <c r="C361" s="1">
        <f t="shared" si="140"/>
        <v>30</v>
      </c>
      <c r="D361" s="1" t="s">
        <v>24</v>
      </c>
      <c r="E361" s="1" t="s">
        <v>25</v>
      </c>
      <c r="F361" s="2">
        <v>-0.98799999999999999</v>
      </c>
      <c r="G361" s="3">
        <v>0.110267857142857</v>
      </c>
      <c r="H361" s="1">
        <v>6</v>
      </c>
      <c r="I361" s="1">
        <v>66</v>
      </c>
      <c r="J361" s="1">
        <f t="shared" si="149"/>
        <v>60</v>
      </c>
      <c r="K361" s="1">
        <v>47</v>
      </c>
      <c r="L361" s="1">
        <v>1992</v>
      </c>
      <c r="M361" s="1">
        <v>2001</v>
      </c>
      <c r="N361" s="1">
        <f t="shared" si="147"/>
        <v>1996.5</v>
      </c>
      <c r="O361" s="1">
        <f t="shared" si="148"/>
        <v>10</v>
      </c>
      <c r="P361" s="1">
        <f t="shared" si="134"/>
        <v>2.3025850929940459</v>
      </c>
      <c r="Q361" s="1">
        <v>42</v>
      </c>
      <c r="R361" s="1">
        <v>9</v>
      </c>
      <c r="S361" s="1" t="s">
        <v>27</v>
      </c>
      <c r="T361" s="1">
        <f t="shared" si="144"/>
        <v>0</v>
      </c>
      <c r="U361" s="1">
        <v>1</v>
      </c>
      <c r="V361" s="1">
        <v>1</v>
      </c>
      <c r="W361" s="1">
        <v>0</v>
      </c>
      <c r="X361" s="1">
        <v>1</v>
      </c>
      <c r="Y361" s="1">
        <v>0</v>
      </c>
      <c r="Z361" s="1">
        <v>0</v>
      </c>
      <c r="AA361" s="1">
        <v>0</v>
      </c>
      <c r="AB361" s="1" t="s">
        <v>88</v>
      </c>
      <c r="AC361" s="1">
        <f t="shared" si="133"/>
        <v>3</v>
      </c>
      <c r="AD361" s="1">
        <f t="shared" si="150"/>
        <v>0</v>
      </c>
      <c r="AE361" s="1">
        <v>1</v>
      </c>
      <c r="AF361" s="1">
        <v>7.6033989999999996</v>
      </c>
      <c r="AG361" s="1">
        <v>3.7612000000000001</v>
      </c>
      <c r="AH361" s="1">
        <f t="shared" si="141"/>
        <v>-8.9600000000000115</v>
      </c>
      <c r="AI361" s="1">
        <f t="shared" si="136"/>
        <v>-0.7564977738183063</v>
      </c>
      <c r="AJ361" s="1">
        <f t="shared" si="151"/>
        <v>8.4430555113650149E-2</v>
      </c>
      <c r="AK361" s="1">
        <f t="shared" si="152"/>
        <v>140.28160000000017</v>
      </c>
      <c r="AL361" s="1">
        <f t="shared" si="153"/>
        <v>11.844053360231038</v>
      </c>
      <c r="AM361" s="1">
        <v>0</v>
      </c>
      <c r="AN361" s="1">
        <v>1</v>
      </c>
      <c r="AO361" s="1">
        <v>0</v>
      </c>
      <c r="AP361" s="1">
        <f t="shared" si="137"/>
        <v>0.12909944487358055</v>
      </c>
      <c r="AQ361" s="1">
        <v>0</v>
      </c>
      <c r="AR361" s="1">
        <v>1</v>
      </c>
      <c r="AS361" s="1">
        <v>1</v>
      </c>
      <c r="AT361" s="1">
        <v>0</v>
      </c>
      <c r="AU361" s="4">
        <v>0</v>
      </c>
      <c r="AV361" s="4">
        <v>1</v>
      </c>
      <c r="AW361" s="1">
        <f t="shared" si="138"/>
        <v>2.1276595744680851E-2</v>
      </c>
      <c r="AX361" s="1">
        <f t="shared" si="139"/>
        <v>4.526935264825713E-4</v>
      </c>
    </row>
    <row r="362" spans="1:50" x14ac:dyDescent="0.25">
      <c r="A362" s="1" t="s">
        <v>57</v>
      </c>
      <c r="B362" s="1">
        <v>2005</v>
      </c>
      <c r="C362" s="1">
        <f t="shared" si="140"/>
        <v>30</v>
      </c>
      <c r="D362" s="1" t="s">
        <v>24</v>
      </c>
      <c r="E362" s="1" t="s">
        <v>25</v>
      </c>
      <c r="F362" s="2">
        <v>-0.64500000000000002</v>
      </c>
      <c r="G362" s="3">
        <v>7.4137931034482796E-2</v>
      </c>
      <c r="H362" s="1">
        <v>6</v>
      </c>
      <c r="I362" s="1">
        <v>165</v>
      </c>
      <c r="J362" s="1">
        <f t="shared" si="149"/>
        <v>159</v>
      </c>
      <c r="K362" s="1">
        <v>47</v>
      </c>
      <c r="L362" s="1">
        <v>1992</v>
      </c>
      <c r="M362" s="1">
        <v>2001</v>
      </c>
      <c r="N362" s="1">
        <f t="shared" si="147"/>
        <v>1996.5</v>
      </c>
      <c r="O362" s="1">
        <f t="shared" si="148"/>
        <v>10</v>
      </c>
      <c r="P362" s="1">
        <f t="shared" si="134"/>
        <v>2.3025850929940459</v>
      </c>
      <c r="Q362" s="1">
        <v>42</v>
      </c>
      <c r="R362" s="1">
        <v>9</v>
      </c>
      <c r="S362" s="1" t="s">
        <v>27</v>
      </c>
      <c r="T362" s="1">
        <f t="shared" si="144"/>
        <v>0</v>
      </c>
      <c r="U362" s="1">
        <v>1</v>
      </c>
      <c r="V362" s="1">
        <v>1</v>
      </c>
      <c r="W362" s="1">
        <v>0</v>
      </c>
      <c r="X362" s="1">
        <v>1</v>
      </c>
      <c r="Y362" s="1">
        <v>0</v>
      </c>
      <c r="Z362" s="1">
        <v>0</v>
      </c>
      <c r="AA362" s="1">
        <v>0</v>
      </c>
      <c r="AB362" s="1" t="s">
        <v>88</v>
      </c>
      <c r="AC362" s="1">
        <f t="shared" si="133"/>
        <v>3</v>
      </c>
      <c r="AD362" s="1">
        <f t="shared" si="150"/>
        <v>0</v>
      </c>
      <c r="AE362" s="1">
        <v>1</v>
      </c>
      <c r="AF362" s="1">
        <v>7.6033989999999996</v>
      </c>
      <c r="AG362" s="1">
        <v>3.7612000000000001</v>
      </c>
      <c r="AH362" s="1">
        <f t="shared" si="141"/>
        <v>-8.6999999999999957</v>
      </c>
      <c r="AI362" s="1">
        <f t="shared" si="136"/>
        <v>-0.5679001195865423</v>
      </c>
      <c r="AJ362" s="1">
        <f t="shared" si="151"/>
        <v>6.5275875814545123E-2</v>
      </c>
      <c r="AK362" s="1">
        <f t="shared" si="152"/>
        <v>234.68999999999997</v>
      </c>
      <c r="AL362" s="1">
        <f t="shared" si="153"/>
        <v>15.319595294915592</v>
      </c>
      <c r="AM362" s="1">
        <v>0</v>
      </c>
      <c r="AN362" s="1">
        <v>1</v>
      </c>
      <c r="AO362" s="1">
        <v>0</v>
      </c>
      <c r="AP362" s="1">
        <f t="shared" si="137"/>
        <v>7.9305158571814416E-2</v>
      </c>
      <c r="AQ362" s="1">
        <v>0</v>
      </c>
      <c r="AR362" s="1">
        <v>1</v>
      </c>
      <c r="AS362" s="1">
        <v>1</v>
      </c>
      <c r="AT362" s="1">
        <v>0</v>
      </c>
      <c r="AU362" s="4">
        <v>0</v>
      </c>
      <c r="AV362" s="4">
        <v>1</v>
      </c>
      <c r="AW362" s="1">
        <f t="shared" si="138"/>
        <v>2.1276595744680851E-2</v>
      </c>
      <c r="AX362" s="1">
        <f t="shared" si="139"/>
        <v>4.526935264825713E-4</v>
      </c>
    </row>
    <row r="363" spans="1:50" x14ac:dyDescent="0.25">
      <c r="A363" s="1" t="s">
        <v>57</v>
      </c>
      <c r="B363" s="1">
        <v>2005</v>
      </c>
      <c r="C363" s="1">
        <f t="shared" si="140"/>
        <v>30</v>
      </c>
      <c r="D363" s="1" t="s">
        <v>24</v>
      </c>
      <c r="E363" s="1" t="s">
        <v>25</v>
      </c>
      <c r="F363" s="2">
        <v>-0.64500000000000002</v>
      </c>
      <c r="G363" s="3">
        <v>7.4137931034482796E-2</v>
      </c>
      <c r="H363" s="1">
        <v>6</v>
      </c>
      <c r="I363" s="1">
        <v>165</v>
      </c>
      <c r="J363" s="1">
        <f t="shared" si="149"/>
        <v>159</v>
      </c>
      <c r="K363" s="1">
        <v>47</v>
      </c>
      <c r="L363" s="1">
        <v>1992</v>
      </c>
      <c r="M363" s="1">
        <v>2001</v>
      </c>
      <c r="N363" s="1">
        <f t="shared" si="147"/>
        <v>1996.5</v>
      </c>
      <c r="O363" s="1">
        <f t="shared" si="148"/>
        <v>10</v>
      </c>
      <c r="P363" s="1">
        <f t="shared" si="134"/>
        <v>2.3025850929940459</v>
      </c>
      <c r="Q363" s="1">
        <v>42</v>
      </c>
      <c r="R363" s="1">
        <v>9</v>
      </c>
      <c r="S363" s="1" t="s">
        <v>27</v>
      </c>
      <c r="T363" s="1">
        <f t="shared" si="144"/>
        <v>0</v>
      </c>
      <c r="U363" s="1">
        <v>1</v>
      </c>
      <c r="V363" s="1">
        <v>1</v>
      </c>
      <c r="W363" s="1">
        <v>0</v>
      </c>
      <c r="X363" s="1">
        <v>1</v>
      </c>
      <c r="Y363" s="1">
        <v>0</v>
      </c>
      <c r="Z363" s="1">
        <v>0</v>
      </c>
      <c r="AA363" s="1">
        <v>0</v>
      </c>
      <c r="AB363" s="1" t="s">
        <v>88</v>
      </c>
      <c r="AC363" s="1">
        <f t="shared" si="133"/>
        <v>3</v>
      </c>
      <c r="AD363" s="1">
        <f t="shared" si="150"/>
        <v>0</v>
      </c>
      <c r="AE363" s="1">
        <v>1</v>
      </c>
      <c r="AF363" s="1">
        <v>7.6033989999999996</v>
      </c>
      <c r="AG363" s="1">
        <v>3.7612000000000001</v>
      </c>
      <c r="AH363" s="1">
        <f t="shared" si="141"/>
        <v>-8.6999999999999957</v>
      </c>
      <c r="AI363" s="1">
        <f t="shared" si="136"/>
        <v>-0.5679001195865423</v>
      </c>
      <c r="AJ363" s="1">
        <f t="shared" si="151"/>
        <v>6.5275875814545123E-2</v>
      </c>
      <c r="AK363" s="1">
        <f t="shared" si="152"/>
        <v>234.68999999999997</v>
      </c>
      <c r="AL363" s="1">
        <f t="shared" si="153"/>
        <v>15.319595294915592</v>
      </c>
      <c r="AM363" s="1">
        <v>0</v>
      </c>
      <c r="AN363" s="1">
        <v>1</v>
      </c>
      <c r="AO363" s="1">
        <v>0</v>
      </c>
      <c r="AP363" s="1">
        <f t="shared" si="137"/>
        <v>7.9305158571814416E-2</v>
      </c>
      <c r="AQ363" s="1">
        <v>0</v>
      </c>
      <c r="AR363" s="1">
        <v>1</v>
      </c>
      <c r="AS363" s="1">
        <v>1</v>
      </c>
      <c r="AT363" s="1">
        <v>0</v>
      </c>
      <c r="AU363" s="4">
        <v>0</v>
      </c>
      <c r="AV363" s="4">
        <v>1</v>
      </c>
      <c r="AW363" s="1">
        <f t="shared" si="138"/>
        <v>2.1276595744680851E-2</v>
      </c>
      <c r="AX363" s="1">
        <f t="shared" si="139"/>
        <v>4.526935264825713E-4</v>
      </c>
    </row>
    <row r="364" spans="1:50" x14ac:dyDescent="0.25">
      <c r="A364" s="1" t="s">
        <v>57</v>
      </c>
      <c r="B364" s="1">
        <v>2005</v>
      </c>
      <c r="C364" s="1">
        <f t="shared" si="140"/>
        <v>30</v>
      </c>
      <c r="D364" s="1" t="s">
        <v>24</v>
      </c>
      <c r="E364" s="1" t="s">
        <v>25</v>
      </c>
      <c r="F364" s="2">
        <v>-0.46300000000000002</v>
      </c>
      <c r="G364" s="3">
        <v>7.9965457685664904E-2</v>
      </c>
      <c r="H364" s="1">
        <v>6</v>
      </c>
      <c r="I364" s="1">
        <v>165</v>
      </c>
      <c r="J364" s="1">
        <f t="shared" si="149"/>
        <v>159</v>
      </c>
      <c r="K364" s="1">
        <v>47</v>
      </c>
      <c r="L364" s="1">
        <v>1992</v>
      </c>
      <c r="M364" s="1">
        <v>2001</v>
      </c>
      <c r="N364" s="1">
        <f t="shared" si="147"/>
        <v>1996.5</v>
      </c>
      <c r="O364" s="1">
        <f t="shared" si="148"/>
        <v>10</v>
      </c>
      <c r="P364" s="1">
        <f t="shared" si="134"/>
        <v>2.3025850929940459</v>
      </c>
      <c r="Q364" s="1">
        <v>42</v>
      </c>
      <c r="R364" s="1">
        <v>9</v>
      </c>
      <c r="S364" s="1" t="s">
        <v>27</v>
      </c>
      <c r="T364" s="1">
        <f t="shared" si="144"/>
        <v>0</v>
      </c>
      <c r="U364" s="1">
        <v>1</v>
      </c>
      <c r="V364" s="1">
        <v>1</v>
      </c>
      <c r="W364" s="1">
        <v>0</v>
      </c>
      <c r="X364" s="1">
        <v>1</v>
      </c>
      <c r="Y364" s="1">
        <v>0</v>
      </c>
      <c r="Z364" s="1">
        <v>0</v>
      </c>
      <c r="AA364" s="1">
        <v>0</v>
      </c>
      <c r="AB364" s="1" t="s">
        <v>88</v>
      </c>
      <c r="AC364" s="1">
        <f t="shared" si="133"/>
        <v>3</v>
      </c>
      <c r="AD364" s="1">
        <f t="shared" si="150"/>
        <v>0</v>
      </c>
      <c r="AE364" s="1">
        <v>1</v>
      </c>
      <c r="AF364" s="1">
        <v>7.6033989999999996</v>
      </c>
      <c r="AG364" s="1">
        <v>3.7612000000000001</v>
      </c>
      <c r="AH364" s="1">
        <f t="shared" si="141"/>
        <v>-5.7900000000000027</v>
      </c>
      <c r="AI364" s="1">
        <f t="shared" si="136"/>
        <v>-0.41728811238611985</v>
      </c>
      <c r="AJ364" s="1">
        <f t="shared" si="151"/>
        <v>7.2070485731626888E-2</v>
      </c>
      <c r="AK364" s="1">
        <f t="shared" si="152"/>
        <v>192.52410000000003</v>
      </c>
      <c r="AL364" s="1">
        <f t="shared" si="153"/>
        <v>13.875305402044312</v>
      </c>
      <c r="AM364" s="1">
        <v>0</v>
      </c>
      <c r="AN364" s="1">
        <v>1</v>
      </c>
      <c r="AO364" s="1">
        <v>0</v>
      </c>
      <c r="AP364" s="1">
        <f t="shared" si="137"/>
        <v>7.9305158571814416E-2</v>
      </c>
      <c r="AQ364" s="1">
        <v>0</v>
      </c>
      <c r="AR364" s="1">
        <v>1</v>
      </c>
      <c r="AS364" s="1">
        <v>1</v>
      </c>
      <c r="AT364" s="1">
        <v>0</v>
      </c>
      <c r="AU364" s="4">
        <v>0</v>
      </c>
      <c r="AV364" s="4">
        <v>1</v>
      </c>
      <c r="AW364" s="1">
        <f t="shared" si="138"/>
        <v>2.1276595744680851E-2</v>
      </c>
      <c r="AX364" s="1">
        <f t="shared" si="139"/>
        <v>4.526935264825713E-4</v>
      </c>
    </row>
    <row r="365" spans="1:50" x14ac:dyDescent="0.25">
      <c r="A365" s="1" t="s">
        <v>57</v>
      </c>
      <c r="B365" s="1">
        <v>2005</v>
      </c>
      <c r="C365" s="1">
        <f t="shared" si="140"/>
        <v>30</v>
      </c>
      <c r="D365" s="1" t="s">
        <v>24</v>
      </c>
      <c r="E365" s="1" t="s">
        <v>25</v>
      </c>
      <c r="F365" s="2">
        <v>-0.40899999999999997</v>
      </c>
      <c r="G365" s="3">
        <v>6.5967741935483895E-2</v>
      </c>
      <c r="H365" s="1">
        <v>5</v>
      </c>
      <c r="I365" s="1">
        <v>165</v>
      </c>
      <c r="J365" s="1">
        <f t="shared" si="149"/>
        <v>160</v>
      </c>
      <c r="K365" s="1">
        <v>47</v>
      </c>
      <c r="L365" s="1">
        <v>1992</v>
      </c>
      <c r="M365" s="1">
        <v>2001</v>
      </c>
      <c r="N365" s="1">
        <f t="shared" si="147"/>
        <v>1996.5</v>
      </c>
      <c r="O365" s="1">
        <f t="shared" si="148"/>
        <v>10</v>
      </c>
      <c r="P365" s="1">
        <f t="shared" si="134"/>
        <v>2.3025850929940459</v>
      </c>
      <c r="Q365" s="1">
        <v>42</v>
      </c>
      <c r="R365" s="1">
        <v>9</v>
      </c>
      <c r="S365" s="1" t="s">
        <v>27</v>
      </c>
      <c r="T365" s="1">
        <f t="shared" si="144"/>
        <v>0</v>
      </c>
      <c r="U365" s="1">
        <v>0</v>
      </c>
      <c r="V365" s="1">
        <v>1</v>
      </c>
      <c r="W365" s="1">
        <v>0</v>
      </c>
      <c r="X365" s="1">
        <v>1</v>
      </c>
      <c r="Y365" s="1">
        <v>0</v>
      </c>
      <c r="Z365" s="1">
        <v>0</v>
      </c>
      <c r="AA365" s="1">
        <v>0</v>
      </c>
      <c r="AB365" s="1" t="s">
        <v>88</v>
      </c>
      <c r="AC365" s="1">
        <f t="shared" si="133"/>
        <v>3</v>
      </c>
      <c r="AD365" s="1">
        <f t="shared" si="150"/>
        <v>0</v>
      </c>
      <c r="AE365" s="1">
        <v>1</v>
      </c>
      <c r="AF365" s="1">
        <v>7.6033989999999996</v>
      </c>
      <c r="AG365" s="1">
        <v>3.7612000000000001</v>
      </c>
      <c r="AH365" s="1">
        <f t="shared" si="141"/>
        <v>-6.1999999999999975</v>
      </c>
      <c r="AI365" s="1">
        <f t="shared" si="136"/>
        <v>-0.44012605623152601</v>
      </c>
      <c r="AJ365" s="1">
        <f t="shared" si="151"/>
        <v>7.0988073585730033E-2</v>
      </c>
      <c r="AK365" s="1">
        <f t="shared" si="152"/>
        <v>198.43999999999997</v>
      </c>
      <c r="AL365" s="1">
        <f t="shared" si="153"/>
        <v>14.086873322352266</v>
      </c>
      <c r="AM365" s="1">
        <v>0</v>
      </c>
      <c r="AN365" s="1">
        <v>1</v>
      </c>
      <c r="AO365" s="1">
        <v>0</v>
      </c>
      <c r="AP365" s="1">
        <f t="shared" si="137"/>
        <v>7.9056941504209485E-2</v>
      </c>
      <c r="AQ365" s="1">
        <v>0</v>
      </c>
      <c r="AR365" s="1">
        <v>1</v>
      </c>
      <c r="AS365" s="1">
        <v>1</v>
      </c>
      <c r="AT365" s="1">
        <v>0</v>
      </c>
      <c r="AU365" s="4">
        <v>0</v>
      </c>
      <c r="AV365" s="4">
        <v>1</v>
      </c>
      <c r="AW365" s="1">
        <f t="shared" si="138"/>
        <v>2.1276595744680851E-2</v>
      </c>
      <c r="AX365" s="1">
        <f t="shared" si="139"/>
        <v>4.526935264825713E-4</v>
      </c>
    </row>
    <row r="366" spans="1:50" x14ac:dyDescent="0.25">
      <c r="A366" s="1" t="s">
        <v>57</v>
      </c>
      <c r="B366" s="1">
        <v>2005</v>
      </c>
      <c r="C366" s="1">
        <f t="shared" si="140"/>
        <v>30</v>
      </c>
      <c r="D366" s="1" t="s">
        <v>24</v>
      </c>
      <c r="E366" s="1" t="s">
        <v>25</v>
      </c>
      <c r="F366" s="2">
        <v>-0.151</v>
      </c>
      <c r="G366" s="3">
        <v>4.9346405228758203E-2</v>
      </c>
      <c r="H366" s="1">
        <v>6</v>
      </c>
      <c r="I366" s="1">
        <v>165</v>
      </c>
      <c r="J366" s="1">
        <f t="shared" si="149"/>
        <v>159</v>
      </c>
      <c r="K366" s="1">
        <v>47</v>
      </c>
      <c r="L366" s="1">
        <v>1992</v>
      </c>
      <c r="M366" s="1">
        <v>2001</v>
      </c>
      <c r="N366" s="1">
        <f t="shared" si="147"/>
        <v>1996.5</v>
      </c>
      <c r="O366" s="1">
        <f t="shared" si="148"/>
        <v>10</v>
      </c>
      <c r="P366" s="1">
        <f t="shared" si="134"/>
        <v>2.3025850929940459</v>
      </c>
      <c r="Q366" s="1">
        <v>42</v>
      </c>
      <c r="R366" s="1">
        <v>9</v>
      </c>
      <c r="S366" s="1" t="s">
        <v>27</v>
      </c>
      <c r="T366" s="1">
        <f t="shared" si="144"/>
        <v>0</v>
      </c>
      <c r="U366" s="1">
        <v>1</v>
      </c>
      <c r="V366" s="1">
        <v>1</v>
      </c>
      <c r="W366" s="1">
        <v>0</v>
      </c>
      <c r="X366" s="1">
        <v>1</v>
      </c>
      <c r="Y366" s="1">
        <v>0</v>
      </c>
      <c r="Z366" s="1">
        <v>0</v>
      </c>
      <c r="AA366" s="1">
        <v>0</v>
      </c>
      <c r="AB366" s="1" t="s">
        <v>88</v>
      </c>
      <c r="AC366" s="1">
        <f t="shared" si="133"/>
        <v>3</v>
      </c>
      <c r="AD366" s="1">
        <f t="shared" si="150"/>
        <v>0</v>
      </c>
      <c r="AE366" s="1">
        <v>1</v>
      </c>
      <c r="AF366" s="1">
        <v>7.6033989999999996</v>
      </c>
      <c r="AG366" s="1">
        <v>3.7612000000000001</v>
      </c>
      <c r="AH366" s="1">
        <f t="shared" ref="AH366:AH400" si="154">+F366/G366</f>
        <v>-3.0599999999999978</v>
      </c>
      <c r="AI366" s="1">
        <f t="shared" si="136"/>
        <v>-0.23582906263896317</v>
      </c>
      <c r="AJ366" s="1">
        <f t="shared" si="151"/>
        <v>7.7068321123844222E-2</v>
      </c>
      <c r="AK366" s="1">
        <f t="shared" si="152"/>
        <v>168.36360000000002</v>
      </c>
      <c r="AL366" s="1">
        <f t="shared" si="153"/>
        <v>12.97549999036646</v>
      </c>
      <c r="AM366" s="1">
        <v>0</v>
      </c>
      <c r="AN366" s="1">
        <v>1</v>
      </c>
      <c r="AO366" s="1">
        <v>0</v>
      </c>
      <c r="AP366" s="1">
        <f t="shared" si="137"/>
        <v>7.9305158571814416E-2</v>
      </c>
      <c r="AQ366" s="1">
        <v>0</v>
      </c>
      <c r="AR366" s="1">
        <v>1</v>
      </c>
      <c r="AS366" s="1">
        <v>1</v>
      </c>
      <c r="AT366" s="1">
        <v>0</v>
      </c>
      <c r="AU366" s="4">
        <v>0</v>
      </c>
      <c r="AV366" s="4">
        <v>1</v>
      </c>
      <c r="AW366" s="1">
        <f t="shared" si="138"/>
        <v>2.1276595744680851E-2</v>
      </c>
      <c r="AX366" s="1">
        <f t="shared" si="139"/>
        <v>4.526935264825713E-4</v>
      </c>
    </row>
    <row r="367" spans="1:50" x14ac:dyDescent="0.25">
      <c r="A367" s="1" t="s">
        <v>57</v>
      </c>
      <c r="B367" s="1">
        <v>2005</v>
      </c>
      <c r="C367" s="1">
        <f t="shared" si="140"/>
        <v>30</v>
      </c>
      <c r="D367" s="1" t="s">
        <v>24</v>
      </c>
      <c r="E367" s="1" t="s">
        <v>25</v>
      </c>
      <c r="F367" s="2">
        <v>-0.14199999999999999</v>
      </c>
      <c r="G367" s="3">
        <v>3.7270341207349102E-2</v>
      </c>
      <c r="H367" s="1">
        <v>4</v>
      </c>
      <c r="I367" s="1">
        <v>165</v>
      </c>
      <c r="J367" s="1">
        <f t="shared" si="149"/>
        <v>161</v>
      </c>
      <c r="K367" s="1">
        <v>47</v>
      </c>
      <c r="L367" s="1">
        <v>1992</v>
      </c>
      <c r="M367" s="1">
        <v>2001</v>
      </c>
      <c r="N367" s="1">
        <f t="shared" si="147"/>
        <v>1996.5</v>
      </c>
      <c r="O367" s="1">
        <f t="shared" si="148"/>
        <v>10</v>
      </c>
      <c r="P367" s="1">
        <f t="shared" si="134"/>
        <v>2.3025850929940459</v>
      </c>
      <c r="Q367" s="1">
        <v>42</v>
      </c>
      <c r="R367" s="1">
        <v>9</v>
      </c>
      <c r="S367" s="1" t="s">
        <v>27</v>
      </c>
      <c r="T367" s="1">
        <f t="shared" si="144"/>
        <v>0</v>
      </c>
      <c r="U367" s="1">
        <v>1</v>
      </c>
      <c r="V367" s="1">
        <v>0</v>
      </c>
      <c r="W367" s="1">
        <v>0</v>
      </c>
      <c r="X367" s="1">
        <v>1</v>
      </c>
      <c r="Y367" s="1">
        <v>0</v>
      </c>
      <c r="Z367" s="1">
        <v>0</v>
      </c>
      <c r="AA367" s="1">
        <v>0</v>
      </c>
      <c r="AB367" s="1" t="s">
        <v>88</v>
      </c>
      <c r="AC367" s="1">
        <f t="shared" si="133"/>
        <v>3</v>
      </c>
      <c r="AD367" s="1">
        <f t="shared" si="150"/>
        <v>0</v>
      </c>
      <c r="AE367" s="1">
        <v>1</v>
      </c>
      <c r="AF367" s="1">
        <v>7.6033989999999996</v>
      </c>
      <c r="AG367" s="1">
        <v>3.7612000000000001</v>
      </c>
      <c r="AH367" s="1">
        <f t="shared" si="154"/>
        <v>-3.8099999999999974</v>
      </c>
      <c r="AI367" s="1">
        <f t="shared" si="136"/>
        <v>-0.28758517574638814</v>
      </c>
      <c r="AJ367" s="1">
        <f t="shared" si="151"/>
        <v>7.5481673424248913E-2</v>
      </c>
      <c r="AK367" s="1">
        <f t="shared" si="152"/>
        <v>175.51609999999994</v>
      </c>
      <c r="AL367" s="1">
        <f t="shared" si="153"/>
        <v>13.24824894089781</v>
      </c>
      <c r="AM367" s="1">
        <v>0</v>
      </c>
      <c r="AN367" s="1">
        <v>1</v>
      </c>
      <c r="AO367" s="1">
        <v>0</v>
      </c>
      <c r="AP367" s="1">
        <f t="shared" si="137"/>
        <v>7.8811040623910061E-2</v>
      </c>
      <c r="AQ367" s="1">
        <v>0</v>
      </c>
      <c r="AR367" s="1">
        <v>1</v>
      </c>
      <c r="AS367" s="1">
        <v>0</v>
      </c>
      <c r="AT367" s="1">
        <v>1</v>
      </c>
      <c r="AU367" s="4">
        <v>0</v>
      </c>
      <c r="AV367" s="4">
        <v>1</v>
      </c>
      <c r="AW367" s="1">
        <f t="shared" si="138"/>
        <v>2.1276595744680851E-2</v>
      </c>
      <c r="AX367" s="1">
        <f t="shared" si="139"/>
        <v>4.526935264825713E-4</v>
      </c>
    </row>
    <row r="368" spans="1:50" x14ac:dyDescent="0.25">
      <c r="A368" s="1" t="s">
        <v>57</v>
      </c>
      <c r="B368" s="1">
        <v>2005</v>
      </c>
      <c r="C368" s="1">
        <f t="shared" si="140"/>
        <v>30</v>
      </c>
      <c r="D368" s="1" t="s">
        <v>24</v>
      </c>
      <c r="E368" s="1" t="s">
        <v>25</v>
      </c>
      <c r="F368" s="2">
        <v>8.8999999999999996E-2</v>
      </c>
      <c r="G368" s="3">
        <v>5.3939393939393898E-2</v>
      </c>
      <c r="H368" s="1">
        <v>6</v>
      </c>
      <c r="I368" s="1">
        <v>50</v>
      </c>
      <c r="J368" s="1">
        <f t="shared" si="149"/>
        <v>44</v>
      </c>
      <c r="K368" s="1">
        <v>47</v>
      </c>
      <c r="L368" s="1">
        <v>1992</v>
      </c>
      <c r="M368" s="1">
        <v>2001</v>
      </c>
      <c r="N368" s="1">
        <f t="shared" si="147"/>
        <v>1996.5</v>
      </c>
      <c r="O368" s="1">
        <f t="shared" si="148"/>
        <v>10</v>
      </c>
      <c r="P368" s="1">
        <f t="shared" si="134"/>
        <v>2.3025850929940459</v>
      </c>
      <c r="Q368" s="1">
        <v>42</v>
      </c>
      <c r="R368" s="1">
        <v>9</v>
      </c>
      <c r="S368" s="1" t="s">
        <v>27</v>
      </c>
      <c r="T368" s="1">
        <f t="shared" si="144"/>
        <v>0</v>
      </c>
      <c r="U368" s="1">
        <v>1</v>
      </c>
      <c r="V368" s="1">
        <v>1</v>
      </c>
      <c r="W368" s="1">
        <v>0</v>
      </c>
      <c r="X368" s="1">
        <v>1</v>
      </c>
      <c r="Y368" s="1">
        <v>0</v>
      </c>
      <c r="Z368" s="1">
        <v>0</v>
      </c>
      <c r="AA368" s="1">
        <v>0</v>
      </c>
      <c r="AB368" s="1" t="s">
        <v>88</v>
      </c>
      <c r="AC368" s="1">
        <f t="shared" si="133"/>
        <v>3</v>
      </c>
      <c r="AD368" s="1">
        <f t="shared" si="150"/>
        <v>0</v>
      </c>
      <c r="AE368" s="1">
        <v>1</v>
      </c>
      <c r="AF368" s="1">
        <v>7.6033989999999996</v>
      </c>
      <c r="AG368" s="1">
        <v>3.7612000000000001</v>
      </c>
      <c r="AH368" s="1">
        <f t="shared" si="154"/>
        <v>1.6500000000000012</v>
      </c>
      <c r="AI368" s="1">
        <f t="shared" si="136"/>
        <v>0.24139090773161187</v>
      </c>
      <c r="AJ368" s="1">
        <f t="shared" si="151"/>
        <v>0.14629751983734041</v>
      </c>
      <c r="AK368" s="1">
        <f t="shared" si="152"/>
        <v>46.722500000000004</v>
      </c>
      <c r="AL368" s="1">
        <f t="shared" si="153"/>
        <v>6.8353858706001382</v>
      </c>
      <c r="AM368" s="1">
        <v>0</v>
      </c>
      <c r="AN368" s="1">
        <v>1</v>
      </c>
      <c r="AO368" s="1">
        <v>0</v>
      </c>
      <c r="AP368" s="1">
        <f t="shared" si="137"/>
        <v>0.15075567228888181</v>
      </c>
      <c r="AQ368" s="1">
        <v>0</v>
      </c>
      <c r="AR368" s="1">
        <v>1</v>
      </c>
      <c r="AS368" s="1">
        <v>0</v>
      </c>
      <c r="AT368" s="1">
        <v>1</v>
      </c>
      <c r="AU368" s="4">
        <v>0</v>
      </c>
      <c r="AV368" s="4">
        <v>1</v>
      </c>
      <c r="AW368" s="1">
        <f t="shared" si="138"/>
        <v>2.1276595744680851E-2</v>
      </c>
      <c r="AX368" s="1">
        <f t="shared" si="139"/>
        <v>4.526935264825713E-4</v>
      </c>
    </row>
    <row r="369" spans="1:50" x14ac:dyDescent="0.25">
      <c r="A369" s="1" t="s">
        <v>57</v>
      </c>
      <c r="B369" s="1">
        <v>2005</v>
      </c>
      <c r="C369" s="1">
        <f t="shared" si="140"/>
        <v>30</v>
      </c>
      <c r="D369" s="1" t="s">
        <v>24</v>
      </c>
      <c r="E369" s="1" t="s">
        <v>25</v>
      </c>
      <c r="F369" s="2">
        <v>0.106</v>
      </c>
      <c r="G369" s="3">
        <v>4.2570281124497997E-2</v>
      </c>
      <c r="H369" s="1">
        <v>3</v>
      </c>
      <c r="I369" s="1">
        <v>50</v>
      </c>
      <c r="J369" s="1">
        <f t="shared" si="149"/>
        <v>47</v>
      </c>
      <c r="K369" s="1">
        <v>47</v>
      </c>
      <c r="L369" s="1">
        <v>1992</v>
      </c>
      <c r="M369" s="1">
        <v>2001</v>
      </c>
      <c r="N369" s="1">
        <f t="shared" si="147"/>
        <v>1996.5</v>
      </c>
      <c r="O369" s="1">
        <f t="shared" si="148"/>
        <v>10</v>
      </c>
      <c r="P369" s="1">
        <f t="shared" si="134"/>
        <v>2.3025850929940459</v>
      </c>
      <c r="Q369" s="1">
        <v>42</v>
      </c>
      <c r="R369" s="1">
        <v>9</v>
      </c>
      <c r="S369" s="1" t="s">
        <v>27</v>
      </c>
      <c r="T369" s="1">
        <f t="shared" si="144"/>
        <v>0</v>
      </c>
      <c r="U369" s="1">
        <v>1</v>
      </c>
      <c r="V369" s="1">
        <v>0</v>
      </c>
      <c r="W369" s="1">
        <v>0</v>
      </c>
      <c r="X369" s="1">
        <v>1</v>
      </c>
      <c r="Y369" s="1">
        <v>0</v>
      </c>
      <c r="Z369" s="1">
        <v>0</v>
      </c>
      <c r="AA369" s="1">
        <v>0</v>
      </c>
      <c r="AB369" s="1" t="s">
        <v>88</v>
      </c>
      <c r="AC369" s="1">
        <f t="shared" ref="AC369:AC427" si="155">IF(AB369="USA",1,IF(AB369="UK",2,IF(AB369="Canada",3,IF(AB369="Germany",4,IF(AB369="Netherlands",5,IF(AB369="India",20,IF(AB369="Indonesia",7,IF(AB369="Korea",8,IF(AB369="Philippines",9,IF(AB369="Taiwan",10,IF(AB369="Greece",11,IF(AB369="Iran",12,IF(AB369="Israel",13,IF(AB369="Kuwait",14,IF(AB369="Lebanon",15,IF(AB369="Saudi Arabia",16,IF(AB369="Turkey",17,IF(AB369="Ethiopia",18,IF(AB369="Kenya",19,IF(AB369="Nigeria",20,IF(AB369="Multinational",6,"")))))))))))))))))))))</f>
        <v>3</v>
      </c>
      <c r="AD369" s="1">
        <f t="shared" si="150"/>
        <v>0</v>
      </c>
      <c r="AE369" s="1">
        <v>1</v>
      </c>
      <c r="AF369" s="1">
        <v>7.6033989999999996</v>
      </c>
      <c r="AG369" s="1">
        <v>3.7612000000000001</v>
      </c>
      <c r="AH369" s="1">
        <f t="shared" si="154"/>
        <v>2.4899999999999998</v>
      </c>
      <c r="AI369" s="1">
        <f t="shared" si="136"/>
        <v>0.34138396859971459</v>
      </c>
      <c r="AJ369" s="1">
        <f t="shared" si="151"/>
        <v>0.13710199542157214</v>
      </c>
      <c r="AK369" s="1">
        <f t="shared" si="152"/>
        <v>53.200099999999999</v>
      </c>
      <c r="AL369" s="1">
        <f t="shared" si="153"/>
        <v>7.29383986662718</v>
      </c>
      <c r="AM369" s="1">
        <v>0</v>
      </c>
      <c r="AN369" s="1">
        <v>1</v>
      </c>
      <c r="AO369" s="1">
        <v>0</v>
      </c>
      <c r="AP369" s="1">
        <f t="shared" si="137"/>
        <v>0.14586499149789456</v>
      </c>
      <c r="AQ369" s="1">
        <v>0</v>
      </c>
      <c r="AR369" s="1">
        <v>1</v>
      </c>
      <c r="AS369" s="1">
        <v>0</v>
      </c>
      <c r="AT369" s="1">
        <v>1</v>
      </c>
      <c r="AU369" s="4">
        <v>0</v>
      </c>
      <c r="AV369" s="4">
        <v>1</v>
      </c>
      <c r="AW369" s="1">
        <f t="shared" si="138"/>
        <v>2.1276595744680851E-2</v>
      </c>
      <c r="AX369" s="1">
        <f t="shared" si="139"/>
        <v>4.526935264825713E-4</v>
      </c>
    </row>
    <row r="370" spans="1:50" x14ac:dyDescent="0.25">
      <c r="A370" s="1" t="s">
        <v>57</v>
      </c>
      <c r="B370" s="1">
        <v>2005</v>
      </c>
      <c r="C370" s="1">
        <f t="shared" si="140"/>
        <v>30</v>
      </c>
      <c r="D370" s="1" t="s">
        <v>24</v>
      </c>
      <c r="E370" s="1" t="s">
        <v>25</v>
      </c>
      <c r="F370" s="2">
        <v>-0.189</v>
      </c>
      <c r="G370" s="3">
        <v>7.2137404580152706E-2</v>
      </c>
      <c r="H370" s="1">
        <v>6</v>
      </c>
      <c r="I370" s="1">
        <v>49</v>
      </c>
      <c r="J370" s="1">
        <f t="shared" si="149"/>
        <v>43</v>
      </c>
      <c r="K370" s="1">
        <v>47</v>
      </c>
      <c r="L370" s="1">
        <v>1992</v>
      </c>
      <c r="M370" s="1">
        <v>2001</v>
      </c>
      <c r="N370" s="1">
        <f t="shared" si="147"/>
        <v>1996.5</v>
      </c>
      <c r="O370" s="1">
        <f t="shared" si="148"/>
        <v>10</v>
      </c>
      <c r="P370" s="1">
        <f t="shared" si="134"/>
        <v>2.3025850929940459</v>
      </c>
      <c r="Q370" s="1">
        <v>42</v>
      </c>
      <c r="R370" s="1">
        <v>9</v>
      </c>
      <c r="S370" s="1" t="s">
        <v>27</v>
      </c>
      <c r="T370" s="1">
        <f t="shared" si="144"/>
        <v>0</v>
      </c>
      <c r="U370" s="1">
        <v>1</v>
      </c>
      <c r="V370" s="1">
        <v>1</v>
      </c>
      <c r="W370" s="1">
        <v>0</v>
      </c>
      <c r="X370" s="1">
        <v>1</v>
      </c>
      <c r="Y370" s="1">
        <v>0</v>
      </c>
      <c r="Z370" s="1">
        <v>0</v>
      </c>
      <c r="AA370" s="1">
        <v>0</v>
      </c>
      <c r="AB370" s="1" t="s">
        <v>88</v>
      </c>
      <c r="AC370" s="1">
        <f t="shared" si="155"/>
        <v>3</v>
      </c>
      <c r="AD370" s="1">
        <f t="shared" si="150"/>
        <v>0</v>
      </c>
      <c r="AE370" s="1">
        <v>1</v>
      </c>
      <c r="AF370" s="1">
        <v>7.6033989999999996</v>
      </c>
      <c r="AG370" s="1">
        <v>3.7612000000000001</v>
      </c>
      <c r="AH370" s="1">
        <f t="shared" si="154"/>
        <v>-2.6199999999999988</v>
      </c>
      <c r="AI370" s="1">
        <f t="shared" si="136"/>
        <v>-0.37102740808116658</v>
      </c>
      <c r="AJ370" s="1">
        <f t="shared" si="151"/>
        <v>0.14161351453479648</v>
      </c>
      <c r="AK370" s="1">
        <f t="shared" si="152"/>
        <v>49.864399999999989</v>
      </c>
      <c r="AL370" s="1">
        <f t="shared" si="153"/>
        <v>7.0614729341689033</v>
      </c>
      <c r="AM370" s="1">
        <v>0</v>
      </c>
      <c r="AN370" s="1">
        <v>1</v>
      </c>
      <c r="AO370" s="1">
        <v>0</v>
      </c>
      <c r="AP370" s="1">
        <f t="shared" si="137"/>
        <v>0.15249857033260467</v>
      </c>
      <c r="AQ370" s="1">
        <v>0</v>
      </c>
      <c r="AR370" s="1">
        <v>1</v>
      </c>
      <c r="AS370" s="1">
        <v>0</v>
      </c>
      <c r="AT370" s="1">
        <v>1</v>
      </c>
      <c r="AU370" s="4">
        <v>0</v>
      </c>
      <c r="AV370" s="4">
        <v>1</v>
      </c>
      <c r="AW370" s="1">
        <f t="shared" si="138"/>
        <v>2.1276595744680851E-2</v>
      </c>
      <c r="AX370" s="1">
        <f t="shared" si="139"/>
        <v>4.526935264825713E-4</v>
      </c>
    </row>
    <row r="371" spans="1:50" x14ac:dyDescent="0.25">
      <c r="A371" s="1" t="s">
        <v>57</v>
      </c>
      <c r="B371" s="1">
        <v>2005</v>
      </c>
      <c r="C371" s="1">
        <f t="shared" si="140"/>
        <v>30</v>
      </c>
      <c r="D371" s="1" t="s">
        <v>24</v>
      </c>
      <c r="E371" s="1" t="s">
        <v>25</v>
      </c>
      <c r="F371" s="2">
        <v>-0.16</v>
      </c>
      <c r="G371" s="3">
        <v>5.7347670250896099E-2</v>
      </c>
      <c r="H371" s="1">
        <v>2</v>
      </c>
      <c r="I371" s="1">
        <v>49</v>
      </c>
      <c r="J371" s="1">
        <f t="shared" si="149"/>
        <v>47</v>
      </c>
      <c r="K371" s="1">
        <v>47</v>
      </c>
      <c r="L371" s="1">
        <v>1992</v>
      </c>
      <c r="M371" s="1">
        <v>2001</v>
      </c>
      <c r="N371" s="1">
        <f t="shared" si="147"/>
        <v>1996.5</v>
      </c>
      <c r="O371" s="1">
        <f t="shared" si="148"/>
        <v>10</v>
      </c>
      <c r="P371" s="1">
        <f t="shared" si="134"/>
        <v>2.3025850929940459</v>
      </c>
      <c r="Q371" s="1">
        <v>42</v>
      </c>
      <c r="R371" s="1">
        <v>9</v>
      </c>
      <c r="S371" s="1" t="s">
        <v>27</v>
      </c>
      <c r="T371" s="1">
        <f t="shared" si="144"/>
        <v>0</v>
      </c>
      <c r="U371" s="1">
        <v>1</v>
      </c>
      <c r="V371" s="1">
        <v>0</v>
      </c>
      <c r="W371" s="1">
        <v>0</v>
      </c>
      <c r="X371" s="1">
        <v>1</v>
      </c>
      <c r="Y371" s="1">
        <v>0</v>
      </c>
      <c r="Z371" s="1">
        <v>0</v>
      </c>
      <c r="AA371" s="1">
        <v>0</v>
      </c>
      <c r="AB371" s="1" t="s">
        <v>88</v>
      </c>
      <c r="AC371" s="1">
        <f t="shared" si="155"/>
        <v>3</v>
      </c>
      <c r="AD371" s="1">
        <f t="shared" si="150"/>
        <v>0</v>
      </c>
      <c r="AE371" s="1">
        <v>1</v>
      </c>
      <c r="AF371" s="1">
        <v>7.6033989999999996</v>
      </c>
      <c r="AG371" s="1">
        <v>3.7612000000000001</v>
      </c>
      <c r="AH371" s="1">
        <f t="shared" si="154"/>
        <v>-2.7899999999999978</v>
      </c>
      <c r="AI371" s="1">
        <f t="shared" si="136"/>
        <v>-0.37694408917770217</v>
      </c>
      <c r="AJ371" s="1">
        <f t="shared" si="151"/>
        <v>0.13510540830742024</v>
      </c>
      <c r="AK371" s="1">
        <f t="shared" si="152"/>
        <v>54.784099999999981</v>
      </c>
      <c r="AL371" s="1">
        <f t="shared" si="153"/>
        <v>7.4016281992545387</v>
      </c>
      <c r="AM371" s="1">
        <v>0</v>
      </c>
      <c r="AN371" s="1">
        <v>1</v>
      </c>
      <c r="AO371" s="1">
        <v>0</v>
      </c>
      <c r="AP371" s="1">
        <f t="shared" si="137"/>
        <v>0.14586499149789456</v>
      </c>
      <c r="AQ371" s="1">
        <v>0</v>
      </c>
      <c r="AR371" s="1">
        <v>1</v>
      </c>
      <c r="AS371" s="1">
        <v>0</v>
      </c>
      <c r="AT371" s="1">
        <v>1</v>
      </c>
      <c r="AU371" s="4">
        <v>0</v>
      </c>
      <c r="AV371" s="4">
        <v>1</v>
      </c>
      <c r="AW371" s="1">
        <f t="shared" si="138"/>
        <v>2.1276595744680851E-2</v>
      </c>
      <c r="AX371" s="1">
        <f t="shared" si="139"/>
        <v>4.526935264825713E-4</v>
      </c>
    </row>
    <row r="372" spans="1:50" x14ac:dyDescent="0.25">
      <c r="A372" s="1" t="s">
        <v>57</v>
      </c>
      <c r="B372" s="1">
        <v>2005</v>
      </c>
      <c r="C372" s="1">
        <f t="shared" si="140"/>
        <v>30</v>
      </c>
      <c r="D372" s="1" t="s">
        <v>24</v>
      </c>
      <c r="E372" s="1" t="s">
        <v>25</v>
      </c>
      <c r="F372" s="2">
        <v>-0.379</v>
      </c>
      <c r="G372" s="3">
        <v>0.12508250825082501</v>
      </c>
      <c r="H372" s="1">
        <v>6</v>
      </c>
      <c r="I372" s="1">
        <v>66</v>
      </c>
      <c r="J372" s="1">
        <f t="shared" si="149"/>
        <v>60</v>
      </c>
      <c r="K372" s="1">
        <v>47</v>
      </c>
      <c r="L372" s="1">
        <v>1992</v>
      </c>
      <c r="M372" s="1">
        <v>2001</v>
      </c>
      <c r="N372" s="1">
        <f t="shared" si="147"/>
        <v>1996.5</v>
      </c>
      <c r="O372" s="1">
        <f t="shared" si="148"/>
        <v>10</v>
      </c>
      <c r="P372" s="1">
        <f t="shared" si="134"/>
        <v>2.3025850929940459</v>
      </c>
      <c r="Q372" s="1">
        <v>42</v>
      </c>
      <c r="R372" s="1">
        <v>9</v>
      </c>
      <c r="S372" s="1" t="s">
        <v>27</v>
      </c>
      <c r="T372" s="1">
        <f t="shared" ref="T372:T391" si="156">IF(S372="OLS",0,IF(S372="FE",0,IF(S372="Probit model",0,IF(S372="3SLS",1,IF(S372="Logit",0,IF(S372="2SLS",1,IF(S372="SUR method",1,IF(S372="Modified LS",0,IF(S372="Zenner estimates",1,IF(S372="MLE",0,IF(S372="GLS",0,0)))))))))))</f>
        <v>0</v>
      </c>
      <c r="U372" s="1">
        <v>1</v>
      </c>
      <c r="V372" s="1">
        <v>1</v>
      </c>
      <c r="W372" s="1">
        <v>0</v>
      </c>
      <c r="X372" s="1">
        <v>1</v>
      </c>
      <c r="Y372" s="1">
        <v>0</v>
      </c>
      <c r="Z372" s="1">
        <v>0</v>
      </c>
      <c r="AA372" s="1">
        <v>0</v>
      </c>
      <c r="AB372" s="1" t="s">
        <v>88</v>
      </c>
      <c r="AC372" s="1">
        <f t="shared" si="155"/>
        <v>3</v>
      </c>
      <c r="AD372" s="1">
        <f t="shared" si="150"/>
        <v>0</v>
      </c>
      <c r="AE372" s="1">
        <v>1</v>
      </c>
      <c r="AF372" s="1">
        <v>7.6033989999999996</v>
      </c>
      <c r="AG372" s="1">
        <v>3.7612000000000001</v>
      </c>
      <c r="AH372" s="1">
        <f t="shared" si="154"/>
        <v>-3.030000000000002</v>
      </c>
      <c r="AI372" s="1">
        <f t="shared" si="136"/>
        <v>-0.36429190826064706</v>
      </c>
      <c r="AJ372" s="1">
        <f t="shared" si="151"/>
        <v>0.12022835256126957</v>
      </c>
      <c r="AK372" s="1">
        <f t="shared" si="152"/>
        <v>69.180900000000037</v>
      </c>
      <c r="AL372" s="1">
        <f t="shared" si="153"/>
        <v>8.3175056357059365</v>
      </c>
      <c r="AM372" s="1">
        <v>0</v>
      </c>
      <c r="AN372" s="1">
        <v>1</v>
      </c>
      <c r="AO372" s="1">
        <v>0</v>
      </c>
      <c r="AP372" s="1">
        <f t="shared" si="137"/>
        <v>0.12909944487358055</v>
      </c>
      <c r="AQ372" s="1">
        <v>0</v>
      </c>
      <c r="AR372" s="1">
        <v>1</v>
      </c>
      <c r="AS372" s="1">
        <v>0</v>
      </c>
      <c r="AT372" s="1">
        <v>1</v>
      </c>
      <c r="AU372" s="4">
        <v>0</v>
      </c>
      <c r="AV372" s="4">
        <v>1</v>
      </c>
      <c r="AW372" s="1">
        <f t="shared" si="138"/>
        <v>2.1276595744680851E-2</v>
      </c>
      <c r="AX372" s="1">
        <f t="shared" si="139"/>
        <v>4.526935264825713E-4</v>
      </c>
    </row>
    <row r="373" spans="1:50" x14ac:dyDescent="0.25">
      <c r="A373" s="1" t="s">
        <v>57</v>
      </c>
      <c r="B373" s="1">
        <v>2005</v>
      </c>
      <c r="C373" s="1">
        <f t="shared" si="140"/>
        <v>30</v>
      </c>
      <c r="D373" s="1" t="s">
        <v>24</v>
      </c>
      <c r="E373" s="1" t="s">
        <v>25</v>
      </c>
      <c r="F373" s="2">
        <v>-0.34300000000000003</v>
      </c>
      <c r="G373" s="3">
        <v>0.11868512110726601</v>
      </c>
      <c r="H373" s="1">
        <v>4</v>
      </c>
      <c r="I373" s="1">
        <v>66</v>
      </c>
      <c r="J373" s="1">
        <f t="shared" si="149"/>
        <v>62</v>
      </c>
      <c r="K373" s="1">
        <v>47</v>
      </c>
      <c r="L373" s="1">
        <v>1992</v>
      </c>
      <c r="M373" s="1">
        <v>2001</v>
      </c>
      <c r="N373" s="1">
        <f t="shared" si="147"/>
        <v>1996.5</v>
      </c>
      <c r="O373" s="1">
        <f t="shared" si="148"/>
        <v>10</v>
      </c>
      <c r="P373" s="1">
        <f t="shared" si="134"/>
        <v>2.3025850929940459</v>
      </c>
      <c r="Q373" s="1">
        <v>42</v>
      </c>
      <c r="R373" s="1">
        <v>9</v>
      </c>
      <c r="S373" s="1" t="s">
        <v>27</v>
      </c>
      <c r="T373" s="1">
        <f t="shared" si="156"/>
        <v>0</v>
      </c>
      <c r="U373" s="1">
        <v>0</v>
      </c>
      <c r="V373" s="1">
        <v>1</v>
      </c>
      <c r="W373" s="1">
        <v>0</v>
      </c>
      <c r="X373" s="1">
        <v>1</v>
      </c>
      <c r="Y373" s="1">
        <v>0</v>
      </c>
      <c r="Z373" s="1">
        <v>0</v>
      </c>
      <c r="AA373" s="1">
        <v>0</v>
      </c>
      <c r="AB373" s="1" t="s">
        <v>88</v>
      </c>
      <c r="AC373" s="1">
        <f t="shared" si="155"/>
        <v>3</v>
      </c>
      <c r="AD373" s="1">
        <f t="shared" si="150"/>
        <v>0</v>
      </c>
      <c r="AE373" s="1">
        <v>1</v>
      </c>
      <c r="AF373" s="1">
        <v>7.6033989999999996</v>
      </c>
      <c r="AG373" s="1">
        <v>3.7612000000000001</v>
      </c>
      <c r="AH373" s="1">
        <f t="shared" si="154"/>
        <v>-2.8900000000000108</v>
      </c>
      <c r="AI373" s="1">
        <f t="shared" si="136"/>
        <v>-0.34455559773318273</v>
      </c>
      <c r="AJ373" s="1">
        <f t="shared" si="151"/>
        <v>0.11922339021909392</v>
      </c>
      <c r="AK373" s="1">
        <f t="shared" si="152"/>
        <v>70.352100000000064</v>
      </c>
      <c r="AL373" s="1">
        <f t="shared" si="153"/>
        <v>8.3876158710327253</v>
      </c>
      <c r="AM373" s="1">
        <v>0</v>
      </c>
      <c r="AN373" s="1">
        <v>1</v>
      </c>
      <c r="AO373" s="1">
        <v>0</v>
      </c>
      <c r="AP373" s="1">
        <f t="shared" si="137"/>
        <v>0.1270001270001905</v>
      </c>
      <c r="AQ373" s="1">
        <v>0</v>
      </c>
      <c r="AR373" s="1">
        <v>1</v>
      </c>
      <c r="AS373" s="1">
        <v>0</v>
      </c>
      <c r="AT373" s="1">
        <v>1</v>
      </c>
      <c r="AU373" s="4">
        <v>0</v>
      </c>
      <c r="AV373" s="4">
        <v>1</v>
      </c>
      <c r="AW373" s="1">
        <f t="shared" si="138"/>
        <v>2.1276595744680851E-2</v>
      </c>
      <c r="AX373" s="1">
        <f t="shared" si="139"/>
        <v>4.526935264825713E-4</v>
      </c>
    </row>
    <row r="374" spans="1:50" x14ac:dyDescent="0.25">
      <c r="A374" s="1" t="s">
        <v>57</v>
      </c>
      <c r="B374" s="1">
        <v>2005</v>
      </c>
      <c r="C374" s="1">
        <f t="shared" si="140"/>
        <v>30</v>
      </c>
      <c r="D374" s="1" t="s">
        <v>24</v>
      </c>
      <c r="E374" s="1" t="s">
        <v>25</v>
      </c>
      <c r="F374" s="2">
        <v>-0.151</v>
      </c>
      <c r="G374" s="3">
        <v>4.8089171974522303E-2</v>
      </c>
      <c r="H374" s="1">
        <v>6</v>
      </c>
      <c r="I374" s="1">
        <v>165</v>
      </c>
      <c r="J374" s="1">
        <f t="shared" si="149"/>
        <v>159</v>
      </c>
      <c r="K374" s="1">
        <v>47</v>
      </c>
      <c r="L374" s="1">
        <v>1992</v>
      </c>
      <c r="M374" s="1">
        <v>2001</v>
      </c>
      <c r="N374" s="1">
        <f t="shared" si="147"/>
        <v>1996.5</v>
      </c>
      <c r="O374" s="1">
        <f t="shared" si="148"/>
        <v>10</v>
      </c>
      <c r="P374" s="1">
        <f t="shared" si="134"/>
        <v>2.3025850929940459</v>
      </c>
      <c r="Q374" s="1">
        <v>42</v>
      </c>
      <c r="R374" s="1">
        <v>9</v>
      </c>
      <c r="S374" s="1" t="s">
        <v>27</v>
      </c>
      <c r="T374" s="1">
        <f t="shared" si="156"/>
        <v>0</v>
      </c>
      <c r="U374" s="1">
        <v>1</v>
      </c>
      <c r="V374" s="1">
        <v>1</v>
      </c>
      <c r="W374" s="1">
        <v>0</v>
      </c>
      <c r="X374" s="1">
        <v>1</v>
      </c>
      <c r="Y374" s="1">
        <v>0</v>
      </c>
      <c r="Z374" s="1">
        <v>0</v>
      </c>
      <c r="AA374" s="1">
        <v>0</v>
      </c>
      <c r="AB374" s="1" t="s">
        <v>88</v>
      </c>
      <c r="AC374" s="1">
        <f t="shared" si="155"/>
        <v>3</v>
      </c>
      <c r="AD374" s="1">
        <f t="shared" si="150"/>
        <v>0</v>
      </c>
      <c r="AE374" s="1">
        <v>1</v>
      </c>
      <c r="AF374" s="1">
        <v>7.6033989999999996</v>
      </c>
      <c r="AG374" s="1">
        <v>3.7612000000000001</v>
      </c>
      <c r="AH374" s="1">
        <f t="shared" si="154"/>
        <v>-3.1399999999999992</v>
      </c>
      <c r="AI374" s="1">
        <f t="shared" si="136"/>
        <v>-0.24163885545687439</v>
      </c>
      <c r="AJ374" s="1">
        <f t="shared" si="151"/>
        <v>7.6955049508558734E-2</v>
      </c>
      <c r="AK374" s="1">
        <f t="shared" si="152"/>
        <v>168.85960000000006</v>
      </c>
      <c r="AL374" s="1">
        <f t="shared" si="153"/>
        <v>12.994598877995429</v>
      </c>
      <c r="AM374" s="1">
        <v>0</v>
      </c>
      <c r="AN374" s="1">
        <v>1</v>
      </c>
      <c r="AO374" s="1">
        <v>0</v>
      </c>
      <c r="AP374" s="1">
        <f t="shared" si="137"/>
        <v>7.9305158571814416E-2</v>
      </c>
      <c r="AQ374" s="1">
        <v>0</v>
      </c>
      <c r="AR374" s="1">
        <v>1</v>
      </c>
      <c r="AS374" s="1">
        <v>0</v>
      </c>
      <c r="AT374" s="1">
        <v>1</v>
      </c>
      <c r="AU374" s="4">
        <v>0</v>
      </c>
      <c r="AV374" s="4">
        <v>1</v>
      </c>
      <c r="AW374" s="1">
        <f t="shared" si="138"/>
        <v>2.1276595744680851E-2</v>
      </c>
      <c r="AX374" s="1">
        <f t="shared" si="139"/>
        <v>4.526935264825713E-4</v>
      </c>
    </row>
    <row r="375" spans="1:50" x14ac:dyDescent="0.25">
      <c r="A375" s="1" t="s">
        <v>57</v>
      </c>
      <c r="B375" s="1">
        <v>2005</v>
      </c>
      <c r="C375" s="1">
        <f t="shared" si="140"/>
        <v>30</v>
      </c>
      <c r="D375" s="1" t="s">
        <v>24</v>
      </c>
      <c r="E375" s="1" t="s">
        <v>25</v>
      </c>
      <c r="F375" s="2">
        <v>-0.126</v>
      </c>
      <c r="G375" s="3">
        <v>3.7168141592920402E-2</v>
      </c>
      <c r="H375" s="1">
        <v>4</v>
      </c>
      <c r="I375" s="1">
        <v>165</v>
      </c>
      <c r="J375" s="1">
        <f t="shared" si="149"/>
        <v>161</v>
      </c>
      <c r="K375" s="1">
        <v>47</v>
      </c>
      <c r="L375" s="1">
        <v>1992</v>
      </c>
      <c r="M375" s="1">
        <v>2001</v>
      </c>
      <c r="N375" s="1">
        <f t="shared" si="147"/>
        <v>1996.5</v>
      </c>
      <c r="O375" s="1">
        <f t="shared" si="148"/>
        <v>10</v>
      </c>
      <c r="P375" s="1">
        <f t="shared" si="134"/>
        <v>2.3025850929940459</v>
      </c>
      <c r="Q375" s="1">
        <v>42</v>
      </c>
      <c r="R375" s="1">
        <v>9</v>
      </c>
      <c r="S375" s="1" t="s">
        <v>27</v>
      </c>
      <c r="T375" s="1">
        <f t="shared" si="156"/>
        <v>0</v>
      </c>
      <c r="U375" s="1">
        <v>1</v>
      </c>
      <c r="V375" s="1">
        <v>0</v>
      </c>
      <c r="W375" s="1">
        <v>0</v>
      </c>
      <c r="X375" s="1">
        <v>1</v>
      </c>
      <c r="Y375" s="1">
        <v>0</v>
      </c>
      <c r="Z375" s="1">
        <v>0</v>
      </c>
      <c r="AA375" s="1">
        <v>0</v>
      </c>
      <c r="AB375" s="1" t="s">
        <v>88</v>
      </c>
      <c r="AC375" s="1">
        <f t="shared" si="155"/>
        <v>3</v>
      </c>
      <c r="AD375" s="1">
        <f t="shared" si="150"/>
        <v>0</v>
      </c>
      <c r="AE375" s="1">
        <v>1</v>
      </c>
      <c r="AF375" s="1">
        <v>7.6033989999999996</v>
      </c>
      <c r="AG375" s="1">
        <v>3.7612000000000001</v>
      </c>
      <c r="AH375" s="1">
        <f t="shared" si="154"/>
        <v>-3.3899999999999957</v>
      </c>
      <c r="AI375" s="1">
        <f t="shared" si="136"/>
        <v>-0.25811609935777868</v>
      </c>
      <c r="AJ375" s="1">
        <f t="shared" si="151"/>
        <v>7.6140442288430393E-2</v>
      </c>
      <c r="AK375" s="1">
        <f t="shared" si="152"/>
        <v>172.49209999999991</v>
      </c>
      <c r="AL375" s="1">
        <f t="shared" si="153"/>
        <v>13.133624785260157</v>
      </c>
      <c r="AM375" s="1">
        <v>0</v>
      </c>
      <c r="AN375" s="1">
        <v>1</v>
      </c>
      <c r="AO375" s="1">
        <v>0</v>
      </c>
      <c r="AP375" s="1">
        <f t="shared" si="137"/>
        <v>7.8811040623910061E-2</v>
      </c>
      <c r="AQ375" s="1">
        <v>0</v>
      </c>
      <c r="AR375" s="1">
        <v>1</v>
      </c>
      <c r="AS375" s="1">
        <v>0</v>
      </c>
      <c r="AT375" s="1">
        <v>1</v>
      </c>
      <c r="AU375" s="4">
        <v>0</v>
      </c>
      <c r="AV375" s="4">
        <v>1</v>
      </c>
      <c r="AW375" s="1">
        <f t="shared" si="138"/>
        <v>2.1276595744680851E-2</v>
      </c>
      <c r="AX375" s="1">
        <f t="shared" si="139"/>
        <v>4.526935264825713E-4</v>
      </c>
    </row>
    <row r="376" spans="1:50" x14ac:dyDescent="0.25">
      <c r="A376" s="1" t="s">
        <v>57</v>
      </c>
      <c r="B376" s="1">
        <v>2005</v>
      </c>
      <c r="C376" s="1">
        <f t="shared" si="140"/>
        <v>30</v>
      </c>
      <c r="D376" s="1" t="s">
        <v>24</v>
      </c>
      <c r="E376" s="1" t="s">
        <v>25</v>
      </c>
      <c r="F376" s="2">
        <v>-0.128</v>
      </c>
      <c r="G376" s="3">
        <v>6.0952380952381001E-2</v>
      </c>
      <c r="H376" s="1">
        <v>6</v>
      </c>
      <c r="I376" s="1">
        <v>165</v>
      </c>
      <c r="J376" s="1">
        <f t="shared" si="149"/>
        <v>159</v>
      </c>
      <c r="K376" s="1">
        <v>47</v>
      </c>
      <c r="L376" s="1">
        <v>1992</v>
      </c>
      <c r="M376" s="1">
        <v>2001</v>
      </c>
      <c r="N376" s="1">
        <f t="shared" si="147"/>
        <v>1996.5</v>
      </c>
      <c r="O376" s="1">
        <f t="shared" si="148"/>
        <v>10</v>
      </c>
      <c r="P376" s="1">
        <f t="shared" si="134"/>
        <v>2.3025850929940459</v>
      </c>
      <c r="Q376" s="1">
        <v>42</v>
      </c>
      <c r="R376" s="1">
        <v>9</v>
      </c>
      <c r="S376" s="1" t="s">
        <v>27</v>
      </c>
      <c r="T376" s="1">
        <f t="shared" si="156"/>
        <v>0</v>
      </c>
      <c r="U376" s="1">
        <v>1</v>
      </c>
      <c r="V376" s="1">
        <v>1</v>
      </c>
      <c r="W376" s="1">
        <v>0</v>
      </c>
      <c r="X376" s="1">
        <v>1</v>
      </c>
      <c r="Y376" s="1">
        <v>0</v>
      </c>
      <c r="Z376" s="1">
        <v>0</v>
      </c>
      <c r="AA376" s="1">
        <v>0</v>
      </c>
      <c r="AB376" s="1" t="s">
        <v>88</v>
      </c>
      <c r="AC376" s="1">
        <f t="shared" si="155"/>
        <v>3</v>
      </c>
      <c r="AD376" s="1">
        <f t="shared" si="150"/>
        <v>0</v>
      </c>
      <c r="AE376" s="1">
        <v>1</v>
      </c>
      <c r="AF376" s="1">
        <v>7.6033989999999996</v>
      </c>
      <c r="AG376" s="1">
        <v>3.7612000000000001</v>
      </c>
      <c r="AH376" s="1">
        <f t="shared" si="154"/>
        <v>-2.0999999999999983</v>
      </c>
      <c r="AI376" s="1">
        <f t="shared" si="136"/>
        <v>-0.16427821668313963</v>
      </c>
      <c r="AJ376" s="1">
        <f t="shared" si="151"/>
        <v>7.8227722230066549E-2</v>
      </c>
      <c r="AK376" s="1">
        <f t="shared" si="152"/>
        <v>163.41000000000003</v>
      </c>
      <c r="AL376" s="1">
        <f t="shared" si="153"/>
        <v>12.783192089615177</v>
      </c>
      <c r="AM376" s="1">
        <v>0</v>
      </c>
      <c r="AN376" s="1">
        <v>1</v>
      </c>
      <c r="AO376" s="1">
        <v>0</v>
      </c>
      <c r="AP376" s="1">
        <f t="shared" si="137"/>
        <v>7.9305158571814416E-2</v>
      </c>
      <c r="AQ376" s="1">
        <v>0</v>
      </c>
      <c r="AR376" s="1">
        <v>1</v>
      </c>
      <c r="AS376" s="1">
        <v>0</v>
      </c>
      <c r="AT376" s="1">
        <v>1</v>
      </c>
      <c r="AU376" s="4">
        <v>0</v>
      </c>
      <c r="AV376" s="4">
        <v>1</v>
      </c>
      <c r="AW376" s="1">
        <f t="shared" si="138"/>
        <v>2.1276595744680851E-2</v>
      </c>
      <c r="AX376" s="1">
        <f t="shared" si="139"/>
        <v>4.526935264825713E-4</v>
      </c>
    </row>
    <row r="377" spans="1:50" x14ac:dyDescent="0.25">
      <c r="A377" s="1" t="s">
        <v>57</v>
      </c>
      <c r="B377" s="1">
        <v>2005</v>
      </c>
      <c r="C377" s="1">
        <f t="shared" si="140"/>
        <v>30</v>
      </c>
      <c r="D377" s="1" t="s">
        <v>24</v>
      </c>
      <c r="E377" s="1" t="s">
        <v>25</v>
      </c>
      <c r="F377" s="2">
        <v>-0.123</v>
      </c>
      <c r="G377" s="3">
        <v>4.6590909090909099E-2</v>
      </c>
      <c r="H377" s="1">
        <v>3</v>
      </c>
      <c r="I377" s="1">
        <v>165</v>
      </c>
      <c r="J377" s="1">
        <f t="shared" si="149"/>
        <v>162</v>
      </c>
      <c r="K377" s="1">
        <v>47</v>
      </c>
      <c r="L377" s="1">
        <v>1992</v>
      </c>
      <c r="M377" s="1">
        <v>2001</v>
      </c>
      <c r="N377" s="1">
        <f t="shared" si="147"/>
        <v>1996.5</v>
      </c>
      <c r="O377" s="1">
        <f t="shared" si="148"/>
        <v>10</v>
      </c>
      <c r="P377" s="1">
        <f t="shared" si="134"/>
        <v>2.3025850929940459</v>
      </c>
      <c r="Q377" s="1">
        <v>42</v>
      </c>
      <c r="R377" s="1">
        <v>9</v>
      </c>
      <c r="S377" s="1" t="s">
        <v>27</v>
      </c>
      <c r="T377" s="1">
        <f t="shared" si="156"/>
        <v>0</v>
      </c>
      <c r="U377" s="1">
        <v>1</v>
      </c>
      <c r="V377" s="1">
        <v>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  <c r="AB377" s="1" t="s">
        <v>88</v>
      </c>
      <c r="AC377" s="1">
        <f t="shared" si="155"/>
        <v>3</v>
      </c>
      <c r="AD377" s="1">
        <f t="shared" si="150"/>
        <v>0</v>
      </c>
      <c r="AE377" s="1">
        <v>1</v>
      </c>
      <c r="AF377" s="1">
        <v>7.6033989999999996</v>
      </c>
      <c r="AG377" s="1">
        <v>3.7612000000000001</v>
      </c>
      <c r="AH377" s="1">
        <f t="shared" si="154"/>
        <v>-2.6399999999999997</v>
      </c>
      <c r="AI377" s="1">
        <f t="shared" si="136"/>
        <v>-0.20309519044812471</v>
      </c>
      <c r="AJ377" s="1">
        <f t="shared" si="151"/>
        <v>7.6929996381865429E-2</v>
      </c>
      <c r="AK377" s="1">
        <f t="shared" si="152"/>
        <v>168.96959999999999</v>
      </c>
      <c r="AL377" s="1">
        <f t="shared" si="153"/>
        <v>12.998830716645246</v>
      </c>
      <c r="AM377" s="1">
        <v>0</v>
      </c>
      <c r="AN377" s="1">
        <v>1</v>
      </c>
      <c r="AO377" s="1">
        <v>0</v>
      </c>
      <c r="AP377" s="1">
        <f t="shared" si="137"/>
        <v>7.8567420131838608E-2</v>
      </c>
      <c r="AQ377" s="1">
        <v>0</v>
      </c>
      <c r="AR377" s="1">
        <v>1</v>
      </c>
      <c r="AS377" s="1">
        <v>0</v>
      </c>
      <c r="AT377" s="1">
        <v>1</v>
      </c>
      <c r="AU377" s="4">
        <v>0</v>
      </c>
      <c r="AV377" s="4">
        <v>1</v>
      </c>
      <c r="AW377" s="1">
        <f t="shared" si="138"/>
        <v>2.1276595744680851E-2</v>
      </c>
      <c r="AX377" s="1">
        <f t="shared" si="139"/>
        <v>4.526935264825713E-4</v>
      </c>
    </row>
    <row r="378" spans="1:50" x14ac:dyDescent="0.25">
      <c r="A378" s="1" t="s">
        <v>57</v>
      </c>
      <c r="B378" s="1">
        <v>2005</v>
      </c>
      <c r="C378" s="1">
        <f t="shared" si="140"/>
        <v>30</v>
      </c>
      <c r="D378" s="1" t="s">
        <v>24</v>
      </c>
      <c r="E378" s="1" t="s">
        <v>25</v>
      </c>
      <c r="F378" s="2">
        <v>-0.38400000000000001</v>
      </c>
      <c r="G378" s="3">
        <v>4.8120300751879702E-2</v>
      </c>
      <c r="H378" s="1">
        <v>6</v>
      </c>
      <c r="I378" s="1">
        <v>165</v>
      </c>
      <c r="J378" s="1">
        <f t="shared" si="149"/>
        <v>159</v>
      </c>
      <c r="K378" s="1">
        <v>47</v>
      </c>
      <c r="L378" s="1">
        <v>1992</v>
      </c>
      <c r="M378" s="1">
        <v>2001</v>
      </c>
      <c r="N378" s="1">
        <f t="shared" si="147"/>
        <v>1996.5</v>
      </c>
      <c r="O378" s="1">
        <f t="shared" si="148"/>
        <v>10</v>
      </c>
      <c r="P378" s="1">
        <f t="shared" si="134"/>
        <v>2.3025850929940459</v>
      </c>
      <c r="Q378" s="1">
        <v>42</v>
      </c>
      <c r="R378" s="1">
        <v>9</v>
      </c>
      <c r="S378" s="1" t="s">
        <v>27</v>
      </c>
      <c r="T378" s="1">
        <f t="shared" si="156"/>
        <v>0</v>
      </c>
      <c r="U378" s="1">
        <v>1</v>
      </c>
      <c r="V378" s="1">
        <v>1</v>
      </c>
      <c r="W378" s="1">
        <v>0</v>
      </c>
      <c r="X378" s="1">
        <v>1</v>
      </c>
      <c r="Y378" s="1">
        <v>0</v>
      </c>
      <c r="Z378" s="1">
        <v>0</v>
      </c>
      <c r="AA378" s="1">
        <v>0</v>
      </c>
      <c r="AB378" s="1" t="s">
        <v>88</v>
      </c>
      <c r="AC378" s="1">
        <f t="shared" si="155"/>
        <v>3</v>
      </c>
      <c r="AD378" s="1">
        <f t="shared" si="150"/>
        <v>0</v>
      </c>
      <c r="AE378" s="1">
        <v>1</v>
      </c>
      <c r="AF378" s="1">
        <v>7.6033989999999996</v>
      </c>
      <c r="AG378" s="1">
        <v>3.7612000000000001</v>
      </c>
      <c r="AH378" s="1">
        <f t="shared" si="154"/>
        <v>-7.9799999999999995</v>
      </c>
      <c r="AI378" s="1">
        <f t="shared" si="136"/>
        <v>-0.53476366981500356</v>
      </c>
      <c r="AJ378" s="1">
        <f t="shared" si="151"/>
        <v>6.701299120488767E-2</v>
      </c>
      <c r="AK378" s="1">
        <f t="shared" si="152"/>
        <v>222.68039999999996</v>
      </c>
      <c r="AL378" s="1">
        <f t="shared" si="153"/>
        <v>14.922479686700866</v>
      </c>
      <c r="AM378" s="1">
        <v>0</v>
      </c>
      <c r="AN378" s="1">
        <v>1</v>
      </c>
      <c r="AO378" s="1">
        <v>0</v>
      </c>
      <c r="AP378" s="1">
        <f t="shared" si="137"/>
        <v>7.9305158571814416E-2</v>
      </c>
      <c r="AQ378" s="1">
        <v>0</v>
      </c>
      <c r="AR378" s="1">
        <v>1</v>
      </c>
      <c r="AS378" s="1">
        <v>0</v>
      </c>
      <c r="AT378" s="1">
        <v>1</v>
      </c>
      <c r="AU378" s="4">
        <v>0</v>
      </c>
      <c r="AV378" s="4">
        <v>1</v>
      </c>
      <c r="AW378" s="1">
        <f t="shared" si="138"/>
        <v>2.1276595744680851E-2</v>
      </c>
      <c r="AX378" s="1">
        <f t="shared" si="139"/>
        <v>4.526935264825713E-4</v>
      </c>
    </row>
    <row r="379" spans="1:50" x14ac:dyDescent="0.25">
      <c r="A379" s="1" t="s">
        <v>57</v>
      </c>
      <c r="B379" s="1">
        <v>2005</v>
      </c>
      <c r="C379" s="1">
        <f t="shared" si="140"/>
        <v>30</v>
      </c>
      <c r="D379" s="1" t="s">
        <v>24</v>
      </c>
      <c r="E379" s="1" t="s">
        <v>25</v>
      </c>
      <c r="F379" s="2">
        <v>-0.38400000000000001</v>
      </c>
      <c r="G379" s="3">
        <v>4.8120300751879702E-2</v>
      </c>
      <c r="H379" s="1">
        <v>6</v>
      </c>
      <c r="I379" s="1">
        <v>165</v>
      </c>
      <c r="J379" s="1">
        <f t="shared" si="149"/>
        <v>159</v>
      </c>
      <c r="K379" s="1">
        <v>47</v>
      </c>
      <c r="L379" s="1">
        <v>1992</v>
      </c>
      <c r="M379" s="1">
        <v>2001</v>
      </c>
      <c r="N379" s="1">
        <f t="shared" si="147"/>
        <v>1996.5</v>
      </c>
      <c r="O379" s="1">
        <f t="shared" si="148"/>
        <v>10</v>
      </c>
      <c r="P379" s="1">
        <f t="shared" si="134"/>
        <v>2.3025850929940459</v>
      </c>
      <c r="Q379" s="1">
        <v>42</v>
      </c>
      <c r="R379" s="1">
        <v>9</v>
      </c>
      <c r="S379" s="1" t="s">
        <v>27</v>
      </c>
      <c r="T379" s="1">
        <f t="shared" si="156"/>
        <v>0</v>
      </c>
      <c r="U379" s="1">
        <v>1</v>
      </c>
      <c r="V379" s="1">
        <v>1</v>
      </c>
      <c r="W379" s="1">
        <v>0</v>
      </c>
      <c r="X379" s="1">
        <v>1</v>
      </c>
      <c r="Y379" s="1">
        <v>0</v>
      </c>
      <c r="Z379" s="1">
        <v>0</v>
      </c>
      <c r="AA379" s="1">
        <v>0</v>
      </c>
      <c r="AB379" s="1" t="s">
        <v>88</v>
      </c>
      <c r="AC379" s="1">
        <f t="shared" si="155"/>
        <v>3</v>
      </c>
      <c r="AD379" s="1">
        <f t="shared" si="150"/>
        <v>0</v>
      </c>
      <c r="AE379" s="1">
        <v>1</v>
      </c>
      <c r="AF379" s="1">
        <v>7.6033989999999996</v>
      </c>
      <c r="AG379" s="1">
        <v>3.7612000000000001</v>
      </c>
      <c r="AH379" s="1">
        <f t="shared" si="154"/>
        <v>-7.9799999999999995</v>
      </c>
      <c r="AI379" s="1">
        <f t="shared" si="136"/>
        <v>-0.53476366981500356</v>
      </c>
      <c r="AJ379" s="1">
        <f t="shared" si="151"/>
        <v>6.701299120488767E-2</v>
      </c>
      <c r="AK379" s="1">
        <f t="shared" si="152"/>
        <v>222.68039999999996</v>
      </c>
      <c r="AL379" s="1">
        <f t="shared" si="153"/>
        <v>14.922479686700866</v>
      </c>
      <c r="AM379" s="1">
        <v>0</v>
      </c>
      <c r="AN379" s="1">
        <v>1</v>
      </c>
      <c r="AO379" s="1">
        <v>0</v>
      </c>
      <c r="AP379" s="1">
        <f t="shared" si="137"/>
        <v>7.9305158571814416E-2</v>
      </c>
      <c r="AQ379" s="1">
        <v>0</v>
      </c>
      <c r="AR379" s="1">
        <v>1</v>
      </c>
      <c r="AS379" s="1">
        <v>0</v>
      </c>
      <c r="AT379" s="1">
        <v>1</v>
      </c>
      <c r="AU379" s="4">
        <v>0</v>
      </c>
      <c r="AV379" s="4">
        <v>1</v>
      </c>
      <c r="AW379" s="1">
        <f t="shared" si="138"/>
        <v>2.1276595744680851E-2</v>
      </c>
      <c r="AX379" s="1">
        <f t="shared" si="139"/>
        <v>4.526935264825713E-4</v>
      </c>
    </row>
    <row r="380" spans="1:50" x14ac:dyDescent="0.25">
      <c r="A380" s="1" t="s">
        <v>57</v>
      </c>
      <c r="B380" s="1">
        <v>2005</v>
      </c>
      <c r="C380" s="1">
        <f t="shared" si="140"/>
        <v>30</v>
      </c>
      <c r="D380" s="1" t="s">
        <v>24</v>
      </c>
      <c r="E380" s="1" t="s">
        <v>25</v>
      </c>
      <c r="F380" s="2">
        <v>-0.17299999999999999</v>
      </c>
      <c r="G380" s="3">
        <v>7.4891774891774898E-2</v>
      </c>
      <c r="H380" s="1">
        <v>6</v>
      </c>
      <c r="I380" s="1">
        <v>50</v>
      </c>
      <c r="J380" s="1">
        <f t="shared" si="149"/>
        <v>44</v>
      </c>
      <c r="K380" s="1">
        <v>47</v>
      </c>
      <c r="L380" s="1">
        <v>1992</v>
      </c>
      <c r="M380" s="1">
        <v>2001</v>
      </c>
      <c r="N380" s="1">
        <f t="shared" si="147"/>
        <v>1996.5</v>
      </c>
      <c r="O380" s="1">
        <f t="shared" si="148"/>
        <v>10</v>
      </c>
      <c r="P380" s="1">
        <f t="shared" si="134"/>
        <v>2.3025850929940459</v>
      </c>
      <c r="Q380" s="1">
        <v>42</v>
      </c>
      <c r="R380" s="1">
        <v>9</v>
      </c>
      <c r="S380" s="1" t="s">
        <v>27</v>
      </c>
      <c r="T380" s="1">
        <f t="shared" si="156"/>
        <v>0</v>
      </c>
      <c r="U380" s="1">
        <v>1</v>
      </c>
      <c r="V380" s="1">
        <v>1</v>
      </c>
      <c r="W380" s="1">
        <v>0</v>
      </c>
      <c r="X380" s="1">
        <v>1</v>
      </c>
      <c r="Y380" s="1">
        <v>0</v>
      </c>
      <c r="Z380" s="1">
        <v>0</v>
      </c>
      <c r="AA380" s="1">
        <v>0</v>
      </c>
      <c r="AB380" s="1" t="s">
        <v>88</v>
      </c>
      <c r="AC380" s="1">
        <f t="shared" si="155"/>
        <v>3</v>
      </c>
      <c r="AD380" s="1">
        <f t="shared" si="150"/>
        <v>0</v>
      </c>
      <c r="AE380" s="1">
        <v>1</v>
      </c>
      <c r="AF380" s="1">
        <v>7.6033989999999996</v>
      </c>
      <c r="AG380" s="1">
        <v>3.7612000000000001</v>
      </c>
      <c r="AH380" s="1">
        <f t="shared" si="154"/>
        <v>-2.3099999999999996</v>
      </c>
      <c r="AI380" s="1">
        <f t="shared" si="136"/>
        <v>-0.32887402385213088</v>
      </c>
      <c r="AJ380" s="1">
        <f t="shared" si="151"/>
        <v>0.14236970729529477</v>
      </c>
      <c r="AK380" s="1">
        <f t="shared" si="152"/>
        <v>49.336100000000002</v>
      </c>
      <c r="AL380" s="1">
        <f t="shared" si="153"/>
        <v>7.0239661160913922</v>
      </c>
      <c r="AM380" s="1">
        <v>0</v>
      </c>
      <c r="AN380" s="1">
        <v>1</v>
      </c>
      <c r="AO380" s="1">
        <v>0</v>
      </c>
      <c r="AP380" s="1">
        <f t="shared" si="137"/>
        <v>0.15075567228888181</v>
      </c>
      <c r="AQ380" s="1">
        <v>0</v>
      </c>
      <c r="AR380" s="1">
        <v>1</v>
      </c>
      <c r="AS380" s="1">
        <v>0</v>
      </c>
      <c r="AT380" s="1">
        <v>1</v>
      </c>
      <c r="AU380" s="4">
        <v>0</v>
      </c>
      <c r="AV380" s="4">
        <v>1</v>
      </c>
      <c r="AW380" s="1">
        <f t="shared" si="138"/>
        <v>2.1276595744680851E-2</v>
      </c>
      <c r="AX380" s="1">
        <f t="shared" si="139"/>
        <v>4.526935264825713E-4</v>
      </c>
    </row>
    <row r="381" spans="1:50" x14ac:dyDescent="0.25">
      <c r="A381" s="1" t="s">
        <v>57</v>
      </c>
      <c r="B381" s="1">
        <v>2005</v>
      </c>
      <c r="C381" s="1">
        <f t="shared" si="140"/>
        <v>30</v>
      </c>
      <c r="D381" s="1" t="s">
        <v>24</v>
      </c>
      <c r="E381" s="1" t="s">
        <v>25</v>
      </c>
      <c r="F381" s="2">
        <v>-0.16500000000000001</v>
      </c>
      <c r="G381" s="3">
        <v>7.1739130434782597E-2</v>
      </c>
      <c r="H381" s="1">
        <v>4</v>
      </c>
      <c r="I381" s="1">
        <v>50</v>
      </c>
      <c r="J381" s="1">
        <f t="shared" si="149"/>
        <v>46</v>
      </c>
      <c r="K381" s="1">
        <v>47</v>
      </c>
      <c r="L381" s="1">
        <v>1992</v>
      </c>
      <c r="M381" s="1">
        <v>2001</v>
      </c>
      <c r="N381" s="1">
        <f t="shared" si="147"/>
        <v>1996.5</v>
      </c>
      <c r="O381" s="1">
        <f t="shared" si="148"/>
        <v>10</v>
      </c>
      <c r="P381" s="1">
        <f t="shared" si="134"/>
        <v>2.3025850929940459</v>
      </c>
      <c r="Q381" s="1">
        <v>42</v>
      </c>
      <c r="R381" s="1">
        <v>9</v>
      </c>
      <c r="S381" s="1" t="s">
        <v>27</v>
      </c>
      <c r="T381" s="1">
        <f t="shared" si="156"/>
        <v>0</v>
      </c>
      <c r="U381" s="1">
        <v>1</v>
      </c>
      <c r="V381" s="1">
        <v>1</v>
      </c>
      <c r="W381" s="1">
        <v>0</v>
      </c>
      <c r="X381" s="1">
        <v>1</v>
      </c>
      <c r="Y381" s="1">
        <v>0</v>
      </c>
      <c r="Z381" s="1">
        <v>0</v>
      </c>
      <c r="AA381" s="1">
        <v>0</v>
      </c>
      <c r="AB381" s="1" t="s">
        <v>88</v>
      </c>
      <c r="AC381" s="1">
        <f t="shared" si="155"/>
        <v>3</v>
      </c>
      <c r="AD381" s="1">
        <f t="shared" si="150"/>
        <v>0</v>
      </c>
      <c r="AE381" s="1">
        <v>1</v>
      </c>
      <c r="AF381" s="1">
        <v>7.6033989999999996</v>
      </c>
      <c r="AG381" s="1">
        <v>3.7612000000000001</v>
      </c>
      <c r="AH381" s="1">
        <f t="shared" si="154"/>
        <v>-2.3000000000000003</v>
      </c>
      <c r="AI381" s="1">
        <f t="shared" si="136"/>
        <v>-0.32115263264204269</v>
      </c>
      <c r="AJ381" s="1">
        <f t="shared" si="151"/>
        <v>0.13963157940958376</v>
      </c>
      <c r="AK381" s="1">
        <f t="shared" si="152"/>
        <v>51.29</v>
      </c>
      <c r="AL381" s="1">
        <f t="shared" si="153"/>
        <v>7.1617037079175514</v>
      </c>
      <c r="AM381" s="1">
        <v>0</v>
      </c>
      <c r="AN381" s="1">
        <v>1</v>
      </c>
      <c r="AO381" s="1">
        <v>0</v>
      </c>
      <c r="AP381" s="1">
        <f t="shared" si="137"/>
        <v>0.14744195615489714</v>
      </c>
      <c r="AQ381" s="1">
        <v>0</v>
      </c>
      <c r="AR381" s="1">
        <v>1</v>
      </c>
      <c r="AS381" s="1">
        <v>0</v>
      </c>
      <c r="AT381" s="1">
        <v>1</v>
      </c>
      <c r="AU381" s="4">
        <v>0</v>
      </c>
      <c r="AV381" s="4">
        <v>1</v>
      </c>
      <c r="AW381" s="1">
        <f t="shared" si="138"/>
        <v>2.1276595744680851E-2</v>
      </c>
      <c r="AX381" s="1">
        <f t="shared" si="139"/>
        <v>4.526935264825713E-4</v>
      </c>
    </row>
    <row r="382" spans="1:50" x14ac:dyDescent="0.25">
      <c r="A382" s="1" t="s">
        <v>57</v>
      </c>
      <c r="B382" s="1">
        <v>2005</v>
      </c>
      <c r="C382" s="1">
        <f t="shared" si="140"/>
        <v>30</v>
      </c>
      <c r="D382" s="1" t="s">
        <v>24</v>
      </c>
      <c r="E382" s="1" t="s">
        <v>25</v>
      </c>
      <c r="F382" s="2">
        <v>-0.377</v>
      </c>
      <c r="G382" s="3">
        <v>6.5451388888888906E-2</v>
      </c>
      <c r="H382" s="1">
        <v>6</v>
      </c>
      <c r="I382" s="1">
        <v>49</v>
      </c>
      <c r="J382" s="1">
        <f t="shared" si="149"/>
        <v>43</v>
      </c>
      <c r="K382" s="1">
        <v>47</v>
      </c>
      <c r="L382" s="1">
        <v>1992</v>
      </c>
      <c r="M382" s="1">
        <v>2001</v>
      </c>
      <c r="N382" s="1">
        <f t="shared" si="147"/>
        <v>1996.5</v>
      </c>
      <c r="O382" s="1">
        <f t="shared" si="148"/>
        <v>10</v>
      </c>
      <c r="P382" s="1">
        <f t="shared" si="134"/>
        <v>2.3025850929940459</v>
      </c>
      <c r="Q382" s="1">
        <v>42</v>
      </c>
      <c r="R382" s="1">
        <v>9</v>
      </c>
      <c r="S382" s="1" t="s">
        <v>27</v>
      </c>
      <c r="T382" s="1">
        <f t="shared" si="156"/>
        <v>0</v>
      </c>
      <c r="U382" s="1">
        <v>1</v>
      </c>
      <c r="V382" s="1">
        <v>1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 t="s">
        <v>88</v>
      </c>
      <c r="AC382" s="1">
        <f t="shared" si="155"/>
        <v>3</v>
      </c>
      <c r="AD382" s="1">
        <f t="shared" si="150"/>
        <v>0</v>
      </c>
      <c r="AE382" s="1">
        <v>1</v>
      </c>
      <c r="AF382" s="1">
        <v>7.6033989999999996</v>
      </c>
      <c r="AG382" s="1">
        <v>3.7612000000000001</v>
      </c>
      <c r="AH382" s="1">
        <f t="shared" si="154"/>
        <v>-5.7599999999999989</v>
      </c>
      <c r="AI382" s="1">
        <f t="shared" si="136"/>
        <v>-0.65994666792337164</v>
      </c>
      <c r="AJ382" s="1">
        <f t="shared" si="151"/>
        <v>0.11457407429225204</v>
      </c>
      <c r="AK382" s="1">
        <f t="shared" si="152"/>
        <v>76.177599999999984</v>
      </c>
      <c r="AL382" s="1">
        <f t="shared" si="153"/>
        <v>8.7279780018054574</v>
      </c>
      <c r="AM382" s="1">
        <v>0</v>
      </c>
      <c r="AN382" s="1">
        <v>1</v>
      </c>
      <c r="AO382" s="1">
        <v>0</v>
      </c>
      <c r="AP382" s="1">
        <f t="shared" si="137"/>
        <v>0.15249857033260467</v>
      </c>
      <c r="AQ382" s="1">
        <v>0</v>
      </c>
      <c r="AR382" s="1">
        <v>1</v>
      </c>
      <c r="AS382" s="1">
        <v>0</v>
      </c>
      <c r="AT382" s="1">
        <v>1</v>
      </c>
      <c r="AU382" s="4">
        <v>0</v>
      </c>
      <c r="AV382" s="4">
        <v>1</v>
      </c>
      <c r="AW382" s="1">
        <f t="shared" si="138"/>
        <v>2.1276595744680851E-2</v>
      </c>
      <c r="AX382" s="1">
        <f t="shared" si="139"/>
        <v>4.526935264825713E-4</v>
      </c>
    </row>
    <row r="383" spans="1:50" x14ac:dyDescent="0.25">
      <c r="A383" s="1" t="s">
        <v>57</v>
      </c>
      <c r="B383" s="1">
        <v>2005</v>
      </c>
      <c r="C383" s="1">
        <f t="shared" si="140"/>
        <v>30</v>
      </c>
      <c r="D383" s="1" t="s">
        <v>24</v>
      </c>
      <c r="E383" s="1" t="s">
        <v>25</v>
      </c>
      <c r="F383" s="2">
        <v>-0.35799999999999998</v>
      </c>
      <c r="G383" s="3">
        <v>6.4042933810375693E-2</v>
      </c>
      <c r="H383" s="1">
        <v>5</v>
      </c>
      <c r="I383" s="1">
        <v>49</v>
      </c>
      <c r="J383" s="1">
        <f t="shared" si="149"/>
        <v>44</v>
      </c>
      <c r="K383" s="1">
        <v>47</v>
      </c>
      <c r="L383" s="1">
        <v>1992</v>
      </c>
      <c r="M383" s="1">
        <v>2001</v>
      </c>
      <c r="N383" s="1">
        <f t="shared" si="147"/>
        <v>1996.5</v>
      </c>
      <c r="O383" s="1">
        <f t="shared" si="148"/>
        <v>10</v>
      </c>
      <c r="P383" s="1">
        <f t="shared" si="134"/>
        <v>2.3025850929940459</v>
      </c>
      <c r="Q383" s="1">
        <v>42</v>
      </c>
      <c r="R383" s="1">
        <v>9</v>
      </c>
      <c r="S383" s="1" t="s">
        <v>27</v>
      </c>
      <c r="T383" s="1">
        <f t="shared" si="156"/>
        <v>0</v>
      </c>
      <c r="U383" s="1">
        <v>1</v>
      </c>
      <c r="V383" s="1">
        <v>0</v>
      </c>
      <c r="W383" s="1">
        <v>0</v>
      </c>
      <c r="X383" s="1">
        <v>1</v>
      </c>
      <c r="Y383" s="1">
        <v>0</v>
      </c>
      <c r="Z383" s="1">
        <v>0</v>
      </c>
      <c r="AA383" s="1">
        <v>0</v>
      </c>
      <c r="AB383" s="1" t="s">
        <v>88</v>
      </c>
      <c r="AC383" s="1">
        <f t="shared" si="155"/>
        <v>3</v>
      </c>
      <c r="AD383" s="1">
        <f t="shared" si="150"/>
        <v>0</v>
      </c>
      <c r="AE383" s="1">
        <v>1</v>
      </c>
      <c r="AF383" s="1">
        <v>7.6033989999999996</v>
      </c>
      <c r="AG383" s="1">
        <v>3.7612000000000001</v>
      </c>
      <c r="AH383" s="1">
        <f t="shared" si="154"/>
        <v>-5.5899999999999981</v>
      </c>
      <c r="AI383" s="1">
        <f t="shared" si="136"/>
        <v>-0.64441262248643416</v>
      </c>
      <c r="AJ383" s="1">
        <f t="shared" si="151"/>
        <v>0.11527953890633889</v>
      </c>
      <c r="AK383" s="1">
        <f t="shared" si="152"/>
        <v>75.248099999999965</v>
      </c>
      <c r="AL383" s="1">
        <f t="shared" si="153"/>
        <v>8.674566271578076</v>
      </c>
      <c r="AM383" s="1">
        <v>0</v>
      </c>
      <c r="AN383" s="1">
        <v>1</v>
      </c>
      <c r="AO383" s="1">
        <v>0</v>
      </c>
      <c r="AP383" s="1">
        <f t="shared" si="137"/>
        <v>0.15075567228888181</v>
      </c>
      <c r="AQ383" s="1">
        <v>0</v>
      </c>
      <c r="AR383" s="1">
        <v>1</v>
      </c>
      <c r="AS383" s="1">
        <v>0</v>
      </c>
      <c r="AT383" s="1">
        <v>1</v>
      </c>
      <c r="AU383" s="4">
        <v>0</v>
      </c>
      <c r="AV383" s="4">
        <v>1</v>
      </c>
      <c r="AW383" s="1">
        <f t="shared" si="138"/>
        <v>2.1276595744680851E-2</v>
      </c>
      <c r="AX383" s="1">
        <f t="shared" si="139"/>
        <v>4.526935264825713E-4</v>
      </c>
    </row>
    <row r="384" spans="1:50" x14ac:dyDescent="0.25">
      <c r="A384" s="1" t="s">
        <v>57</v>
      </c>
      <c r="B384" s="1">
        <v>2005</v>
      </c>
      <c r="C384" s="1">
        <f t="shared" si="140"/>
        <v>30</v>
      </c>
      <c r="D384" s="1" t="s">
        <v>24</v>
      </c>
      <c r="E384" s="1" t="s">
        <v>25</v>
      </c>
      <c r="F384" s="2">
        <v>-0.67400000000000004</v>
      </c>
      <c r="G384" s="3">
        <v>0.111774461028192</v>
      </c>
      <c r="H384" s="1">
        <v>6</v>
      </c>
      <c r="I384" s="1">
        <v>66</v>
      </c>
      <c r="J384" s="1">
        <f t="shared" si="149"/>
        <v>60</v>
      </c>
      <c r="K384" s="1">
        <v>47</v>
      </c>
      <c r="L384" s="1">
        <v>1992</v>
      </c>
      <c r="M384" s="1">
        <v>2001</v>
      </c>
      <c r="N384" s="1">
        <f t="shared" si="147"/>
        <v>1996.5</v>
      </c>
      <c r="O384" s="1">
        <f t="shared" si="148"/>
        <v>10</v>
      </c>
      <c r="P384" s="1">
        <f t="shared" si="134"/>
        <v>2.3025850929940459</v>
      </c>
      <c r="Q384" s="1">
        <v>42</v>
      </c>
      <c r="R384" s="1">
        <v>9</v>
      </c>
      <c r="S384" s="1" t="s">
        <v>27</v>
      </c>
      <c r="T384" s="1">
        <f t="shared" si="156"/>
        <v>0</v>
      </c>
      <c r="U384" s="1">
        <v>1</v>
      </c>
      <c r="V384" s="1">
        <v>1</v>
      </c>
      <c r="W384" s="1">
        <v>0</v>
      </c>
      <c r="X384" s="1">
        <v>1</v>
      </c>
      <c r="Y384" s="1">
        <v>0</v>
      </c>
      <c r="Z384" s="1">
        <v>0</v>
      </c>
      <c r="AA384" s="1">
        <v>0</v>
      </c>
      <c r="AB384" s="1" t="s">
        <v>88</v>
      </c>
      <c r="AC384" s="1">
        <f t="shared" si="155"/>
        <v>3</v>
      </c>
      <c r="AD384" s="1">
        <f t="shared" si="150"/>
        <v>0</v>
      </c>
      <c r="AE384" s="1">
        <v>1</v>
      </c>
      <c r="AF384" s="1">
        <v>7.6033989999999996</v>
      </c>
      <c r="AG384" s="1">
        <v>3.7612000000000001</v>
      </c>
      <c r="AH384" s="1">
        <f t="shared" si="154"/>
        <v>-6.0300000000000207</v>
      </c>
      <c r="AI384" s="1">
        <f t="shared" si="136"/>
        <v>-0.61428072523454902</v>
      </c>
      <c r="AJ384" s="1">
        <f t="shared" si="151"/>
        <v>0.1018707670372383</v>
      </c>
      <c r="AK384" s="1">
        <f t="shared" si="152"/>
        <v>96.360900000000242</v>
      </c>
      <c r="AL384" s="1">
        <f t="shared" si="153"/>
        <v>9.8163587953986404</v>
      </c>
      <c r="AM384" s="1">
        <v>0</v>
      </c>
      <c r="AN384" s="1">
        <v>1</v>
      </c>
      <c r="AO384" s="1">
        <v>0</v>
      </c>
      <c r="AP384" s="1">
        <f t="shared" si="137"/>
        <v>0.12909944487358055</v>
      </c>
      <c r="AQ384" s="1">
        <v>0</v>
      </c>
      <c r="AR384" s="1">
        <v>1</v>
      </c>
      <c r="AS384" s="1">
        <v>0</v>
      </c>
      <c r="AT384" s="1">
        <v>1</v>
      </c>
      <c r="AU384" s="4">
        <v>0</v>
      </c>
      <c r="AV384" s="4">
        <v>1</v>
      </c>
      <c r="AW384" s="1">
        <f t="shared" si="138"/>
        <v>2.1276595744680851E-2</v>
      </c>
      <c r="AX384" s="1">
        <f t="shared" si="139"/>
        <v>4.526935264825713E-4</v>
      </c>
    </row>
    <row r="385" spans="1:50" x14ac:dyDescent="0.25">
      <c r="A385" s="1" t="s">
        <v>57</v>
      </c>
      <c r="B385" s="1">
        <v>2005</v>
      </c>
      <c r="C385" s="1">
        <f t="shared" si="140"/>
        <v>30</v>
      </c>
      <c r="D385" s="1" t="s">
        <v>24</v>
      </c>
      <c r="E385" s="1" t="s">
        <v>25</v>
      </c>
      <c r="F385" s="2">
        <v>-0.67400000000000004</v>
      </c>
      <c r="G385" s="3">
        <v>0.111774461028192</v>
      </c>
      <c r="H385" s="1">
        <v>6</v>
      </c>
      <c r="I385" s="1">
        <v>66</v>
      </c>
      <c r="J385" s="1">
        <f t="shared" si="149"/>
        <v>60</v>
      </c>
      <c r="K385" s="1">
        <v>47</v>
      </c>
      <c r="L385" s="1">
        <v>1992</v>
      </c>
      <c r="M385" s="1">
        <v>2001</v>
      </c>
      <c r="N385" s="1">
        <f t="shared" si="147"/>
        <v>1996.5</v>
      </c>
      <c r="O385" s="1">
        <f t="shared" si="148"/>
        <v>10</v>
      </c>
      <c r="P385" s="1">
        <f t="shared" ref="P385:P443" si="157">+LN(O384:O385)</f>
        <v>2.3025850929940459</v>
      </c>
      <c r="Q385" s="1">
        <v>42</v>
      </c>
      <c r="R385" s="1">
        <v>9</v>
      </c>
      <c r="S385" s="1" t="s">
        <v>27</v>
      </c>
      <c r="T385" s="1">
        <f t="shared" si="156"/>
        <v>0</v>
      </c>
      <c r="U385" s="1">
        <v>1</v>
      </c>
      <c r="V385" s="1">
        <v>1</v>
      </c>
      <c r="W385" s="1">
        <v>0</v>
      </c>
      <c r="X385" s="1">
        <v>1</v>
      </c>
      <c r="Y385" s="1">
        <v>0</v>
      </c>
      <c r="Z385" s="1">
        <v>0</v>
      </c>
      <c r="AA385" s="1">
        <v>0</v>
      </c>
      <c r="AB385" s="1" t="s">
        <v>88</v>
      </c>
      <c r="AC385" s="1">
        <f t="shared" si="155"/>
        <v>3</v>
      </c>
      <c r="AD385" s="1">
        <f t="shared" si="150"/>
        <v>0</v>
      </c>
      <c r="AE385" s="1">
        <v>1</v>
      </c>
      <c r="AF385" s="1">
        <v>7.6033989999999996</v>
      </c>
      <c r="AG385" s="1">
        <v>3.7612000000000001</v>
      </c>
      <c r="AH385" s="1">
        <f t="shared" si="154"/>
        <v>-6.0300000000000207</v>
      </c>
      <c r="AI385" s="1">
        <f t="shared" si="136"/>
        <v>-0.61428072523454902</v>
      </c>
      <c r="AJ385" s="1">
        <f t="shared" si="151"/>
        <v>0.1018707670372383</v>
      </c>
      <c r="AK385" s="1">
        <f t="shared" si="152"/>
        <v>96.360900000000242</v>
      </c>
      <c r="AL385" s="1">
        <f t="shared" si="153"/>
        <v>9.8163587953986404</v>
      </c>
      <c r="AM385" s="1">
        <v>0</v>
      </c>
      <c r="AN385" s="1">
        <v>1</v>
      </c>
      <c r="AO385" s="1">
        <v>0</v>
      </c>
      <c r="AP385" s="1">
        <f t="shared" si="137"/>
        <v>0.12909944487358055</v>
      </c>
      <c r="AQ385" s="1">
        <v>0</v>
      </c>
      <c r="AR385" s="1">
        <v>1</v>
      </c>
      <c r="AS385" s="1">
        <v>0</v>
      </c>
      <c r="AT385" s="1">
        <v>1</v>
      </c>
      <c r="AU385" s="4">
        <v>0</v>
      </c>
      <c r="AV385" s="4">
        <v>1</v>
      </c>
      <c r="AW385" s="1">
        <f t="shared" si="138"/>
        <v>2.1276595744680851E-2</v>
      </c>
      <c r="AX385" s="1">
        <f t="shared" si="139"/>
        <v>4.526935264825713E-4</v>
      </c>
    </row>
    <row r="386" spans="1:50" x14ac:dyDescent="0.25">
      <c r="A386" s="1" t="s">
        <v>57</v>
      </c>
      <c r="B386" s="1">
        <v>2005</v>
      </c>
      <c r="C386" s="1">
        <f t="shared" si="140"/>
        <v>30</v>
      </c>
      <c r="D386" s="1" t="s">
        <v>24</v>
      </c>
      <c r="E386" s="1" t="s">
        <v>25</v>
      </c>
      <c r="F386" s="2">
        <v>-0.438</v>
      </c>
      <c r="G386" s="3">
        <v>6.0413793103448299E-2</v>
      </c>
      <c r="H386" s="1">
        <v>6</v>
      </c>
      <c r="I386" s="1">
        <v>165</v>
      </c>
      <c r="J386" s="1">
        <f t="shared" si="149"/>
        <v>159</v>
      </c>
      <c r="K386" s="1">
        <v>47</v>
      </c>
      <c r="L386" s="1">
        <v>1992</v>
      </c>
      <c r="M386" s="1">
        <v>2001</v>
      </c>
      <c r="N386" s="1">
        <f t="shared" si="147"/>
        <v>1996.5</v>
      </c>
      <c r="O386" s="1">
        <f t="shared" si="148"/>
        <v>10</v>
      </c>
      <c r="P386" s="1">
        <f t="shared" si="157"/>
        <v>2.3025850929940459</v>
      </c>
      <c r="Q386" s="1">
        <v>42</v>
      </c>
      <c r="R386" s="1">
        <v>9</v>
      </c>
      <c r="S386" s="1" t="s">
        <v>27</v>
      </c>
      <c r="T386" s="1">
        <f t="shared" si="156"/>
        <v>0</v>
      </c>
      <c r="U386" s="1">
        <v>1</v>
      </c>
      <c r="V386" s="1">
        <v>1</v>
      </c>
      <c r="W386" s="1">
        <v>0</v>
      </c>
      <c r="X386" s="1">
        <v>1</v>
      </c>
      <c r="Y386" s="1">
        <v>0</v>
      </c>
      <c r="Z386" s="1">
        <v>0</v>
      </c>
      <c r="AA386" s="1">
        <v>0</v>
      </c>
      <c r="AB386" s="1" t="s">
        <v>88</v>
      </c>
      <c r="AC386" s="1">
        <f t="shared" si="155"/>
        <v>3</v>
      </c>
      <c r="AD386" s="1">
        <f t="shared" si="150"/>
        <v>0</v>
      </c>
      <c r="AE386" s="1">
        <v>1</v>
      </c>
      <c r="AF386" s="1">
        <v>7.6033989999999996</v>
      </c>
      <c r="AG386" s="1">
        <v>3.7612000000000001</v>
      </c>
      <c r="AH386" s="1">
        <f t="shared" si="154"/>
        <v>-7.2499999999999973</v>
      </c>
      <c r="AI386" s="1">
        <f t="shared" ref="AI386:AI443" si="158">AH386/SQRT(AH386^2+J386)</f>
        <v>-0.4984466269138868</v>
      </c>
      <c r="AJ386" s="1">
        <f t="shared" si="151"/>
        <v>6.8751258884674066E-2</v>
      </c>
      <c r="AK386" s="1">
        <f t="shared" si="152"/>
        <v>211.56249999999997</v>
      </c>
      <c r="AL386" s="1">
        <f t="shared" si="153"/>
        <v>14.545188207788856</v>
      </c>
      <c r="AM386" s="1">
        <v>0</v>
      </c>
      <c r="AN386" s="1">
        <v>1</v>
      </c>
      <c r="AO386" s="1">
        <v>0</v>
      </c>
      <c r="AP386" s="1">
        <f t="shared" ref="AP386:AP439" si="159">1/SQRT(J386)</f>
        <v>7.9305158571814416E-2</v>
      </c>
      <c r="AQ386" s="1">
        <v>0</v>
      </c>
      <c r="AR386" s="1">
        <v>1</v>
      </c>
      <c r="AS386" s="1">
        <v>0</v>
      </c>
      <c r="AT386" s="1">
        <v>1</v>
      </c>
      <c r="AU386" s="4">
        <v>0</v>
      </c>
      <c r="AV386" s="4">
        <v>1</v>
      </c>
      <c r="AW386" s="1">
        <f t="shared" ref="AW386:AW439" si="160">1/K386</f>
        <v>2.1276595744680851E-2</v>
      </c>
      <c r="AX386" s="1">
        <f t="shared" ref="AX386:AX439" si="161">1/(K386*K386)</f>
        <v>4.526935264825713E-4</v>
      </c>
    </row>
    <row r="387" spans="1:50" x14ac:dyDescent="0.25">
      <c r="A387" s="1" t="s">
        <v>57</v>
      </c>
      <c r="B387" s="1">
        <v>2005</v>
      </c>
      <c r="C387" s="1">
        <f t="shared" si="140"/>
        <v>30</v>
      </c>
      <c r="D387" s="1" t="s">
        <v>24</v>
      </c>
      <c r="E387" s="1" t="s">
        <v>25</v>
      </c>
      <c r="F387" s="2">
        <v>-0.438</v>
      </c>
      <c r="G387" s="3">
        <v>6.0413793103448299E-2</v>
      </c>
      <c r="H387" s="1">
        <v>6</v>
      </c>
      <c r="I387" s="1">
        <v>165</v>
      </c>
      <c r="J387" s="1">
        <f t="shared" si="149"/>
        <v>159</v>
      </c>
      <c r="K387" s="1">
        <v>47</v>
      </c>
      <c r="L387" s="1">
        <v>1992</v>
      </c>
      <c r="M387" s="1">
        <v>2001</v>
      </c>
      <c r="N387" s="1">
        <f t="shared" si="147"/>
        <v>1996.5</v>
      </c>
      <c r="O387" s="1">
        <f t="shared" si="148"/>
        <v>10</v>
      </c>
      <c r="P387" s="1">
        <f t="shared" si="157"/>
        <v>2.3025850929940459</v>
      </c>
      <c r="Q387" s="1">
        <v>42</v>
      </c>
      <c r="R387" s="1">
        <v>9</v>
      </c>
      <c r="S387" s="1" t="s">
        <v>27</v>
      </c>
      <c r="T387" s="1">
        <f t="shared" si="156"/>
        <v>0</v>
      </c>
      <c r="U387" s="1">
        <v>1</v>
      </c>
      <c r="V387" s="1">
        <v>1</v>
      </c>
      <c r="W387" s="1">
        <v>0</v>
      </c>
      <c r="X387" s="1">
        <v>1</v>
      </c>
      <c r="Y387" s="1">
        <v>0</v>
      </c>
      <c r="Z387" s="1">
        <v>0</v>
      </c>
      <c r="AA387" s="1">
        <v>0</v>
      </c>
      <c r="AB387" s="1" t="s">
        <v>88</v>
      </c>
      <c r="AC387" s="1">
        <f t="shared" si="155"/>
        <v>3</v>
      </c>
      <c r="AD387" s="1">
        <f t="shared" si="150"/>
        <v>0</v>
      </c>
      <c r="AE387" s="1">
        <v>1</v>
      </c>
      <c r="AF387" s="1">
        <v>7.6033989999999996</v>
      </c>
      <c r="AG387" s="1">
        <v>3.7612000000000001</v>
      </c>
      <c r="AH387" s="1">
        <f t="shared" si="154"/>
        <v>-7.2499999999999973</v>
      </c>
      <c r="AI387" s="1">
        <f t="shared" si="158"/>
        <v>-0.4984466269138868</v>
      </c>
      <c r="AJ387" s="1">
        <f t="shared" si="151"/>
        <v>6.8751258884674066E-2</v>
      </c>
      <c r="AK387" s="1">
        <f t="shared" si="152"/>
        <v>211.56249999999997</v>
      </c>
      <c r="AL387" s="1">
        <f t="shared" si="153"/>
        <v>14.545188207788856</v>
      </c>
      <c r="AM387" s="1">
        <v>0</v>
      </c>
      <c r="AN387" s="1">
        <v>1</v>
      </c>
      <c r="AO387" s="1">
        <v>0</v>
      </c>
      <c r="AP387" s="1">
        <f t="shared" si="159"/>
        <v>7.9305158571814416E-2</v>
      </c>
      <c r="AQ387" s="1">
        <v>0</v>
      </c>
      <c r="AR387" s="1">
        <v>1</v>
      </c>
      <c r="AS387" s="1">
        <v>0</v>
      </c>
      <c r="AT387" s="1">
        <v>1</v>
      </c>
      <c r="AU387" s="4">
        <v>0</v>
      </c>
      <c r="AV387" s="4">
        <v>1</v>
      </c>
      <c r="AW387" s="1">
        <f t="shared" si="160"/>
        <v>2.1276595744680851E-2</v>
      </c>
      <c r="AX387" s="1">
        <f t="shared" si="161"/>
        <v>4.526935264825713E-4</v>
      </c>
    </row>
    <row r="388" spans="1:50" x14ac:dyDescent="0.25">
      <c r="A388" s="1" t="s">
        <v>57</v>
      </c>
      <c r="B388" s="1">
        <v>2005</v>
      </c>
      <c r="C388" s="1">
        <f t="shared" ref="C388:C443" si="162">+IF(A388=A387,C387,C387+1)</f>
        <v>30</v>
      </c>
      <c r="D388" s="1" t="s">
        <v>24</v>
      </c>
      <c r="E388" s="1" t="s">
        <v>25</v>
      </c>
      <c r="F388" s="2">
        <v>-0.28699999999999998</v>
      </c>
      <c r="G388" s="3">
        <v>5.1433691756272402E-2</v>
      </c>
      <c r="H388" s="1">
        <v>6</v>
      </c>
      <c r="I388" s="1">
        <v>165</v>
      </c>
      <c r="J388" s="1">
        <f t="shared" si="149"/>
        <v>159</v>
      </c>
      <c r="K388" s="1">
        <v>47</v>
      </c>
      <c r="L388" s="1">
        <v>1992</v>
      </c>
      <c r="M388" s="1">
        <v>2001</v>
      </c>
      <c r="N388" s="1">
        <f t="shared" si="147"/>
        <v>1996.5</v>
      </c>
      <c r="O388" s="1">
        <f t="shared" si="148"/>
        <v>10</v>
      </c>
      <c r="P388" s="1">
        <f t="shared" si="157"/>
        <v>2.3025850929940459</v>
      </c>
      <c r="Q388" s="1">
        <v>42</v>
      </c>
      <c r="R388" s="1">
        <v>9</v>
      </c>
      <c r="S388" s="1" t="s">
        <v>27</v>
      </c>
      <c r="T388" s="1">
        <f t="shared" si="156"/>
        <v>0</v>
      </c>
      <c r="U388" s="1">
        <v>1</v>
      </c>
      <c r="V388" s="1">
        <v>1</v>
      </c>
      <c r="W388" s="1">
        <v>0</v>
      </c>
      <c r="X388" s="1">
        <v>1</v>
      </c>
      <c r="Y388" s="1">
        <v>0</v>
      </c>
      <c r="Z388" s="1">
        <v>0</v>
      </c>
      <c r="AA388" s="1">
        <v>0</v>
      </c>
      <c r="AB388" s="1" t="s">
        <v>88</v>
      </c>
      <c r="AC388" s="1">
        <f t="shared" si="155"/>
        <v>3</v>
      </c>
      <c r="AD388" s="1">
        <f t="shared" si="150"/>
        <v>0</v>
      </c>
      <c r="AE388" s="1">
        <v>1</v>
      </c>
      <c r="AF388" s="1">
        <v>7.6033989999999996</v>
      </c>
      <c r="AG388" s="1">
        <v>3.7612000000000001</v>
      </c>
      <c r="AH388" s="1">
        <f t="shared" si="154"/>
        <v>-5.5799999999999992</v>
      </c>
      <c r="AI388" s="1">
        <f t="shared" si="158"/>
        <v>-0.40467051820397115</v>
      </c>
      <c r="AJ388" s="1">
        <f t="shared" si="151"/>
        <v>7.2521598244439281E-2</v>
      </c>
      <c r="AK388" s="1">
        <f t="shared" si="152"/>
        <v>190.13639999999998</v>
      </c>
      <c r="AL388" s="1">
        <f t="shared" si="153"/>
        <v>13.788995612444003</v>
      </c>
      <c r="AM388" s="1">
        <v>0</v>
      </c>
      <c r="AN388" s="1">
        <v>1</v>
      </c>
      <c r="AO388" s="1">
        <v>0</v>
      </c>
      <c r="AP388" s="1">
        <f t="shared" si="159"/>
        <v>7.9305158571814416E-2</v>
      </c>
      <c r="AQ388" s="1">
        <v>0</v>
      </c>
      <c r="AR388" s="1">
        <v>1</v>
      </c>
      <c r="AS388" s="1">
        <v>0</v>
      </c>
      <c r="AT388" s="1">
        <v>1</v>
      </c>
      <c r="AU388" s="4">
        <v>0</v>
      </c>
      <c r="AV388" s="4">
        <v>1</v>
      </c>
      <c r="AW388" s="1">
        <f t="shared" si="160"/>
        <v>2.1276595744680851E-2</v>
      </c>
      <c r="AX388" s="1">
        <f t="shared" si="161"/>
        <v>4.526935264825713E-4</v>
      </c>
    </row>
    <row r="389" spans="1:50" x14ac:dyDescent="0.25">
      <c r="A389" s="1" t="s">
        <v>57</v>
      </c>
      <c r="B389" s="1">
        <v>2005</v>
      </c>
      <c r="C389" s="1">
        <f t="shared" si="162"/>
        <v>30</v>
      </c>
      <c r="D389" s="1" t="s">
        <v>24</v>
      </c>
      <c r="E389" s="1" t="s">
        <v>25</v>
      </c>
      <c r="F389" s="2">
        <v>-0.28699999999999998</v>
      </c>
      <c r="G389" s="3">
        <v>5.1433691756272402E-2</v>
      </c>
      <c r="H389" s="1">
        <v>6</v>
      </c>
      <c r="I389" s="1">
        <v>165</v>
      </c>
      <c r="J389" s="1">
        <f t="shared" si="149"/>
        <v>159</v>
      </c>
      <c r="K389" s="1">
        <v>47</v>
      </c>
      <c r="L389" s="1">
        <v>1992</v>
      </c>
      <c r="M389" s="1">
        <v>2001</v>
      </c>
      <c r="N389" s="1">
        <f t="shared" si="147"/>
        <v>1996.5</v>
      </c>
      <c r="O389" s="1">
        <f t="shared" si="148"/>
        <v>10</v>
      </c>
      <c r="P389" s="1">
        <f t="shared" si="157"/>
        <v>2.3025850929940459</v>
      </c>
      <c r="Q389" s="1">
        <v>42</v>
      </c>
      <c r="R389" s="1">
        <v>9</v>
      </c>
      <c r="S389" s="1" t="s">
        <v>27</v>
      </c>
      <c r="T389" s="1">
        <f t="shared" si="156"/>
        <v>0</v>
      </c>
      <c r="U389" s="1">
        <v>1</v>
      </c>
      <c r="V389" s="1">
        <v>1</v>
      </c>
      <c r="W389" s="1">
        <v>0</v>
      </c>
      <c r="X389" s="1">
        <v>1</v>
      </c>
      <c r="Y389" s="1">
        <v>0</v>
      </c>
      <c r="Z389" s="1">
        <v>0</v>
      </c>
      <c r="AA389" s="1">
        <v>0</v>
      </c>
      <c r="AB389" s="1" t="s">
        <v>88</v>
      </c>
      <c r="AC389" s="1">
        <f t="shared" si="155"/>
        <v>3</v>
      </c>
      <c r="AD389" s="1">
        <f t="shared" si="150"/>
        <v>0</v>
      </c>
      <c r="AE389" s="1">
        <v>1</v>
      </c>
      <c r="AF389" s="1">
        <v>7.6033989999999996</v>
      </c>
      <c r="AG389" s="1">
        <v>3.7612000000000001</v>
      </c>
      <c r="AH389" s="1">
        <f t="shared" si="154"/>
        <v>-5.5799999999999992</v>
      </c>
      <c r="AI389" s="1">
        <f t="shared" si="158"/>
        <v>-0.40467051820397115</v>
      </c>
      <c r="AJ389" s="1">
        <f t="shared" si="151"/>
        <v>7.2521598244439281E-2</v>
      </c>
      <c r="AK389" s="1">
        <f t="shared" si="152"/>
        <v>190.13639999999998</v>
      </c>
      <c r="AL389" s="1">
        <f t="shared" si="153"/>
        <v>13.788995612444003</v>
      </c>
      <c r="AM389" s="1">
        <v>0</v>
      </c>
      <c r="AN389" s="1">
        <v>1</v>
      </c>
      <c r="AO389" s="1">
        <v>0</v>
      </c>
      <c r="AP389" s="1">
        <f t="shared" si="159"/>
        <v>7.9305158571814416E-2</v>
      </c>
      <c r="AQ389" s="1">
        <v>0</v>
      </c>
      <c r="AR389" s="1">
        <v>1</v>
      </c>
      <c r="AS389" s="1">
        <v>0</v>
      </c>
      <c r="AT389" s="1">
        <v>1</v>
      </c>
      <c r="AU389" s="4">
        <v>0</v>
      </c>
      <c r="AV389" s="4">
        <v>1</v>
      </c>
      <c r="AW389" s="1">
        <f t="shared" si="160"/>
        <v>2.1276595744680851E-2</v>
      </c>
      <c r="AX389" s="1">
        <f t="shared" si="161"/>
        <v>4.526935264825713E-4</v>
      </c>
    </row>
    <row r="390" spans="1:50" x14ac:dyDescent="0.25">
      <c r="A390" s="1" t="s">
        <v>69</v>
      </c>
      <c r="B390" s="1">
        <v>1994</v>
      </c>
      <c r="C390" s="1">
        <f t="shared" si="162"/>
        <v>31</v>
      </c>
      <c r="D390" s="1" t="s">
        <v>24</v>
      </c>
      <c r="E390" s="1" t="s">
        <v>25</v>
      </c>
      <c r="F390" s="2">
        <v>5.5E-2</v>
      </c>
      <c r="G390" s="3">
        <v>0.10199999999999999</v>
      </c>
      <c r="H390" s="1">
        <v>16</v>
      </c>
      <c r="I390" s="1">
        <v>55</v>
      </c>
      <c r="J390" s="1">
        <f t="shared" si="149"/>
        <v>39</v>
      </c>
      <c r="K390" s="1">
        <v>2</v>
      </c>
      <c r="L390" s="1">
        <v>1978</v>
      </c>
      <c r="M390" s="1">
        <v>1987</v>
      </c>
      <c r="N390" s="1">
        <f t="shared" ref="N390:N414" si="163">+L390+(M390-L390)/2</f>
        <v>1982.5</v>
      </c>
      <c r="O390" s="1">
        <f t="shared" si="148"/>
        <v>10</v>
      </c>
      <c r="P390" s="1">
        <f t="shared" si="157"/>
        <v>2.3025850929940459</v>
      </c>
      <c r="Q390" s="1">
        <v>83</v>
      </c>
      <c r="R390" s="1">
        <v>6</v>
      </c>
      <c r="S390" s="1" t="s">
        <v>27</v>
      </c>
      <c r="T390" s="1">
        <f t="shared" si="156"/>
        <v>0</v>
      </c>
      <c r="U390" s="1">
        <v>0</v>
      </c>
      <c r="V390" s="1">
        <v>1</v>
      </c>
      <c r="W390" s="1">
        <v>0</v>
      </c>
      <c r="X390" s="1">
        <v>0</v>
      </c>
      <c r="Y390" s="1">
        <v>1</v>
      </c>
      <c r="Z390" s="1">
        <v>0</v>
      </c>
      <c r="AA390" s="1">
        <v>0</v>
      </c>
      <c r="AB390" s="1" t="s">
        <v>85</v>
      </c>
      <c r="AC390" s="1">
        <f t="shared" si="155"/>
        <v>1</v>
      </c>
      <c r="AD390" s="1">
        <f t="shared" si="150"/>
        <v>1</v>
      </c>
      <c r="AE390" s="1">
        <v>1</v>
      </c>
      <c r="AF390" s="1">
        <v>7.5978979999999998</v>
      </c>
      <c r="AG390" s="1">
        <v>4.4308170000000002</v>
      </c>
      <c r="AH390" s="1">
        <f t="shared" si="154"/>
        <v>0.53921568627450989</v>
      </c>
      <c r="AI390" s="1">
        <f t="shared" si="158"/>
        <v>8.6023545577542951E-2</v>
      </c>
      <c r="AJ390" s="1">
        <f t="shared" si="151"/>
        <v>0.159534575434716</v>
      </c>
      <c r="AK390" s="1">
        <f t="shared" si="152"/>
        <v>39.290753556324489</v>
      </c>
      <c r="AL390" s="1">
        <f t="shared" si="153"/>
        <v>6.2682336871182844</v>
      </c>
      <c r="AM390" s="1">
        <v>1</v>
      </c>
      <c r="AN390" s="1">
        <v>0</v>
      </c>
      <c r="AO390" s="1">
        <v>0</v>
      </c>
      <c r="AP390" s="1">
        <f t="shared" si="159"/>
        <v>0.16012815380508713</v>
      </c>
      <c r="AQ390" s="1">
        <v>1</v>
      </c>
      <c r="AR390" s="1">
        <v>0</v>
      </c>
      <c r="AS390" s="1">
        <v>0</v>
      </c>
      <c r="AT390" s="1">
        <v>0</v>
      </c>
      <c r="AU390" s="4">
        <v>0</v>
      </c>
      <c r="AV390" s="4">
        <v>0</v>
      </c>
      <c r="AW390" s="1">
        <f t="shared" si="160"/>
        <v>0.5</v>
      </c>
      <c r="AX390" s="1">
        <f t="shared" si="161"/>
        <v>0.25</v>
      </c>
    </row>
    <row r="391" spans="1:50" x14ac:dyDescent="0.25">
      <c r="A391" s="1" t="s">
        <v>69</v>
      </c>
      <c r="B391" s="1">
        <v>1994</v>
      </c>
      <c r="C391" s="1">
        <f t="shared" si="162"/>
        <v>31</v>
      </c>
      <c r="D391" s="1" t="s">
        <v>24</v>
      </c>
      <c r="E391" s="1" t="s">
        <v>25</v>
      </c>
      <c r="F391" s="2">
        <v>0.114</v>
      </c>
      <c r="G391" s="3">
        <v>0.10100000000000001</v>
      </c>
      <c r="H391" s="1">
        <v>16</v>
      </c>
      <c r="I391" s="1">
        <v>55</v>
      </c>
      <c r="J391" s="1">
        <f t="shared" si="149"/>
        <v>39</v>
      </c>
      <c r="K391" s="1">
        <v>2</v>
      </c>
      <c r="L391" s="1">
        <v>1978</v>
      </c>
      <c r="M391" s="1">
        <v>1987</v>
      </c>
      <c r="N391" s="1">
        <f t="shared" ref="N391" si="164">+L391+(M391-L391)/2</f>
        <v>1982.5</v>
      </c>
      <c r="O391" s="1">
        <f t="shared" si="148"/>
        <v>10</v>
      </c>
      <c r="P391" s="1">
        <f t="shared" si="157"/>
        <v>2.3025850929940459</v>
      </c>
      <c r="Q391" s="1">
        <v>83</v>
      </c>
      <c r="R391" s="1">
        <v>6</v>
      </c>
      <c r="S391" s="1" t="s">
        <v>27</v>
      </c>
      <c r="T391" s="1">
        <f t="shared" si="156"/>
        <v>0</v>
      </c>
      <c r="U391" s="1">
        <v>0</v>
      </c>
      <c r="V391" s="1">
        <v>1</v>
      </c>
      <c r="W391" s="1">
        <v>0</v>
      </c>
      <c r="X391" s="1">
        <v>0</v>
      </c>
      <c r="Y391" s="1">
        <v>1</v>
      </c>
      <c r="Z391" s="1">
        <v>0</v>
      </c>
      <c r="AA391" s="1">
        <v>0</v>
      </c>
      <c r="AB391" s="1" t="s">
        <v>85</v>
      </c>
      <c r="AC391" s="1">
        <f t="shared" si="155"/>
        <v>1</v>
      </c>
      <c r="AD391" s="1">
        <f t="shared" si="150"/>
        <v>1</v>
      </c>
      <c r="AE391" s="1">
        <v>1</v>
      </c>
      <c r="AF391" s="1">
        <v>7.5978979999999998</v>
      </c>
      <c r="AG391" s="1">
        <v>4.4308170000000002</v>
      </c>
      <c r="AH391" s="1">
        <f t="shared" si="154"/>
        <v>1.1287128712871286</v>
      </c>
      <c r="AI391" s="1">
        <f t="shared" si="158"/>
        <v>0.17785707011789931</v>
      </c>
      <c r="AJ391" s="1">
        <f t="shared" si="151"/>
        <v>0.15757512352550729</v>
      </c>
      <c r="AK391" s="1">
        <f t="shared" si="152"/>
        <v>40.273992745809252</v>
      </c>
      <c r="AL391" s="1">
        <f t="shared" si="153"/>
        <v>6.3461793817862766</v>
      </c>
      <c r="AM391" s="1">
        <v>1</v>
      </c>
      <c r="AN391" s="1">
        <v>0</v>
      </c>
      <c r="AO391" s="1">
        <v>0</v>
      </c>
      <c r="AP391" s="1">
        <f t="shared" si="159"/>
        <v>0.16012815380508713</v>
      </c>
      <c r="AQ391" s="1">
        <v>1</v>
      </c>
      <c r="AR391" s="1">
        <v>0</v>
      </c>
      <c r="AS391" s="1">
        <v>0</v>
      </c>
      <c r="AT391" s="1">
        <v>0</v>
      </c>
      <c r="AU391" s="4">
        <v>0</v>
      </c>
      <c r="AV391" s="4">
        <v>0</v>
      </c>
      <c r="AW391" s="1">
        <f t="shared" si="160"/>
        <v>0.5</v>
      </c>
      <c r="AX391" s="1">
        <f t="shared" si="161"/>
        <v>0.25</v>
      </c>
    </row>
    <row r="392" spans="1:50" x14ac:dyDescent="0.25">
      <c r="A392" s="1" t="s">
        <v>70</v>
      </c>
      <c r="B392" s="1">
        <v>2002</v>
      </c>
      <c r="C392" s="1">
        <f t="shared" si="162"/>
        <v>32</v>
      </c>
      <c r="D392" s="1" t="s">
        <v>24</v>
      </c>
      <c r="E392" s="1" t="s">
        <v>25</v>
      </c>
      <c r="F392" s="2">
        <v>-1.1499999999999999</v>
      </c>
      <c r="G392" s="3">
        <v>0.35</v>
      </c>
      <c r="H392" s="1">
        <v>3</v>
      </c>
      <c r="I392" s="1">
        <v>12</v>
      </c>
      <c r="J392" s="1">
        <f t="shared" si="149"/>
        <v>9</v>
      </c>
      <c r="K392" s="1">
        <v>4</v>
      </c>
      <c r="L392" s="1">
        <v>1985</v>
      </c>
      <c r="M392" s="1">
        <v>2006</v>
      </c>
      <c r="N392" s="1">
        <f t="shared" si="163"/>
        <v>1995.5</v>
      </c>
      <c r="O392" s="1">
        <f t="shared" ref="O392" si="165">+M392-L392+1</f>
        <v>22</v>
      </c>
      <c r="P392" s="1">
        <f t="shared" si="157"/>
        <v>3.0910424533583161</v>
      </c>
      <c r="Q392" s="1">
        <v>33</v>
      </c>
      <c r="R392" s="1">
        <v>4</v>
      </c>
      <c r="S392" s="1" t="s">
        <v>26</v>
      </c>
      <c r="T392" s="1">
        <f t="shared" ref="T392:T423" si="166">IF(S392="OLS",0,IF(S392="FE",0,IF(S392="Probit model",0,IF(S392="3SLS",1,IF(S392="Logit",0,IF(S392="2SLS",1,IF(S392="SUR method",1,IF(S392="Modified LS",0,IF(S392="Zenner estimates",1,IF(S392="MLE",0,IF(S392="GLS",0,0)))))))))))</f>
        <v>0</v>
      </c>
      <c r="U392" s="1">
        <v>0</v>
      </c>
      <c r="V392" s="1">
        <v>1</v>
      </c>
      <c r="W392" s="1">
        <v>0</v>
      </c>
      <c r="X392" s="1">
        <v>0</v>
      </c>
      <c r="Y392" s="1">
        <v>1</v>
      </c>
      <c r="Z392" s="1">
        <v>0</v>
      </c>
      <c r="AA392" s="1">
        <v>0</v>
      </c>
      <c r="AB392" s="1" t="s">
        <v>85</v>
      </c>
      <c r="AC392" s="1">
        <f t="shared" si="155"/>
        <v>1</v>
      </c>
      <c r="AD392" s="1">
        <f t="shared" si="150"/>
        <v>1</v>
      </c>
      <c r="AE392" s="1">
        <v>1</v>
      </c>
      <c r="AF392" s="1">
        <v>7.6019019999999999</v>
      </c>
      <c r="AG392" s="1">
        <v>3.5263610000000001</v>
      </c>
      <c r="AH392" s="1">
        <f t="shared" si="154"/>
        <v>-3.2857142857142856</v>
      </c>
      <c r="AI392" s="1">
        <f t="shared" si="158"/>
        <v>-0.73848549392812601</v>
      </c>
      <c r="AJ392" s="1">
        <f t="shared" si="151"/>
        <v>0.2247564546737775</v>
      </c>
      <c r="AK392" s="1">
        <f t="shared" si="152"/>
        <v>19.795918367346928</v>
      </c>
      <c r="AL392" s="1">
        <f t="shared" si="153"/>
        <v>4.4492604292564097</v>
      </c>
      <c r="AM392" s="1">
        <v>1</v>
      </c>
      <c r="AN392" s="1">
        <v>0</v>
      </c>
      <c r="AO392" s="1">
        <v>0</v>
      </c>
      <c r="AP392" s="1">
        <f t="shared" si="159"/>
        <v>0.33333333333333331</v>
      </c>
      <c r="AQ392" s="1">
        <v>1</v>
      </c>
      <c r="AR392" s="1">
        <v>0</v>
      </c>
      <c r="AS392" s="1">
        <v>0</v>
      </c>
      <c r="AT392" s="1">
        <v>0</v>
      </c>
      <c r="AU392" s="4">
        <v>0</v>
      </c>
      <c r="AV392" s="4">
        <v>1</v>
      </c>
      <c r="AW392" s="1">
        <f t="shared" si="160"/>
        <v>0.25</v>
      </c>
      <c r="AX392" s="1">
        <f t="shared" si="161"/>
        <v>6.25E-2</v>
      </c>
    </row>
    <row r="393" spans="1:50" x14ac:dyDescent="0.25">
      <c r="A393" s="1" t="s">
        <v>70</v>
      </c>
      <c r="B393" s="1">
        <v>2002</v>
      </c>
      <c r="C393" s="1">
        <f t="shared" si="162"/>
        <v>32</v>
      </c>
      <c r="D393" s="1" t="s">
        <v>24</v>
      </c>
      <c r="E393" s="1" t="s">
        <v>25</v>
      </c>
      <c r="F393" s="2">
        <v>-1.87</v>
      </c>
      <c r="G393" s="3">
        <v>0.49</v>
      </c>
      <c r="H393" s="1">
        <v>3</v>
      </c>
      <c r="I393" s="1">
        <v>12</v>
      </c>
      <c r="J393" s="1">
        <f t="shared" si="149"/>
        <v>9</v>
      </c>
      <c r="K393" s="1">
        <v>4</v>
      </c>
      <c r="L393" s="1">
        <v>1985</v>
      </c>
      <c r="M393" s="1">
        <v>2006</v>
      </c>
      <c r="N393" s="1">
        <f t="shared" ref="N393:N395" si="167">+L393+(M393-L393)/2</f>
        <v>1995.5</v>
      </c>
      <c r="O393" s="1">
        <f t="shared" ref="O393:O401" si="168">+M393-L393+1</f>
        <v>22</v>
      </c>
      <c r="P393" s="1">
        <f t="shared" si="157"/>
        <v>3.0910424533583161</v>
      </c>
      <c r="Q393" s="1">
        <v>33</v>
      </c>
      <c r="R393" s="1">
        <v>4</v>
      </c>
      <c r="S393" s="1" t="s">
        <v>26</v>
      </c>
      <c r="T393" s="1">
        <f t="shared" si="166"/>
        <v>0</v>
      </c>
      <c r="U393" s="1">
        <v>0</v>
      </c>
      <c r="V393" s="1">
        <v>1</v>
      </c>
      <c r="W393" s="1">
        <v>0</v>
      </c>
      <c r="X393" s="1">
        <v>0</v>
      </c>
      <c r="Y393" s="1">
        <v>1</v>
      </c>
      <c r="Z393" s="1">
        <v>0</v>
      </c>
      <c r="AA393" s="1">
        <v>0</v>
      </c>
      <c r="AB393" s="1" t="s">
        <v>85</v>
      </c>
      <c r="AC393" s="1">
        <f t="shared" si="155"/>
        <v>1</v>
      </c>
      <c r="AD393" s="1">
        <f t="shared" si="150"/>
        <v>1</v>
      </c>
      <c r="AE393" s="1">
        <v>1</v>
      </c>
      <c r="AF393" s="1">
        <v>7.6019019999999999</v>
      </c>
      <c r="AG393" s="1">
        <v>3.5263610000000001</v>
      </c>
      <c r="AH393" s="1">
        <f t="shared" si="154"/>
        <v>-3.8163265306122454</v>
      </c>
      <c r="AI393" s="1">
        <f t="shared" si="158"/>
        <v>-0.78617243224145472</v>
      </c>
      <c r="AJ393" s="1">
        <f t="shared" si="151"/>
        <v>0.20600240203118331</v>
      </c>
      <c r="AK393" s="1">
        <f t="shared" si="152"/>
        <v>23.564348188254893</v>
      </c>
      <c r="AL393" s="1">
        <f t="shared" si="153"/>
        <v>4.8543123290796704</v>
      </c>
      <c r="AM393" s="1">
        <v>1</v>
      </c>
      <c r="AN393" s="1">
        <v>0</v>
      </c>
      <c r="AO393" s="1">
        <v>0</v>
      </c>
      <c r="AP393" s="1">
        <f t="shared" si="159"/>
        <v>0.33333333333333331</v>
      </c>
      <c r="AQ393" s="1">
        <v>1</v>
      </c>
      <c r="AR393" s="1">
        <v>0</v>
      </c>
      <c r="AS393" s="1">
        <v>0</v>
      </c>
      <c r="AT393" s="1">
        <v>0</v>
      </c>
      <c r="AU393" s="4">
        <v>0</v>
      </c>
      <c r="AV393" s="4">
        <v>1</v>
      </c>
      <c r="AW393" s="1">
        <f t="shared" si="160"/>
        <v>0.25</v>
      </c>
      <c r="AX393" s="1">
        <f t="shared" si="161"/>
        <v>6.25E-2</v>
      </c>
    </row>
    <row r="394" spans="1:50" x14ac:dyDescent="0.25">
      <c r="A394" s="1" t="s">
        <v>70</v>
      </c>
      <c r="B394" s="1">
        <v>2002</v>
      </c>
      <c r="C394" s="1">
        <f t="shared" si="162"/>
        <v>32</v>
      </c>
      <c r="D394" s="1" t="s">
        <v>24</v>
      </c>
      <c r="E394" s="1" t="s">
        <v>25</v>
      </c>
      <c r="F394" s="2">
        <v>-0.37</v>
      </c>
      <c r="G394" s="3">
        <v>0.34</v>
      </c>
      <c r="H394" s="1">
        <v>3</v>
      </c>
      <c r="I394" s="1">
        <v>12</v>
      </c>
      <c r="J394" s="1">
        <f t="shared" si="149"/>
        <v>9</v>
      </c>
      <c r="K394" s="1">
        <v>4</v>
      </c>
      <c r="L394" s="1">
        <v>1985</v>
      </c>
      <c r="M394" s="1">
        <v>2006</v>
      </c>
      <c r="N394" s="1">
        <f t="shared" si="167"/>
        <v>1995.5</v>
      </c>
      <c r="O394" s="1">
        <f t="shared" si="168"/>
        <v>22</v>
      </c>
      <c r="P394" s="1">
        <f t="shared" si="157"/>
        <v>3.0910424533583161</v>
      </c>
      <c r="Q394" s="1">
        <v>33</v>
      </c>
      <c r="R394" s="1">
        <v>4</v>
      </c>
      <c r="S394" s="1" t="s">
        <v>26</v>
      </c>
      <c r="T394" s="1">
        <f t="shared" si="166"/>
        <v>0</v>
      </c>
      <c r="U394" s="1">
        <v>0</v>
      </c>
      <c r="V394" s="1">
        <v>1</v>
      </c>
      <c r="W394" s="1">
        <v>0</v>
      </c>
      <c r="X394" s="1">
        <v>0</v>
      </c>
      <c r="Y394" s="1">
        <v>1</v>
      </c>
      <c r="Z394" s="1">
        <v>0</v>
      </c>
      <c r="AA394" s="1">
        <v>0</v>
      </c>
      <c r="AB394" s="1" t="s">
        <v>85</v>
      </c>
      <c r="AC394" s="1">
        <f t="shared" si="155"/>
        <v>1</v>
      </c>
      <c r="AD394" s="1">
        <f t="shared" si="150"/>
        <v>1</v>
      </c>
      <c r="AE394" s="1">
        <v>1</v>
      </c>
      <c r="AF394" s="1">
        <v>7.6019019999999999</v>
      </c>
      <c r="AG394" s="1">
        <v>3.5263610000000001</v>
      </c>
      <c r="AH394" s="1">
        <f t="shared" si="154"/>
        <v>-1.088235294117647</v>
      </c>
      <c r="AI394" s="1">
        <f t="shared" si="158"/>
        <v>-0.34100296255394646</v>
      </c>
      <c r="AJ394" s="1">
        <f t="shared" si="151"/>
        <v>0.3133540736982211</v>
      </c>
      <c r="AK394" s="1">
        <f t="shared" si="152"/>
        <v>10.184256055363322</v>
      </c>
      <c r="AL394" s="1">
        <f t="shared" si="153"/>
        <v>3.1912781225338733</v>
      </c>
      <c r="AM394" s="1">
        <v>1</v>
      </c>
      <c r="AN394" s="1">
        <v>0</v>
      </c>
      <c r="AO394" s="1">
        <v>0</v>
      </c>
      <c r="AP394" s="1">
        <f t="shared" si="159"/>
        <v>0.33333333333333331</v>
      </c>
      <c r="AQ394" s="1">
        <v>1</v>
      </c>
      <c r="AR394" s="1">
        <v>0</v>
      </c>
      <c r="AS394" s="1">
        <v>0</v>
      </c>
      <c r="AT394" s="1">
        <v>0</v>
      </c>
      <c r="AU394" s="4">
        <v>0</v>
      </c>
      <c r="AV394" s="4">
        <v>1</v>
      </c>
      <c r="AW394" s="1">
        <f t="shared" si="160"/>
        <v>0.25</v>
      </c>
      <c r="AX394" s="1">
        <f t="shared" si="161"/>
        <v>6.25E-2</v>
      </c>
    </row>
    <row r="395" spans="1:50" x14ac:dyDescent="0.25">
      <c r="A395" s="1" t="s">
        <v>70</v>
      </c>
      <c r="B395" s="1">
        <v>2002</v>
      </c>
      <c r="C395" s="1">
        <f t="shared" si="162"/>
        <v>32</v>
      </c>
      <c r="D395" s="1" t="s">
        <v>24</v>
      </c>
      <c r="E395" s="1" t="s">
        <v>25</v>
      </c>
      <c r="F395" s="2">
        <v>-0.77</v>
      </c>
      <c r="G395" s="3">
        <v>0.32</v>
      </c>
      <c r="H395" s="1">
        <v>3</v>
      </c>
      <c r="I395" s="1">
        <v>12</v>
      </c>
      <c r="J395" s="1">
        <f t="shared" si="149"/>
        <v>9</v>
      </c>
      <c r="K395" s="1">
        <v>4</v>
      </c>
      <c r="L395" s="1">
        <v>1985</v>
      </c>
      <c r="M395" s="1">
        <v>2006</v>
      </c>
      <c r="N395" s="1">
        <f t="shared" si="167"/>
        <v>1995.5</v>
      </c>
      <c r="O395" s="1">
        <f t="shared" si="168"/>
        <v>22</v>
      </c>
      <c r="P395" s="1">
        <f t="shared" si="157"/>
        <v>3.0910424533583161</v>
      </c>
      <c r="Q395" s="1">
        <v>33</v>
      </c>
      <c r="R395" s="1">
        <v>4</v>
      </c>
      <c r="S395" s="1" t="s">
        <v>26</v>
      </c>
      <c r="T395" s="1">
        <f t="shared" si="166"/>
        <v>0</v>
      </c>
      <c r="U395" s="1">
        <v>0</v>
      </c>
      <c r="V395" s="1">
        <v>1</v>
      </c>
      <c r="W395" s="1">
        <v>0</v>
      </c>
      <c r="X395" s="1">
        <v>0</v>
      </c>
      <c r="Y395" s="1">
        <v>1</v>
      </c>
      <c r="Z395" s="1">
        <v>0</v>
      </c>
      <c r="AA395" s="1">
        <v>0</v>
      </c>
      <c r="AB395" s="1" t="s">
        <v>85</v>
      </c>
      <c r="AC395" s="1">
        <f t="shared" si="155"/>
        <v>1</v>
      </c>
      <c r="AD395" s="1">
        <f t="shared" si="150"/>
        <v>1</v>
      </c>
      <c r="AE395" s="1">
        <v>1</v>
      </c>
      <c r="AF395" s="1">
        <v>7.6019019999999999</v>
      </c>
      <c r="AG395" s="1">
        <v>3.5263610000000001</v>
      </c>
      <c r="AH395" s="1">
        <f t="shared" si="154"/>
        <v>-2.40625</v>
      </c>
      <c r="AI395" s="1">
        <f t="shared" si="158"/>
        <v>-0.62568549400244544</v>
      </c>
      <c r="AJ395" s="1">
        <f t="shared" si="151"/>
        <v>0.26002514036465263</v>
      </c>
      <c r="AK395" s="1">
        <f t="shared" si="152"/>
        <v>14.790039062500002</v>
      </c>
      <c r="AL395" s="1">
        <f t="shared" si="153"/>
        <v>3.8457819832252587</v>
      </c>
      <c r="AM395" s="1">
        <v>1</v>
      </c>
      <c r="AN395" s="1">
        <v>0</v>
      </c>
      <c r="AO395" s="1">
        <v>0</v>
      </c>
      <c r="AP395" s="1">
        <f t="shared" si="159"/>
        <v>0.33333333333333331</v>
      </c>
      <c r="AQ395" s="1">
        <v>1</v>
      </c>
      <c r="AR395" s="1">
        <v>0</v>
      </c>
      <c r="AS395" s="1">
        <v>0</v>
      </c>
      <c r="AT395" s="1">
        <v>0</v>
      </c>
      <c r="AU395" s="4">
        <v>0</v>
      </c>
      <c r="AV395" s="4">
        <v>1</v>
      </c>
      <c r="AW395" s="1">
        <f t="shared" si="160"/>
        <v>0.25</v>
      </c>
      <c r="AX395" s="1">
        <f t="shared" si="161"/>
        <v>6.25E-2</v>
      </c>
    </row>
    <row r="396" spans="1:50" x14ac:dyDescent="0.25">
      <c r="A396" s="1" t="s">
        <v>33</v>
      </c>
      <c r="B396" s="1">
        <v>1995</v>
      </c>
      <c r="C396" s="1">
        <f t="shared" si="162"/>
        <v>33</v>
      </c>
      <c r="D396" s="1" t="s">
        <v>34</v>
      </c>
      <c r="E396" s="1" t="s">
        <v>32</v>
      </c>
      <c r="F396" s="2">
        <v>-4.1360000000000001E-2</v>
      </c>
      <c r="G396" s="3">
        <v>1.4829999999999999E-2</v>
      </c>
      <c r="H396" s="1">
        <v>22</v>
      </c>
      <c r="I396" s="1">
        <v>5691</v>
      </c>
      <c r="J396" s="1">
        <f t="shared" si="149"/>
        <v>5669</v>
      </c>
      <c r="K396" s="1">
        <v>5</v>
      </c>
      <c r="L396" s="1">
        <v>1980</v>
      </c>
      <c r="M396" s="1">
        <v>1980</v>
      </c>
      <c r="N396" s="1">
        <f t="shared" si="163"/>
        <v>1980</v>
      </c>
      <c r="O396" s="1">
        <f t="shared" si="168"/>
        <v>1</v>
      </c>
      <c r="P396" s="1">
        <f t="shared" si="157"/>
        <v>0</v>
      </c>
      <c r="Q396" s="1">
        <v>79</v>
      </c>
      <c r="R396" s="1">
        <v>17</v>
      </c>
      <c r="S396" s="1" t="s">
        <v>35</v>
      </c>
      <c r="T396" s="1">
        <f t="shared" si="166"/>
        <v>0</v>
      </c>
      <c r="U396" s="1">
        <v>1</v>
      </c>
      <c r="V396" s="1">
        <v>0</v>
      </c>
      <c r="W396" s="1">
        <v>1</v>
      </c>
      <c r="X396" s="1">
        <v>0</v>
      </c>
      <c r="Y396" s="1">
        <v>0</v>
      </c>
      <c r="Z396" s="1">
        <v>0</v>
      </c>
      <c r="AA396" s="1">
        <v>0</v>
      </c>
      <c r="AB396" s="1" t="s">
        <v>85</v>
      </c>
      <c r="AC396" s="1">
        <f t="shared" si="155"/>
        <v>1</v>
      </c>
      <c r="AD396" s="1">
        <f t="shared" si="150"/>
        <v>1</v>
      </c>
      <c r="AE396" s="1">
        <v>1</v>
      </c>
      <c r="AF396" s="1">
        <v>7.5983989999999997</v>
      </c>
      <c r="AG396" s="1">
        <v>4.3820269999999999</v>
      </c>
      <c r="AH396" s="1">
        <f t="shared" si="154"/>
        <v>-2.7889413351314905</v>
      </c>
      <c r="AI396" s="1">
        <f t="shared" si="158"/>
        <v>-3.7015908783002788E-2</v>
      </c>
      <c r="AJ396" s="1">
        <f t="shared" si="151"/>
        <v>1.3272387022532188E-2</v>
      </c>
      <c r="AK396" s="1">
        <f t="shared" si="152"/>
        <v>5676.778193770805</v>
      </c>
      <c r="AL396" s="1">
        <f t="shared" si="153"/>
        <v>75.344397228797348</v>
      </c>
      <c r="AM396" s="1">
        <v>0</v>
      </c>
      <c r="AN396" s="1">
        <v>0</v>
      </c>
      <c r="AO396" s="1">
        <v>1</v>
      </c>
      <c r="AP396" s="1">
        <f t="shared" si="159"/>
        <v>1.3281489140293572E-2</v>
      </c>
      <c r="AQ396" s="1">
        <v>0</v>
      </c>
      <c r="AR396" s="1">
        <v>0</v>
      </c>
      <c r="AS396" s="1">
        <v>0</v>
      </c>
      <c r="AT396" s="1">
        <v>0</v>
      </c>
      <c r="AU396" s="4">
        <v>0</v>
      </c>
      <c r="AV396" s="4">
        <v>0</v>
      </c>
      <c r="AW396" s="1">
        <f t="shared" si="160"/>
        <v>0.2</v>
      </c>
      <c r="AX396" s="1">
        <f t="shared" si="161"/>
        <v>0.04</v>
      </c>
    </row>
    <row r="397" spans="1:50" x14ac:dyDescent="0.25">
      <c r="A397" s="1" t="s">
        <v>33</v>
      </c>
      <c r="B397" s="1">
        <v>1995</v>
      </c>
      <c r="C397" s="1">
        <f t="shared" si="162"/>
        <v>33</v>
      </c>
      <c r="D397" s="1" t="s">
        <v>34</v>
      </c>
      <c r="E397" s="1" t="s">
        <v>32</v>
      </c>
      <c r="F397" s="2">
        <v>0.129</v>
      </c>
      <c r="G397" s="3">
        <v>0.1094</v>
      </c>
      <c r="H397" s="1">
        <v>22</v>
      </c>
      <c r="I397" s="1">
        <v>5691</v>
      </c>
      <c r="J397" s="1">
        <f t="shared" si="149"/>
        <v>5669</v>
      </c>
      <c r="K397" s="1">
        <v>5</v>
      </c>
      <c r="L397" s="1">
        <v>1980</v>
      </c>
      <c r="M397" s="1">
        <v>1980</v>
      </c>
      <c r="N397" s="1">
        <f t="shared" ref="N397:N400" si="169">+L397+(M397-L397)/2</f>
        <v>1980</v>
      </c>
      <c r="O397" s="1">
        <f t="shared" si="168"/>
        <v>1</v>
      </c>
      <c r="P397" s="1">
        <f t="shared" si="157"/>
        <v>0</v>
      </c>
      <c r="Q397" s="1">
        <v>79</v>
      </c>
      <c r="R397" s="1">
        <v>17</v>
      </c>
      <c r="S397" s="1" t="s">
        <v>35</v>
      </c>
      <c r="T397" s="1">
        <f t="shared" si="166"/>
        <v>0</v>
      </c>
      <c r="U397" s="1">
        <v>1</v>
      </c>
      <c r="V397" s="1">
        <v>0</v>
      </c>
      <c r="W397" s="1">
        <v>1</v>
      </c>
      <c r="X397" s="1">
        <v>0</v>
      </c>
      <c r="Y397" s="1">
        <v>0</v>
      </c>
      <c r="Z397" s="1">
        <v>0</v>
      </c>
      <c r="AA397" s="1">
        <v>0</v>
      </c>
      <c r="AB397" s="1" t="s">
        <v>85</v>
      </c>
      <c r="AC397" s="1">
        <f t="shared" si="155"/>
        <v>1</v>
      </c>
      <c r="AD397" s="1">
        <f t="shared" si="150"/>
        <v>1</v>
      </c>
      <c r="AE397" s="1">
        <v>1</v>
      </c>
      <c r="AF397" s="1">
        <v>7.5983989999999997</v>
      </c>
      <c r="AG397" s="1">
        <v>4.3820269999999999</v>
      </c>
      <c r="AH397" s="1">
        <f t="shared" si="154"/>
        <v>1.1791590493601463</v>
      </c>
      <c r="AI397" s="1">
        <f t="shared" si="158"/>
        <v>1.5659067903719903E-2</v>
      </c>
      <c r="AJ397" s="1">
        <f t="shared" si="151"/>
        <v>1.3279860687340755E-2</v>
      </c>
      <c r="AK397" s="1">
        <f t="shared" si="152"/>
        <v>5670.3904160636876</v>
      </c>
      <c r="AL397" s="1">
        <f t="shared" si="153"/>
        <v>75.301994768157954</v>
      </c>
      <c r="AM397" s="1">
        <v>0</v>
      </c>
      <c r="AN397" s="1">
        <v>0</v>
      </c>
      <c r="AO397" s="1">
        <v>1</v>
      </c>
      <c r="AP397" s="1">
        <f t="shared" si="159"/>
        <v>1.3281489140293572E-2</v>
      </c>
      <c r="AQ397" s="1">
        <v>0</v>
      </c>
      <c r="AR397" s="1">
        <v>0</v>
      </c>
      <c r="AS397" s="1">
        <v>0</v>
      </c>
      <c r="AT397" s="1">
        <v>0</v>
      </c>
      <c r="AU397" s="4">
        <v>0</v>
      </c>
      <c r="AV397" s="4">
        <v>0</v>
      </c>
      <c r="AW397" s="1">
        <f t="shared" si="160"/>
        <v>0.2</v>
      </c>
      <c r="AX397" s="1">
        <f t="shared" si="161"/>
        <v>0.04</v>
      </c>
    </row>
    <row r="398" spans="1:50" x14ac:dyDescent="0.25">
      <c r="A398" s="1" t="s">
        <v>33</v>
      </c>
      <c r="B398" s="1">
        <v>1995</v>
      </c>
      <c r="C398" s="1">
        <f t="shared" si="162"/>
        <v>33</v>
      </c>
      <c r="D398" s="1" t="s">
        <v>34</v>
      </c>
      <c r="E398" s="1" t="s">
        <v>32</v>
      </c>
      <c r="F398" s="2">
        <v>-1.1101000000000001</v>
      </c>
      <c r="G398" s="3">
        <v>0.31540000000000001</v>
      </c>
      <c r="H398" s="1">
        <v>22</v>
      </c>
      <c r="I398" s="1">
        <v>5691</v>
      </c>
      <c r="J398" s="1">
        <f t="shared" si="149"/>
        <v>5669</v>
      </c>
      <c r="K398" s="1">
        <v>5</v>
      </c>
      <c r="L398" s="1">
        <v>1980</v>
      </c>
      <c r="M398" s="1">
        <v>1980</v>
      </c>
      <c r="N398" s="1">
        <f t="shared" si="169"/>
        <v>1980</v>
      </c>
      <c r="O398" s="1">
        <f t="shared" si="168"/>
        <v>1</v>
      </c>
      <c r="P398" s="1">
        <f t="shared" si="157"/>
        <v>0</v>
      </c>
      <c r="Q398" s="1">
        <v>79</v>
      </c>
      <c r="R398" s="1">
        <v>17</v>
      </c>
      <c r="S398" s="1" t="s">
        <v>35</v>
      </c>
      <c r="T398" s="1">
        <f t="shared" si="166"/>
        <v>0</v>
      </c>
      <c r="U398" s="1">
        <v>1</v>
      </c>
      <c r="V398" s="1">
        <v>0</v>
      </c>
      <c r="W398" s="1">
        <v>1</v>
      </c>
      <c r="X398" s="1">
        <v>0</v>
      </c>
      <c r="Y398" s="1">
        <v>0</v>
      </c>
      <c r="Z398" s="1">
        <v>0</v>
      </c>
      <c r="AA398" s="1">
        <v>0</v>
      </c>
      <c r="AB398" s="1" t="s">
        <v>85</v>
      </c>
      <c r="AC398" s="1">
        <f t="shared" si="155"/>
        <v>1</v>
      </c>
      <c r="AD398" s="1">
        <f t="shared" si="150"/>
        <v>1</v>
      </c>
      <c r="AE398" s="1">
        <v>1</v>
      </c>
      <c r="AF398" s="1">
        <v>7.5983989999999997</v>
      </c>
      <c r="AG398" s="1">
        <v>4.3820269999999999</v>
      </c>
      <c r="AH398" s="1">
        <f t="shared" si="154"/>
        <v>-3.5196575776791379</v>
      </c>
      <c r="AI398" s="1">
        <f t="shared" si="158"/>
        <v>-4.6695302076882689E-2</v>
      </c>
      <c r="AJ398" s="1">
        <f t="shared" si="151"/>
        <v>1.3267001418835059E-2</v>
      </c>
      <c r="AK398" s="1">
        <f t="shared" si="152"/>
        <v>5681.3879894641132</v>
      </c>
      <c r="AL398" s="1">
        <f t="shared" si="153"/>
        <v>75.374982517172853</v>
      </c>
      <c r="AM398" s="1">
        <v>0</v>
      </c>
      <c r="AN398" s="1">
        <v>0</v>
      </c>
      <c r="AO398" s="1">
        <v>1</v>
      </c>
      <c r="AP398" s="1">
        <f t="shared" si="159"/>
        <v>1.3281489140293572E-2</v>
      </c>
      <c r="AQ398" s="1">
        <v>0</v>
      </c>
      <c r="AR398" s="1">
        <v>0</v>
      </c>
      <c r="AS398" s="1">
        <v>0</v>
      </c>
      <c r="AT398" s="1">
        <v>0</v>
      </c>
      <c r="AU398" s="4">
        <v>0</v>
      </c>
      <c r="AV398" s="4">
        <v>0</v>
      </c>
      <c r="AW398" s="1">
        <f t="shared" si="160"/>
        <v>0.2</v>
      </c>
      <c r="AX398" s="1">
        <f t="shared" si="161"/>
        <v>0.04</v>
      </c>
    </row>
    <row r="399" spans="1:50" x14ac:dyDescent="0.25">
      <c r="A399" s="1" t="s">
        <v>33</v>
      </c>
      <c r="B399" s="1">
        <v>1995</v>
      </c>
      <c r="C399" s="1">
        <f t="shared" si="162"/>
        <v>33</v>
      </c>
      <c r="D399" s="1" t="s">
        <v>34</v>
      </c>
      <c r="E399" s="1" t="s">
        <v>32</v>
      </c>
      <c r="F399" s="2">
        <v>-0.57730000000000004</v>
      </c>
      <c r="G399" s="3">
        <v>0.25319999999999998</v>
      </c>
      <c r="H399" s="1">
        <v>22</v>
      </c>
      <c r="I399" s="1">
        <v>5691</v>
      </c>
      <c r="J399" s="1">
        <f t="shared" si="149"/>
        <v>5669</v>
      </c>
      <c r="K399" s="1">
        <v>5</v>
      </c>
      <c r="L399" s="1">
        <v>1980</v>
      </c>
      <c r="M399" s="1">
        <v>1980</v>
      </c>
      <c r="N399" s="1">
        <f t="shared" si="169"/>
        <v>1980</v>
      </c>
      <c r="O399" s="1">
        <f t="shared" si="168"/>
        <v>1</v>
      </c>
      <c r="P399" s="1">
        <f t="shared" si="157"/>
        <v>0</v>
      </c>
      <c r="Q399" s="1">
        <v>79</v>
      </c>
      <c r="R399" s="1">
        <v>17</v>
      </c>
      <c r="S399" s="1" t="s">
        <v>35</v>
      </c>
      <c r="T399" s="1">
        <f t="shared" si="166"/>
        <v>0</v>
      </c>
      <c r="U399" s="1">
        <v>1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0</v>
      </c>
      <c r="AB399" s="1" t="s">
        <v>85</v>
      </c>
      <c r="AC399" s="1">
        <f t="shared" si="155"/>
        <v>1</v>
      </c>
      <c r="AD399" s="1">
        <f t="shared" si="150"/>
        <v>1</v>
      </c>
      <c r="AE399" s="1">
        <v>1</v>
      </c>
      <c r="AF399" s="1">
        <v>7.5983989999999997</v>
      </c>
      <c r="AG399" s="1">
        <v>4.3820269999999999</v>
      </c>
      <c r="AH399" s="1">
        <f t="shared" si="154"/>
        <v>-2.2800157977883098</v>
      </c>
      <c r="AI399" s="1">
        <f t="shared" si="158"/>
        <v>-3.0268130302905236E-2</v>
      </c>
      <c r="AJ399" s="1">
        <f t="shared" si="151"/>
        <v>1.3275403763546866E-2</v>
      </c>
      <c r="AK399" s="1">
        <f t="shared" si="152"/>
        <v>5674.1984720381633</v>
      </c>
      <c r="AL399" s="1">
        <f t="shared" si="153"/>
        <v>75.327275750807317</v>
      </c>
      <c r="AM399" s="1">
        <v>0</v>
      </c>
      <c r="AN399" s="1">
        <v>0</v>
      </c>
      <c r="AO399" s="1">
        <v>1</v>
      </c>
      <c r="AP399" s="1">
        <f t="shared" si="159"/>
        <v>1.3281489140293572E-2</v>
      </c>
      <c r="AQ399" s="1">
        <v>0</v>
      </c>
      <c r="AR399" s="1">
        <v>0</v>
      </c>
      <c r="AS399" s="1">
        <v>0</v>
      </c>
      <c r="AT399" s="1">
        <v>0</v>
      </c>
      <c r="AU399" s="4">
        <v>0</v>
      </c>
      <c r="AV399" s="4">
        <v>0</v>
      </c>
      <c r="AW399" s="1">
        <f t="shared" si="160"/>
        <v>0.2</v>
      </c>
      <c r="AX399" s="1">
        <f t="shared" si="161"/>
        <v>0.04</v>
      </c>
    </row>
    <row r="400" spans="1:50" x14ac:dyDescent="0.25">
      <c r="A400" s="1" t="s">
        <v>33</v>
      </c>
      <c r="B400" s="1">
        <v>1995</v>
      </c>
      <c r="C400" s="1">
        <f t="shared" si="162"/>
        <v>33</v>
      </c>
      <c r="D400" s="1" t="s">
        <v>34</v>
      </c>
      <c r="E400" s="1" t="s">
        <v>32</v>
      </c>
      <c r="F400" s="2">
        <v>-0.1072</v>
      </c>
      <c r="G400" s="3">
        <v>5.4800000000000001E-2</v>
      </c>
      <c r="H400" s="1">
        <v>22</v>
      </c>
      <c r="I400" s="1">
        <v>5691</v>
      </c>
      <c r="J400" s="1">
        <f t="shared" si="149"/>
        <v>5669</v>
      </c>
      <c r="K400" s="1">
        <v>5</v>
      </c>
      <c r="L400" s="1">
        <v>1980</v>
      </c>
      <c r="M400" s="1">
        <v>1980</v>
      </c>
      <c r="N400" s="1">
        <f t="shared" si="169"/>
        <v>1980</v>
      </c>
      <c r="O400" s="1">
        <f t="shared" si="168"/>
        <v>1</v>
      </c>
      <c r="P400" s="1">
        <f t="shared" si="157"/>
        <v>0</v>
      </c>
      <c r="Q400" s="1">
        <v>79</v>
      </c>
      <c r="R400" s="1">
        <v>17</v>
      </c>
      <c r="S400" s="1" t="s">
        <v>35</v>
      </c>
      <c r="T400" s="1">
        <f t="shared" si="166"/>
        <v>0</v>
      </c>
      <c r="U400" s="1">
        <v>1</v>
      </c>
      <c r="V400" s="1">
        <v>0</v>
      </c>
      <c r="W400" s="1">
        <v>1</v>
      </c>
      <c r="X400" s="1">
        <v>0</v>
      </c>
      <c r="Y400" s="1">
        <v>0</v>
      </c>
      <c r="Z400" s="1">
        <v>0</v>
      </c>
      <c r="AA400" s="1">
        <v>0</v>
      </c>
      <c r="AB400" s="1" t="s">
        <v>85</v>
      </c>
      <c r="AC400" s="1">
        <f t="shared" si="155"/>
        <v>1</v>
      </c>
      <c r="AD400" s="1">
        <f t="shared" si="150"/>
        <v>1</v>
      </c>
      <c r="AE400" s="1">
        <v>1</v>
      </c>
      <c r="AF400" s="1">
        <v>7.5983989999999997</v>
      </c>
      <c r="AG400" s="1">
        <v>4.3820269999999999</v>
      </c>
      <c r="AH400" s="1">
        <f t="shared" si="154"/>
        <v>-1.9562043795620438</v>
      </c>
      <c r="AI400" s="1">
        <f t="shared" si="158"/>
        <v>-2.5972542601226046E-2</v>
      </c>
      <c r="AJ400" s="1">
        <f t="shared" si="151"/>
        <v>1.3277008717790926E-2</v>
      </c>
      <c r="AK400" s="1">
        <f t="shared" si="152"/>
        <v>5672.8267355746184</v>
      </c>
      <c r="AL400" s="1">
        <f t="shared" si="153"/>
        <v>75.318170022741654</v>
      </c>
      <c r="AM400" s="1">
        <v>0</v>
      </c>
      <c r="AN400" s="1">
        <v>0</v>
      </c>
      <c r="AO400" s="1">
        <v>1</v>
      </c>
      <c r="AP400" s="1">
        <f t="shared" si="159"/>
        <v>1.3281489140293572E-2</v>
      </c>
      <c r="AQ400" s="1">
        <v>0</v>
      </c>
      <c r="AR400" s="1">
        <v>0</v>
      </c>
      <c r="AS400" s="1">
        <v>0</v>
      </c>
      <c r="AT400" s="1">
        <v>0</v>
      </c>
      <c r="AU400" s="4">
        <v>0</v>
      </c>
      <c r="AV400" s="4">
        <v>0</v>
      </c>
      <c r="AW400" s="1">
        <f t="shared" si="160"/>
        <v>0.2</v>
      </c>
      <c r="AX400" s="1">
        <f t="shared" si="161"/>
        <v>0.04</v>
      </c>
    </row>
    <row r="401" spans="1:50" x14ac:dyDescent="0.25">
      <c r="A401" s="1" t="s">
        <v>71</v>
      </c>
      <c r="B401" s="1">
        <v>1993</v>
      </c>
      <c r="C401" s="1">
        <f t="shared" si="162"/>
        <v>34</v>
      </c>
      <c r="D401" s="1" t="s">
        <v>24</v>
      </c>
      <c r="E401" s="1" t="s">
        <v>25</v>
      </c>
      <c r="F401" s="2">
        <v>-0.3</v>
      </c>
      <c r="G401" s="3">
        <f>+F401/AH401</f>
        <v>0.20833333333333301</v>
      </c>
      <c r="H401" s="1">
        <v>9</v>
      </c>
      <c r="I401" s="1">
        <v>117</v>
      </c>
      <c r="J401" s="1">
        <f t="shared" si="149"/>
        <v>108</v>
      </c>
      <c r="K401" s="1">
        <v>5</v>
      </c>
      <c r="L401" s="1">
        <v>1988</v>
      </c>
      <c r="M401" s="1">
        <v>1990</v>
      </c>
      <c r="N401" s="1">
        <f t="shared" si="163"/>
        <v>1989</v>
      </c>
      <c r="O401" s="1">
        <f t="shared" si="168"/>
        <v>3</v>
      </c>
      <c r="P401" s="1">
        <f t="shared" si="157"/>
        <v>1.0986122886681098</v>
      </c>
      <c r="Q401" s="1">
        <v>49</v>
      </c>
      <c r="R401" s="1">
        <v>10</v>
      </c>
      <c r="S401" s="1" t="s">
        <v>26</v>
      </c>
      <c r="T401" s="1">
        <f t="shared" si="166"/>
        <v>0</v>
      </c>
      <c r="U401" s="1">
        <v>0</v>
      </c>
      <c r="V401" s="1">
        <v>0</v>
      </c>
      <c r="W401" s="1">
        <v>1</v>
      </c>
      <c r="X401" s="1">
        <v>0</v>
      </c>
      <c r="Y401" s="1">
        <v>1</v>
      </c>
      <c r="Z401" s="1">
        <v>0</v>
      </c>
      <c r="AA401" s="1">
        <v>0</v>
      </c>
      <c r="AB401" s="1" t="s">
        <v>85</v>
      </c>
      <c r="AC401" s="1">
        <f t="shared" si="155"/>
        <v>1</v>
      </c>
      <c r="AD401" s="1">
        <f t="shared" si="150"/>
        <v>1</v>
      </c>
      <c r="AE401" s="1">
        <v>1</v>
      </c>
      <c r="AF401" s="1">
        <v>7.5973959999999998</v>
      </c>
      <c r="AG401" s="1">
        <v>3.912023</v>
      </c>
      <c r="AH401" s="1">
        <v>-1.4400000000000022</v>
      </c>
      <c r="AI401" s="1">
        <f t="shared" si="158"/>
        <v>-0.13725270326150346</v>
      </c>
      <c r="AJ401" s="1">
        <f t="shared" si="151"/>
        <v>9.5314377264932817E-2</v>
      </c>
      <c r="AK401" s="1">
        <f t="shared" si="152"/>
        <v>110.07359999999998</v>
      </c>
      <c r="AL401" s="1">
        <f t="shared" si="153"/>
        <v>10.491596637309309</v>
      </c>
      <c r="AM401" s="1">
        <v>1</v>
      </c>
      <c r="AN401" s="1">
        <v>0</v>
      </c>
      <c r="AO401" s="1">
        <v>0</v>
      </c>
      <c r="AP401" s="1">
        <f t="shared" si="159"/>
        <v>9.6225044864937631E-2</v>
      </c>
      <c r="AQ401" s="1">
        <v>1</v>
      </c>
      <c r="AR401" s="1">
        <v>0</v>
      </c>
      <c r="AS401" s="1">
        <v>0</v>
      </c>
      <c r="AT401" s="1">
        <v>0</v>
      </c>
      <c r="AU401" s="4">
        <v>1</v>
      </c>
      <c r="AV401" s="4">
        <v>0</v>
      </c>
      <c r="AW401" s="1">
        <f t="shared" si="160"/>
        <v>0.2</v>
      </c>
      <c r="AX401" s="1">
        <f t="shared" si="161"/>
        <v>0.04</v>
      </c>
    </row>
    <row r="402" spans="1:50" x14ac:dyDescent="0.25">
      <c r="A402" s="1" t="s">
        <v>71</v>
      </c>
      <c r="B402" s="1">
        <v>1993</v>
      </c>
      <c r="C402" s="1">
        <f t="shared" si="162"/>
        <v>34</v>
      </c>
      <c r="D402" s="1" t="s">
        <v>24</v>
      </c>
      <c r="E402" s="1" t="s">
        <v>25</v>
      </c>
      <c r="F402" s="2">
        <v>-0.36</v>
      </c>
      <c r="G402" s="3">
        <f>+F402/AH402</f>
        <v>0.152542372881355</v>
      </c>
      <c r="H402" s="1">
        <v>7</v>
      </c>
      <c r="I402" s="1">
        <v>139</v>
      </c>
      <c r="J402" s="1">
        <f t="shared" si="149"/>
        <v>132</v>
      </c>
      <c r="K402" s="1">
        <v>5</v>
      </c>
      <c r="L402" s="1">
        <v>1988</v>
      </c>
      <c r="M402" s="1">
        <v>1990</v>
      </c>
      <c r="N402" s="1">
        <f t="shared" ref="N402:N405" si="170">+L402+(M402-L402)/2</f>
        <v>1989</v>
      </c>
      <c r="O402" s="1">
        <f t="shared" ref="O402:O406" si="171">+M402-L402+1</f>
        <v>3</v>
      </c>
      <c r="P402" s="1">
        <f t="shared" si="157"/>
        <v>1.0986122886681098</v>
      </c>
      <c r="Q402" s="1">
        <v>49</v>
      </c>
      <c r="R402" s="1">
        <v>10</v>
      </c>
      <c r="S402" s="1" t="s">
        <v>26</v>
      </c>
      <c r="T402" s="1">
        <f t="shared" si="166"/>
        <v>0</v>
      </c>
      <c r="U402" s="1">
        <v>0</v>
      </c>
      <c r="V402" s="1">
        <v>0</v>
      </c>
      <c r="W402" s="1">
        <v>1</v>
      </c>
      <c r="X402" s="1">
        <v>0</v>
      </c>
      <c r="Y402" s="1">
        <v>1</v>
      </c>
      <c r="Z402" s="1">
        <v>0</v>
      </c>
      <c r="AA402" s="1">
        <v>0</v>
      </c>
      <c r="AB402" s="1" t="s">
        <v>85</v>
      </c>
      <c r="AC402" s="1">
        <f t="shared" si="155"/>
        <v>1</v>
      </c>
      <c r="AD402" s="1">
        <f t="shared" si="150"/>
        <v>1</v>
      </c>
      <c r="AE402" s="1">
        <v>1</v>
      </c>
      <c r="AF402" s="1">
        <v>7.5973959999999998</v>
      </c>
      <c r="AG402" s="1">
        <v>3.912023</v>
      </c>
      <c r="AH402" s="1">
        <v>-2.3600000000000145</v>
      </c>
      <c r="AI402" s="1">
        <f t="shared" si="158"/>
        <v>-0.20121055811926586</v>
      </c>
      <c r="AJ402" s="1">
        <f t="shared" si="151"/>
        <v>8.5258711067485005E-2</v>
      </c>
      <c r="AK402" s="1">
        <f t="shared" si="152"/>
        <v>137.56960000000009</v>
      </c>
      <c r="AL402" s="1">
        <f t="shared" si="153"/>
        <v>11.729006778069492</v>
      </c>
      <c r="AM402" s="1">
        <v>1</v>
      </c>
      <c r="AN402" s="1">
        <v>0</v>
      </c>
      <c r="AO402" s="1">
        <v>0</v>
      </c>
      <c r="AP402" s="1">
        <f t="shared" si="159"/>
        <v>8.7038827977848926E-2</v>
      </c>
      <c r="AQ402" s="1">
        <v>1</v>
      </c>
      <c r="AR402" s="1">
        <v>0</v>
      </c>
      <c r="AS402" s="1">
        <v>0</v>
      </c>
      <c r="AT402" s="1">
        <v>0</v>
      </c>
      <c r="AU402" s="4">
        <v>1</v>
      </c>
      <c r="AV402" s="4">
        <v>0</v>
      </c>
      <c r="AW402" s="1">
        <f t="shared" si="160"/>
        <v>0.2</v>
      </c>
      <c r="AX402" s="1">
        <f t="shared" si="161"/>
        <v>0.04</v>
      </c>
    </row>
    <row r="403" spans="1:50" x14ac:dyDescent="0.25">
      <c r="A403" s="1" t="s">
        <v>71</v>
      </c>
      <c r="B403" s="1">
        <v>1993</v>
      </c>
      <c r="C403" s="1">
        <f t="shared" si="162"/>
        <v>34</v>
      </c>
      <c r="D403" s="1" t="s">
        <v>24</v>
      </c>
      <c r="E403" s="1" t="s">
        <v>25</v>
      </c>
      <c r="F403" s="2">
        <v>-0.34699999999999998</v>
      </c>
      <c r="G403" s="3">
        <v>0.16214953271027999</v>
      </c>
      <c r="H403" s="1">
        <v>10</v>
      </c>
      <c r="I403" s="1">
        <v>118</v>
      </c>
      <c r="J403" s="1">
        <f t="shared" si="149"/>
        <v>108</v>
      </c>
      <c r="K403" s="1">
        <v>5</v>
      </c>
      <c r="L403" s="1">
        <v>1988</v>
      </c>
      <c r="M403" s="1">
        <v>1990</v>
      </c>
      <c r="N403" s="1">
        <f t="shared" si="170"/>
        <v>1989</v>
      </c>
      <c r="O403" s="1">
        <f t="shared" si="171"/>
        <v>3</v>
      </c>
      <c r="P403" s="1">
        <f t="shared" si="157"/>
        <v>1.0986122886681098</v>
      </c>
      <c r="Q403" s="1">
        <v>49</v>
      </c>
      <c r="R403" s="1">
        <v>10</v>
      </c>
      <c r="S403" s="1" t="s">
        <v>26</v>
      </c>
      <c r="T403" s="1">
        <f t="shared" si="166"/>
        <v>0</v>
      </c>
      <c r="U403" s="1">
        <v>0</v>
      </c>
      <c r="V403" s="1">
        <v>0</v>
      </c>
      <c r="W403" s="1">
        <v>1</v>
      </c>
      <c r="X403" s="1">
        <v>0</v>
      </c>
      <c r="Y403" s="1">
        <v>1</v>
      </c>
      <c r="Z403" s="1">
        <v>0</v>
      </c>
      <c r="AA403" s="1">
        <v>0</v>
      </c>
      <c r="AB403" s="1" t="s">
        <v>85</v>
      </c>
      <c r="AC403" s="1">
        <f t="shared" si="155"/>
        <v>1</v>
      </c>
      <c r="AD403" s="1">
        <f t="shared" si="150"/>
        <v>1</v>
      </c>
      <c r="AE403" s="1">
        <v>1</v>
      </c>
      <c r="AF403" s="1">
        <v>7.5973959999999998</v>
      </c>
      <c r="AG403" s="1">
        <v>3.912023</v>
      </c>
      <c r="AH403" s="1">
        <f t="shared" ref="AH403:AH437" si="172">+F403/G403</f>
        <v>-2.140000000000005</v>
      </c>
      <c r="AI403" s="1">
        <f t="shared" si="158"/>
        <v>-0.20168979414854224</v>
      </c>
      <c r="AJ403" s="1">
        <f t="shared" si="151"/>
        <v>9.4247567359131673E-2</v>
      </c>
      <c r="AK403" s="1">
        <f t="shared" si="152"/>
        <v>112.57960000000001</v>
      </c>
      <c r="AL403" s="1">
        <f t="shared" si="153"/>
        <v>10.610353434264102</v>
      </c>
      <c r="AM403" s="1">
        <v>1</v>
      </c>
      <c r="AN403" s="1">
        <v>0</v>
      </c>
      <c r="AO403" s="1">
        <v>0</v>
      </c>
      <c r="AP403" s="1">
        <f t="shared" si="159"/>
        <v>9.6225044864937631E-2</v>
      </c>
      <c r="AQ403" s="1">
        <v>1</v>
      </c>
      <c r="AR403" s="1">
        <v>0</v>
      </c>
      <c r="AS403" s="1">
        <v>0</v>
      </c>
      <c r="AT403" s="1">
        <v>0</v>
      </c>
      <c r="AU403" s="4">
        <v>1</v>
      </c>
      <c r="AV403" s="4">
        <v>0</v>
      </c>
      <c r="AW403" s="1">
        <f t="shared" si="160"/>
        <v>0.2</v>
      </c>
      <c r="AX403" s="1">
        <f t="shared" si="161"/>
        <v>0.04</v>
      </c>
    </row>
    <row r="404" spans="1:50" x14ac:dyDescent="0.25">
      <c r="A404" s="1" t="s">
        <v>71</v>
      </c>
      <c r="B404" s="1">
        <v>1993</v>
      </c>
      <c r="C404" s="1">
        <f t="shared" si="162"/>
        <v>34</v>
      </c>
      <c r="D404" s="1" t="s">
        <v>24</v>
      </c>
      <c r="E404" s="1" t="s">
        <v>25</v>
      </c>
      <c r="F404" s="2">
        <v>-0.28899999999999998</v>
      </c>
      <c r="G404" s="3">
        <v>0.17</v>
      </c>
      <c r="H404" s="1">
        <v>11</v>
      </c>
      <c r="I404" s="1">
        <v>33</v>
      </c>
      <c r="J404" s="1">
        <f t="shared" si="149"/>
        <v>22</v>
      </c>
      <c r="K404" s="1">
        <v>5</v>
      </c>
      <c r="L404" s="1">
        <v>1988</v>
      </c>
      <c r="M404" s="1">
        <v>1990</v>
      </c>
      <c r="N404" s="1">
        <f t="shared" si="170"/>
        <v>1989</v>
      </c>
      <c r="O404" s="1">
        <f t="shared" si="171"/>
        <v>3</v>
      </c>
      <c r="P404" s="1">
        <f t="shared" si="157"/>
        <v>1.0986122886681098</v>
      </c>
      <c r="Q404" s="1">
        <v>49</v>
      </c>
      <c r="R404" s="1">
        <v>10</v>
      </c>
      <c r="S404" s="1" t="s">
        <v>26</v>
      </c>
      <c r="T404" s="1">
        <f t="shared" si="166"/>
        <v>0</v>
      </c>
      <c r="U404" s="1">
        <v>0</v>
      </c>
      <c r="V404" s="1">
        <v>0</v>
      </c>
      <c r="W404" s="1">
        <v>1</v>
      </c>
      <c r="X404" s="1">
        <v>0</v>
      </c>
      <c r="Y404" s="1">
        <v>1</v>
      </c>
      <c r="Z404" s="1">
        <v>0</v>
      </c>
      <c r="AA404" s="1">
        <v>0</v>
      </c>
      <c r="AB404" s="1" t="s">
        <v>85</v>
      </c>
      <c r="AC404" s="1">
        <f t="shared" si="155"/>
        <v>1</v>
      </c>
      <c r="AD404" s="1">
        <f t="shared" si="150"/>
        <v>1</v>
      </c>
      <c r="AE404" s="1">
        <v>1</v>
      </c>
      <c r="AF404" s="1">
        <v>7.5973959999999998</v>
      </c>
      <c r="AG404" s="1">
        <v>3.912023</v>
      </c>
      <c r="AH404" s="1">
        <f t="shared" si="172"/>
        <v>-1.6999999999999997</v>
      </c>
      <c r="AI404" s="1">
        <f t="shared" si="158"/>
        <v>-0.34075047748578408</v>
      </c>
      <c r="AJ404" s="1">
        <f t="shared" si="151"/>
        <v>0.20044145734457891</v>
      </c>
      <c r="AK404" s="1">
        <f t="shared" si="152"/>
        <v>24.89</v>
      </c>
      <c r="AL404" s="1">
        <f t="shared" si="153"/>
        <v>4.9889878733065682</v>
      </c>
      <c r="AM404" s="1">
        <v>1</v>
      </c>
      <c r="AN404" s="1">
        <v>0</v>
      </c>
      <c r="AO404" s="1">
        <v>0</v>
      </c>
      <c r="AP404" s="1">
        <f t="shared" si="159"/>
        <v>0.21320071635561041</v>
      </c>
      <c r="AQ404" s="1">
        <v>1</v>
      </c>
      <c r="AR404" s="1">
        <v>0</v>
      </c>
      <c r="AS404" s="1">
        <v>0</v>
      </c>
      <c r="AT404" s="1">
        <v>0</v>
      </c>
      <c r="AU404" s="4">
        <v>1</v>
      </c>
      <c r="AV404" s="4">
        <v>0</v>
      </c>
      <c r="AW404" s="1">
        <f t="shared" si="160"/>
        <v>0.2</v>
      </c>
      <c r="AX404" s="1">
        <f t="shared" si="161"/>
        <v>0.04</v>
      </c>
    </row>
    <row r="405" spans="1:50" x14ac:dyDescent="0.25">
      <c r="A405" s="1" t="s">
        <v>71</v>
      </c>
      <c r="B405" s="1">
        <v>1993</v>
      </c>
      <c r="C405" s="1">
        <f t="shared" si="162"/>
        <v>34</v>
      </c>
      <c r="D405" s="1" t="s">
        <v>24</v>
      </c>
      <c r="E405" s="1" t="s">
        <v>25</v>
      </c>
      <c r="F405" s="2">
        <v>-0.48199999999999998</v>
      </c>
      <c r="G405" s="3">
        <v>0.10126050420167999</v>
      </c>
      <c r="H405" s="1">
        <v>5</v>
      </c>
      <c r="I405" s="1">
        <v>144</v>
      </c>
      <c r="J405" s="1">
        <f t="shared" si="149"/>
        <v>139</v>
      </c>
      <c r="K405" s="1">
        <v>5</v>
      </c>
      <c r="L405" s="1">
        <v>1988</v>
      </c>
      <c r="M405" s="1">
        <v>1990</v>
      </c>
      <c r="N405" s="1">
        <f t="shared" si="170"/>
        <v>1989</v>
      </c>
      <c r="O405" s="1">
        <f t="shared" si="171"/>
        <v>3</v>
      </c>
      <c r="P405" s="1">
        <f t="shared" si="157"/>
        <v>1.0986122886681098</v>
      </c>
      <c r="Q405" s="1">
        <v>49</v>
      </c>
      <c r="R405" s="1">
        <v>10</v>
      </c>
      <c r="S405" s="1" t="s">
        <v>26</v>
      </c>
      <c r="T405" s="1">
        <f t="shared" si="166"/>
        <v>0</v>
      </c>
      <c r="U405" s="1">
        <v>0</v>
      </c>
      <c r="V405" s="1">
        <v>0</v>
      </c>
      <c r="W405" s="1">
        <v>1</v>
      </c>
      <c r="X405" s="1">
        <v>0</v>
      </c>
      <c r="Y405" s="1">
        <v>1</v>
      </c>
      <c r="Z405" s="1">
        <v>0</v>
      </c>
      <c r="AA405" s="1">
        <v>0</v>
      </c>
      <c r="AB405" s="1" t="s">
        <v>85</v>
      </c>
      <c r="AC405" s="1">
        <f t="shared" si="155"/>
        <v>1</v>
      </c>
      <c r="AD405" s="1">
        <f t="shared" si="150"/>
        <v>1</v>
      </c>
      <c r="AE405" s="1">
        <v>1</v>
      </c>
      <c r="AF405" s="1">
        <v>7.5973959999999998</v>
      </c>
      <c r="AG405" s="1">
        <v>3.912023</v>
      </c>
      <c r="AH405" s="1">
        <f t="shared" si="172"/>
        <v>-4.7600000000000318</v>
      </c>
      <c r="AI405" s="1">
        <f t="shared" si="158"/>
        <v>-0.37437676677133785</v>
      </c>
      <c r="AJ405" s="1">
        <f t="shared" si="151"/>
        <v>7.8650581254482224E-2</v>
      </c>
      <c r="AK405" s="1">
        <f t="shared" si="152"/>
        <v>161.65760000000026</v>
      </c>
      <c r="AL405" s="1">
        <f t="shared" si="153"/>
        <v>12.714464204204605</v>
      </c>
      <c r="AM405" s="1">
        <v>1</v>
      </c>
      <c r="AN405" s="1">
        <v>0</v>
      </c>
      <c r="AO405" s="1">
        <v>0</v>
      </c>
      <c r="AP405" s="1">
        <f t="shared" si="159"/>
        <v>8.4818892967997092E-2</v>
      </c>
      <c r="AQ405" s="1">
        <v>1</v>
      </c>
      <c r="AR405" s="1">
        <v>0</v>
      </c>
      <c r="AS405" s="1">
        <v>0</v>
      </c>
      <c r="AT405" s="1">
        <v>0</v>
      </c>
      <c r="AU405" s="4">
        <v>1</v>
      </c>
      <c r="AV405" s="4">
        <v>0</v>
      </c>
      <c r="AW405" s="1">
        <f t="shared" si="160"/>
        <v>0.2</v>
      </c>
      <c r="AX405" s="1">
        <f t="shared" si="161"/>
        <v>0.04</v>
      </c>
    </row>
    <row r="406" spans="1:50" x14ac:dyDescent="0.25">
      <c r="A406" s="1" t="s">
        <v>72</v>
      </c>
      <c r="B406" s="1">
        <v>1988</v>
      </c>
      <c r="C406" s="1">
        <f t="shared" si="162"/>
        <v>35</v>
      </c>
      <c r="D406" s="1" t="s">
        <v>24</v>
      </c>
      <c r="E406" s="1" t="s">
        <v>25</v>
      </c>
      <c r="F406" s="2">
        <v>-0.23</v>
      </c>
      <c r="G406" s="3">
        <v>0.05</v>
      </c>
      <c r="H406" s="1">
        <v>6</v>
      </c>
      <c r="I406" s="1">
        <v>64</v>
      </c>
      <c r="J406" s="1">
        <f t="shared" si="149"/>
        <v>58</v>
      </c>
      <c r="K406" s="1">
        <v>6</v>
      </c>
      <c r="L406" s="1">
        <v>1966</v>
      </c>
      <c r="M406" s="1">
        <v>1981</v>
      </c>
      <c r="N406" s="1">
        <f t="shared" si="163"/>
        <v>1973.5</v>
      </c>
      <c r="O406" s="1">
        <f t="shared" si="171"/>
        <v>16</v>
      </c>
      <c r="P406" s="1">
        <f t="shared" si="157"/>
        <v>2.7725887222397811</v>
      </c>
      <c r="Q406" s="1">
        <v>36</v>
      </c>
      <c r="R406" s="1">
        <v>4</v>
      </c>
      <c r="S406" s="1" t="s">
        <v>26</v>
      </c>
      <c r="T406" s="1">
        <f t="shared" si="166"/>
        <v>0</v>
      </c>
      <c r="U406" s="1">
        <v>0</v>
      </c>
      <c r="V406" s="1">
        <v>1</v>
      </c>
      <c r="W406" s="1">
        <v>1</v>
      </c>
      <c r="X406" s="1">
        <v>0</v>
      </c>
      <c r="Y406" s="1">
        <v>1</v>
      </c>
      <c r="Z406" s="1">
        <v>0</v>
      </c>
      <c r="AA406" s="1">
        <v>0</v>
      </c>
      <c r="AB406" s="1" t="s">
        <v>85</v>
      </c>
      <c r="AC406" s="1">
        <f t="shared" si="155"/>
        <v>1</v>
      </c>
      <c r="AD406" s="1">
        <f t="shared" si="150"/>
        <v>1</v>
      </c>
      <c r="AE406" s="1">
        <v>1</v>
      </c>
      <c r="AF406" s="1">
        <v>7.5948840000000004</v>
      </c>
      <c r="AG406" s="1">
        <v>3.6109179999999999</v>
      </c>
      <c r="AH406" s="1">
        <f t="shared" si="172"/>
        <v>-4.5999999999999996</v>
      </c>
      <c r="AI406" s="1">
        <f t="shared" si="158"/>
        <v>-0.51701713759404766</v>
      </c>
      <c r="AJ406" s="1">
        <f t="shared" si="151"/>
        <v>0.1123950299117495</v>
      </c>
      <c r="AK406" s="1">
        <f t="shared" si="152"/>
        <v>79.159999999999982</v>
      </c>
      <c r="AL406" s="1">
        <f t="shared" si="153"/>
        <v>8.8971905678140875</v>
      </c>
      <c r="AM406" s="1">
        <v>1</v>
      </c>
      <c r="AN406" s="1">
        <v>0</v>
      </c>
      <c r="AO406" s="1">
        <v>0</v>
      </c>
      <c r="AP406" s="1">
        <f t="shared" si="159"/>
        <v>0.13130643285972254</v>
      </c>
      <c r="AQ406" s="1">
        <v>1</v>
      </c>
      <c r="AR406" s="1">
        <v>0</v>
      </c>
      <c r="AS406" s="1">
        <v>0</v>
      </c>
      <c r="AT406" s="1">
        <v>0</v>
      </c>
      <c r="AU406" s="4">
        <v>1</v>
      </c>
      <c r="AV406" s="4">
        <v>0</v>
      </c>
      <c r="AW406" s="1">
        <f t="shared" si="160"/>
        <v>0.16666666666666666</v>
      </c>
      <c r="AX406" s="1">
        <f t="shared" si="161"/>
        <v>2.7777777777777776E-2</v>
      </c>
    </row>
    <row r="407" spans="1:50" x14ac:dyDescent="0.25">
      <c r="A407" s="1" t="s">
        <v>72</v>
      </c>
      <c r="B407" s="1">
        <v>1988</v>
      </c>
      <c r="C407" s="1">
        <f t="shared" si="162"/>
        <v>35</v>
      </c>
      <c r="D407" s="1" t="s">
        <v>24</v>
      </c>
      <c r="E407" s="1" t="s">
        <v>25</v>
      </c>
      <c r="F407" s="2">
        <v>-0.23</v>
      </c>
      <c r="G407" s="3">
        <v>0.05</v>
      </c>
      <c r="H407" s="1">
        <v>8</v>
      </c>
      <c r="I407" s="1">
        <v>64</v>
      </c>
      <c r="J407" s="1">
        <f t="shared" si="149"/>
        <v>56</v>
      </c>
      <c r="K407" s="1">
        <v>6</v>
      </c>
      <c r="L407" s="1">
        <v>1966</v>
      </c>
      <c r="M407" s="1">
        <v>1981</v>
      </c>
      <c r="N407" s="1">
        <f t="shared" ref="N407:N411" si="173">+L407+(M407-L407)/2</f>
        <v>1973.5</v>
      </c>
      <c r="O407" s="1">
        <f t="shared" ref="O407:O414" si="174">+M407-L407+1</f>
        <v>16</v>
      </c>
      <c r="P407" s="1">
        <f t="shared" si="157"/>
        <v>2.7725887222397811</v>
      </c>
      <c r="Q407" s="1">
        <v>36</v>
      </c>
      <c r="R407" s="1">
        <v>4</v>
      </c>
      <c r="S407" s="1" t="s">
        <v>26</v>
      </c>
      <c r="T407" s="1">
        <f t="shared" si="166"/>
        <v>0</v>
      </c>
      <c r="U407" s="1">
        <v>0</v>
      </c>
      <c r="V407" s="1">
        <v>1</v>
      </c>
      <c r="W407" s="1">
        <v>1</v>
      </c>
      <c r="X407" s="1">
        <v>0</v>
      </c>
      <c r="Y407" s="1">
        <v>1</v>
      </c>
      <c r="Z407" s="1">
        <v>0</v>
      </c>
      <c r="AA407" s="1">
        <v>0</v>
      </c>
      <c r="AB407" s="1" t="s">
        <v>85</v>
      </c>
      <c r="AC407" s="1">
        <f t="shared" si="155"/>
        <v>1</v>
      </c>
      <c r="AD407" s="1">
        <f t="shared" si="150"/>
        <v>1</v>
      </c>
      <c r="AE407" s="1">
        <v>1</v>
      </c>
      <c r="AF407" s="1">
        <v>7.5948840000000004</v>
      </c>
      <c r="AG407" s="1">
        <v>3.6109179999999999</v>
      </c>
      <c r="AH407" s="1">
        <f t="shared" si="172"/>
        <v>-4.5999999999999996</v>
      </c>
      <c r="AI407" s="1">
        <f t="shared" si="158"/>
        <v>-0.52367485628610499</v>
      </c>
      <c r="AJ407" s="1">
        <f t="shared" si="151"/>
        <v>0.11384236006219675</v>
      </c>
      <c r="AK407" s="1">
        <f t="shared" si="152"/>
        <v>77.159999999999968</v>
      </c>
      <c r="AL407" s="1">
        <f t="shared" si="153"/>
        <v>8.7840765023990972</v>
      </c>
      <c r="AM407" s="1">
        <v>1</v>
      </c>
      <c r="AN407" s="1">
        <v>0</v>
      </c>
      <c r="AO407" s="1">
        <v>0</v>
      </c>
      <c r="AP407" s="1">
        <f t="shared" si="159"/>
        <v>0.1336306209562122</v>
      </c>
      <c r="AQ407" s="1">
        <v>1</v>
      </c>
      <c r="AR407" s="1">
        <v>0</v>
      </c>
      <c r="AS407" s="1">
        <v>0</v>
      </c>
      <c r="AT407" s="1">
        <v>0</v>
      </c>
      <c r="AU407" s="4">
        <v>1</v>
      </c>
      <c r="AV407" s="4">
        <v>0</v>
      </c>
      <c r="AW407" s="1">
        <f t="shared" si="160"/>
        <v>0.16666666666666666</v>
      </c>
      <c r="AX407" s="1">
        <f t="shared" si="161"/>
        <v>2.7777777777777776E-2</v>
      </c>
    </row>
    <row r="408" spans="1:50" x14ac:dyDescent="0.25">
      <c r="A408" s="1" t="s">
        <v>72</v>
      </c>
      <c r="B408" s="1">
        <v>1988</v>
      </c>
      <c r="C408" s="1">
        <f t="shared" si="162"/>
        <v>35</v>
      </c>
      <c r="D408" s="1" t="s">
        <v>24</v>
      </c>
      <c r="E408" s="1" t="s">
        <v>25</v>
      </c>
      <c r="F408" s="2">
        <v>-0.24</v>
      </c>
      <c r="G408" s="3">
        <v>0.05</v>
      </c>
      <c r="H408" s="1">
        <v>8</v>
      </c>
      <c r="I408" s="1">
        <v>64</v>
      </c>
      <c r="J408" s="1">
        <f t="shared" si="149"/>
        <v>56</v>
      </c>
      <c r="K408" s="1">
        <v>6</v>
      </c>
      <c r="L408" s="1">
        <v>1966</v>
      </c>
      <c r="M408" s="1">
        <v>1981</v>
      </c>
      <c r="N408" s="1">
        <f t="shared" si="173"/>
        <v>1973.5</v>
      </c>
      <c r="O408" s="1">
        <f t="shared" si="174"/>
        <v>16</v>
      </c>
      <c r="P408" s="1">
        <f t="shared" si="157"/>
        <v>2.7725887222397811</v>
      </c>
      <c r="Q408" s="1">
        <v>36</v>
      </c>
      <c r="R408" s="1">
        <v>4</v>
      </c>
      <c r="S408" s="1" t="s">
        <v>26</v>
      </c>
      <c r="T408" s="1">
        <f t="shared" si="166"/>
        <v>0</v>
      </c>
      <c r="U408" s="1">
        <v>0</v>
      </c>
      <c r="V408" s="1">
        <v>1</v>
      </c>
      <c r="W408" s="1">
        <v>1</v>
      </c>
      <c r="X408" s="1">
        <v>0</v>
      </c>
      <c r="Y408" s="1">
        <v>1</v>
      </c>
      <c r="Z408" s="1">
        <v>0</v>
      </c>
      <c r="AA408" s="1">
        <v>0</v>
      </c>
      <c r="AB408" s="1" t="s">
        <v>85</v>
      </c>
      <c r="AC408" s="1">
        <f t="shared" si="155"/>
        <v>1</v>
      </c>
      <c r="AD408" s="1">
        <f t="shared" si="150"/>
        <v>1</v>
      </c>
      <c r="AE408" s="1">
        <v>1</v>
      </c>
      <c r="AF408" s="1">
        <v>7.5948840000000004</v>
      </c>
      <c r="AG408" s="1">
        <v>3.6109179999999999</v>
      </c>
      <c r="AH408" s="1">
        <f t="shared" si="172"/>
        <v>-4.8</v>
      </c>
      <c r="AI408" s="1">
        <f t="shared" si="158"/>
        <v>-0.5399055247990171</v>
      </c>
      <c r="AJ408" s="1">
        <f t="shared" si="151"/>
        <v>0.1124803176664619</v>
      </c>
      <c r="AK408" s="1">
        <f t="shared" si="152"/>
        <v>79.039999999999992</v>
      </c>
      <c r="AL408" s="1">
        <f t="shared" si="153"/>
        <v>8.8904443083571465</v>
      </c>
      <c r="AM408" s="1">
        <v>1</v>
      </c>
      <c r="AN408" s="1">
        <v>0</v>
      </c>
      <c r="AO408" s="1">
        <v>0</v>
      </c>
      <c r="AP408" s="1">
        <f t="shared" si="159"/>
        <v>0.1336306209562122</v>
      </c>
      <c r="AQ408" s="1">
        <v>1</v>
      </c>
      <c r="AR408" s="1">
        <v>0</v>
      </c>
      <c r="AS408" s="1">
        <v>0</v>
      </c>
      <c r="AT408" s="1">
        <v>0</v>
      </c>
      <c r="AU408" s="4">
        <v>1</v>
      </c>
      <c r="AV408" s="4">
        <v>0</v>
      </c>
      <c r="AW408" s="1">
        <f t="shared" si="160"/>
        <v>0.16666666666666666</v>
      </c>
      <c r="AX408" s="1">
        <f t="shared" si="161"/>
        <v>2.7777777777777776E-2</v>
      </c>
    </row>
    <row r="409" spans="1:50" x14ac:dyDescent="0.25">
      <c r="A409" s="1" t="s">
        <v>72</v>
      </c>
      <c r="B409" s="1">
        <v>1988</v>
      </c>
      <c r="C409" s="1">
        <f t="shared" si="162"/>
        <v>35</v>
      </c>
      <c r="D409" s="1" t="s">
        <v>24</v>
      </c>
      <c r="E409" s="1" t="s">
        <v>25</v>
      </c>
      <c r="F409" s="2">
        <v>-0.22</v>
      </c>
      <c r="G409" s="3">
        <v>0.04</v>
      </c>
      <c r="H409" s="1">
        <v>9</v>
      </c>
      <c r="I409" s="1">
        <v>64</v>
      </c>
      <c r="J409" s="1">
        <f t="shared" si="149"/>
        <v>55</v>
      </c>
      <c r="K409" s="1">
        <v>6</v>
      </c>
      <c r="L409" s="1">
        <v>1966</v>
      </c>
      <c r="M409" s="1">
        <v>1981</v>
      </c>
      <c r="N409" s="1">
        <f t="shared" si="173"/>
        <v>1973.5</v>
      </c>
      <c r="O409" s="1">
        <f t="shared" si="174"/>
        <v>16</v>
      </c>
      <c r="P409" s="1">
        <f t="shared" si="157"/>
        <v>2.7725887222397811</v>
      </c>
      <c r="Q409" s="1">
        <v>36</v>
      </c>
      <c r="R409" s="1">
        <v>4</v>
      </c>
      <c r="S409" s="1" t="s">
        <v>26</v>
      </c>
      <c r="T409" s="1">
        <f t="shared" si="166"/>
        <v>0</v>
      </c>
      <c r="U409" s="1">
        <v>0</v>
      </c>
      <c r="V409" s="1">
        <v>1</v>
      </c>
      <c r="W409" s="1">
        <v>1</v>
      </c>
      <c r="X409" s="1">
        <v>0</v>
      </c>
      <c r="Y409" s="1">
        <v>1</v>
      </c>
      <c r="Z409" s="1">
        <v>0</v>
      </c>
      <c r="AA409" s="1">
        <v>0</v>
      </c>
      <c r="AB409" s="1" t="s">
        <v>85</v>
      </c>
      <c r="AC409" s="1">
        <f t="shared" si="155"/>
        <v>1</v>
      </c>
      <c r="AD409" s="1">
        <f t="shared" si="150"/>
        <v>1</v>
      </c>
      <c r="AE409" s="1">
        <v>1</v>
      </c>
      <c r="AF409" s="1">
        <v>7.5948840000000004</v>
      </c>
      <c r="AG409" s="1">
        <v>3.6109179999999999</v>
      </c>
      <c r="AH409" s="1">
        <f t="shared" si="172"/>
        <v>-5.5</v>
      </c>
      <c r="AI409" s="1">
        <f t="shared" si="158"/>
        <v>-0.59568339718127061</v>
      </c>
      <c r="AJ409" s="1">
        <f t="shared" si="151"/>
        <v>0.10830607221477648</v>
      </c>
      <c r="AK409" s="1">
        <f t="shared" si="152"/>
        <v>85.249999999999986</v>
      </c>
      <c r="AL409" s="1">
        <f t="shared" si="153"/>
        <v>9.2330926563096938</v>
      </c>
      <c r="AM409" s="1">
        <v>1</v>
      </c>
      <c r="AN409" s="1">
        <v>0</v>
      </c>
      <c r="AO409" s="1">
        <v>0</v>
      </c>
      <c r="AP409" s="1">
        <f t="shared" si="159"/>
        <v>0.13483997249264842</v>
      </c>
      <c r="AQ409" s="1">
        <v>1</v>
      </c>
      <c r="AR409" s="1">
        <v>0</v>
      </c>
      <c r="AS409" s="1">
        <v>0</v>
      </c>
      <c r="AT409" s="1">
        <v>0</v>
      </c>
      <c r="AU409" s="4">
        <v>1</v>
      </c>
      <c r="AV409" s="4">
        <v>0</v>
      </c>
      <c r="AW409" s="1">
        <f t="shared" si="160"/>
        <v>0.16666666666666666</v>
      </c>
      <c r="AX409" s="1">
        <f t="shared" si="161"/>
        <v>2.7777777777777776E-2</v>
      </c>
    </row>
    <row r="410" spans="1:50" x14ac:dyDescent="0.25">
      <c r="A410" s="1" t="s">
        <v>72</v>
      </c>
      <c r="B410" s="1">
        <v>1988</v>
      </c>
      <c r="C410" s="1">
        <f t="shared" si="162"/>
        <v>35</v>
      </c>
      <c r="D410" s="1" t="s">
        <v>24</v>
      </c>
      <c r="E410" s="1" t="s">
        <v>25</v>
      </c>
      <c r="F410" s="2">
        <v>0.03</v>
      </c>
      <c r="G410" s="3">
        <v>0.12</v>
      </c>
      <c r="H410" s="1">
        <v>7</v>
      </c>
      <c r="I410" s="1">
        <v>64</v>
      </c>
      <c r="J410" s="1">
        <f t="shared" si="149"/>
        <v>57</v>
      </c>
      <c r="K410" s="1">
        <v>6</v>
      </c>
      <c r="L410" s="1">
        <v>1966</v>
      </c>
      <c r="M410" s="1">
        <v>1981</v>
      </c>
      <c r="N410" s="1">
        <f t="shared" si="173"/>
        <v>1973.5</v>
      </c>
      <c r="O410" s="1">
        <f t="shared" si="174"/>
        <v>16</v>
      </c>
      <c r="P410" s="1">
        <f t="shared" si="157"/>
        <v>2.7725887222397811</v>
      </c>
      <c r="Q410" s="1">
        <v>36</v>
      </c>
      <c r="R410" s="1">
        <v>4</v>
      </c>
      <c r="S410" s="1" t="s">
        <v>26</v>
      </c>
      <c r="T410" s="1">
        <f t="shared" si="166"/>
        <v>0</v>
      </c>
      <c r="U410" s="1">
        <v>0</v>
      </c>
      <c r="V410" s="1">
        <v>1</v>
      </c>
      <c r="W410" s="1">
        <v>1</v>
      </c>
      <c r="X410" s="1">
        <v>0</v>
      </c>
      <c r="Y410" s="1">
        <v>1</v>
      </c>
      <c r="Z410" s="1">
        <v>0</v>
      </c>
      <c r="AA410" s="1">
        <v>0</v>
      </c>
      <c r="AB410" s="1" t="s">
        <v>85</v>
      </c>
      <c r="AC410" s="1">
        <f t="shared" si="155"/>
        <v>1</v>
      </c>
      <c r="AD410" s="1">
        <f t="shared" si="150"/>
        <v>1</v>
      </c>
      <c r="AE410" s="1">
        <v>1</v>
      </c>
      <c r="AF410" s="1">
        <v>7.5948840000000004</v>
      </c>
      <c r="AG410" s="1">
        <v>3.6109179999999999</v>
      </c>
      <c r="AH410" s="1">
        <f t="shared" si="172"/>
        <v>0.25</v>
      </c>
      <c r="AI410" s="1">
        <f t="shared" si="158"/>
        <v>3.3095169616074761E-2</v>
      </c>
      <c r="AJ410" s="1">
        <f t="shared" si="151"/>
        <v>0.13238067846429905</v>
      </c>
      <c r="AK410" s="1">
        <f t="shared" si="152"/>
        <v>57.062499999999993</v>
      </c>
      <c r="AL410" s="1">
        <f t="shared" si="153"/>
        <v>7.5539724648690632</v>
      </c>
      <c r="AM410" s="1">
        <v>1</v>
      </c>
      <c r="AN410" s="1">
        <v>0</v>
      </c>
      <c r="AO410" s="1">
        <v>0</v>
      </c>
      <c r="AP410" s="1">
        <f t="shared" si="159"/>
        <v>0.13245323570650439</v>
      </c>
      <c r="AQ410" s="1">
        <v>1</v>
      </c>
      <c r="AR410" s="1">
        <v>0</v>
      </c>
      <c r="AS410" s="1">
        <v>0</v>
      </c>
      <c r="AT410" s="1">
        <v>0</v>
      </c>
      <c r="AU410" s="4">
        <v>1</v>
      </c>
      <c r="AV410" s="4">
        <v>0</v>
      </c>
      <c r="AW410" s="1">
        <f t="shared" si="160"/>
        <v>0.16666666666666666</v>
      </c>
      <c r="AX410" s="1">
        <f t="shared" si="161"/>
        <v>2.7777777777777776E-2</v>
      </c>
    </row>
    <row r="411" spans="1:50" x14ac:dyDescent="0.25">
      <c r="A411" s="1" t="s">
        <v>72</v>
      </c>
      <c r="B411" s="1">
        <v>1988</v>
      </c>
      <c r="C411" s="1">
        <f t="shared" si="162"/>
        <v>35</v>
      </c>
      <c r="D411" s="1" t="s">
        <v>24</v>
      </c>
      <c r="E411" s="1" t="s">
        <v>25</v>
      </c>
      <c r="F411" s="2">
        <v>-0.28999999999999998</v>
      </c>
      <c r="G411" s="3">
        <v>0.05</v>
      </c>
      <c r="H411" s="1">
        <v>7</v>
      </c>
      <c r="I411" s="1">
        <v>64</v>
      </c>
      <c r="J411" s="1">
        <f t="shared" si="149"/>
        <v>57</v>
      </c>
      <c r="K411" s="1">
        <v>6</v>
      </c>
      <c r="L411" s="1">
        <v>1966</v>
      </c>
      <c r="M411" s="1">
        <v>1981</v>
      </c>
      <c r="N411" s="1">
        <f t="shared" si="173"/>
        <v>1973.5</v>
      </c>
      <c r="O411" s="1">
        <f t="shared" si="174"/>
        <v>16</v>
      </c>
      <c r="P411" s="1">
        <f t="shared" si="157"/>
        <v>2.7725887222397811</v>
      </c>
      <c r="Q411" s="1">
        <v>36</v>
      </c>
      <c r="R411" s="1">
        <v>4</v>
      </c>
      <c r="S411" s="1" t="s">
        <v>26</v>
      </c>
      <c r="T411" s="1">
        <f t="shared" si="166"/>
        <v>0</v>
      </c>
      <c r="U411" s="1">
        <v>0</v>
      </c>
      <c r="V411" s="1">
        <v>1</v>
      </c>
      <c r="W411" s="1">
        <v>1</v>
      </c>
      <c r="X411" s="1">
        <v>0</v>
      </c>
      <c r="Y411" s="1">
        <v>1</v>
      </c>
      <c r="Z411" s="1">
        <v>0</v>
      </c>
      <c r="AA411" s="1">
        <v>0</v>
      </c>
      <c r="AB411" s="1" t="s">
        <v>85</v>
      </c>
      <c r="AC411" s="1">
        <f t="shared" si="155"/>
        <v>1</v>
      </c>
      <c r="AD411" s="1">
        <f t="shared" si="150"/>
        <v>1</v>
      </c>
      <c r="AE411" s="1">
        <v>1</v>
      </c>
      <c r="AF411" s="1">
        <v>7.5948840000000004</v>
      </c>
      <c r="AG411" s="1">
        <v>3.6109179999999999</v>
      </c>
      <c r="AH411" s="1">
        <f t="shared" si="172"/>
        <v>-5.7999999999999989</v>
      </c>
      <c r="AI411" s="1">
        <f t="shared" si="158"/>
        <v>-0.60921143305727299</v>
      </c>
      <c r="AJ411" s="1">
        <f t="shared" si="151"/>
        <v>0.10503645397539191</v>
      </c>
      <c r="AK411" s="1">
        <f t="shared" si="152"/>
        <v>90.640000000000029</v>
      </c>
      <c r="AL411" s="1">
        <f t="shared" si="153"/>
        <v>9.5205041883295252</v>
      </c>
      <c r="AM411" s="1">
        <v>1</v>
      </c>
      <c r="AN411" s="1">
        <v>0</v>
      </c>
      <c r="AO411" s="1">
        <v>0</v>
      </c>
      <c r="AP411" s="1">
        <f t="shared" si="159"/>
        <v>0.13245323570650439</v>
      </c>
      <c r="AQ411" s="1">
        <v>1</v>
      </c>
      <c r="AR411" s="1">
        <v>0</v>
      </c>
      <c r="AS411" s="1">
        <v>0</v>
      </c>
      <c r="AT411" s="1">
        <v>0</v>
      </c>
      <c r="AU411" s="4">
        <v>1</v>
      </c>
      <c r="AV411" s="4">
        <v>0</v>
      </c>
      <c r="AW411" s="1">
        <f t="shared" si="160"/>
        <v>0.16666666666666666</v>
      </c>
      <c r="AX411" s="1">
        <f t="shared" si="161"/>
        <v>2.7777777777777776E-2</v>
      </c>
    </row>
    <row r="412" spans="1:50" x14ac:dyDescent="0.25">
      <c r="A412" s="1" t="s">
        <v>75</v>
      </c>
      <c r="B412" s="1">
        <v>1993</v>
      </c>
      <c r="C412" s="1">
        <f t="shared" si="162"/>
        <v>36</v>
      </c>
      <c r="D412" s="1" t="s">
        <v>24</v>
      </c>
      <c r="E412" s="1" t="s">
        <v>25</v>
      </c>
      <c r="F412" s="2">
        <v>-8.5000000000000006E-3</v>
      </c>
      <c r="G412" s="3">
        <v>2.5000000000000001E-3</v>
      </c>
      <c r="H412" s="1">
        <v>8</v>
      </c>
      <c r="I412" s="1">
        <v>50</v>
      </c>
      <c r="J412" s="1">
        <f t="shared" si="149"/>
        <v>42</v>
      </c>
      <c r="K412" s="1">
        <v>2</v>
      </c>
      <c r="L412" s="1">
        <v>1985</v>
      </c>
      <c r="M412" s="1">
        <v>1985</v>
      </c>
      <c r="N412" s="1">
        <f t="shared" si="163"/>
        <v>1985</v>
      </c>
      <c r="O412" s="1">
        <f t="shared" si="174"/>
        <v>1</v>
      </c>
      <c r="P412" s="1">
        <f t="shared" si="157"/>
        <v>0</v>
      </c>
      <c r="Q412" s="1">
        <v>45</v>
      </c>
      <c r="R412" s="1">
        <v>0</v>
      </c>
      <c r="S412" s="1" t="s">
        <v>26</v>
      </c>
      <c r="T412" s="1">
        <f t="shared" si="166"/>
        <v>0</v>
      </c>
      <c r="U412" s="1">
        <v>1</v>
      </c>
      <c r="V412" s="1">
        <v>0</v>
      </c>
      <c r="W412" s="1">
        <v>1</v>
      </c>
      <c r="X412" s="1">
        <v>1</v>
      </c>
      <c r="Y412" s="1">
        <v>0</v>
      </c>
      <c r="Z412" s="1">
        <v>0</v>
      </c>
      <c r="AA412" s="1">
        <v>0</v>
      </c>
      <c r="AB412" s="1" t="s">
        <v>85</v>
      </c>
      <c r="AC412" s="1">
        <f t="shared" si="155"/>
        <v>1</v>
      </c>
      <c r="AD412" s="1">
        <f t="shared" si="150"/>
        <v>1</v>
      </c>
      <c r="AE412" s="1">
        <v>0</v>
      </c>
      <c r="AF412" s="1">
        <v>7.5973959999999998</v>
      </c>
      <c r="AG412" s="1">
        <v>3.8286410000000002</v>
      </c>
      <c r="AH412" s="1">
        <f t="shared" si="172"/>
        <v>-3.4000000000000004</v>
      </c>
      <c r="AI412" s="1">
        <f t="shared" si="158"/>
        <v>-0.4645779923525673</v>
      </c>
      <c r="AJ412" s="1">
        <f t="shared" si="151"/>
        <v>0.1366405859860492</v>
      </c>
      <c r="AK412" s="1">
        <f t="shared" si="152"/>
        <v>53.56</v>
      </c>
      <c r="AL412" s="1">
        <f t="shared" si="153"/>
        <v>7.3184697854127947</v>
      </c>
      <c r="AM412" s="1">
        <v>0</v>
      </c>
      <c r="AN412" s="1">
        <v>0</v>
      </c>
      <c r="AO412" s="1">
        <v>1</v>
      </c>
      <c r="AP412" s="1">
        <f t="shared" si="159"/>
        <v>0.15430334996209191</v>
      </c>
      <c r="AQ412" s="1">
        <v>1</v>
      </c>
      <c r="AR412" s="1">
        <v>0</v>
      </c>
      <c r="AS412" s="1">
        <v>0</v>
      </c>
      <c r="AT412" s="1">
        <v>0</v>
      </c>
      <c r="AU412" s="4">
        <v>0</v>
      </c>
      <c r="AV412" s="4">
        <v>1</v>
      </c>
      <c r="AW412" s="1">
        <f t="shared" si="160"/>
        <v>0.5</v>
      </c>
      <c r="AX412" s="1">
        <f t="shared" si="161"/>
        <v>0.25</v>
      </c>
    </row>
    <row r="413" spans="1:50" x14ac:dyDescent="0.25">
      <c r="A413" s="1" t="s">
        <v>75</v>
      </c>
      <c r="B413" s="1">
        <v>1993</v>
      </c>
      <c r="C413" s="1">
        <f t="shared" si="162"/>
        <v>36</v>
      </c>
      <c r="D413" s="1" t="s">
        <v>24</v>
      </c>
      <c r="E413" s="1" t="s">
        <v>25</v>
      </c>
      <c r="F413" s="2">
        <v>-7.6E-3</v>
      </c>
      <c r="G413" s="3">
        <v>3.8E-3</v>
      </c>
      <c r="H413" s="1">
        <v>8</v>
      </c>
      <c r="I413" s="1">
        <v>50</v>
      </c>
      <c r="J413" s="1">
        <f t="shared" si="149"/>
        <v>42</v>
      </c>
      <c r="K413" s="1">
        <v>2</v>
      </c>
      <c r="L413" s="1">
        <v>1985</v>
      </c>
      <c r="M413" s="1">
        <v>1985</v>
      </c>
      <c r="N413" s="1">
        <f t="shared" si="163"/>
        <v>1985</v>
      </c>
      <c r="O413" s="1">
        <f t="shared" si="174"/>
        <v>1</v>
      </c>
      <c r="P413" s="1">
        <f t="shared" si="157"/>
        <v>0</v>
      </c>
      <c r="Q413" s="1">
        <v>45</v>
      </c>
      <c r="R413" s="1">
        <v>0</v>
      </c>
      <c r="S413" s="1" t="s">
        <v>28</v>
      </c>
      <c r="T413" s="1">
        <f t="shared" si="166"/>
        <v>1</v>
      </c>
      <c r="U413" s="1">
        <v>1</v>
      </c>
      <c r="V413" s="1">
        <v>0</v>
      </c>
      <c r="W413" s="1">
        <v>1</v>
      </c>
      <c r="X413" s="1">
        <v>1</v>
      </c>
      <c r="Y413" s="1">
        <v>0</v>
      </c>
      <c r="Z413" s="1">
        <v>0</v>
      </c>
      <c r="AA413" s="1">
        <v>0</v>
      </c>
      <c r="AB413" s="1" t="s">
        <v>85</v>
      </c>
      <c r="AC413" s="1">
        <f t="shared" si="155"/>
        <v>1</v>
      </c>
      <c r="AD413" s="1">
        <f t="shared" si="150"/>
        <v>1</v>
      </c>
      <c r="AE413" s="1">
        <v>0</v>
      </c>
      <c r="AF413" s="1">
        <v>7.5973959999999998</v>
      </c>
      <c r="AG413" s="1">
        <v>3.8286410000000002</v>
      </c>
      <c r="AH413" s="1">
        <f t="shared" si="172"/>
        <v>-2</v>
      </c>
      <c r="AI413" s="1">
        <f t="shared" si="158"/>
        <v>-0.29488391230979427</v>
      </c>
      <c r="AJ413" s="1">
        <f t="shared" si="151"/>
        <v>0.14744195615489714</v>
      </c>
      <c r="AK413" s="1">
        <f t="shared" si="152"/>
        <v>46</v>
      </c>
      <c r="AL413" s="1">
        <f t="shared" si="153"/>
        <v>6.7823299831252681</v>
      </c>
      <c r="AM413" s="1">
        <v>0</v>
      </c>
      <c r="AN413" s="1">
        <v>0</v>
      </c>
      <c r="AO413" s="1">
        <v>1</v>
      </c>
      <c r="AP413" s="1">
        <f t="shared" si="159"/>
        <v>0.15430334996209191</v>
      </c>
      <c r="AQ413" s="1">
        <v>0</v>
      </c>
      <c r="AR413" s="1">
        <v>0</v>
      </c>
      <c r="AS413" s="1">
        <v>0</v>
      </c>
      <c r="AT413" s="1">
        <v>0</v>
      </c>
      <c r="AU413" s="4">
        <v>0</v>
      </c>
      <c r="AV413" s="4">
        <v>1</v>
      </c>
      <c r="AW413" s="1">
        <f t="shared" si="160"/>
        <v>0.5</v>
      </c>
      <c r="AX413" s="1">
        <f t="shared" si="161"/>
        <v>0.25</v>
      </c>
    </row>
    <row r="414" spans="1:50" x14ac:dyDescent="0.25">
      <c r="A414" s="1" t="s">
        <v>73</v>
      </c>
      <c r="B414" s="1">
        <v>1998</v>
      </c>
      <c r="C414" s="1">
        <f t="shared" si="162"/>
        <v>37</v>
      </c>
      <c r="D414" s="1" t="s">
        <v>24</v>
      </c>
      <c r="E414" s="1" t="s">
        <v>25</v>
      </c>
      <c r="F414" s="2">
        <v>-0.15790000000000001</v>
      </c>
      <c r="G414" s="3">
        <v>8.9879326047358807E-2</v>
      </c>
      <c r="H414" s="1">
        <v>6</v>
      </c>
      <c r="I414" s="1">
        <v>42</v>
      </c>
      <c r="J414" s="1">
        <f t="shared" ref="J414:J443" si="175">+I414-H414</f>
        <v>36</v>
      </c>
      <c r="K414" s="1">
        <v>12</v>
      </c>
      <c r="L414" s="1">
        <v>1948</v>
      </c>
      <c r="M414" s="1">
        <v>1989</v>
      </c>
      <c r="N414" s="1">
        <f t="shared" si="163"/>
        <v>1968.5</v>
      </c>
      <c r="O414" s="1">
        <f t="shared" si="174"/>
        <v>42</v>
      </c>
      <c r="P414" s="1">
        <f t="shared" si="157"/>
        <v>3.7376696182833684</v>
      </c>
      <c r="Q414" s="1">
        <v>18</v>
      </c>
      <c r="R414" s="1">
        <v>7</v>
      </c>
      <c r="S414" s="1" t="s">
        <v>26</v>
      </c>
      <c r="T414" s="1">
        <f t="shared" si="166"/>
        <v>0</v>
      </c>
      <c r="U414" s="1">
        <v>1</v>
      </c>
      <c r="V414" s="1">
        <v>1</v>
      </c>
      <c r="W414" s="1">
        <v>0</v>
      </c>
      <c r="X414" s="1">
        <v>0</v>
      </c>
      <c r="Y414" s="1">
        <v>1</v>
      </c>
      <c r="Z414" s="1">
        <v>0</v>
      </c>
      <c r="AA414" s="1">
        <v>0</v>
      </c>
      <c r="AB414" s="1" t="s">
        <v>85</v>
      </c>
      <c r="AC414" s="1">
        <f t="shared" si="155"/>
        <v>1</v>
      </c>
      <c r="AD414" s="1">
        <f t="shared" ref="AD414:AD443" si="176">IF(AB414="USA",1,0)</f>
        <v>1</v>
      </c>
      <c r="AE414" s="1">
        <v>1</v>
      </c>
      <c r="AF414" s="1">
        <v>7.5999020000000002</v>
      </c>
      <c r="AG414" s="1">
        <v>2.944439</v>
      </c>
      <c r="AH414" s="1">
        <f t="shared" si="172"/>
        <v>-1.7568000000000006</v>
      </c>
      <c r="AI414" s="1">
        <f t="shared" si="158"/>
        <v>-0.28100224224556641</v>
      </c>
      <c r="AJ414" s="1">
        <f t="shared" ref="AJ414:AJ443" si="177">+AI414/AH414</f>
        <v>0.15995118524907009</v>
      </c>
      <c r="AK414" s="1">
        <f t="shared" ref="AK414:AK443" si="178">1/AJ414^2</f>
        <v>39.08634623999999</v>
      </c>
      <c r="AL414" s="1">
        <f t="shared" ref="AL414:AL443" si="179">1/AJ414</f>
        <v>6.2519074081435333</v>
      </c>
      <c r="AM414" s="1">
        <v>1</v>
      </c>
      <c r="AN414" s="1">
        <v>0</v>
      </c>
      <c r="AO414" s="1">
        <v>0</v>
      </c>
      <c r="AP414" s="1">
        <f t="shared" si="159"/>
        <v>0.16666666666666666</v>
      </c>
      <c r="AQ414" s="1">
        <v>1</v>
      </c>
      <c r="AR414" s="1">
        <v>0</v>
      </c>
      <c r="AS414" s="1">
        <v>0</v>
      </c>
      <c r="AT414" s="1">
        <v>0</v>
      </c>
      <c r="AU414" s="4">
        <v>0</v>
      </c>
      <c r="AV414" s="4">
        <v>0</v>
      </c>
      <c r="AW414" s="1">
        <f t="shared" si="160"/>
        <v>8.3333333333333329E-2</v>
      </c>
      <c r="AX414" s="1">
        <f t="shared" si="161"/>
        <v>6.9444444444444441E-3</v>
      </c>
    </row>
    <row r="415" spans="1:50" x14ac:dyDescent="0.25">
      <c r="A415" s="1" t="s">
        <v>73</v>
      </c>
      <c r="B415" s="1">
        <v>1998</v>
      </c>
      <c r="C415" s="1">
        <f t="shared" si="162"/>
        <v>37</v>
      </c>
      <c r="D415" s="1" t="s">
        <v>24</v>
      </c>
      <c r="E415" s="1" t="s">
        <v>25</v>
      </c>
      <c r="F415" s="2">
        <v>-8.8999999999999996E-2</v>
      </c>
      <c r="G415" s="3">
        <v>0.14255966682684601</v>
      </c>
      <c r="H415" s="1">
        <v>6</v>
      </c>
      <c r="I415" s="1">
        <v>42</v>
      </c>
      <c r="J415" s="1">
        <f t="shared" si="175"/>
        <v>36</v>
      </c>
      <c r="K415" s="1">
        <v>12</v>
      </c>
      <c r="L415" s="1">
        <v>1948</v>
      </c>
      <c r="M415" s="1">
        <v>1989</v>
      </c>
      <c r="N415" s="1">
        <f t="shared" ref="N415:N425" si="180">+L415+(M415-L415)/2</f>
        <v>1968.5</v>
      </c>
      <c r="O415" s="1">
        <f t="shared" ref="O415:O438" si="181">+M415-L415+1</f>
        <v>42</v>
      </c>
      <c r="P415" s="1">
        <f t="shared" si="157"/>
        <v>3.7376696182833684</v>
      </c>
      <c r="Q415" s="1">
        <v>18</v>
      </c>
      <c r="R415" s="1">
        <v>7</v>
      </c>
      <c r="S415" s="1" t="s">
        <v>26</v>
      </c>
      <c r="T415" s="1">
        <f t="shared" si="166"/>
        <v>0</v>
      </c>
      <c r="U415" s="1">
        <v>1</v>
      </c>
      <c r="V415" s="1">
        <v>1</v>
      </c>
      <c r="W415" s="1">
        <v>0</v>
      </c>
      <c r="X415" s="1">
        <v>0</v>
      </c>
      <c r="Y415" s="1">
        <v>1</v>
      </c>
      <c r="Z415" s="1">
        <v>0</v>
      </c>
      <c r="AA415" s="1">
        <v>0</v>
      </c>
      <c r="AB415" s="1" t="s">
        <v>85</v>
      </c>
      <c r="AC415" s="1">
        <f t="shared" si="155"/>
        <v>1</v>
      </c>
      <c r="AD415" s="1">
        <f t="shared" si="176"/>
        <v>1</v>
      </c>
      <c r="AE415" s="1">
        <v>1</v>
      </c>
      <c r="AF415" s="1">
        <v>7.5999020000000002</v>
      </c>
      <c r="AG415" s="1">
        <v>2.944439</v>
      </c>
      <c r="AH415" s="1">
        <f t="shared" si="172"/>
        <v>-0.62430000000000019</v>
      </c>
      <c r="AI415" s="1">
        <f t="shared" si="158"/>
        <v>-0.10349128896193696</v>
      </c>
      <c r="AJ415" s="1">
        <f t="shared" si="177"/>
        <v>0.16577172667297282</v>
      </c>
      <c r="AK415" s="1">
        <f t="shared" si="178"/>
        <v>36.38975048999999</v>
      </c>
      <c r="AL415" s="1">
        <f t="shared" si="179"/>
        <v>6.0323917719259574</v>
      </c>
      <c r="AM415" s="1">
        <v>1</v>
      </c>
      <c r="AN415" s="1">
        <v>0</v>
      </c>
      <c r="AO415" s="1">
        <v>0</v>
      </c>
      <c r="AP415" s="1">
        <f t="shared" si="159"/>
        <v>0.16666666666666666</v>
      </c>
      <c r="AQ415" s="1">
        <v>1</v>
      </c>
      <c r="AR415" s="1">
        <v>0</v>
      </c>
      <c r="AS415" s="1">
        <v>0</v>
      </c>
      <c r="AT415" s="1">
        <v>0</v>
      </c>
      <c r="AU415" s="4">
        <v>0</v>
      </c>
      <c r="AV415" s="4">
        <v>0</v>
      </c>
      <c r="AW415" s="1">
        <f t="shared" si="160"/>
        <v>8.3333333333333329E-2</v>
      </c>
      <c r="AX415" s="1">
        <f t="shared" si="161"/>
        <v>6.9444444444444441E-3</v>
      </c>
    </row>
    <row r="416" spans="1:50" x14ac:dyDescent="0.25">
      <c r="A416" s="1" t="s">
        <v>73</v>
      </c>
      <c r="B416" s="1">
        <v>1998</v>
      </c>
      <c r="C416" s="1">
        <f t="shared" si="162"/>
        <v>37</v>
      </c>
      <c r="D416" s="1" t="s">
        <v>24</v>
      </c>
      <c r="E416" s="1" t="s">
        <v>25</v>
      </c>
      <c r="F416" s="2">
        <v>-0.23799999999999999</v>
      </c>
      <c r="G416" s="3">
        <v>7.3892390325685398E-2</v>
      </c>
      <c r="H416" s="1">
        <v>7</v>
      </c>
      <c r="I416" s="1">
        <v>42</v>
      </c>
      <c r="J416" s="1">
        <f t="shared" si="175"/>
        <v>35</v>
      </c>
      <c r="K416" s="1">
        <v>12</v>
      </c>
      <c r="L416" s="1">
        <v>1948</v>
      </c>
      <c r="M416" s="1">
        <v>1989</v>
      </c>
      <c r="N416" s="1">
        <f t="shared" si="180"/>
        <v>1968.5</v>
      </c>
      <c r="O416" s="1">
        <f t="shared" si="181"/>
        <v>42</v>
      </c>
      <c r="P416" s="1">
        <f t="shared" si="157"/>
        <v>3.7376696182833684</v>
      </c>
      <c r="Q416" s="1">
        <v>18</v>
      </c>
      <c r="R416" s="1">
        <v>7</v>
      </c>
      <c r="S416" s="1" t="s">
        <v>45</v>
      </c>
      <c r="T416" s="1">
        <f t="shared" si="166"/>
        <v>0</v>
      </c>
      <c r="U416" s="1">
        <v>1</v>
      </c>
      <c r="V416" s="1">
        <v>1</v>
      </c>
      <c r="W416" s="1">
        <v>0</v>
      </c>
      <c r="X416" s="1">
        <v>0</v>
      </c>
      <c r="Y416" s="1">
        <v>1</v>
      </c>
      <c r="Z416" s="1">
        <v>0</v>
      </c>
      <c r="AA416" s="1">
        <v>0</v>
      </c>
      <c r="AB416" s="1" t="s">
        <v>85</v>
      </c>
      <c r="AC416" s="1">
        <f t="shared" si="155"/>
        <v>1</v>
      </c>
      <c r="AD416" s="1">
        <f t="shared" si="176"/>
        <v>1</v>
      </c>
      <c r="AE416" s="1">
        <v>1</v>
      </c>
      <c r="AF416" s="1">
        <v>7.5999020000000002</v>
      </c>
      <c r="AG416" s="1">
        <v>2.944439</v>
      </c>
      <c r="AH416" s="1">
        <f t="shared" si="172"/>
        <v>-3.2208999999999985</v>
      </c>
      <c r="AI416" s="1">
        <f t="shared" si="158"/>
        <v>-0.47815947519036128</v>
      </c>
      <c r="AJ416" s="1">
        <f t="shared" si="177"/>
        <v>0.14845523772559269</v>
      </c>
      <c r="AK416" s="1">
        <f t="shared" si="178"/>
        <v>45.374196809999994</v>
      </c>
      <c r="AL416" s="1">
        <f t="shared" si="179"/>
        <v>6.7360371740363778</v>
      </c>
      <c r="AM416" s="1">
        <v>1</v>
      </c>
      <c r="AN416" s="1">
        <v>0</v>
      </c>
      <c r="AO416" s="1">
        <v>0</v>
      </c>
      <c r="AP416" s="1">
        <f t="shared" si="159"/>
        <v>0.1690308509457033</v>
      </c>
      <c r="AQ416" s="1">
        <v>0</v>
      </c>
      <c r="AR416" s="1">
        <v>0</v>
      </c>
      <c r="AS416" s="1">
        <v>0</v>
      </c>
      <c r="AT416" s="1">
        <v>0</v>
      </c>
      <c r="AU416" s="4">
        <v>0</v>
      </c>
      <c r="AV416" s="4">
        <v>0</v>
      </c>
      <c r="AW416" s="1">
        <f t="shared" si="160"/>
        <v>8.3333333333333329E-2</v>
      </c>
      <c r="AX416" s="1">
        <f t="shared" si="161"/>
        <v>6.9444444444444441E-3</v>
      </c>
    </row>
    <row r="417" spans="1:50" x14ac:dyDescent="0.25">
      <c r="A417" s="1" t="s">
        <v>73</v>
      </c>
      <c r="B417" s="1">
        <v>1998</v>
      </c>
      <c r="C417" s="1">
        <f t="shared" si="162"/>
        <v>37</v>
      </c>
      <c r="D417" s="1" t="s">
        <v>24</v>
      </c>
      <c r="E417" s="1" t="s">
        <v>25</v>
      </c>
      <c r="F417" s="2">
        <v>0.1971</v>
      </c>
      <c r="G417" s="3">
        <v>0.231338028169014</v>
      </c>
      <c r="H417" s="1">
        <v>7</v>
      </c>
      <c r="I417" s="1">
        <v>42</v>
      </c>
      <c r="J417" s="1">
        <f t="shared" si="175"/>
        <v>35</v>
      </c>
      <c r="K417" s="1">
        <v>12</v>
      </c>
      <c r="L417" s="1">
        <v>1948</v>
      </c>
      <c r="M417" s="1">
        <v>1989</v>
      </c>
      <c r="N417" s="1">
        <f t="shared" si="180"/>
        <v>1968.5</v>
      </c>
      <c r="O417" s="1">
        <f t="shared" si="181"/>
        <v>42</v>
      </c>
      <c r="P417" s="1">
        <f t="shared" si="157"/>
        <v>3.7376696182833684</v>
      </c>
      <c r="Q417" s="1">
        <v>18</v>
      </c>
      <c r="R417" s="1">
        <v>7</v>
      </c>
      <c r="S417" s="1" t="s">
        <v>26</v>
      </c>
      <c r="T417" s="1">
        <f t="shared" si="166"/>
        <v>0</v>
      </c>
      <c r="U417" s="1">
        <v>1</v>
      </c>
      <c r="V417" s="1">
        <v>1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  <c r="AB417" s="1" t="s">
        <v>85</v>
      </c>
      <c r="AC417" s="1">
        <f t="shared" si="155"/>
        <v>1</v>
      </c>
      <c r="AD417" s="1">
        <f t="shared" si="176"/>
        <v>1</v>
      </c>
      <c r="AE417" s="1">
        <v>1</v>
      </c>
      <c r="AF417" s="1">
        <v>7.5999020000000002</v>
      </c>
      <c r="AG417" s="1">
        <v>2.944439</v>
      </c>
      <c r="AH417" s="1">
        <f t="shared" si="172"/>
        <v>0.85200000000000031</v>
      </c>
      <c r="AI417" s="1">
        <f t="shared" si="158"/>
        <v>0.14254368482113891</v>
      </c>
      <c r="AJ417" s="1">
        <f t="shared" si="177"/>
        <v>0.16730479439100804</v>
      </c>
      <c r="AK417" s="1">
        <f t="shared" si="178"/>
        <v>35.725904000000007</v>
      </c>
      <c r="AL417" s="1">
        <f t="shared" si="179"/>
        <v>5.9771150231528933</v>
      </c>
      <c r="AM417" s="1">
        <v>1</v>
      </c>
      <c r="AN417" s="1">
        <v>0</v>
      </c>
      <c r="AO417" s="1">
        <v>0</v>
      </c>
      <c r="AP417" s="1">
        <f t="shared" si="159"/>
        <v>0.1690308509457033</v>
      </c>
      <c r="AQ417" s="1">
        <v>1</v>
      </c>
      <c r="AR417" s="1">
        <v>0</v>
      </c>
      <c r="AS417" s="1">
        <v>0</v>
      </c>
      <c r="AT417" s="1">
        <v>0</v>
      </c>
      <c r="AU417" s="4">
        <v>0</v>
      </c>
      <c r="AV417" s="4">
        <v>0</v>
      </c>
      <c r="AW417" s="1">
        <f t="shared" si="160"/>
        <v>8.3333333333333329E-2</v>
      </c>
      <c r="AX417" s="1">
        <f t="shared" si="161"/>
        <v>6.9444444444444441E-3</v>
      </c>
    </row>
    <row r="418" spans="1:50" x14ac:dyDescent="0.25">
      <c r="A418" s="1" t="s">
        <v>73</v>
      </c>
      <c r="B418" s="1">
        <v>1998</v>
      </c>
      <c r="C418" s="1">
        <f t="shared" si="162"/>
        <v>37</v>
      </c>
      <c r="D418" s="1" t="s">
        <v>24</v>
      </c>
      <c r="E418" s="1" t="s">
        <v>25</v>
      </c>
      <c r="F418" s="2">
        <v>-9.1999999999999998E-2</v>
      </c>
      <c r="G418" s="3">
        <v>0.12243811551769999</v>
      </c>
      <c r="H418" s="1">
        <v>9</v>
      </c>
      <c r="I418" s="1">
        <v>42</v>
      </c>
      <c r="J418" s="1">
        <f t="shared" si="175"/>
        <v>33</v>
      </c>
      <c r="K418" s="1">
        <v>12</v>
      </c>
      <c r="L418" s="1">
        <v>1948</v>
      </c>
      <c r="M418" s="1">
        <v>1989</v>
      </c>
      <c r="N418" s="1">
        <f t="shared" si="180"/>
        <v>1968.5</v>
      </c>
      <c r="O418" s="1">
        <f t="shared" si="181"/>
        <v>42</v>
      </c>
      <c r="P418" s="1">
        <f t="shared" si="157"/>
        <v>3.7376696182833684</v>
      </c>
      <c r="Q418" s="1">
        <v>18</v>
      </c>
      <c r="R418" s="1">
        <v>7</v>
      </c>
      <c r="S418" s="1" t="s">
        <v>45</v>
      </c>
      <c r="T418" s="1">
        <f t="shared" si="166"/>
        <v>0</v>
      </c>
      <c r="U418" s="1">
        <v>1</v>
      </c>
      <c r="V418" s="1">
        <v>1</v>
      </c>
      <c r="W418" s="1">
        <v>0</v>
      </c>
      <c r="X418" s="1">
        <v>0</v>
      </c>
      <c r="Y418" s="1">
        <v>1</v>
      </c>
      <c r="Z418" s="1">
        <v>0</v>
      </c>
      <c r="AA418" s="1">
        <v>0</v>
      </c>
      <c r="AB418" s="1" t="s">
        <v>85</v>
      </c>
      <c r="AC418" s="1">
        <f t="shared" si="155"/>
        <v>1</v>
      </c>
      <c r="AD418" s="1">
        <f t="shared" si="176"/>
        <v>1</v>
      </c>
      <c r="AE418" s="1">
        <v>1</v>
      </c>
      <c r="AF418" s="1">
        <v>7.5999020000000002</v>
      </c>
      <c r="AG418" s="1">
        <v>2.944439</v>
      </c>
      <c r="AH418" s="1">
        <f t="shared" si="172"/>
        <v>-0.75140000000000184</v>
      </c>
      <c r="AI418" s="1">
        <f t="shared" si="158"/>
        <v>-0.12969715214974248</v>
      </c>
      <c r="AJ418" s="1">
        <f t="shared" si="177"/>
        <v>0.17260733583942262</v>
      </c>
      <c r="AK418" s="1">
        <f t="shared" si="178"/>
        <v>33.564601960000005</v>
      </c>
      <c r="AL418" s="1">
        <f t="shared" si="179"/>
        <v>5.7934965228262634</v>
      </c>
      <c r="AM418" s="1">
        <v>1</v>
      </c>
      <c r="AN418" s="1">
        <v>0</v>
      </c>
      <c r="AO418" s="1">
        <v>0</v>
      </c>
      <c r="AP418" s="1">
        <f t="shared" si="159"/>
        <v>0.17407765595569785</v>
      </c>
      <c r="AQ418" s="1">
        <v>0</v>
      </c>
      <c r="AR418" s="1">
        <v>0</v>
      </c>
      <c r="AS418" s="1">
        <v>0</v>
      </c>
      <c r="AT418" s="1">
        <v>0</v>
      </c>
      <c r="AU418" s="4">
        <v>0</v>
      </c>
      <c r="AV418" s="4">
        <v>0</v>
      </c>
      <c r="AW418" s="1">
        <f t="shared" si="160"/>
        <v>8.3333333333333329E-2</v>
      </c>
      <c r="AX418" s="1">
        <f t="shared" si="161"/>
        <v>6.9444444444444441E-3</v>
      </c>
    </row>
    <row r="419" spans="1:50" x14ac:dyDescent="0.25">
      <c r="A419" s="1" t="s">
        <v>73</v>
      </c>
      <c r="B419" s="1">
        <v>1998</v>
      </c>
      <c r="C419" s="1">
        <f t="shared" si="162"/>
        <v>37</v>
      </c>
      <c r="D419" s="1" t="s">
        <v>24</v>
      </c>
      <c r="E419" s="1" t="s">
        <v>25</v>
      </c>
      <c r="F419" s="2">
        <v>-0.13950000000000001</v>
      </c>
      <c r="G419" s="3">
        <v>0.125011201720584</v>
      </c>
      <c r="H419" s="1">
        <v>9</v>
      </c>
      <c r="I419" s="1">
        <v>42</v>
      </c>
      <c r="J419" s="1">
        <f t="shared" si="175"/>
        <v>33</v>
      </c>
      <c r="K419" s="1">
        <v>12</v>
      </c>
      <c r="L419" s="1">
        <v>1948</v>
      </c>
      <c r="M419" s="1">
        <v>1989</v>
      </c>
      <c r="N419" s="1">
        <f t="shared" si="180"/>
        <v>1968.5</v>
      </c>
      <c r="O419" s="1">
        <f t="shared" si="181"/>
        <v>42</v>
      </c>
      <c r="P419" s="1">
        <f t="shared" si="157"/>
        <v>3.7376696182833684</v>
      </c>
      <c r="Q419" s="1">
        <v>18</v>
      </c>
      <c r="R419" s="1">
        <v>7</v>
      </c>
      <c r="S419" s="1" t="s">
        <v>45</v>
      </c>
      <c r="T419" s="1">
        <f t="shared" si="166"/>
        <v>0</v>
      </c>
      <c r="U419" s="1">
        <v>1</v>
      </c>
      <c r="V419" s="1">
        <v>1</v>
      </c>
      <c r="W419" s="1">
        <v>0</v>
      </c>
      <c r="X419" s="1">
        <v>0</v>
      </c>
      <c r="Y419" s="1">
        <v>1</v>
      </c>
      <c r="Z419" s="1">
        <v>0</v>
      </c>
      <c r="AA419" s="1">
        <v>0</v>
      </c>
      <c r="AB419" s="1" t="s">
        <v>85</v>
      </c>
      <c r="AC419" s="1">
        <f t="shared" si="155"/>
        <v>1</v>
      </c>
      <c r="AD419" s="1">
        <f t="shared" si="176"/>
        <v>1</v>
      </c>
      <c r="AE419" s="1">
        <v>1</v>
      </c>
      <c r="AF419" s="1">
        <v>7.5999020000000002</v>
      </c>
      <c r="AG419" s="1">
        <v>2.944439</v>
      </c>
      <c r="AH419" s="1">
        <f t="shared" si="172"/>
        <v>-1.1159000000000026</v>
      </c>
      <c r="AI419" s="1">
        <f t="shared" si="158"/>
        <v>-0.19068881331110074</v>
      </c>
      <c r="AJ419" s="1">
        <f t="shared" si="177"/>
        <v>0.1708834244207369</v>
      </c>
      <c r="AK419" s="1">
        <f t="shared" si="178"/>
        <v>34.245232810000012</v>
      </c>
      <c r="AL419" s="1">
        <f t="shared" si="179"/>
        <v>5.8519426526581757</v>
      </c>
      <c r="AM419" s="1">
        <v>1</v>
      </c>
      <c r="AN419" s="1">
        <v>0</v>
      </c>
      <c r="AO419" s="1">
        <v>0</v>
      </c>
      <c r="AP419" s="1">
        <f t="shared" si="159"/>
        <v>0.17407765595569785</v>
      </c>
      <c r="AQ419" s="1">
        <v>0</v>
      </c>
      <c r="AR419" s="1">
        <v>0</v>
      </c>
      <c r="AS419" s="1">
        <v>0</v>
      </c>
      <c r="AT419" s="1">
        <v>0</v>
      </c>
      <c r="AU419" s="4">
        <v>0</v>
      </c>
      <c r="AV419" s="4">
        <v>0</v>
      </c>
      <c r="AW419" s="1">
        <f t="shared" si="160"/>
        <v>8.3333333333333329E-2</v>
      </c>
      <c r="AX419" s="1">
        <f t="shared" si="161"/>
        <v>6.9444444444444441E-3</v>
      </c>
    </row>
    <row r="420" spans="1:50" x14ac:dyDescent="0.25">
      <c r="A420" s="1" t="s">
        <v>73</v>
      </c>
      <c r="B420" s="1">
        <v>1998</v>
      </c>
      <c r="C420" s="1">
        <f t="shared" si="162"/>
        <v>37</v>
      </c>
      <c r="D420" s="1" t="s">
        <v>24</v>
      </c>
      <c r="E420" s="1" t="s">
        <v>25</v>
      </c>
      <c r="F420" s="2">
        <v>-0.2382</v>
      </c>
      <c r="G420" s="3">
        <v>9.1604814829058204E-2</v>
      </c>
      <c r="H420" s="1">
        <v>10</v>
      </c>
      <c r="I420" s="1">
        <v>42</v>
      </c>
      <c r="J420" s="1">
        <f t="shared" si="175"/>
        <v>32</v>
      </c>
      <c r="K420" s="1">
        <v>12</v>
      </c>
      <c r="L420" s="1">
        <v>1948</v>
      </c>
      <c r="M420" s="1">
        <v>1989</v>
      </c>
      <c r="N420" s="1">
        <f t="shared" si="180"/>
        <v>1968.5</v>
      </c>
      <c r="O420" s="1">
        <f t="shared" si="181"/>
        <v>42</v>
      </c>
      <c r="P420" s="1">
        <f t="shared" si="157"/>
        <v>3.7376696182833684</v>
      </c>
      <c r="Q420" s="1">
        <v>18</v>
      </c>
      <c r="R420" s="1">
        <v>7</v>
      </c>
      <c r="S420" s="1" t="s">
        <v>45</v>
      </c>
      <c r="T420" s="1">
        <f t="shared" si="166"/>
        <v>0</v>
      </c>
      <c r="U420" s="1">
        <v>1</v>
      </c>
      <c r="V420" s="1">
        <v>1</v>
      </c>
      <c r="W420" s="1">
        <v>0</v>
      </c>
      <c r="X420" s="1">
        <v>0</v>
      </c>
      <c r="Y420" s="1">
        <v>1</v>
      </c>
      <c r="Z420" s="1">
        <v>0</v>
      </c>
      <c r="AA420" s="1">
        <v>0</v>
      </c>
      <c r="AB420" s="1" t="s">
        <v>85</v>
      </c>
      <c r="AC420" s="1">
        <f t="shared" si="155"/>
        <v>1</v>
      </c>
      <c r="AD420" s="1">
        <f t="shared" si="176"/>
        <v>1</v>
      </c>
      <c r="AE420" s="1">
        <v>1</v>
      </c>
      <c r="AF420" s="1">
        <v>7.5999020000000002</v>
      </c>
      <c r="AG420" s="1">
        <v>2.944439</v>
      </c>
      <c r="AH420" s="1">
        <f t="shared" si="172"/>
        <v>-2.6002999999999994</v>
      </c>
      <c r="AI420" s="1">
        <f t="shared" si="158"/>
        <v>-0.41765994965265923</v>
      </c>
      <c r="AJ420" s="1">
        <f t="shared" si="177"/>
        <v>0.16061990910766424</v>
      </c>
      <c r="AK420" s="1">
        <f t="shared" si="178"/>
        <v>38.761560089999989</v>
      </c>
      <c r="AL420" s="1">
        <f t="shared" si="179"/>
        <v>6.2258782585270644</v>
      </c>
      <c r="AM420" s="1">
        <v>1</v>
      </c>
      <c r="AN420" s="1">
        <v>0</v>
      </c>
      <c r="AO420" s="1">
        <v>0</v>
      </c>
      <c r="AP420" s="1">
        <f t="shared" si="159"/>
        <v>0.17677669529663687</v>
      </c>
      <c r="AQ420" s="1">
        <v>0</v>
      </c>
      <c r="AR420" s="1">
        <v>0</v>
      </c>
      <c r="AS420" s="1">
        <v>0</v>
      </c>
      <c r="AT420" s="1">
        <v>0</v>
      </c>
      <c r="AU420" s="4">
        <v>0</v>
      </c>
      <c r="AV420" s="4">
        <v>0</v>
      </c>
      <c r="AW420" s="1">
        <f t="shared" si="160"/>
        <v>8.3333333333333329E-2</v>
      </c>
      <c r="AX420" s="1">
        <f t="shared" si="161"/>
        <v>6.9444444444444441E-3</v>
      </c>
    </row>
    <row r="421" spans="1:50" x14ac:dyDescent="0.25">
      <c r="A421" s="1" t="s">
        <v>73</v>
      </c>
      <c r="B421" s="1">
        <v>1998</v>
      </c>
      <c r="C421" s="1">
        <f t="shared" si="162"/>
        <v>37</v>
      </c>
      <c r="D421" s="1" t="s">
        <v>24</v>
      </c>
      <c r="E421" s="1" t="s">
        <v>25</v>
      </c>
      <c r="F421" s="2">
        <v>-0.38140000000000002</v>
      </c>
      <c r="G421" s="3">
        <v>8.2839208531526307E-2</v>
      </c>
      <c r="H421" s="1">
        <v>10</v>
      </c>
      <c r="I421" s="1">
        <v>42</v>
      </c>
      <c r="J421" s="1">
        <f t="shared" si="175"/>
        <v>32</v>
      </c>
      <c r="K421" s="1">
        <v>12</v>
      </c>
      <c r="L421" s="1">
        <v>1948</v>
      </c>
      <c r="M421" s="1">
        <v>1989</v>
      </c>
      <c r="N421" s="1">
        <f t="shared" si="180"/>
        <v>1968.5</v>
      </c>
      <c r="O421" s="1">
        <f t="shared" si="181"/>
        <v>42</v>
      </c>
      <c r="P421" s="1">
        <f t="shared" si="157"/>
        <v>3.7376696182833684</v>
      </c>
      <c r="Q421" s="1">
        <v>18</v>
      </c>
      <c r="R421" s="1">
        <v>7</v>
      </c>
      <c r="S421" s="1" t="s">
        <v>45</v>
      </c>
      <c r="T421" s="1">
        <f t="shared" si="166"/>
        <v>0</v>
      </c>
      <c r="U421" s="1">
        <v>1</v>
      </c>
      <c r="V421" s="1">
        <v>1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  <c r="AB421" s="1" t="s">
        <v>85</v>
      </c>
      <c r="AC421" s="1">
        <f t="shared" si="155"/>
        <v>1</v>
      </c>
      <c r="AD421" s="1">
        <f t="shared" si="176"/>
        <v>1</v>
      </c>
      <c r="AE421" s="1">
        <v>1</v>
      </c>
      <c r="AF421" s="1">
        <v>7.5999020000000002</v>
      </c>
      <c r="AG421" s="1">
        <v>2.944439</v>
      </c>
      <c r="AH421" s="1">
        <f t="shared" si="172"/>
        <v>-4.6040999999999972</v>
      </c>
      <c r="AI421" s="1">
        <f t="shared" si="158"/>
        <v>-0.63124531748121493</v>
      </c>
      <c r="AJ421" s="1">
        <f t="shared" si="177"/>
        <v>0.13710504061189274</v>
      </c>
      <c r="AK421" s="1">
        <f t="shared" si="178"/>
        <v>53.197736809999967</v>
      </c>
      <c r="AL421" s="1">
        <f t="shared" si="179"/>
        <v>7.2936778657958268</v>
      </c>
      <c r="AM421" s="1">
        <v>1</v>
      </c>
      <c r="AN421" s="1">
        <v>0</v>
      </c>
      <c r="AO421" s="1">
        <v>0</v>
      </c>
      <c r="AP421" s="1">
        <f t="shared" si="159"/>
        <v>0.17677669529663687</v>
      </c>
      <c r="AQ421" s="1">
        <v>0</v>
      </c>
      <c r="AR421" s="1">
        <v>0</v>
      </c>
      <c r="AS421" s="1">
        <v>0</v>
      </c>
      <c r="AT421" s="1">
        <v>0</v>
      </c>
      <c r="AU421" s="4">
        <v>0</v>
      </c>
      <c r="AV421" s="4">
        <v>0</v>
      </c>
      <c r="AW421" s="1">
        <f t="shared" si="160"/>
        <v>8.3333333333333329E-2</v>
      </c>
      <c r="AX421" s="1">
        <f t="shared" si="161"/>
        <v>6.9444444444444441E-3</v>
      </c>
    </row>
    <row r="422" spans="1:50" x14ac:dyDescent="0.25">
      <c r="A422" s="1" t="s">
        <v>73</v>
      </c>
      <c r="B422" s="1">
        <v>1998</v>
      </c>
      <c r="C422" s="1">
        <f t="shared" si="162"/>
        <v>37</v>
      </c>
      <c r="D422" s="1" t="s">
        <v>24</v>
      </c>
      <c r="E422" s="1" t="s">
        <v>25</v>
      </c>
      <c r="F422" s="2">
        <v>-0.12920000000000001</v>
      </c>
      <c r="G422" s="3">
        <v>0.18789994182664299</v>
      </c>
      <c r="H422" s="1">
        <v>9</v>
      </c>
      <c r="I422" s="1">
        <v>42</v>
      </c>
      <c r="J422" s="1">
        <f t="shared" si="175"/>
        <v>33</v>
      </c>
      <c r="K422" s="1">
        <v>12</v>
      </c>
      <c r="L422" s="1">
        <v>1948</v>
      </c>
      <c r="M422" s="1">
        <v>1989</v>
      </c>
      <c r="N422" s="1">
        <f t="shared" si="180"/>
        <v>1968.5</v>
      </c>
      <c r="O422" s="1">
        <f t="shared" si="181"/>
        <v>42</v>
      </c>
      <c r="P422" s="1">
        <f t="shared" si="157"/>
        <v>3.7376696182833684</v>
      </c>
      <c r="Q422" s="1">
        <v>18</v>
      </c>
      <c r="R422" s="1">
        <v>7</v>
      </c>
      <c r="S422" s="1" t="s">
        <v>26</v>
      </c>
      <c r="T422" s="1">
        <f t="shared" si="166"/>
        <v>0</v>
      </c>
      <c r="U422" s="1">
        <v>1</v>
      </c>
      <c r="V422" s="1">
        <v>1</v>
      </c>
      <c r="W422" s="1">
        <v>0</v>
      </c>
      <c r="X422" s="1">
        <v>0</v>
      </c>
      <c r="Y422" s="1">
        <v>1</v>
      </c>
      <c r="Z422" s="1">
        <v>0</v>
      </c>
      <c r="AA422" s="1">
        <v>0</v>
      </c>
      <c r="AB422" s="1" t="s">
        <v>85</v>
      </c>
      <c r="AC422" s="1">
        <f t="shared" si="155"/>
        <v>1</v>
      </c>
      <c r="AD422" s="1">
        <f t="shared" si="176"/>
        <v>1</v>
      </c>
      <c r="AE422" s="1">
        <v>1</v>
      </c>
      <c r="AF422" s="1">
        <v>7.5999020000000002</v>
      </c>
      <c r="AG422" s="1">
        <v>2.944439</v>
      </c>
      <c r="AH422" s="1">
        <f t="shared" si="172"/>
        <v>-0.68760000000000154</v>
      </c>
      <c r="AI422" s="1">
        <f t="shared" si="158"/>
        <v>-0.11884745527608778</v>
      </c>
      <c r="AJ422" s="1">
        <f t="shared" si="177"/>
        <v>0.17284388492741057</v>
      </c>
      <c r="AK422" s="1">
        <f t="shared" si="178"/>
        <v>33.472793760000002</v>
      </c>
      <c r="AL422" s="1">
        <f t="shared" si="179"/>
        <v>5.7855677128523872</v>
      </c>
      <c r="AM422" s="1">
        <v>1</v>
      </c>
      <c r="AN422" s="1">
        <v>0</v>
      </c>
      <c r="AO422" s="1">
        <v>0</v>
      </c>
      <c r="AP422" s="1">
        <f t="shared" si="159"/>
        <v>0.17407765595569785</v>
      </c>
      <c r="AQ422" s="1">
        <v>1</v>
      </c>
      <c r="AR422" s="1">
        <v>0</v>
      </c>
      <c r="AS422" s="1">
        <v>0</v>
      </c>
      <c r="AT422" s="1">
        <v>0</v>
      </c>
      <c r="AU422" s="4">
        <v>0</v>
      </c>
      <c r="AV422" s="4">
        <v>0</v>
      </c>
      <c r="AW422" s="1">
        <f t="shared" si="160"/>
        <v>8.3333333333333329E-2</v>
      </c>
      <c r="AX422" s="1">
        <f t="shared" si="161"/>
        <v>6.9444444444444441E-3</v>
      </c>
    </row>
    <row r="423" spans="1:50" x14ac:dyDescent="0.25">
      <c r="A423" s="1" t="s">
        <v>73</v>
      </c>
      <c r="B423" s="1">
        <v>1998</v>
      </c>
      <c r="C423" s="1">
        <f t="shared" si="162"/>
        <v>37</v>
      </c>
      <c r="D423" s="1" t="s">
        <v>24</v>
      </c>
      <c r="E423" s="1" t="s">
        <v>25</v>
      </c>
      <c r="F423" s="2">
        <v>-0.1014</v>
      </c>
      <c r="G423" s="3">
        <v>0.226490953763681</v>
      </c>
      <c r="H423" s="1">
        <v>9</v>
      </c>
      <c r="I423" s="1">
        <v>42</v>
      </c>
      <c r="J423" s="1">
        <f t="shared" si="175"/>
        <v>33</v>
      </c>
      <c r="K423" s="1">
        <v>12</v>
      </c>
      <c r="L423" s="1">
        <v>1948</v>
      </c>
      <c r="M423" s="1">
        <v>1989</v>
      </c>
      <c r="N423" s="1">
        <f t="shared" si="180"/>
        <v>1968.5</v>
      </c>
      <c r="O423" s="1">
        <f t="shared" si="181"/>
        <v>42</v>
      </c>
      <c r="P423" s="1">
        <f t="shared" si="157"/>
        <v>3.7376696182833684</v>
      </c>
      <c r="Q423" s="1">
        <v>18</v>
      </c>
      <c r="R423" s="1">
        <v>7</v>
      </c>
      <c r="S423" s="1" t="s">
        <v>26</v>
      </c>
      <c r="T423" s="1">
        <f t="shared" si="166"/>
        <v>0</v>
      </c>
      <c r="U423" s="1">
        <v>1</v>
      </c>
      <c r="V423" s="1">
        <v>1</v>
      </c>
      <c r="W423" s="1">
        <v>0</v>
      </c>
      <c r="X423" s="1">
        <v>0</v>
      </c>
      <c r="Y423" s="1">
        <v>1</v>
      </c>
      <c r="Z423" s="1">
        <v>0</v>
      </c>
      <c r="AA423" s="1">
        <v>0</v>
      </c>
      <c r="AB423" s="1" t="s">
        <v>85</v>
      </c>
      <c r="AC423" s="1">
        <f t="shared" si="155"/>
        <v>1</v>
      </c>
      <c r="AD423" s="1">
        <f t="shared" si="176"/>
        <v>1</v>
      </c>
      <c r="AE423" s="1">
        <v>1</v>
      </c>
      <c r="AF423" s="1">
        <v>7.5999020000000002</v>
      </c>
      <c r="AG423" s="1">
        <v>2.944439</v>
      </c>
      <c r="AH423" s="1">
        <f t="shared" si="172"/>
        <v>-0.4477000000000001</v>
      </c>
      <c r="AI423" s="1">
        <f t="shared" si="158"/>
        <v>-7.769895994450314E-2</v>
      </c>
      <c r="AJ423" s="1">
        <f t="shared" si="177"/>
        <v>0.17355139590016333</v>
      </c>
      <c r="AK423" s="1">
        <f t="shared" si="178"/>
        <v>33.200435289999994</v>
      </c>
      <c r="AL423" s="1">
        <f t="shared" si="179"/>
        <v>5.7619818890725432</v>
      </c>
      <c r="AM423" s="1">
        <v>1</v>
      </c>
      <c r="AN423" s="1">
        <v>0</v>
      </c>
      <c r="AO423" s="1">
        <v>0</v>
      </c>
      <c r="AP423" s="1">
        <f t="shared" si="159"/>
        <v>0.17407765595569785</v>
      </c>
      <c r="AQ423" s="1">
        <v>1</v>
      </c>
      <c r="AR423" s="1">
        <v>0</v>
      </c>
      <c r="AS423" s="1">
        <v>0</v>
      </c>
      <c r="AT423" s="1">
        <v>0</v>
      </c>
      <c r="AU423" s="4">
        <v>0</v>
      </c>
      <c r="AV423" s="4">
        <v>0</v>
      </c>
      <c r="AW423" s="1">
        <f t="shared" si="160"/>
        <v>8.3333333333333329E-2</v>
      </c>
      <c r="AX423" s="1">
        <f t="shared" si="161"/>
        <v>6.9444444444444441E-3</v>
      </c>
    </row>
    <row r="424" spans="1:50" x14ac:dyDescent="0.25">
      <c r="A424" s="1" t="s">
        <v>73</v>
      </c>
      <c r="B424" s="1">
        <v>1998</v>
      </c>
      <c r="C424" s="1">
        <f t="shared" si="162"/>
        <v>37</v>
      </c>
      <c r="D424" s="1" t="s">
        <v>24</v>
      </c>
      <c r="E424" s="1" t="s">
        <v>25</v>
      </c>
      <c r="F424" s="2">
        <v>-0.14860000000000001</v>
      </c>
      <c r="G424" s="3">
        <v>0.17496762039326499</v>
      </c>
      <c r="H424" s="1">
        <v>10</v>
      </c>
      <c r="I424" s="1">
        <v>42</v>
      </c>
      <c r="J424" s="1">
        <f t="shared" si="175"/>
        <v>32</v>
      </c>
      <c r="K424" s="1">
        <v>12</v>
      </c>
      <c r="L424" s="1">
        <v>1948</v>
      </c>
      <c r="M424" s="1">
        <v>1989</v>
      </c>
      <c r="N424" s="1">
        <f t="shared" si="180"/>
        <v>1968.5</v>
      </c>
      <c r="O424" s="1">
        <f t="shared" si="181"/>
        <v>42</v>
      </c>
      <c r="P424" s="1">
        <f t="shared" si="157"/>
        <v>3.7376696182833684</v>
      </c>
      <c r="Q424" s="1">
        <v>18</v>
      </c>
      <c r="R424" s="1">
        <v>7</v>
      </c>
      <c r="S424" s="1" t="s">
        <v>26</v>
      </c>
      <c r="T424" s="1">
        <f t="shared" ref="T424:T443" si="182">IF(S424="OLS",0,IF(S424="FE",0,IF(S424="Probit model",0,IF(S424="3SLS",1,IF(S424="Logit",0,IF(S424="2SLS",1,IF(S424="SUR method",1,IF(S424="Modified LS",0,IF(S424="Zenner estimates",1,IF(S424="MLE",0,IF(S424="GLS",0,0)))))))))))</f>
        <v>0</v>
      </c>
      <c r="U424" s="1">
        <v>1</v>
      </c>
      <c r="V424" s="1">
        <v>1</v>
      </c>
      <c r="W424" s="1">
        <v>0</v>
      </c>
      <c r="X424" s="1">
        <v>0</v>
      </c>
      <c r="Y424" s="1">
        <v>1</v>
      </c>
      <c r="Z424" s="1">
        <v>0</v>
      </c>
      <c r="AA424" s="1">
        <v>0</v>
      </c>
      <c r="AB424" s="1" t="s">
        <v>85</v>
      </c>
      <c r="AC424" s="1">
        <f t="shared" si="155"/>
        <v>1</v>
      </c>
      <c r="AD424" s="1">
        <f t="shared" si="176"/>
        <v>1</v>
      </c>
      <c r="AE424" s="1">
        <v>1</v>
      </c>
      <c r="AF424" s="1">
        <v>7.5999020000000002</v>
      </c>
      <c r="AG424" s="1">
        <v>2.944439</v>
      </c>
      <c r="AH424" s="1">
        <f t="shared" si="172"/>
        <v>-0.84930000000000028</v>
      </c>
      <c r="AI424" s="1">
        <f t="shared" si="158"/>
        <v>-0.1484724173878238</v>
      </c>
      <c r="AJ424" s="1">
        <f t="shared" si="177"/>
        <v>0.17481739949113828</v>
      </c>
      <c r="AK424" s="1">
        <f t="shared" si="178"/>
        <v>32.721310490000015</v>
      </c>
      <c r="AL424" s="1">
        <f t="shared" si="179"/>
        <v>5.7202544078039059</v>
      </c>
      <c r="AM424" s="1">
        <v>1</v>
      </c>
      <c r="AN424" s="1">
        <v>0</v>
      </c>
      <c r="AO424" s="1">
        <v>0</v>
      </c>
      <c r="AP424" s="1">
        <f t="shared" si="159"/>
        <v>0.17677669529663687</v>
      </c>
      <c r="AQ424" s="1">
        <v>1</v>
      </c>
      <c r="AR424" s="1">
        <v>0</v>
      </c>
      <c r="AS424" s="1">
        <v>0</v>
      </c>
      <c r="AT424" s="1">
        <v>0</v>
      </c>
      <c r="AU424" s="4">
        <v>0</v>
      </c>
      <c r="AV424" s="4">
        <v>0</v>
      </c>
      <c r="AW424" s="1">
        <f t="shared" si="160"/>
        <v>8.3333333333333329E-2</v>
      </c>
      <c r="AX424" s="1">
        <f t="shared" si="161"/>
        <v>6.9444444444444441E-3</v>
      </c>
    </row>
    <row r="425" spans="1:50" x14ac:dyDescent="0.25">
      <c r="A425" s="1" t="s">
        <v>73</v>
      </c>
      <c r="B425" s="1">
        <v>1998</v>
      </c>
      <c r="C425" s="1">
        <f t="shared" si="162"/>
        <v>37</v>
      </c>
      <c r="D425" s="1" t="s">
        <v>24</v>
      </c>
      <c r="E425" s="1" t="s">
        <v>25</v>
      </c>
      <c r="F425" s="2">
        <v>-0.1399</v>
      </c>
      <c r="G425" s="3">
        <v>0.21686560223221199</v>
      </c>
      <c r="H425" s="1">
        <v>10</v>
      </c>
      <c r="I425" s="1">
        <v>42</v>
      </c>
      <c r="J425" s="1">
        <f t="shared" si="175"/>
        <v>32</v>
      </c>
      <c r="K425" s="1">
        <v>12</v>
      </c>
      <c r="L425" s="1">
        <v>1948</v>
      </c>
      <c r="M425" s="1">
        <v>1989</v>
      </c>
      <c r="N425" s="1">
        <f t="shared" si="180"/>
        <v>1968.5</v>
      </c>
      <c r="O425" s="1">
        <f t="shared" si="181"/>
        <v>42</v>
      </c>
      <c r="P425" s="1">
        <f t="shared" si="157"/>
        <v>3.7376696182833684</v>
      </c>
      <c r="Q425" s="1">
        <v>18</v>
      </c>
      <c r="R425" s="1">
        <v>7</v>
      </c>
      <c r="S425" s="1" t="s">
        <v>26</v>
      </c>
      <c r="T425" s="1">
        <f t="shared" si="182"/>
        <v>0</v>
      </c>
      <c r="U425" s="1">
        <v>1</v>
      </c>
      <c r="V425" s="1">
        <v>1</v>
      </c>
      <c r="W425" s="1">
        <v>0</v>
      </c>
      <c r="X425" s="1">
        <v>0</v>
      </c>
      <c r="Y425" s="1">
        <v>1</v>
      </c>
      <c r="Z425" s="1">
        <v>0</v>
      </c>
      <c r="AA425" s="1">
        <v>0</v>
      </c>
      <c r="AB425" s="1" t="s">
        <v>85</v>
      </c>
      <c r="AC425" s="1">
        <f t="shared" si="155"/>
        <v>1</v>
      </c>
      <c r="AD425" s="1">
        <f t="shared" si="176"/>
        <v>1</v>
      </c>
      <c r="AE425" s="1">
        <v>1</v>
      </c>
      <c r="AF425" s="1">
        <v>7.5999020000000002</v>
      </c>
      <c r="AG425" s="1">
        <v>2.944439</v>
      </c>
      <c r="AH425" s="1">
        <f t="shared" si="172"/>
        <v>-0.64510000000000023</v>
      </c>
      <c r="AI425" s="1">
        <f t="shared" si="158"/>
        <v>-0.11330427556406746</v>
      </c>
      <c r="AJ425" s="1">
        <f t="shared" si="177"/>
        <v>0.17563831276401706</v>
      </c>
      <c r="AK425" s="1">
        <f t="shared" si="178"/>
        <v>32.416154010000007</v>
      </c>
      <c r="AL425" s="1">
        <f t="shared" si="179"/>
        <v>5.6935185966149264</v>
      </c>
      <c r="AM425" s="1">
        <v>1</v>
      </c>
      <c r="AN425" s="1">
        <v>0</v>
      </c>
      <c r="AO425" s="1">
        <v>0</v>
      </c>
      <c r="AP425" s="1">
        <f t="shared" si="159"/>
        <v>0.17677669529663687</v>
      </c>
      <c r="AQ425" s="1">
        <v>1</v>
      </c>
      <c r="AR425" s="1">
        <v>0</v>
      </c>
      <c r="AS425" s="1">
        <v>0</v>
      </c>
      <c r="AT425" s="1">
        <v>0</v>
      </c>
      <c r="AU425" s="4">
        <v>0</v>
      </c>
      <c r="AV425" s="4">
        <v>0</v>
      </c>
      <c r="AW425" s="1">
        <f t="shared" si="160"/>
        <v>8.3333333333333329E-2</v>
      </c>
      <c r="AX425" s="1">
        <f t="shared" si="161"/>
        <v>6.9444444444444441E-3</v>
      </c>
    </row>
    <row r="426" spans="1:50" x14ac:dyDescent="0.25">
      <c r="A426" s="1" t="s">
        <v>31</v>
      </c>
      <c r="B426" s="1">
        <v>1990</v>
      </c>
      <c r="C426" s="1">
        <f t="shared" si="162"/>
        <v>38</v>
      </c>
      <c r="D426" s="1" t="s">
        <v>24</v>
      </c>
      <c r="E426" s="1" t="s">
        <v>32</v>
      </c>
      <c r="F426" s="2">
        <f>-0.2419</f>
        <v>-0.2419</v>
      </c>
      <c r="G426" s="3">
        <v>0.158</v>
      </c>
      <c r="H426" s="1">
        <v>11</v>
      </c>
      <c r="I426" s="1">
        <v>3132</v>
      </c>
      <c r="J426" s="1">
        <f t="shared" si="175"/>
        <v>3121</v>
      </c>
      <c r="K426" s="1">
        <v>1</v>
      </c>
      <c r="L426" s="1">
        <v>1972</v>
      </c>
      <c r="M426" s="1">
        <v>1972</v>
      </c>
      <c r="N426" s="1">
        <f t="shared" ref="N426:N443" si="183">+L426+(M426-L426)/2</f>
        <v>1972</v>
      </c>
      <c r="O426" s="1">
        <f t="shared" si="181"/>
        <v>1</v>
      </c>
      <c r="P426" s="1">
        <f t="shared" si="157"/>
        <v>0</v>
      </c>
      <c r="Q426" s="1">
        <v>84</v>
      </c>
      <c r="R426" s="1">
        <v>11</v>
      </c>
      <c r="S426" s="1" t="s">
        <v>28</v>
      </c>
      <c r="T426" s="1">
        <f t="shared" si="182"/>
        <v>1</v>
      </c>
      <c r="U426" s="1">
        <v>0</v>
      </c>
      <c r="V426" s="1">
        <v>0</v>
      </c>
      <c r="W426" s="1">
        <v>1</v>
      </c>
      <c r="X426" s="1">
        <v>1</v>
      </c>
      <c r="Y426" s="1">
        <v>0</v>
      </c>
      <c r="Z426" s="1">
        <v>0</v>
      </c>
      <c r="AA426" s="1">
        <v>0</v>
      </c>
      <c r="AB426" s="1" t="s">
        <v>85</v>
      </c>
      <c r="AC426" s="1">
        <f t="shared" si="155"/>
        <v>1</v>
      </c>
      <c r="AD426" s="1">
        <f t="shared" si="176"/>
        <v>1</v>
      </c>
      <c r="AE426" s="1">
        <v>1</v>
      </c>
      <c r="AF426" s="1">
        <v>7.5958899999999998</v>
      </c>
      <c r="AG426" s="1">
        <v>4.4426509999999997</v>
      </c>
      <c r="AH426" s="1">
        <f t="shared" si="172"/>
        <v>-1.531012658227848</v>
      </c>
      <c r="AI426" s="1">
        <f t="shared" si="158"/>
        <v>-2.7394846527136613E-2</v>
      </c>
      <c r="AJ426" s="1">
        <f t="shared" si="177"/>
        <v>1.789328545385525E-2</v>
      </c>
      <c r="AK426" s="1">
        <f t="shared" si="178"/>
        <v>3123.3439997596543</v>
      </c>
      <c r="AL426" s="1">
        <f t="shared" si="179"/>
        <v>55.886885758285494</v>
      </c>
      <c r="AM426" s="1">
        <v>0</v>
      </c>
      <c r="AN426" s="1">
        <v>0</v>
      </c>
      <c r="AO426" s="1">
        <v>1</v>
      </c>
      <c r="AP426" s="1">
        <f t="shared" si="159"/>
        <v>1.7900003490501019E-2</v>
      </c>
      <c r="AQ426" s="1">
        <v>1</v>
      </c>
      <c r="AR426" s="1">
        <v>0</v>
      </c>
      <c r="AS426" s="1">
        <v>0</v>
      </c>
      <c r="AT426" s="1">
        <v>0</v>
      </c>
      <c r="AU426" s="4">
        <v>0</v>
      </c>
      <c r="AV426" s="4">
        <v>1</v>
      </c>
      <c r="AW426" s="1">
        <f t="shared" si="160"/>
        <v>1</v>
      </c>
      <c r="AX426" s="1">
        <f t="shared" si="161"/>
        <v>1</v>
      </c>
    </row>
    <row r="427" spans="1:50" x14ac:dyDescent="0.25">
      <c r="A427" s="1" t="s">
        <v>54</v>
      </c>
      <c r="B427" s="1">
        <v>2008</v>
      </c>
      <c r="C427" s="1">
        <f t="shared" si="162"/>
        <v>39</v>
      </c>
      <c r="D427" s="1" t="s">
        <v>24</v>
      </c>
      <c r="E427" s="1" t="s">
        <v>25</v>
      </c>
      <c r="F427" s="2">
        <v>3.0000000000000001E-3</v>
      </c>
      <c r="G427" s="3">
        <v>8.9999999999999993E-3</v>
      </c>
      <c r="H427" s="1">
        <v>7</v>
      </c>
      <c r="I427" s="1">
        <v>396</v>
      </c>
      <c r="J427" s="1">
        <f t="shared" si="175"/>
        <v>389</v>
      </c>
      <c r="K427" s="1">
        <v>11</v>
      </c>
      <c r="L427" s="1">
        <v>2002</v>
      </c>
      <c r="M427" s="1">
        <v>2002</v>
      </c>
      <c r="N427" s="1">
        <f t="shared" si="183"/>
        <v>2002</v>
      </c>
      <c r="O427" s="1">
        <f t="shared" si="181"/>
        <v>1</v>
      </c>
      <c r="P427" s="1">
        <f t="shared" si="157"/>
        <v>0</v>
      </c>
      <c r="Q427" s="1">
        <v>21</v>
      </c>
      <c r="R427" s="1">
        <v>0</v>
      </c>
      <c r="S427" s="1" t="s">
        <v>26</v>
      </c>
      <c r="T427" s="1">
        <f t="shared" si="182"/>
        <v>0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1</v>
      </c>
      <c r="AA427" s="1">
        <v>0</v>
      </c>
      <c r="AB427" s="1" t="s">
        <v>85</v>
      </c>
      <c r="AC427" s="1">
        <f t="shared" si="155"/>
        <v>1</v>
      </c>
      <c r="AD427" s="1">
        <f t="shared" si="176"/>
        <v>1</v>
      </c>
      <c r="AE427" s="1">
        <v>1</v>
      </c>
      <c r="AF427" s="1">
        <v>7.604895</v>
      </c>
      <c r="AG427" s="1">
        <v>3.091043</v>
      </c>
      <c r="AH427" s="1">
        <f t="shared" si="172"/>
        <v>0.33333333333333337</v>
      </c>
      <c r="AI427" s="1">
        <f t="shared" si="158"/>
        <v>1.6898257710466581E-2</v>
      </c>
      <c r="AJ427" s="1">
        <f t="shared" si="177"/>
        <v>5.0694773131399737E-2</v>
      </c>
      <c r="AK427" s="1">
        <f t="shared" si="178"/>
        <v>389.1111111111112</v>
      </c>
      <c r="AL427" s="1">
        <f t="shared" si="179"/>
        <v>19.725899500684655</v>
      </c>
      <c r="AM427" s="1">
        <v>0</v>
      </c>
      <c r="AN427" s="1">
        <v>0</v>
      </c>
      <c r="AO427" s="1">
        <v>1</v>
      </c>
      <c r="AP427" s="1">
        <f t="shared" si="159"/>
        <v>5.0702012656339383E-2</v>
      </c>
      <c r="AQ427" s="1">
        <v>1</v>
      </c>
      <c r="AR427" s="1">
        <v>0</v>
      </c>
      <c r="AS427" s="1">
        <v>0</v>
      </c>
      <c r="AT427" s="1">
        <v>0</v>
      </c>
      <c r="AU427" s="4">
        <v>0</v>
      </c>
      <c r="AV427" s="4">
        <v>1</v>
      </c>
      <c r="AW427" s="1">
        <f t="shared" si="160"/>
        <v>9.0909090909090912E-2</v>
      </c>
      <c r="AX427" s="1">
        <f t="shared" si="161"/>
        <v>8.2644628099173556E-3</v>
      </c>
    </row>
    <row r="428" spans="1:50" x14ac:dyDescent="0.25">
      <c r="A428" s="1" t="s">
        <v>54</v>
      </c>
      <c r="B428" s="1">
        <v>2008</v>
      </c>
      <c r="C428" s="1">
        <f t="shared" si="162"/>
        <v>39</v>
      </c>
      <c r="D428" s="1" t="s">
        <v>24</v>
      </c>
      <c r="E428" s="1" t="s">
        <v>25</v>
      </c>
      <c r="F428" s="2">
        <v>-3.0000000000000001E-3</v>
      </c>
      <c r="G428" s="3">
        <v>2.1999999999999999E-2</v>
      </c>
      <c r="H428" s="1">
        <v>7</v>
      </c>
      <c r="I428" s="1">
        <v>237</v>
      </c>
      <c r="J428" s="1">
        <f t="shared" si="175"/>
        <v>230</v>
      </c>
      <c r="K428" s="1">
        <v>11</v>
      </c>
      <c r="L428" s="1">
        <v>2002</v>
      </c>
      <c r="M428" s="1">
        <v>2002</v>
      </c>
      <c r="N428" s="1">
        <f t="shared" ref="N428:N431" si="184">+L428+(M428-L428)/2</f>
        <v>2002</v>
      </c>
      <c r="O428" s="1">
        <f t="shared" si="181"/>
        <v>1</v>
      </c>
      <c r="P428" s="1">
        <f t="shared" si="157"/>
        <v>0</v>
      </c>
      <c r="Q428" s="1">
        <v>21</v>
      </c>
      <c r="R428" s="1">
        <v>0</v>
      </c>
      <c r="S428" s="1" t="s">
        <v>26</v>
      </c>
      <c r="T428" s="1">
        <f t="shared" si="182"/>
        <v>0</v>
      </c>
      <c r="U428" s="1">
        <v>0</v>
      </c>
      <c r="V428" s="1">
        <v>0</v>
      </c>
      <c r="W428" s="1">
        <v>1</v>
      </c>
      <c r="X428" s="1">
        <v>0</v>
      </c>
      <c r="Y428" s="1">
        <v>0</v>
      </c>
      <c r="Z428" s="1">
        <v>1</v>
      </c>
      <c r="AA428" s="1">
        <v>0</v>
      </c>
      <c r="AB428" s="1" t="s">
        <v>85</v>
      </c>
      <c r="AC428" s="1">
        <f t="shared" ref="AC428:AC443" si="185">IF(AB428="USA",1,IF(AB428="UK",2,IF(AB428="Canada",3,IF(AB428="Germany",4,IF(AB428="Netherlands",5,IF(AB428="India",20,IF(AB428="Indonesia",7,IF(AB428="Korea",8,IF(AB428="Philippines",9,IF(AB428="Taiwan",10,IF(AB428="Greece",11,IF(AB428="Iran",12,IF(AB428="Israel",13,IF(AB428="Kuwait",14,IF(AB428="Lebanon",15,IF(AB428="Saudi Arabia",16,IF(AB428="Turkey",17,IF(AB428="Ethiopia",18,IF(AB428="Kenya",19,IF(AB428="Nigeria",20,IF(AB428="Multinational",6,"")))))))))))))))))))))</f>
        <v>1</v>
      </c>
      <c r="AD428" s="1">
        <f t="shared" si="176"/>
        <v>1</v>
      </c>
      <c r="AE428" s="1">
        <v>1</v>
      </c>
      <c r="AF428" s="1">
        <v>7.604895</v>
      </c>
      <c r="AG428" s="1">
        <v>3.091043</v>
      </c>
      <c r="AH428" s="1">
        <f t="shared" si="172"/>
        <v>-0.13636363636363638</v>
      </c>
      <c r="AI428" s="1">
        <f t="shared" si="158"/>
        <v>-8.9911884574604539E-3</v>
      </c>
      <c r="AJ428" s="1">
        <f t="shared" si="177"/>
        <v>6.5935382021376651E-2</v>
      </c>
      <c r="AK428" s="1">
        <f t="shared" si="178"/>
        <v>230.01859504132236</v>
      </c>
      <c r="AL428" s="1">
        <f t="shared" si="179"/>
        <v>15.166363936069923</v>
      </c>
      <c r="AM428" s="1">
        <v>0</v>
      </c>
      <c r="AN428" s="1">
        <v>0</v>
      </c>
      <c r="AO428" s="1">
        <v>1</v>
      </c>
      <c r="AP428" s="1">
        <f t="shared" si="159"/>
        <v>6.5938047339578698E-2</v>
      </c>
      <c r="AQ428" s="1">
        <v>1</v>
      </c>
      <c r="AR428" s="1">
        <v>0</v>
      </c>
      <c r="AS428" s="1">
        <v>0</v>
      </c>
      <c r="AT428" s="1">
        <v>0</v>
      </c>
      <c r="AU428" s="4">
        <v>0</v>
      </c>
      <c r="AV428" s="4">
        <v>1</v>
      </c>
      <c r="AW428" s="1">
        <f t="shared" si="160"/>
        <v>9.0909090909090912E-2</v>
      </c>
      <c r="AX428" s="1">
        <f t="shared" si="161"/>
        <v>8.2644628099173556E-3</v>
      </c>
    </row>
    <row r="429" spans="1:50" x14ac:dyDescent="0.25">
      <c r="A429" s="1" t="s">
        <v>54</v>
      </c>
      <c r="B429" s="1">
        <v>2008</v>
      </c>
      <c r="C429" s="1">
        <f t="shared" si="162"/>
        <v>39</v>
      </c>
      <c r="D429" s="1" t="s">
        <v>24</v>
      </c>
      <c r="E429" s="1" t="s">
        <v>25</v>
      </c>
      <c r="F429" s="2">
        <v>-1.4999999999999999E-2</v>
      </c>
      <c r="G429" s="3">
        <v>6.0000000000000001E-3</v>
      </c>
      <c r="H429" s="1">
        <v>7</v>
      </c>
      <c r="I429" s="1">
        <v>459</v>
      </c>
      <c r="J429" s="1">
        <f t="shared" si="175"/>
        <v>452</v>
      </c>
      <c r="K429" s="1">
        <v>11</v>
      </c>
      <c r="L429" s="1">
        <v>2002</v>
      </c>
      <c r="M429" s="1">
        <v>2002</v>
      </c>
      <c r="N429" s="1">
        <f t="shared" si="184"/>
        <v>2002</v>
      </c>
      <c r="O429" s="1">
        <f t="shared" si="181"/>
        <v>1</v>
      </c>
      <c r="P429" s="1">
        <f t="shared" si="157"/>
        <v>0</v>
      </c>
      <c r="Q429" s="1">
        <v>21</v>
      </c>
      <c r="R429" s="1">
        <v>0</v>
      </c>
      <c r="S429" s="1" t="s">
        <v>26</v>
      </c>
      <c r="T429" s="1">
        <f t="shared" si="182"/>
        <v>0</v>
      </c>
      <c r="U429" s="1">
        <v>0</v>
      </c>
      <c r="V429" s="1">
        <v>0</v>
      </c>
      <c r="W429" s="1">
        <v>1</v>
      </c>
      <c r="X429" s="1">
        <v>0</v>
      </c>
      <c r="Y429" s="1">
        <v>0</v>
      </c>
      <c r="Z429" s="1">
        <v>1</v>
      </c>
      <c r="AA429" s="1">
        <v>0</v>
      </c>
      <c r="AB429" s="1" t="s">
        <v>85</v>
      </c>
      <c r="AC429" s="1">
        <f t="shared" si="185"/>
        <v>1</v>
      </c>
      <c r="AD429" s="1">
        <f t="shared" si="176"/>
        <v>1</v>
      </c>
      <c r="AE429" s="1">
        <v>1</v>
      </c>
      <c r="AF429" s="1">
        <v>7.604895</v>
      </c>
      <c r="AG429" s="1">
        <v>3.091043</v>
      </c>
      <c r="AH429" s="1">
        <f t="shared" si="172"/>
        <v>-2.5</v>
      </c>
      <c r="AI429" s="1">
        <f t="shared" si="158"/>
        <v>-0.11678545896676293</v>
      </c>
      <c r="AJ429" s="1">
        <f t="shared" si="177"/>
        <v>4.671418358670517E-2</v>
      </c>
      <c r="AK429" s="1">
        <f t="shared" si="178"/>
        <v>458.25000000000006</v>
      </c>
      <c r="AL429" s="1">
        <f t="shared" si="179"/>
        <v>21.406774628607646</v>
      </c>
      <c r="AM429" s="1">
        <v>0</v>
      </c>
      <c r="AN429" s="1">
        <v>0</v>
      </c>
      <c r="AO429" s="1">
        <v>1</v>
      </c>
      <c r="AP429" s="1">
        <f t="shared" si="159"/>
        <v>4.7036043419179864E-2</v>
      </c>
      <c r="AQ429" s="1">
        <v>1</v>
      </c>
      <c r="AR429" s="1">
        <v>0</v>
      </c>
      <c r="AS429" s="1">
        <v>0</v>
      </c>
      <c r="AT429" s="1">
        <v>0</v>
      </c>
      <c r="AU429" s="4">
        <v>0</v>
      </c>
      <c r="AV429" s="4">
        <v>1</v>
      </c>
      <c r="AW429" s="1">
        <f t="shared" si="160"/>
        <v>9.0909090909090912E-2</v>
      </c>
      <c r="AX429" s="1">
        <f t="shared" si="161"/>
        <v>8.2644628099173556E-3</v>
      </c>
    </row>
    <row r="430" spans="1:50" x14ac:dyDescent="0.25">
      <c r="A430" s="1" t="s">
        <v>54</v>
      </c>
      <c r="B430" s="1">
        <v>2008</v>
      </c>
      <c r="C430" s="1">
        <f t="shared" si="162"/>
        <v>39</v>
      </c>
      <c r="D430" s="1" t="s">
        <v>24</v>
      </c>
      <c r="E430" s="1" t="s">
        <v>25</v>
      </c>
      <c r="F430" s="2">
        <v>-3.0000000000000001E-3</v>
      </c>
      <c r="G430" s="3">
        <v>4.1000000000000002E-2</v>
      </c>
      <c r="H430" s="1">
        <v>7</v>
      </c>
      <c r="I430" s="1">
        <v>442</v>
      </c>
      <c r="J430" s="1">
        <f t="shared" si="175"/>
        <v>435</v>
      </c>
      <c r="K430" s="1">
        <v>11</v>
      </c>
      <c r="L430" s="1">
        <v>2002</v>
      </c>
      <c r="M430" s="1">
        <v>2002</v>
      </c>
      <c r="N430" s="1">
        <f t="shared" si="184"/>
        <v>2002</v>
      </c>
      <c r="O430" s="1">
        <f t="shared" si="181"/>
        <v>1</v>
      </c>
      <c r="P430" s="1">
        <f t="shared" si="157"/>
        <v>0</v>
      </c>
      <c r="Q430" s="1">
        <v>21</v>
      </c>
      <c r="R430" s="1">
        <v>0</v>
      </c>
      <c r="S430" s="1" t="s">
        <v>26</v>
      </c>
      <c r="T430" s="1">
        <f t="shared" si="182"/>
        <v>0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1</v>
      </c>
      <c r="AA430" s="1">
        <v>0</v>
      </c>
      <c r="AB430" s="1" t="s">
        <v>85</v>
      </c>
      <c r="AC430" s="1">
        <f t="shared" si="185"/>
        <v>1</v>
      </c>
      <c r="AD430" s="1">
        <f t="shared" si="176"/>
        <v>1</v>
      </c>
      <c r="AE430" s="1">
        <v>1</v>
      </c>
      <c r="AF430" s="1">
        <v>7.604895</v>
      </c>
      <c r="AG430" s="1">
        <v>3.091043</v>
      </c>
      <c r="AH430" s="1">
        <f t="shared" si="172"/>
        <v>-7.3170731707317069E-2</v>
      </c>
      <c r="AI430" s="1">
        <f t="shared" si="158"/>
        <v>-3.5082464700636716E-3</v>
      </c>
      <c r="AJ430" s="1">
        <f t="shared" si="177"/>
        <v>4.7946035090870184E-2</v>
      </c>
      <c r="AK430" s="1">
        <f t="shared" si="178"/>
        <v>435.00535395597848</v>
      </c>
      <c r="AL430" s="1">
        <f t="shared" si="179"/>
        <v>20.856781965489752</v>
      </c>
      <c r="AM430" s="1">
        <v>0</v>
      </c>
      <c r="AN430" s="1">
        <v>0</v>
      </c>
      <c r="AO430" s="1">
        <v>1</v>
      </c>
      <c r="AP430" s="1">
        <f t="shared" si="159"/>
        <v>4.7946330148538413E-2</v>
      </c>
      <c r="AQ430" s="1">
        <v>1</v>
      </c>
      <c r="AR430" s="1">
        <v>0</v>
      </c>
      <c r="AS430" s="1">
        <v>0</v>
      </c>
      <c r="AT430" s="1">
        <v>0</v>
      </c>
      <c r="AU430" s="4">
        <v>0</v>
      </c>
      <c r="AV430" s="4">
        <v>1</v>
      </c>
      <c r="AW430" s="1">
        <f t="shared" si="160"/>
        <v>9.0909090909090912E-2</v>
      </c>
      <c r="AX430" s="1">
        <f t="shared" si="161"/>
        <v>8.2644628099173556E-3</v>
      </c>
    </row>
    <row r="431" spans="1:50" x14ac:dyDescent="0.25">
      <c r="A431" s="1" t="s">
        <v>54</v>
      </c>
      <c r="B431" s="1">
        <v>2008</v>
      </c>
      <c r="C431" s="1">
        <f t="shared" si="162"/>
        <v>39</v>
      </c>
      <c r="D431" s="1" t="s">
        <v>24</v>
      </c>
      <c r="E431" s="1" t="s">
        <v>25</v>
      </c>
      <c r="F431" s="2">
        <v>-6.0000000000000001E-3</v>
      </c>
      <c r="G431" s="3">
        <v>2.3E-2</v>
      </c>
      <c r="H431" s="1">
        <v>7</v>
      </c>
      <c r="I431" s="1">
        <v>438</v>
      </c>
      <c r="J431" s="1">
        <f t="shared" si="175"/>
        <v>431</v>
      </c>
      <c r="K431" s="1">
        <v>11</v>
      </c>
      <c r="L431" s="1">
        <v>2002</v>
      </c>
      <c r="M431" s="1">
        <v>2002</v>
      </c>
      <c r="N431" s="1">
        <f t="shared" si="184"/>
        <v>2002</v>
      </c>
      <c r="O431" s="1">
        <f t="shared" si="181"/>
        <v>1</v>
      </c>
      <c r="P431" s="1">
        <f t="shared" si="157"/>
        <v>0</v>
      </c>
      <c r="Q431" s="1">
        <v>21</v>
      </c>
      <c r="R431" s="1">
        <v>0</v>
      </c>
      <c r="S431" s="1" t="s">
        <v>26</v>
      </c>
      <c r="T431" s="1">
        <f t="shared" si="182"/>
        <v>0</v>
      </c>
      <c r="U431" s="1">
        <v>0</v>
      </c>
      <c r="V431" s="1">
        <v>0</v>
      </c>
      <c r="W431" s="1">
        <v>1</v>
      </c>
      <c r="X431" s="1">
        <v>0</v>
      </c>
      <c r="Y431" s="1">
        <v>0</v>
      </c>
      <c r="Z431" s="1">
        <v>1</v>
      </c>
      <c r="AA431" s="1">
        <v>0</v>
      </c>
      <c r="AB431" s="1" t="s">
        <v>85</v>
      </c>
      <c r="AC431" s="1">
        <f t="shared" si="185"/>
        <v>1</v>
      </c>
      <c r="AD431" s="1">
        <f t="shared" si="176"/>
        <v>1</v>
      </c>
      <c r="AE431" s="1">
        <v>1</v>
      </c>
      <c r="AF431" s="1">
        <v>7.604895</v>
      </c>
      <c r="AG431" s="1">
        <v>3.091043</v>
      </c>
      <c r="AH431" s="1">
        <f t="shared" si="172"/>
        <v>-0.2608695652173913</v>
      </c>
      <c r="AI431" s="1">
        <f t="shared" si="158"/>
        <v>-1.2564652893540985E-2</v>
      </c>
      <c r="AJ431" s="1">
        <f t="shared" si="177"/>
        <v>4.8164502758573778E-2</v>
      </c>
      <c r="AK431" s="1">
        <f t="shared" si="178"/>
        <v>431.06805293005664</v>
      </c>
      <c r="AL431" s="1">
        <f t="shared" si="179"/>
        <v>20.762178424482741</v>
      </c>
      <c r="AM431" s="1">
        <v>0</v>
      </c>
      <c r="AN431" s="1">
        <v>0</v>
      </c>
      <c r="AO431" s="1">
        <v>1</v>
      </c>
      <c r="AP431" s="1">
        <f t="shared" si="159"/>
        <v>4.8168305085908802E-2</v>
      </c>
      <c r="AQ431" s="1">
        <v>1</v>
      </c>
      <c r="AR431" s="1">
        <v>0</v>
      </c>
      <c r="AS431" s="1">
        <v>0</v>
      </c>
      <c r="AT431" s="1">
        <v>0</v>
      </c>
      <c r="AU431" s="4">
        <v>0</v>
      </c>
      <c r="AV431" s="4">
        <v>1</v>
      </c>
      <c r="AW431" s="1">
        <f t="shared" si="160"/>
        <v>9.0909090909090912E-2</v>
      </c>
      <c r="AX431" s="1">
        <f t="shared" si="161"/>
        <v>8.2644628099173556E-3</v>
      </c>
    </row>
    <row r="432" spans="1:50" x14ac:dyDescent="0.25">
      <c r="A432" s="1" t="s">
        <v>54</v>
      </c>
      <c r="B432" s="1">
        <v>2010</v>
      </c>
      <c r="C432" s="1">
        <f t="shared" si="162"/>
        <v>39</v>
      </c>
      <c r="D432" s="1" t="s">
        <v>24</v>
      </c>
      <c r="E432" s="1" t="s">
        <v>25</v>
      </c>
      <c r="F432" s="2">
        <v>-1E-3</v>
      </c>
      <c r="G432" s="3">
        <v>6.0000000000000001E-3</v>
      </c>
      <c r="H432" s="1">
        <v>6</v>
      </c>
      <c r="I432" s="1">
        <v>396</v>
      </c>
      <c r="J432" s="1">
        <f t="shared" si="175"/>
        <v>390</v>
      </c>
      <c r="K432" s="1">
        <v>11</v>
      </c>
      <c r="L432" s="1">
        <v>2004</v>
      </c>
      <c r="M432" s="1">
        <v>2004</v>
      </c>
      <c r="N432" s="1">
        <f t="shared" si="183"/>
        <v>2004</v>
      </c>
      <c r="O432" s="1">
        <f t="shared" si="181"/>
        <v>1</v>
      </c>
      <c r="P432" s="1">
        <f t="shared" si="157"/>
        <v>0</v>
      </c>
      <c r="Q432" s="1">
        <v>21</v>
      </c>
      <c r="R432" s="1">
        <v>0</v>
      </c>
      <c r="S432" s="1" t="s">
        <v>26</v>
      </c>
      <c r="T432" s="1">
        <f t="shared" si="182"/>
        <v>0</v>
      </c>
      <c r="U432" s="1">
        <v>0</v>
      </c>
      <c r="V432" s="1">
        <v>0</v>
      </c>
      <c r="W432" s="1">
        <v>1</v>
      </c>
      <c r="X432" s="1">
        <v>0</v>
      </c>
      <c r="Y432" s="1">
        <v>0</v>
      </c>
      <c r="Z432" s="1">
        <v>1</v>
      </c>
      <c r="AA432" s="1">
        <v>0</v>
      </c>
      <c r="AB432" s="1" t="s">
        <v>85</v>
      </c>
      <c r="AC432" s="1">
        <f t="shared" si="185"/>
        <v>1</v>
      </c>
      <c r="AD432" s="1">
        <f t="shared" si="176"/>
        <v>1</v>
      </c>
      <c r="AE432" s="1">
        <v>1</v>
      </c>
      <c r="AF432" s="1">
        <v>7.604895</v>
      </c>
      <c r="AG432" s="1">
        <v>3.091043</v>
      </c>
      <c r="AH432" s="1">
        <f t="shared" si="172"/>
        <v>-0.16666666666666666</v>
      </c>
      <c r="AI432" s="1">
        <f t="shared" si="158"/>
        <v>-8.4391941899449163E-3</v>
      </c>
      <c r="AJ432" s="1">
        <f t="shared" si="177"/>
        <v>5.0635165139669501E-2</v>
      </c>
      <c r="AK432" s="1">
        <f t="shared" si="178"/>
        <v>390.02777777777771</v>
      </c>
      <c r="AL432" s="1">
        <f t="shared" si="179"/>
        <v>19.749120936836093</v>
      </c>
      <c r="AM432" s="1">
        <v>0</v>
      </c>
      <c r="AN432" s="1">
        <v>0</v>
      </c>
      <c r="AO432" s="1">
        <v>1</v>
      </c>
      <c r="AP432" s="1">
        <f t="shared" si="159"/>
        <v>5.0636968354183333E-2</v>
      </c>
      <c r="AQ432" s="1">
        <v>1</v>
      </c>
      <c r="AR432" s="1">
        <v>0</v>
      </c>
      <c r="AS432" s="1">
        <v>0</v>
      </c>
      <c r="AT432" s="1">
        <v>0</v>
      </c>
      <c r="AU432" s="4">
        <v>0</v>
      </c>
      <c r="AV432" s="4">
        <v>1</v>
      </c>
      <c r="AW432" s="1">
        <f t="shared" si="160"/>
        <v>9.0909090909090912E-2</v>
      </c>
      <c r="AX432" s="1">
        <f t="shared" si="161"/>
        <v>8.2644628099173556E-3</v>
      </c>
    </row>
    <row r="433" spans="1:50" x14ac:dyDescent="0.25">
      <c r="A433" s="1" t="s">
        <v>54</v>
      </c>
      <c r="B433" s="1">
        <v>2008</v>
      </c>
      <c r="C433" s="1">
        <f t="shared" si="162"/>
        <v>39</v>
      </c>
      <c r="D433" s="1" t="s">
        <v>24</v>
      </c>
      <c r="E433" s="1" t="s">
        <v>25</v>
      </c>
      <c r="F433" s="2">
        <v>-4.0000000000000001E-3</v>
      </c>
      <c r="G433" s="3">
        <v>0.03</v>
      </c>
      <c r="H433" s="1">
        <v>6</v>
      </c>
      <c r="I433" s="1">
        <v>237</v>
      </c>
      <c r="J433" s="1">
        <f t="shared" si="175"/>
        <v>231</v>
      </c>
      <c r="K433" s="1">
        <v>11</v>
      </c>
      <c r="L433" s="1">
        <v>2004</v>
      </c>
      <c r="M433" s="1">
        <v>2004</v>
      </c>
      <c r="N433" s="1">
        <f t="shared" ref="N433:N437" si="186">+L433+(M433-L433)/2</f>
        <v>2004</v>
      </c>
      <c r="O433" s="1">
        <f t="shared" si="181"/>
        <v>1</v>
      </c>
      <c r="P433" s="1">
        <f t="shared" si="157"/>
        <v>0</v>
      </c>
      <c r="Q433" s="1">
        <v>21</v>
      </c>
      <c r="R433" s="1">
        <v>0</v>
      </c>
      <c r="S433" s="1" t="s">
        <v>26</v>
      </c>
      <c r="T433" s="1">
        <f t="shared" si="182"/>
        <v>0</v>
      </c>
      <c r="U433" s="1">
        <v>0</v>
      </c>
      <c r="V433" s="1">
        <v>0</v>
      </c>
      <c r="W433" s="1">
        <v>1</v>
      </c>
      <c r="X433" s="1">
        <v>0</v>
      </c>
      <c r="Y433" s="1">
        <v>0</v>
      </c>
      <c r="Z433" s="1">
        <v>1</v>
      </c>
      <c r="AA433" s="1">
        <v>0</v>
      </c>
      <c r="AB433" s="1" t="s">
        <v>85</v>
      </c>
      <c r="AC433" s="1">
        <f t="shared" si="185"/>
        <v>1</v>
      </c>
      <c r="AD433" s="1">
        <f t="shared" si="176"/>
        <v>1</v>
      </c>
      <c r="AE433" s="1">
        <v>1</v>
      </c>
      <c r="AF433" s="1">
        <v>7.604895</v>
      </c>
      <c r="AG433" s="1">
        <v>3.091043</v>
      </c>
      <c r="AH433" s="1">
        <f t="shared" si="172"/>
        <v>-0.13333333333333333</v>
      </c>
      <c r="AI433" s="1">
        <f t="shared" si="158"/>
        <v>-8.7723517121932274E-3</v>
      </c>
      <c r="AJ433" s="1">
        <f t="shared" si="177"/>
        <v>6.5792637841449203E-2</v>
      </c>
      <c r="AK433" s="1">
        <f t="shared" si="178"/>
        <v>231.01777777777778</v>
      </c>
      <c r="AL433" s="1">
        <f t="shared" si="179"/>
        <v>15.199268988269724</v>
      </c>
      <c r="AM433" s="1">
        <v>0</v>
      </c>
      <c r="AN433" s="1">
        <v>0</v>
      </c>
      <c r="AO433" s="1">
        <v>1</v>
      </c>
      <c r="AP433" s="1">
        <f t="shared" si="159"/>
        <v>6.5795169495976899E-2</v>
      </c>
      <c r="AQ433" s="1">
        <v>1</v>
      </c>
      <c r="AR433" s="1">
        <v>0</v>
      </c>
      <c r="AS433" s="1">
        <v>0</v>
      </c>
      <c r="AT433" s="1">
        <v>0</v>
      </c>
      <c r="AU433" s="4">
        <v>0</v>
      </c>
      <c r="AV433" s="4">
        <v>1</v>
      </c>
      <c r="AW433" s="1">
        <f t="shared" si="160"/>
        <v>9.0909090909090912E-2</v>
      </c>
      <c r="AX433" s="1">
        <f t="shared" si="161"/>
        <v>8.2644628099173556E-3</v>
      </c>
    </row>
    <row r="434" spans="1:50" x14ac:dyDescent="0.25">
      <c r="A434" s="1" t="s">
        <v>54</v>
      </c>
      <c r="B434" s="1">
        <v>2008</v>
      </c>
      <c r="C434" s="1">
        <f t="shared" si="162"/>
        <v>39</v>
      </c>
      <c r="D434" s="1" t="s">
        <v>24</v>
      </c>
      <c r="E434" s="1" t="s">
        <v>25</v>
      </c>
      <c r="F434" s="2">
        <v>-8.9999999999999993E-3</v>
      </c>
      <c r="G434" s="3">
        <v>2.3E-2</v>
      </c>
      <c r="H434" s="1">
        <v>6</v>
      </c>
      <c r="I434" s="1">
        <v>459</v>
      </c>
      <c r="J434" s="1">
        <f t="shared" si="175"/>
        <v>453</v>
      </c>
      <c r="K434" s="1">
        <v>11</v>
      </c>
      <c r="L434" s="1">
        <v>2004</v>
      </c>
      <c r="M434" s="1">
        <v>2004</v>
      </c>
      <c r="N434" s="1">
        <f t="shared" si="186"/>
        <v>2004</v>
      </c>
      <c r="O434" s="1">
        <f t="shared" si="181"/>
        <v>1</v>
      </c>
      <c r="P434" s="1">
        <f t="shared" si="157"/>
        <v>0</v>
      </c>
      <c r="Q434" s="1">
        <v>21</v>
      </c>
      <c r="R434" s="1">
        <v>0</v>
      </c>
      <c r="S434" s="1" t="s">
        <v>26</v>
      </c>
      <c r="T434" s="1">
        <f t="shared" si="182"/>
        <v>0</v>
      </c>
      <c r="U434" s="1">
        <v>0</v>
      </c>
      <c r="V434" s="1">
        <v>0</v>
      </c>
      <c r="W434" s="1">
        <v>1</v>
      </c>
      <c r="X434" s="1">
        <v>0</v>
      </c>
      <c r="Y434" s="1">
        <v>0</v>
      </c>
      <c r="Z434" s="1">
        <v>1</v>
      </c>
      <c r="AA434" s="1">
        <v>0</v>
      </c>
      <c r="AB434" s="1" t="s">
        <v>85</v>
      </c>
      <c r="AC434" s="1">
        <f t="shared" si="185"/>
        <v>1</v>
      </c>
      <c r="AD434" s="1">
        <f t="shared" si="176"/>
        <v>1</v>
      </c>
      <c r="AE434" s="1">
        <v>1</v>
      </c>
      <c r="AF434" s="1">
        <v>7.604895</v>
      </c>
      <c r="AG434" s="1">
        <v>3.091043</v>
      </c>
      <c r="AH434" s="1">
        <f t="shared" si="172"/>
        <v>-0.39130434782608692</v>
      </c>
      <c r="AI434" s="1">
        <f t="shared" si="158"/>
        <v>-1.8381975655763598E-2</v>
      </c>
      <c r="AJ434" s="1">
        <f t="shared" si="177"/>
        <v>4.6976160009173644E-2</v>
      </c>
      <c r="AK434" s="1">
        <f t="shared" si="178"/>
        <v>453.15311909262766</v>
      </c>
      <c r="AL434" s="1">
        <f t="shared" si="179"/>
        <v>21.287393431151397</v>
      </c>
      <c r="AM434" s="1">
        <v>0</v>
      </c>
      <c r="AN434" s="1">
        <v>0</v>
      </c>
      <c r="AO434" s="1">
        <v>1</v>
      </c>
      <c r="AP434" s="1">
        <f t="shared" si="159"/>
        <v>4.6984098573493956E-2</v>
      </c>
      <c r="AQ434" s="1">
        <v>1</v>
      </c>
      <c r="AR434" s="1">
        <v>0</v>
      </c>
      <c r="AS434" s="1">
        <v>0</v>
      </c>
      <c r="AT434" s="1">
        <v>0</v>
      </c>
      <c r="AU434" s="4">
        <v>0</v>
      </c>
      <c r="AV434" s="4">
        <v>1</v>
      </c>
      <c r="AW434" s="1">
        <f t="shared" si="160"/>
        <v>9.0909090909090912E-2</v>
      </c>
      <c r="AX434" s="1">
        <f t="shared" si="161"/>
        <v>8.2644628099173556E-3</v>
      </c>
    </row>
    <row r="435" spans="1:50" x14ac:dyDescent="0.25">
      <c r="A435" s="1" t="s">
        <v>54</v>
      </c>
      <c r="B435" s="1">
        <v>2008</v>
      </c>
      <c r="C435" s="1">
        <f t="shared" si="162"/>
        <v>39</v>
      </c>
      <c r="D435" s="1" t="s">
        <v>24</v>
      </c>
      <c r="E435" s="1" t="s">
        <v>25</v>
      </c>
      <c r="F435" s="2">
        <v>2E-3</v>
      </c>
      <c r="G435" s="3">
        <v>7.9000000000000001E-2</v>
      </c>
      <c r="H435" s="1">
        <v>6</v>
      </c>
      <c r="I435" s="1">
        <v>442</v>
      </c>
      <c r="J435" s="1">
        <f t="shared" si="175"/>
        <v>436</v>
      </c>
      <c r="K435" s="1">
        <v>11</v>
      </c>
      <c r="L435" s="1">
        <v>2004</v>
      </c>
      <c r="M435" s="1">
        <v>2004</v>
      </c>
      <c r="N435" s="1">
        <f t="shared" si="186"/>
        <v>2004</v>
      </c>
      <c r="O435" s="1">
        <f t="shared" si="181"/>
        <v>1</v>
      </c>
      <c r="P435" s="1">
        <f t="shared" si="157"/>
        <v>0</v>
      </c>
      <c r="Q435" s="1">
        <v>21</v>
      </c>
      <c r="R435" s="1">
        <v>0</v>
      </c>
      <c r="S435" s="1" t="s">
        <v>26</v>
      </c>
      <c r="T435" s="1">
        <f t="shared" si="182"/>
        <v>0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1</v>
      </c>
      <c r="AA435" s="1">
        <v>0</v>
      </c>
      <c r="AB435" s="1" t="s">
        <v>85</v>
      </c>
      <c r="AC435" s="1">
        <f t="shared" si="185"/>
        <v>1</v>
      </c>
      <c r="AD435" s="1">
        <f t="shared" si="176"/>
        <v>1</v>
      </c>
      <c r="AE435" s="1">
        <v>1</v>
      </c>
      <c r="AF435" s="1">
        <v>7.604895</v>
      </c>
      <c r="AG435" s="1">
        <v>3.091043</v>
      </c>
      <c r="AH435" s="1">
        <f t="shared" si="172"/>
        <v>2.5316455696202531E-2</v>
      </c>
      <c r="AI435" s="1">
        <f t="shared" si="158"/>
        <v>1.2124374445777097E-3</v>
      </c>
      <c r="AJ435" s="1">
        <f t="shared" si="177"/>
        <v>4.7891279060819532E-2</v>
      </c>
      <c r="AK435" s="1">
        <f t="shared" si="178"/>
        <v>436.00064092292899</v>
      </c>
      <c r="AL435" s="1">
        <f t="shared" si="179"/>
        <v>20.880628365136165</v>
      </c>
      <c r="AM435" s="1">
        <v>0</v>
      </c>
      <c r="AN435" s="1">
        <v>0</v>
      </c>
      <c r="AO435" s="1">
        <v>1</v>
      </c>
      <c r="AP435" s="1">
        <f t="shared" si="159"/>
        <v>4.7891314261057569E-2</v>
      </c>
      <c r="AQ435" s="1">
        <v>1</v>
      </c>
      <c r="AR435" s="1">
        <v>0</v>
      </c>
      <c r="AS435" s="1">
        <v>0</v>
      </c>
      <c r="AT435" s="1">
        <v>0</v>
      </c>
      <c r="AU435" s="4">
        <v>0</v>
      </c>
      <c r="AV435" s="4">
        <v>1</v>
      </c>
      <c r="AW435" s="1">
        <f t="shared" si="160"/>
        <v>9.0909090909090912E-2</v>
      </c>
      <c r="AX435" s="1">
        <f t="shared" si="161"/>
        <v>8.2644628099173556E-3</v>
      </c>
    </row>
    <row r="436" spans="1:50" x14ac:dyDescent="0.25">
      <c r="A436" s="1" t="s">
        <v>54</v>
      </c>
      <c r="B436" s="1">
        <v>2008</v>
      </c>
      <c r="C436" s="1">
        <f t="shared" si="162"/>
        <v>39</v>
      </c>
      <c r="D436" s="1" t="s">
        <v>24</v>
      </c>
      <c r="E436" s="1" t="s">
        <v>25</v>
      </c>
      <c r="F436" s="2">
        <v>-5.0000000000000001E-3</v>
      </c>
      <c r="G436" s="3">
        <v>3.6999999999999998E-2</v>
      </c>
      <c r="H436" s="1">
        <v>6</v>
      </c>
      <c r="I436" s="1">
        <v>438</v>
      </c>
      <c r="J436" s="1">
        <f t="shared" si="175"/>
        <v>432</v>
      </c>
      <c r="K436" s="1">
        <v>11</v>
      </c>
      <c r="L436" s="1">
        <v>2004</v>
      </c>
      <c r="M436" s="1">
        <v>2004</v>
      </c>
      <c r="N436" s="1">
        <f t="shared" si="186"/>
        <v>2004</v>
      </c>
      <c r="O436" s="1">
        <f t="shared" si="181"/>
        <v>1</v>
      </c>
      <c r="P436" s="1">
        <f t="shared" si="157"/>
        <v>0</v>
      </c>
      <c r="Q436" s="1">
        <v>21</v>
      </c>
      <c r="R436" s="1">
        <v>0</v>
      </c>
      <c r="S436" s="1" t="s">
        <v>26</v>
      </c>
      <c r="T436" s="1">
        <f t="shared" si="182"/>
        <v>0</v>
      </c>
      <c r="U436" s="1">
        <v>0</v>
      </c>
      <c r="V436" s="1">
        <v>0</v>
      </c>
      <c r="W436" s="1">
        <v>1</v>
      </c>
      <c r="X436" s="1">
        <v>0</v>
      </c>
      <c r="Y436" s="1">
        <v>0</v>
      </c>
      <c r="Z436" s="1">
        <v>1</v>
      </c>
      <c r="AA436" s="1">
        <v>0</v>
      </c>
      <c r="AB436" s="1" t="s">
        <v>85</v>
      </c>
      <c r="AC436" s="1">
        <f t="shared" si="185"/>
        <v>1</v>
      </c>
      <c r="AD436" s="1">
        <f t="shared" si="176"/>
        <v>1</v>
      </c>
      <c r="AE436" s="1">
        <v>1</v>
      </c>
      <c r="AF436" s="1">
        <v>7.604895</v>
      </c>
      <c r="AG436" s="1">
        <v>3.091043</v>
      </c>
      <c r="AH436" s="1">
        <f t="shared" si="172"/>
        <v>-0.13513513513513514</v>
      </c>
      <c r="AI436" s="1">
        <f t="shared" si="158"/>
        <v>-6.5015548051880938E-3</v>
      </c>
      <c r="AJ436" s="1">
        <f t="shared" si="177"/>
        <v>4.8111505558391894E-2</v>
      </c>
      <c r="AK436" s="1">
        <f t="shared" si="178"/>
        <v>432.01826150474795</v>
      </c>
      <c r="AL436" s="1">
        <f t="shared" si="179"/>
        <v>20.785048989712482</v>
      </c>
      <c r="AM436" s="1">
        <v>0</v>
      </c>
      <c r="AN436" s="1">
        <v>0</v>
      </c>
      <c r="AO436" s="1">
        <v>1</v>
      </c>
      <c r="AP436" s="1">
        <f t="shared" si="159"/>
        <v>4.8112522432468816E-2</v>
      </c>
      <c r="AQ436" s="1">
        <v>1</v>
      </c>
      <c r="AR436" s="1">
        <v>0</v>
      </c>
      <c r="AS436" s="1">
        <v>0</v>
      </c>
      <c r="AT436" s="1">
        <v>0</v>
      </c>
      <c r="AU436" s="4">
        <v>0</v>
      </c>
      <c r="AV436" s="4">
        <v>1</v>
      </c>
      <c r="AW436" s="1">
        <f t="shared" si="160"/>
        <v>9.0909090909090912E-2</v>
      </c>
      <c r="AX436" s="1">
        <f t="shared" si="161"/>
        <v>8.2644628099173556E-3</v>
      </c>
    </row>
    <row r="437" spans="1:50" x14ac:dyDescent="0.25">
      <c r="A437" s="1" t="s">
        <v>54</v>
      </c>
      <c r="B437" s="1">
        <v>2008</v>
      </c>
      <c r="C437" s="1">
        <f t="shared" si="162"/>
        <v>39</v>
      </c>
      <c r="D437" s="1" t="s">
        <v>24</v>
      </c>
      <c r="E437" s="1" t="s">
        <v>25</v>
      </c>
      <c r="F437" s="2">
        <v>-1.2999999999999999E-2</v>
      </c>
      <c r="G437" s="3">
        <v>6.0000000000000001E-3</v>
      </c>
      <c r="H437" s="1">
        <v>6</v>
      </c>
      <c r="I437" s="1">
        <v>459</v>
      </c>
      <c r="J437" s="1">
        <f t="shared" si="175"/>
        <v>453</v>
      </c>
      <c r="K437" s="1">
        <v>11</v>
      </c>
      <c r="L437" s="1">
        <v>2004</v>
      </c>
      <c r="M437" s="1">
        <v>2004</v>
      </c>
      <c r="N437" s="1">
        <f t="shared" si="186"/>
        <v>2004</v>
      </c>
      <c r="O437" s="1">
        <f t="shared" si="181"/>
        <v>1</v>
      </c>
      <c r="P437" s="1">
        <f t="shared" si="157"/>
        <v>0</v>
      </c>
      <c r="Q437" s="1">
        <v>21</v>
      </c>
      <c r="R437" s="1">
        <v>0</v>
      </c>
      <c r="S437" s="1" t="s">
        <v>26</v>
      </c>
      <c r="T437" s="1">
        <f t="shared" si="182"/>
        <v>0</v>
      </c>
      <c r="U437" s="1">
        <v>0</v>
      </c>
      <c r="V437" s="1">
        <v>0</v>
      </c>
      <c r="W437" s="1">
        <v>1</v>
      </c>
      <c r="X437" s="1">
        <v>0</v>
      </c>
      <c r="Y437" s="1">
        <v>0</v>
      </c>
      <c r="Z437" s="1">
        <v>1</v>
      </c>
      <c r="AA437" s="1">
        <v>0</v>
      </c>
      <c r="AB437" s="1" t="s">
        <v>85</v>
      </c>
      <c r="AC437" s="1">
        <f t="shared" si="185"/>
        <v>1</v>
      </c>
      <c r="AD437" s="1">
        <f t="shared" si="176"/>
        <v>1</v>
      </c>
      <c r="AE437" s="1">
        <v>1</v>
      </c>
      <c r="AF437" s="1">
        <v>7.604895</v>
      </c>
      <c r="AG437" s="1">
        <v>3.091043</v>
      </c>
      <c r="AH437" s="1">
        <f t="shared" si="172"/>
        <v>-2.1666666666666665</v>
      </c>
      <c r="AI437" s="1">
        <f t="shared" si="158"/>
        <v>-0.10127547329221721</v>
      </c>
      <c r="AJ437" s="1">
        <f t="shared" si="177"/>
        <v>4.6742526134869483E-2</v>
      </c>
      <c r="AK437" s="1">
        <f t="shared" si="178"/>
        <v>457.69444444444451</v>
      </c>
      <c r="AL437" s="1">
        <f t="shared" si="179"/>
        <v>21.393794531229013</v>
      </c>
      <c r="AM437" s="1">
        <v>0</v>
      </c>
      <c r="AN437" s="1">
        <v>0</v>
      </c>
      <c r="AO437" s="1">
        <v>1</v>
      </c>
      <c r="AP437" s="1">
        <f t="shared" si="159"/>
        <v>4.6984098573493956E-2</v>
      </c>
      <c r="AQ437" s="1">
        <v>1</v>
      </c>
      <c r="AR437" s="1">
        <v>0</v>
      </c>
      <c r="AS437" s="1">
        <v>0</v>
      </c>
      <c r="AT437" s="1">
        <v>0</v>
      </c>
      <c r="AU437" s="4">
        <v>0</v>
      </c>
      <c r="AV437" s="4">
        <v>1</v>
      </c>
      <c r="AW437" s="1">
        <f t="shared" si="160"/>
        <v>9.0909090909090912E-2</v>
      </c>
      <c r="AX437" s="1">
        <f t="shared" si="161"/>
        <v>8.2644628099173556E-3</v>
      </c>
    </row>
    <row r="438" spans="1:50" x14ac:dyDescent="0.25">
      <c r="A438" s="1" t="s">
        <v>47</v>
      </c>
      <c r="B438" s="1">
        <v>1982</v>
      </c>
      <c r="C438" s="1">
        <f t="shared" si="162"/>
        <v>40</v>
      </c>
      <c r="D438" s="1" t="s">
        <v>24</v>
      </c>
      <c r="E438" s="1" t="s">
        <v>25</v>
      </c>
      <c r="F438" s="2">
        <v>-0.25</v>
      </c>
      <c r="G438" s="3">
        <f>+F438/AH438</f>
        <v>0.19685039370078738</v>
      </c>
      <c r="H438" s="1">
        <v>7</v>
      </c>
      <c r="I438" s="1">
        <v>126</v>
      </c>
      <c r="J438" s="1">
        <f t="shared" si="175"/>
        <v>119</v>
      </c>
      <c r="K438" s="1">
        <v>1</v>
      </c>
      <c r="L438" s="1">
        <v>1969</v>
      </c>
      <c r="M438" s="1">
        <v>1969</v>
      </c>
      <c r="N438" s="1">
        <f t="shared" si="183"/>
        <v>1969</v>
      </c>
      <c r="O438" s="1">
        <f t="shared" si="181"/>
        <v>1</v>
      </c>
      <c r="P438" s="1">
        <f t="shared" si="157"/>
        <v>0</v>
      </c>
      <c r="Q438" s="1">
        <v>13</v>
      </c>
      <c r="R438" s="1">
        <v>2</v>
      </c>
      <c r="S438" s="1" t="s">
        <v>26</v>
      </c>
      <c r="T438" s="1">
        <f t="shared" si="182"/>
        <v>0</v>
      </c>
      <c r="U438" s="1">
        <v>0</v>
      </c>
      <c r="V438" s="1">
        <v>1</v>
      </c>
      <c r="W438" s="1">
        <v>1</v>
      </c>
      <c r="X438" s="1">
        <v>0</v>
      </c>
      <c r="Y438" s="1">
        <v>1</v>
      </c>
      <c r="Z438" s="1">
        <v>0</v>
      </c>
      <c r="AA438" s="1">
        <v>0</v>
      </c>
      <c r="AB438" s="1" t="s">
        <v>85</v>
      </c>
      <c r="AC438" s="1">
        <f t="shared" si="185"/>
        <v>1</v>
      </c>
      <c r="AD438" s="1">
        <f t="shared" si="176"/>
        <v>1</v>
      </c>
      <c r="AE438" s="1">
        <v>1</v>
      </c>
      <c r="AF438" s="1">
        <v>7.5918619999999999</v>
      </c>
      <c r="AG438" s="1">
        <v>2.6390570000000002</v>
      </c>
      <c r="AH438" s="1">
        <v>-1.27</v>
      </c>
      <c r="AI438" s="1">
        <f t="shared" si="158"/>
        <v>-0.11563966931992146</v>
      </c>
      <c r="AJ438" s="1">
        <f t="shared" si="177"/>
        <v>9.105485773222162E-2</v>
      </c>
      <c r="AK438" s="1">
        <f t="shared" si="178"/>
        <v>120.6129</v>
      </c>
      <c r="AL438" s="1">
        <f t="shared" si="179"/>
        <v>10.982390450170673</v>
      </c>
      <c r="AM438" s="1">
        <v>0</v>
      </c>
      <c r="AN438" s="1">
        <v>0</v>
      </c>
      <c r="AO438" s="1">
        <v>1</v>
      </c>
      <c r="AP438" s="1">
        <f t="shared" si="159"/>
        <v>9.1669849702821132E-2</v>
      </c>
      <c r="AQ438" s="1">
        <v>1</v>
      </c>
      <c r="AR438" s="1">
        <v>0</v>
      </c>
      <c r="AS438" s="1">
        <v>0</v>
      </c>
      <c r="AT438" s="1">
        <v>0</v>
      </c>
      <c r="AU438" s="4">
        <v>0</v>
      </c>
      <c r="AV438" s="4">
        <v>1</v>
      </c>
      <c r="AW438" s="1">
        <f t="shared" si="160"/>
        <v>1</v>
      </c>
      <c r="AX438" s="1">
        <f t="shared" si="161"/>
        <v>1</v>
      </c>
    </row>
    <row r="439" spans="1:50" x14ac:dyDescent="0.25">
      <c r="A439" s="1" t="s">
        <v>46</v>
      </c>
      <c r="B439" s="1">
        <v>1978</v>
      </c>
      <c r="C439" s="1">
        <f t="shared" si="162"/>
        <v>41</v>
      </c>
      <c r="D439" s="1" t="s">
        <v>24</v>
      </c>
      <c r="E439" s="1" t="s">
        <v>25</v>
      </c>
      <c r="F439" s="2">
        <v>-2.7109999999999998E-4</v>
      </c>
      <c r="G439" s="3">
        <v>5.5640000000000003E-5</v>
      </c>
      <c r="H439" s="1">
        <v>9</v>
      </c>
      <c r="I439" s="1">
        <v>53</v>
      </c>
      <c r="J439" s="1">
        <f t="shared" si="175"/>
        <v>44</v>
      </c>
      <c r="K439" s="1">
        <v>2</v>
      </c>
      <c r="L439" s="1">
        <v>1959</v>
      </c>
      <c r="M439" s="1">
        <v>1969</v>
      </c>
      <c r="N439" s="1">
        <f t="shared" si="183"/>
        <v>1964</v>
      </c>
      <c r="O439" s="1">
        <v>2</v>
      </c>
      <c r="P439" s="1">
        <f t="shared" si="157"/>
        <v>0.69314718055994529</v>
      </c>
      <c r="Q439" s="1">
        <v>35</v>
      </c>
      <c r="R439" s="1">
        <v>1</v>
      </c>
      <c r="S439" s="1" t="s">
        <v>26</v>
      </c>
      <c r="T439" s="1">
        <f t="shared" si="182"/>
        <v>0</v>
      </c>
      <c r="U439" s="1">
        <v>0</v>
      </c>
      <c r="V439" s="1">
        <v>1</v>
      </c>
      <c r="W439" s="1">
        <v>1</v>
      </c>
      <c r="X439" s="1">
        <v>1</v>
      </c>
      <c r="Y439" s="1">
        <v>0</v>
      </c>
      <c r="Z439" s="1">
        <v>0</v>
      </c>
      <c r="AA439" s="1">
        <v>0</v>
      </c>
      <c r="AB439" s="1" t="s">
        <v>85</v>
      </c>
      <c r="AC439" s="1">
        <f t="shared" si="185"/>
        <v>1</v>
      </c>
      <c r="AD439" s="1">
        <f t="shared" si="176"/>
        <v>1</v>
      </c>
      <c r="AE439" s="1">
        <v>1</v>
      </c>
      <c r="AF439" s="1">
        <v>7.5898409999999998</v>
      </c>
      <c r="AG439" s="1">
        <v>3.5835189999999999</v>
      </c>
      <c r="AH439" s="1">
        <f>+F439/G439</f>
        <v>-4.8723939611790072</v>
      </c>
      <c r="AI439" s="1">
        <f t="shared" si="158"/>
        <v>-0.59199642699398003</v>
      </c>
      <c r="AJ439" s="1">
        <f t="shared" si="177"/>
        <v>0.12150011507910385</v>
      </c>
      <c r="AK439" s="1">
        <f t="shared" si="178"/>
        <v>67.74022291293366</v>
      </c>
      <c r="AL439" s="1">
        <f t="shared" si="179"/>
        <v>8.2304448794055887</v>
      </c>
      <c r="AM439" s="1">
        <v>0</v>
      </c>
      <c r="AN439" s="1">
        <v>0</v>
      </c>
      <c r="AO439" s="1">
        <v>1</v>
      </c>
      <c r="AP439" s="1">
        <f t="shared" si="159"/>
        <v>0.15075567228888181</v>
      </c>
      <c r="AQ439" s="1">
        <v>1</v>
      </c>
      <c r="AR439" s="1">
        <v>0</v>
      </c>
      <c r="AS439" s="1">
        <v>1</v>
      </c>
      <c r="AT439" s="1">
        <v>0</v>
      </c>
      <c r="AU439" s="4">
        <v>0</v>
      </c>
      <c r="AV439" s="4">
        <v>0</v>
      </c>
      <c r="AW439" s="1">
        <f t="shared" si="160"/>
        <v>0.5</v>
      </c>
      <c r="AX439" s="1">
        <f t="shared" si="161"/>
        <v>0.25</v>
      </c>
    </row>
    <row r="440" spans="1:50" x14ac:dyDescent="0.25">
      <c r="A440" s="1" t="s">
        <v>46</v>
      </c>
      <c r="B440" s="1">
        <v>1979</v>
      </c>
      <c r="C440" s="1">
        <f t="shared" si="162"/>
        <v>41</v>
      </c>
      <c r="D440" s="1" t="s">
        <v>24</v>
      </c>
      <c r="E440" s="1" t="s">
        <v>25</v>
      </c>
      <c r="F440" s="2">
        <v>-2.4279999999999999E-4</v>
      </c>
      <c r="G440" s="3">
        <v>5.3159999999999999E-5</v>
      </c>
      <c r="H440" s="1">
        <v>9</v>
      </c>
      <c r="I440" s="1">
        <v>53</v>
      </c>
      <c r="J440" s="1">
        <f t="shared" ref="J440" si="187">+I440-H440</f>
        <v>44</v>
      </c>
      <c r="K440" s="1">
        <v>2</v>
      </c>
      <c r="L440" s="1">
        <v>1959</v>
      </c>
      <c r="M440" s="1">
        <v>1969</v>
      </c>
      <c r="N440" s="1">
        <f t="shared" ref="N440" si="188">+L440+(M440-L440)/2</f>
        <v>1964</v>
      </c>
      <c r="O440" s="1">
        <v>2</v>
      </c>
      <c r="P440" s="1">
        <f t="shared" si="157"/>
        <v>0.69314718055994529</v>
      </c>
      <c r="Q440" s="1">
        <v>35</v>
      </c>
      <c r="R440" s="1">
        <v>1</v>
      </c>
      <c r="S440" s="1" t="s">
        <v>26</v>
      </c>
      <c r="T440" s="1">
        <f t="shared" si="182"/>
        <v>0</v>
      </c>
      <c r="U440" s="1">
        <v>0</v>
      </c>
      <c r="V440" s="1">
        <v>1</v>
      </c>
      <c r="W440" s="1">
        <v>1</v>
      </c>
      <c r="X440" s="1">
        <v>1</v>
      </c>
      <c r="Y440" s="1">
        <v>0</v>
      </c>
      <c r="Z440" s="1">
        <v>0</v>
      </c>
      <c r="AA440" s="1">
        <v>0</v>
      </c>
      <c r="AB440" s="1" t="s">
        <v>85</v>
      </c>
      <c r="AC440" s="1">
        <f t="shared" ref="AC440" si="189">IF(AB440="USA",1,IF(AB440="UK",2,IF(AB440="Canada",3,IF(AB440="Germany",4,IF(AB440="Netherlands",5,IF(AB440="India",20,IF(AB440="Indonesia",7,IF(AB440="Korea",8,IF(AB440="Philippines",9,IF(AB440="Taiwan",10,IF(AB440="Greece",11,IF(AB440="Iran",12,IF(AB440="Israel",13,IF(AB440="Kuwait",14,IF(AB440="Lebanon",15,IF(AB440="Saudi Arabia",16,IF(AB440="Turkey",17,IF(AB440="Ethiopia",18,IF(AB440="Kenya",19,IF(AB440="Nigeria",20,IF(AB440="Multinational",6,"")))))))))))))))))))))</f>
        <v>1</v>
      </c>
      <c r="AD440" s="1">
        <f t="shared" ref="AD440" si="190">IF(AB440="USA",1,0)</f>
        <v>1</v>
      </c>
      <c r="AE440" s="1">
        <v>1</v>
      </c>
      <c r="AF440" s="1">
        <v>7.5898409999999998</v>
      </c>
      <c r="AG440" s="1">
        <v>3.5835189999999999</v>
      </c>
      <c r="AH440" s="1">
        <f>+F440/G440</f>
        <v>-4.5673438675696012</v>
      </c>
      <c r="AI440" s="1">
        <f t="shared" si="158"/>
        <v>-0.56711760432558467</v>
      </c>
      <c r="AJ440" s="1">
        <f t="shared" si="177"/>
        <v>0.12416792358298222</v>
      </c>
      <c r="AK440" s="1">
        <f t="shared" si="178"/>
        <v>64.860630004625634</v>
      </c>
      <c r="AL440" s="1">
        <f t="shared" si="179"/>
        <v>8.05360974995844</v>
      </c>
      <c r="AM440" s="1">
        <v>0</v>
      </c>
      <c r="AN440" s="1">
        <v>0</v>
      </c>
      <c r="AO440" s="1">
        <v>1</v>
      </c>
      <c r="AP440" s="1">
        <f t="shared" ref="AP440" si="191">1/SQRT(J440)</f>
        <v>0.15075567228888181</v>
      </c>
      <c r="AQ440" s="1">
        <v>1</v>
      </c>
      <c r="AR440" s="1">
        <v>0</v>
      </c>
      <c r="AS440" s="1">
        <v>1</v>
      </c>
      <c r="AT440" s="1">
        <v>0</v>
      </c>
      <c r="AU440" s="4">
        <v>0</v>
      </c>
      <c r="AV440" s="4">
        <v>0</v>
      </c>
      <c r="AW440" s="1">
        <f t="shared" ref="AW440" si="192">1/K440</f>
        <v>0.5</v>
      </c>
      <c r="AX440" s="1">
        <f t="shared" ref="AX440" si="193">1/(K440*K440)</f>
        <v>0.25</v>
      </c>
    </row>
    <row r="441" spans="1:50" x14ac:dyDescent="0.25">
      <c r="A441" s="1" t="s">
        <v>74</v>
      </c>
      <c r="B441" s="1">
        <v>1998</v>
      </c>
      <c r="C441" s="1">
        <f t="shared" si="162"/>
        <v>42</v>
      </c>
      <c r="D441" s="1" t="s">
        <v>24</v>
      </c>
      <c r="E441" s="1" t="s">
        <v>25</v>
      </c>
      <c r="F441" s="2">
        <v>-0.115</v>
      </c>
      <c r="G441" s="3">
        <v>3.3000000000000002E-2</v>
      </c>
      <c r="H441" s="1">
        <v>12</v>
      </c>
      <c r="I441" s="1">
        <v>750</v>
      </c>
      <c r="J441" s="1">
        <f t="shared" si="175"/>
        <v>738</v>
      </c>
      <c r="K441" s="1">
        <v>1</v>
      </c>
      <c r="L441" s="1">
        <v>1982</v>
      </c>
      <c r="M441" s="1">
        <v>1996</v>
      </c>
      <c r="N441" s="1">
        <f t="shared" si="183"/>
        <v>1989</v>
      </c>
      <c r="O441" s="1">
        <f t="shared" ref="O441:O442" si="194">+M441-L441+1</f>
        <v>15</v>
      </c>
      <c r="P441" s="1">
        <f t="shared" si="157"/>
        <v>2.7080502011022101</v>
      </c>
      <c r="Q441" s="1">
        <v>52</v>
      </c>
      <c r="R441" s="1">
        <v>0</v>
      </c>
      <c r="S441" s="1" t="s">
        <v>36</v>
      </c>
      <c r="T441" s="1">
        <f t="shared" si="182"/>
        <v>1</v>
      </c>
      <c r="U441" s="1">
        <v>1</v>
      </c>
      <c r="V441" s="1">
        <v>1</v>
      </c>
      <c r="W441" s="1">
        <v>0</v>
      </c>
      <c r="X441" s="1">
        <v>0</v>
      </c>
      <c r="Y441" s="1">
        <v>1</v>
      </c>
      <c r="Z441" s="1">
        <v>0</v>
      </c>
      <c r="AA441" s="1">
        <v>0</v>
      </c>
      <c r="AB441" s="1" t="s">
        <v>85</v>
      </c>
      <c r="AC441" s="1">
        <f t="shared" si="185"/>
        <v>1</v>
      </c>
      <c r="AD441" s="1">
        <f t="shared" si="176"/>
        <v>1</v>
      </c>
      <c r="AE441" s="1">
        <v>1</v>
      </c>
      <c r="AF441" s="1">
        <v>7.5999020000000002</v>
      </c>
      <c r="AG441" s="1">
        <v>3.9702920000000002</v>
      </c>
      <c r="AH441" s="1">
        <f>+F441/G441</f>
        <v>-3.4848484848484849</v>
      </c>
      <c r="AI441" s="1">
        <f t="shared" si="158"/>
        <v>-0.12723644653259356</v>
      </c>
      <c r="AJ441" s="1">
        <f t="shared" si="177"/>
        <v>3.6511328135439891E-2</v>
      </c>
      <c r="AK441" s="1">
        <f t="shared" si="178"/>
        <v>750.14416896235093</v>
      </c>
      <c r="AL441" s="1">
        <f t="shared" si="179"/>
        <v>27.388759901871257</v>
      </c>
      <c r="AM441" s="1">
        <v>0</v>
      </c>
      <c r="AN441" s="1">
        <v>1</v>
      </c>
      <c r="AO441" s="1">
        <v>0</v>
      </c>
      <c r="AP441" s="1">
        <f>1/SQRT(J441)</f>
        <v>3.6810508691615514E-2</v>
      </c>
      <c r="AQ441" s="1">
        <v>0</v>
      </c>
      <c r="AR441" s="1">
        <v>0</v>
      </c>
      <c r="AS441" s="1">
        <v>0</v>
      </c>
      <c r="AT441" s="1">
        <v>0</v>
      </c>
      <c r="AU441" s="4">
        <v>0</v>
      </c>
      <c r="AV441" s="4">
        <v>1</v>
      </c>
      <c r="AW441" s="1">
        <f>1/K441</f>
        <v>1</v>
      </c>
      <c r="AX441" s="1">
        <f>1/(K441*K441)</f>
        <v>1</v>
      </c>
    </row>
    <row r="442" spans="1:50" x14ac:dyDescent="0.25">
      <c r="A442" s="1" t="s">
        <v>39</v>
      </c>
      <c r="B442" s="1">
        <v>1970</v>
      </c>
      <c r="C442" s="1">
        <f t="shared" si="162"/>
        <v>43</v>
      </c>
      <c r="D442" s="1" t="s">
        <v>24</v>
      </c>
      <c r="E442" s="1" t="s">
        <v>25</v>
      </c>
      <c r="F442" s="2">
        <v>1.6E-2</v>
      </c>
      <c r="G442" s="3">
        <f>+F442/AH442</f>
        <v>5.9259259259258996E-3</v>
      </c>
      <c r="H442" s="1">
        <v>4</v>
      </c>
      <c r="I442" s="1">
        <v>53</v>
      </c>
      <c r="J442" s="1">
        <f t="shared" si="175"/>
        <v>49</v>
      </c>
      <c r="K442" s="1">
        <v>2</v>
      </c>
      <c r="L442" s="1">
        <v>1963</v>
      </c>
      <c r="M442" s="1">
        <v>1963</v>
      </c>
      <c r="N442" s="1">
        <f t="shared" si="183"/>
        <v>1963</v>
      </c>
      <c r="O442" s="1">
        <f t="shared" si="194"/>
        <v>1</v>
      </c>
      <c r="P442" s="1">
        <f t="shared" si="157"/>
        <v>0</v>
      </c>
      <c r="Q442" s="1">
        <v>89</v>
      </c>
      <c r="R442" s="1">
        <v>0</v>
      </c>
      <c r="S442" s="1" t="s">
        <v>26</v>
      </c>
      <c r="T442" s="1">
        <f t="shared" si="182"/>
        <v>0</v>
      </c>
      <c r="U442" s="1">
        <v>0</v>
      </c>
      <c r="V442" s="1">
        <v>1</v>
      </c>
      <c r="W442" s="1">
        <v>1</v>
      </c>
      <c r="X442" s="1">
        <v>1</v>
      </c>
      <c r="Y442" s="1">
        <v>0</v>
      </c>
      <c r="Z442" s="1">
        <v>0</v>
      </c>
      <c r="AA442" s="1">
        <v>0</v>
      </c>
      <c r="AB442" s="1" t="s">
        <v>85</v>
      </c>
      <c r="AC442" s="1">
        <f t="shared" si="185"/>
        <v>1</v>
      </c>
      <c r="AD442" s="1">
        <f t="shared" si="176"/>
        <v>1</v>
      </c>
      <c r="AE442" s="1">
        <v>0</v>
      </c>
      <c r="AF442" s="1">
        <v>7.5857890000000001</v>
      </c>
      <c r="AG442" s="1">
        <v>4.4998100000000001</v>
      </c>
      <c r="AH442" s="1">
        <v>2.7000000000000122</v>
      </c>
      <c r="AI442" s="1">
        <f t="shared" si="158"/>
        <v>0.35987206822623891</v>
      </c>
      <c r="AJ442" s="1">
        <f t="shared" si="177"/>
        <v>0.13328595119490269</v>
      </c>
      <c r="AK442" s="1">
        <f t="shared" si="178"/>
        <v>56.290000000000077</v>
      </c>
      <c r="AL442" s="1">
        <f t="shared" si="179"/>
        <v>7.5026661927610823</v>
      </c>
      <c r="AM442" s="1">
        <v>0</v>
      </c>
      <c r="AN442" s="1">
        <v>0</v>
      </c>
      <c r="AO442" s="1">
        <v>1</v>
      </c>
      <c r="AP442" s="1">
        <f>1/SQRT(J442)</f>
        <v>0.14285714285714285</v>
      </c>
      <c r="AQ442" s="1">
        <v>1</v>
      </c>
      <c r="AR442" s="1">
        <v>0</v>
      </c>
      <c r="AS442" s="1">
        <v>0</v>
      </c>
      <c r="AT442" s="1">
        <v>0</v>
      </c>
      <c r="AU442" s="4">
        <v>0</v>
      </c>
      <c r="AV442" s="4">
        <v>1</v>
      </c>
      <c r="AW442" s="1">
        <f>1/K442</f>
        <v>0.5</v>
      </c>
      <c r="AX442" s="1">
        <f>1/(K442*K442)</f>
        <v>0.25</v>
      </c>
    </row>
    <row r="443" spans="1:50" x14ac:dyDescent="0.25">
      <c r="A443" s="1" t="s">
        <v>39</v>
      </c>
      <c r="B443" s="1">
        <v>1970</v>
      </c>
      <c r="C443" s="1">
        <f t="shared" si="162"/>
        <v>43</v>
      </c>
      <c r="D443" s="1" t="s">
        <v>24</v>
      </c>
      <c r="E443" s="1" t="s">
        <v>25</v>
      </c>
      <c r="F443" s="2">
        <v>2.8000000000000001E-2</v>
      </c>
      <c r="G443" s="3">
        <f>+F443/AH443</f>
        <v>4.0000000000000001E-3</v>
      </c>
      <c r="H443" s="1">
        <v>4</v>
      </c>
      <c r="I443" s="1">
        <v>53</v>
      </c>
      <c r="J443" s="1">
        <f t="shared" si="175"/>
        <v>49</v>
      </c>
      <c r="K443" s="1">
        <v>2</v>
      </c>
      <c r="L443" s="1">
        <v>1963</v>
      </c>
      <c r="M443" s="1">
        <v>1963</v>
      </c>
      <c r="N443" s="1">
        <f t="shared" si="183"/>
        <v>1963</v>
      </c>
      <c r="O443" s="1">
        <f t="shared" ref="O443" si="195">+M443-L443+1</f>
        <v>1</v>
      </c>
      <c r="P443" s="1">
        <f t="shared" si="157"/>
        <v>0</v>
      </c>
      <c r="Q443" s="1">
        <v>89</v>
      </c>
      <c r="R443" s="1">
        <v>0</v>
      </c>
      <c r="S443" s="1" t="s">
        <v>26</v>
      </c>
      <c r="T443" s="1">
        <f t="shared" si="182"/>
        <v>0</v>
      </c>
      <c r="U443" s="1">
        <v>0</v>
      </c>
      <c r="V443" s="1">
        <v>1</v>
      </c>
      <c r="W443" s="1">
        <v>1</v>
      </c>
      <c r="X443" s="1">
        <v>1</v>
      </c>
      <c r="Y443" s="1">
        <v>0</v>
      </c>
      <c r="Z443" s="1">
        <v>0</v>
      </c>
      <c r="AA443" s="1">
        <v>0</v>
      </c>
      <c r="AB443" s="1" t="s">
        <v>85</v>
      </c>
      <c r="AC443" s="1">
        <f t="shared" si="185"/>
        <v>1</v>
      </c>
      <c r="AD443" s="1">
        <f t="shared" si="176"/>
        <v>1</v>
      </c>
      <c r="AE443" s="1">
        <v>1</v>
      </c>
      <c r="AF443" s="1">
        <v>7.5857890000000001</v>
      </c>
      <c r="AG443" s="1">
        <v>4.4998100000000001</v>
      </c>
      <c r="AH443" s="1">
        <v>7</v>
      </c>
      <c r="AI443" s="1">
        <f t="shared" si="158"/>
        <v>0.70710678118654757</v>
      </c>
      <c r="AJ443" s="1">
        <f t="shared" si="177"/>
        <v>0.10101525445522108</v>
      </c>
      <c r="AK443" s="1">
        <f t="shared" si="178"/>
        <v>97.999999999999986</v>
      </c>
      <c r="AL443" s="1">
        <f t="shared" si="179"/>
        <v>9.8994949366116654</v>
      </c>
      <c r="AM443" s="1">
        <v>0</v>
      </c>
      <c r="AN443" s="1">
        <v>0</v>
      </c>
      <c r="AO443" s="1">
        <v>1</v>
      </c>
      <c r="AP443" s="1">
        <f>1/SQRT(J443)</f>
        <v>0.14285714285714285</v>
      </c>
      <c r="AQ443" s="1">
        <v>1</v>
      </c>
      <c r="AR443" s="1">
        <v>0</v>
      </c>
      <c r="AS443" s="1">
        <v>0</v>
      </c>
      <c r="AT443" s="1">
        <v>0</v>
      </c>
      <c r="AU443" s="4">
        <v>0</v>
      </c>
      <c r="AV443" s="4">
        <v>1</v>
      </c>
      <c r="AW443" s="1">
        <f>1/K443</f>
        <v>0.5</v>
      </c>
      <c r="AX443" s="1">
        <f>1/(K443*K443)</f>
        <v>0.25</v>
      </c>
    </row>
  </sheetData>
  <autoFilter ref="A1:AX443"/>
  <sortState ref="A2:AT542">
    <sortCondition ref="A2"/>
  </sortState>
  <pageMargins left="0.7" right="0.7" top="0.75" bottom="0.75" header="0.3" footer="0.3"/>
  <pageSetup orientation="portrait" horizontalDpi="1200" verticalDpi="120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443"/>
  <sheetViews>
    <sheetView topLeftCell="A416" zoomScale="85" zoomScaleNormal="85" workbookViewId="0">
      <selection activeCell="R441" sqref="R441"/>
    </sheetView>
  </sheetViews>
  <sheetFormatPr defaultRowHeight="15" x14ac:dyDescent="0.25"/>
  <cols>
    <col min="1" max="1" width="12.85546875" customWidth="1"/>
    <col min="2" max="2" width="12.28515625" customWidth="1"/>
    <col min="3" max="3" width="8.85546875" customWidth="1"/>
    <col min="4" max="4" width="4" customWidth="1"/>
    <col min="5" max="5" width="12.5703125" customWidth="1"/>
    <col min="6" max="6" width="6.7109375" customWidth="1"/>
    <col min="7" max="7" width="10.5703125" customWidth="1"/>
    <col min="8" max="8" width="15.140625" customWidth="1"/>
    <col min="9" max="9" width="7.85546875" customWidth="1"/>
    <col min="10" max="10" width="5.85546875" customWidth="1"/>
    <col min="11" max="11" width="7.7109375" customWidth="1"/>
    <col min="12" max="12" width="5.85546875" customWidth="1"/>
    <col min="13" max="13" width="6.5703125" customWidth="1"/>
    <col min="14" max="14" width="7.5703125" customWidth="1"/>
    <col min="15" max="15" width="6.85546875" customWidth="1"/>
    <col min="16" max="16" width="4.5703125" customWidth="1"/>
    <col min="17" max="17" width="12.42578125" customWidth="1"/>
    <col min="18" max="18" width="10.28515625" customWidth="1"/>
    <col min="19" max="19" width="10.5703125" customWidth="1"/>
  </cols>
  <sheetData>
    <row r="1" spans="1:19" s="6" customFormat="1" x14ac:dyDescent="0.25">
      <c r="A1" s="6" t="str">
        <f>+bma!A1</f>
        <v>pcc</v>
      </c>
      <c r="B1" s="6" t="str">
        <f>+bma!B1</f>
        <v>pcc_se</v>
      </c>
      <c r="C1" s="6" t="str">
        <f>+bma!C1</f>
        <v>shortrun</v>
      </c>
      <c r="D1" s="6" t="str">
        <f>+bma!D1</f>
        <v>ols</v>
      </c>
      <c r="E1" s="6" t="str">
        <f>+bma!E1</f>
        <v>endogeneity</v>
      </c>
      <c r="F1" s="6" t="str">
        <f>+bma!F1</f>
        <v>linear</v>
      </c>
      <c r="G1" s="6" t="str">
        <f>+bma!G1</f>
        <v>doublelog</v>
      </c>
      <c r="H1" s="6" t="str">
        <f>+bma!H1</f>
        <v>unemployment</v>
      </c>
      <c r="I1" s="6" t="str">
        <f>+bma!I1</f>
        <v>income</v>
      </c>
      <c r="J1" s="6" t="str">
        <f>+bma!L1</f>
        <v>cross</v>
      </c>
      <c r="K1" s="6" t="str">
        <f>+bma!M1</f>
        <v>panel</v>
      </c>
      <c r="L1" s="6" t="str">
        <f>+bma!J1</f>
        <v>male</v>
      </c>
      <c r="M1" s="6" t="str">
        <f>+bma!K1</f>
        <v>female</v>
      </c>
      <c r="N1" s="6" t="str">
        <f>+bma!N1</f>
        <v>private</v>
      </c>
      <c r="O1" s="6" t="str">
        <f>+bma!O1</f>
        <v>public</v>
      </c>
      <c r="P1" s="6" t="str">
        <f>+bma!P1</f>
        <v>usa</v>
      </c>
      <c r="Q1" s="6" t="str">
        <f>+bma!Q1</f>
        <v>ln_pub_year</v>
      </c>
      <c r="R1" s="6" t="str">
        <f>+bma!R1</f>
        <v>ln_google</v>
      </c>
      <c r="S1" s="6" t="str">
        <f>+bma!S1</f>
        <v>published</v>
      </c>
    </row>
    <row r="2" spans="1:19" x14ac:dyDescent="0.25">
      <c r="A2">
        <f>+bma!A2/data!$K2</f>
        <v>3.0994990823247264E-3</v>
      </c>
      <c r="B2">
        <f>+bma!B2/data!$K2</f>
        <v>8.8701111949455579E-3</v>
      </c>
      <c r="C2">
        <f>+bma!C2/data!$K2</f>
        <v>0</v>
      </c>
      <c r="D2">
        <f>+bma!D2/data!$K2</f>
        <v>3.3333333333333333E-2</v>
      </c>
      <c r="E2">
        <f>+bma!E2/data!$K2</f>
        <v>0</v>
      </c>
      <c r="F2">
        <f>+bma!F2/data!$K2</f>
        <v>0</v>
      </c>
      <c r="G2">
        <f>+bma!G2/data!$K2</f>
        <v>3.3333333333333333E-2</v>
      </c>
      <c r="H2">
        <f>+bma!H2/data!$K2</f>
        <v>0</v>
      </c>
      <c r="I2">
        <f>+bma!I2/data!$K2</f>
        <v>0</v>
      </c>
      <c r="J2">
        <f>+bma!L2/data!$K2</f>
        <v>0</v>
      </c>
      <c r="K2">
        <f>+bma!M2/data!$K2</f>
        <v>0</v>
      </c>
      <c r="L2">
        <f>+bma!J2/data!$K2</f>
        <v>0</v>
      </c>
      <c r="M2">
        <f>+bma!K2/data!$K2</f>
        <v>0</v>
      </c>
      <c r="N2">
        <f>+bma!N2/data!$K2</f>
        <v>0</v>
      </c>
      <c r="O2">
        <f>+bma!O2/data!$K2</f>
        <v>0</v>
      </c>
      <c r="P2">
        <f>+bma!P2/data!$K2</f>
        <v>3.3333333333333333E-2</v>
      </c>
      <c r="Q2">
        <f>+bma!Q2/data!$K2</f>
        <v>0.25311246666666665</v>
      </c>
      <c r="R2">
        <f>+bma!R2/data!$K2</f>
        <v>0.15544796666666669</v>
      </c>
      <c r="S2">
        <f>+bma!S2/data!$K2</f>
        <v>3.3333333333333333E-2</v>
      </c>
    </row>
    <row r="3" spans="1:19" x14ac:dyDescent="0.25">
      <c r="A3">
        <f>+bma!A3/data!$K3</f>
        <v>-7.9499074037800085E-3</v>
      </c>
      <c r="B3">
        <f>+bma!B3/data!$K3</f>
        <v>8.651631074057798E-3</v>
      </c>
      <c r="C3">
        <f>+bma!C3/data!$K3</f>
        <v>0</v>
      </c>
      <c r="D3">
        <f>+bma!D3/data!$K3</f>
        <v>3.3333333333333333E-2</v>
      </c>
      <c r="E3">
        <f>+bma!E3/data!$K3</f>
        <v>0</v>
      </c>
      <c r="F3">
        <f>+bma!F3/data!$K3</f>
        <v>0</v>
      </c>
      <c r="G3">
        <f>+bma!G3/data!$K3</f>
        <v>3.3333333333333333E-2</v>
      </c>
      <c r="H3">
        <f>+bma!H3/data!$K3</f>
        <v>0</v>
      </c>
      <c r="I3">
        <f>+bma!I3/data!$K3</f>
        <v>0</v>
      </c>
      <c r="J3">
        <f>+bma!L3/data!$K3</f>
        <v>0</v>
      </c>
      <c r="K3">
        <f>+bma!M3/data!$K3</f>
        <v>0</v>
      </c>
      <c r="L3">
        <f>+bma!J3/data!$K3</f>
        <v>0</v>
      </c>
      <c r="M3">
        <f>+bma!K3/data!$K3</f>
        <v>0</v>
      </c>
      <c r="N3">
        <f>+bma!N3/data!$K3</f>
        <v>0</v>
      </c>
      <c r="O3">
        <f>+bma!O3/data!$K3</f>
        <v>0</v>
      </c>
      <c r="P3">
        <f>+bma!P3/data!$K3</f>
        <v>3.3333333333333333E-2</v>
      </c>
      <c r="Q3">
        <f>+bma!Q3/data!$K3</f>
        <v>0.25311246666666665</v>
      </c>
      <c r="R3">
        <f>+bma!R3/data!$K3</f>
        <v>0.15544796666666669</v>
      </c>
      <c r="S3">
        <f>+bma!S3/data!$K3</f>
        <v>3.3333333333333333E-2</v>
      </c>
    </row>
    <row r="4" spans="1:19" x14ac:dyDescent="0.25">
      <c r="A4">
        <f>+bma!A4/data!$K4</f>
        <v>-2.4512715930697E-2</v>
      </c>
      <c r="B4">
        <f>+bma!B4/data!$K4</f>
        <v>6.0370159895435588E-3</v>
      </c>
      <c r="C4">
        <f>+bma!C4/data!$K4</f>
        <v>0</v>
      </c>
      <c r="D4">
        <f>+bma!D4/data!$K4</f>
        <v>3.3333333333333333E-2</v>
      </c>
      <c r="E4">
        <f>+bma!E4/data!$K4</f>
        <v>0</v>
      </c>
      <c r="F4">
        <f>+bma!F4/data!$K4</f>
        <v>0</v>
      </c>
      <c r="G4">
        <f>+bma!G4/data!$K4</f>
        <v>3.3333333333333333E-2</v>
      </c>
      <c r="H4">
        <f>+bma!H4/data!$K4</f>
        <v>0</v>
      </c>
      <c r="I4">
        <f>+bma!I4/data!$K4</f>
        <v>0</v>
      </c>
      <c r="J4">
        <f>+bma!L4/data!$K4</f>
        <v>0</v>
      </c>
      <c r="K4">
        <f>+bma!M4/data!$K4</f>
        <v>0</v>
      </c>
      <c r="L4">
        <f>+bma!J4/data!$K4</f>
        <v>0</v>
      </c>
      <c r="M4">
        <f>+bma!K4/data!$K4</f>
        <v>0</v>
      </c>
      <c r="N4">
        <f>+bma!N4/data!$K4</f>
        <v>0</v>
      </c>
      <c r="O4">
        <f>+bma!O4/data!$K4</f>
        <v>0</v>
      </c>
      <c r="P4">
        <f>+bma!P4/data!$K4</f>
        <v>3.3333333333333333E-2</v>
      </c>
      <c r="Q4">
        <f>+bma!Q4/data!$K4</f>
        <v>0.25311246666666665</v>
      </c>
      <c r="R4">
        <f>+bma!R4/data!$K4</f>
        <v>0.15544796666666669</v>
      </c>
      <c r="S4">
        <f>+bma!S4/data!$K4</f>
        <v>3.3333333333333333E-2</v>
      </c>
    </row>
    <row r="5" spans="1:19" x14ac:dyDescent="0.25">
      <c r="A5">
        <f>+bma!A5/data!$K5</f>
        <v>-1.6362236163716369E-2</v>
      </c>
      <c r="B5">
        <f>+bma!B5/data!$K5</f>
        <v>7.7615735648398155E-3</v>
      </c>
      <c r="C5">
        <f>+bma!C5/data!$K5</f>
        <v>0</v>
      </c>
      <c r="D5">
        <f>+bma!D5/data!$K5</f>
        <v>3.3333333333333333E-2</v>
      </c>
      <c r="E5">
        <f>+bma!E5/data!$K5</f>
        <v>0</v>
      </c>
      <c r="F5">
        <f>+bma!F5/data!$K5</f>
        <v>0</v>
      </c>
      <c r="G5">
        <f>+bma!G5/data!$K5</f>
        <v>3.3333333333333333E-2</v>
      </c>
      <c r="H5">
        <f>+bma!H5/data!$K5</f>
        <v>0</v>
      </c>
      <c r="I5">
        <f>+bma!I5/data!$K5</f>
        <v>0</v>
      </c>
      <c r="J5">
        <f>+bma!L5/data!$K5</f>
        <v>0</v>
      </c>
      <c r="K5">
        <f>+bma!M5/data!$K5</f>
        <v>0</v>
      </c>
      <c r="L5">
        <f>+bma!J5/data!$K5</f>
        <v>0</v>
      </c>
      <c r="M5">
        <f>+bma!K5/data!$K5</f>
        <v>0</v>
      </c>
      <c r="N5">
        <f>+bma!N5/data!$K5</f>
        <v>0</v>
      </c>
      <c r="O5">
        <f>+bma!O5/data!$K5</f>
        <v>0</v>
      </c>
      <c r="P5">
        <f>+bma!P5/data!$K5</f>
        <v>3.3333333333333333E-2</v>
      </c>
      <c r="Q5">
        <f>+bma!Q5/data!$K5</f>
        <v>0.25311246666666665</v>
      </c>
      <c r="R5">
        <f>+bma!R5/data!$K5</f>
        <v>0.15544796666666669</v>
      </c>
      <c r="S5">
        <f>+bma!S5/data!$K5</f>
        <v>3.3333333333333333E-2</v>
      </c>
    </row>
    <row r="6" spans="1:19" x14ac:dyDescent="0.25">
      <c r="A6">
        <f>+bma!A6/data!$K6</f>
        <v>-9.9322482287050821E-3</v>
      </c>
      <c r="B6">
        <f>+bma!B6/data!$K6</f>
        <v>8.5040391925354075E-3</v>
      </c>
      <c r="C6">
        <f>+bma!C6/data!$K6</f>
        <v>0</v>
      </c>
      <c r="D6">
        <f>+bma!D6/data!$K6</f>
        <v>3.3333333333333333E-2</v>
      </c>
      <c r="E6">
        <f>+bma!E6/data!$K6</f>
        <v>0</v>
      </c>
      <c r="F6">
        <f>+bma!F6/data!$K6</f>
        <v>0</v>
      </c>
      <c r="G6">
        <f>+bma!G6/data!$K6</f>
        <v>3.3333333333333333E-2</v>
      </c>
      <c r="H6">
        <f>+bma!H6/data!$K6</f>
        <v>0</v>
      </c>
      <c r="I6">
        <f>+bma!I6/data!$K6</f>
        <v>0</v>
      </c>
      <c r="J6">
        <f>+bma!L6/data!$K6</f>
        <v>0</v>
      </c>
      <c r="K6">
        <f>+bma!M6/data!$K6</f>
        <v>0</v>
      </c>
      <c r="L6">
        <f>+bma!J6/data!$K6</f>
        <v>0</v>
      </c>
      <c r="M6">
        <f>+bma!K6/data!$K6</f>
        <v>0</v>
      </c>
      <c r="N6">
        <f>+bma!N6/data!$K6</f>
        <v>0</v>
      </c>
      <c r="O6">
        <f>+bma!O6/data!$K6</f>
        <v>0</v>
      </c>
      <c r="P6">
        <f>+bma!P6/data!$K6</f>
        <v>3.3333333333333333E-2</v>
      </c>
      <c r="Q6">
        <f>+bma!Q6/data!$K6</f>
        <v>0.25311246666666665</v>
      </c>
      <c r="R6">
        <f>+bma!R6/data!$K6</f>
        <v>0.15544796666666669</v>
      </c>
      <c r="S6">
        <f>+bma!S6/data!$K6</f>
        <v>3.3333333333333333E-2</v>
      </c>
    </row>
    <row r="7" spans="1:19" x14ac:dyDescent="0.25">
      <c r="A7">
        <f>+bma!A7/data!$K7</f>
        <v>-2.50566350947245E-2</v>
      </c>
      <c r="B7">
        <f>+bma!B7/data!$K7</f>
        <v>5.8753489187629866E-3</v>
      </c>
      <c r="C7">
        <f>+bma!C7/data!$K7</f>
        <v>0</v>
      </c>
      <c r="D7">
        <f>+bma!D7/data!$K7</f>
        <v>3.3333333333333333E-2</v>
      </c>
      <c r="E7">
        <f>+bma!E7/data!$K7</f>
        <v>0</v>
      </c>
      <c r="F7">
        <f>+bma!F7/data!$K7</f>
        <v>0</v>
      </c>
      <c r="G7">
        <f>+bma!G7/data!$K7</f>
        <v>3.3333333333333333E-2</v>
      </c>
      <c r="H7">
        <f>+bma!H7/data!$K7</f>
        <v>0</v>
      </c>
      <c r="I7">
        <f>+bma!I7/data!$K7</f>
        <v>0</v>
      </c>
      <c r="J7">
        <f>+bma!L7/data!$K7</f>
        <v>0</v>
      </c>
      <c r="K7">
        <f>+bma!M7/data!$K7</f>
        <v>0</v>
      </c>
      <c r="L7">
        <f>+bma!J7/data!$K7</f>
        <v>0</v>
      </c>
      <c r="M7">
        <f>+bma!K7/data!$K7</f>
        <v>0</v>
      </c>
      <c r="N7">
        <f>+bma!N7/data!$K7</f>
        <v>0</v>
      </c>
      <c r="O7">
        <f>+bma!O7/data!$K7</f>
        <v>0</v>
      </c>
      <c r="P7">
        <f>+bma!P7/data!$K7</f>
        <v>3.3333333333333333E-2</v>
      </c>
      <c r="Q7">
        <f>+bma!Q7/data!$K7</f>
        <v>0.25311246666666665</v>
      </c>
      <c r="R7">
        <f>+bma!R7/data!$K7</f>
        <v>0.15544796666666669</v>
      </c>
      <c r="S7">
        <f>+bma!S7/data!$K7</f>
        <v>3.3333333333333333E-2</v>
      </c>
    </row>
    <row r="8" spans="1:19" x14ac:dyDescent="0.25">
      <c r="A8">
        <f>+bma!A8/data!$K8</f>
        <v>-2.6026156941238731E-2</v>
      </c>
      <c r="B8">
        <f>+bma!B8/data!$K8</f>
        <v>5.5661622196801304E-3</v>
      </c>
      <c r="C8">
        <f>+bma!C8/data!$K8</f>
        <v>0</v>
      </c>
      <c r="D8">
        <f>+bma!D8/data!$K8</f>
        <v>3.3333333333333333E-2</v>
      </c>
      <c r="E8">
        <f>+bma!E8/data!$K8</f>
        <v>0</v>
      </c>
      <c r="F8">
        <f>+bma!F8/data!$K8</f>
        <v>0</v>
      </c>
      <c r="G8">
        <f>+bma!G8/data!$K8</f>
        <v>3.3333333333333333E-2</v>
      </c>
      <c r="H8">
        <f>+bma!H8/data!$K8</f>
        <v>0</v>
      </c>
      <c r="I8">
        <f>+bma!I8/data!$K8</f>
        <v>0</v>
      </c>
      <c r="J8">
        <f>+bma!L8/data!$K8</f>
        <v>0</v>
      </c>
      <c r="K8">
        <f>+bma!M8/data!$K8</f>
        <v>0</v>
      </c>
      <c r="L8">
        <f>+bma!J8/data!$K8</f>
        <v>0</v>
      </c>
      <c r="M8">
        <f>+bma!K8/data!$K8</f>
        <v>0</v>
      </c>
      <c r="N8">
        <f>+bma!N8/data!$K8</f>
        <v>0</v>
      </c>
      <c r="O8">
        <f>+bma!O8/data!$K8</f>
        <v>0</v>
      </c>
      <c r="P8">
        <f>+bma!P8/data!$K8</f>
        <v>3.3333333333333333E-2</v>
      </c>
      <c r="Q8">
        <f>+bma!Q8/data!$K8</f>
        <v>0.25311246666666665</v>
      </c>
      <c r="R8">
        <f>+bma!R8/data!$K8</f>
        <v>0.15544796666666669</v>
      </c>
      <c r="S8">
        <f>+bma!S8/data!$K8</f>
        <v>3.3333333333333333E-2</v>
      </c>
    </row>
    <row r="9" spans="1:19" x14ac:dyDescent="0.25">
      <c r="A9">
        <f>+bma!A9/data!$K9</f>
        <v>-1.7222203591216866E-2</v>
      </c>
      <c r="B9">
        <f>+bma!B9/data!$K9</f>
        <v>7.6275197924254501E-3</v>
      </c>
      <c r="C9">
        <f>+bma!C9/data!$K9</f>
        <v>0</v>
      </c>
      <c r="D9">
        <f>+bma!D9/data!$K9</f>
        <v>3.3333333333333333E-2</v>
      </c>
      <c r="E9">
        <f>+bma!E9/data!$K9</f>
        <v>0</v>
      </c>
      <c r="F9">
        <f>+bma!F9/data!$K9</f>
        <v>0</v>
      </c>
      <c r="G9">
        <f>+bma!G9/data!$K9</f>
        <v>3.3333333333333333E-2</v>
      </c>
      <c r="H9">
        <f>+bma!H9/data!$K9</f>
        <v>0</v>
      </c>
      <c r="I9">
        <f>+bma!I9/data!$K9</f>
        <v>0</v>
      </c>
      <c r="J9">
        <f>+bma!L9/data!$K9</f>
        <v>0</v>
      </c>
      <c r="K9">
        <f>+bma!M9/data!$K9</f>
        <v>0</v>
      </c>
      <c r="L9">
        <f>+bma!J9/data!$K9</f>
        <v>0</v>
      </c>
      <c r="M9">
        <f>+bma!K9/data!$K9</f>
        <v>0</v>
      </c>
      <c r="N9">
        <f>+bma!N9/data!$K9</f>
        <v>0</v>
      </c>
      <c r="O9">
        <f>+bma!O9/data!$K9</f>
        <v>0</v>
      </c>
      <c r="P9">
        <f>+bma!P9/data!$K9</f>
        <v>3.3333333333333333E-2</v>
      </c>
      <c r="Q9">
        <f>+bma!Q9/data!$K9</f>
        <v>0.25311246666666665</v>
      </c>
      <c r="R9">
        <f>+bma!R9/data!$K9</f>
        <v>0.15544796666666669</v>
      </c>
      <c r="S9">
        <f>+bma!S9/data!$K9</f>
        <v>3.3333333333333333E-2</v>
      </c>
    </row>
    <row r="10" spans="1:19" x14ac:dyDescent="0.25">
      <c r="A10">
        <f>+bma!A10/data!$K10</f>
        <v>-1.6145728550510528E-3</v>
      </c>
      <c r="B10">
        <f>+bma!B10/data!$K10</f>
        <v>8.8982512953262056E-3</v>
      </c>
      <c r="C10">
        <f>+bma!C10/data!$K10</f>
        <v>0</v>
      </c>
      <c r="D10">
        <f>+bma!D10/data!$K10</f>
        <v>3.3333333333333333E-2</v>
      </c>
      <c r="E10">
        <f>+bma!E10/data!$K10</f>
        <v>0</v>
      </c>
      <c r="F10">
        <f>+bma!F10/data!$K10</f>
        <v>0</v>
      </c>
      <c r="G10">
        <f>+bma!G10/data!$K10</f>
        <v>3.3333333333333333E-2</v>
      </c>
      <c r="H10">
        <f>+bma!H10/data!$K10</f>
        <v>0</v>
      </c>
      <c r="I10">
        <f>+bma!I10/data!$K10</f>
        <v>0</v>
      </c>
      <c r="J10">
        <f>+bma!L10/data!$K10</f>
        <v>0</v>
      </c>
      <c r="K10">
        <f>+bma!M10/data!$K10</f>
        <v>0</v>
      </c>
      <c r="L10">
        <f>+bma!J10/data!$K10</f>
        <v>0</v>
      </c>
      <c r="M10">
        <f>+bma!K10/data!$K10</f>
        <v>0</v>
      </c>
      <c r="N10">
        <f>+bma!N10/data!$K10</f>
        <v>0</v>
      </c>
      <c r="O10">
        <f>+bma!O10/data!$K10</f>
        <v>0</v>
      </c>
      <c r="P10">
        <f>+bma!P10/data!$K10</f>
        <v>3.3333333333333333E-2</v>
      </c>
      <c r="Q10">
        <f>+bma!Q10/data!$K10</f>
        <v>0.25311246666666665</v>
      </c>
      <c r="R10">
        <f>+bma!R10/data!$K10</f>
        <v>0.15544796666666669</v>
      </c>
      <c r="S10">
        <f>+bma!S10/data!$K10</f>
        <v>3.3333333333333333E-2</v>
      </c>
    </row>
    <row r="11" spans="1:19" x14ac:dyDescent="0.25">
      <c r="A11">
        <f>+bma!A11/data!$K11</f>
        <v>-2.5788366904518713E-2</v>
      </c>
      <c r="B11">
        <f>+bma!B11/data!$K11</f>
        <v>5.6446640005598913E-3</v>
      </c>
      <c r="C11">
        <f>+bma!C11/data!$K11</f>
        <v>0</v>
      </c>
      <c r="D11">
        <f>+bma!D11/data!$K11</f>
        <v>3.3333333333333333E-2</v>
      </c>
      <c r="E11">
        <f>+bma!E11/data!$K11</f>
        <v>0</v>
      </c>
      <c r="F11">
        <f>+bma!F11/data!$K11</f>
        <v>0</v>
      </c>
      <c r="G11">
        <f>+bma!G11/data!$K11</f>
        <v>3.3333333333333333E-2</v>
      </c>
      <c r="H11">
        <f>+bma!H11/data!$K11</f>
        <v>0</v>
      </c>
      <c r="I11">
        <f>+bma!I11/data!$K11</f>
        <v>0</v>
      </c>
      <c r="J11">
        <f>+bma!L11/data!$K11</f>
        <v>0</v>
      </c>
      <c r="K11">
        <f>+bma!M11/data!$K11</f>
        <v>0</v>
      </c>
      <c r="L11">
        <f>+bma!J11/data!$K11</f>
        <v>0</v>
      </c>
      <c r="M11">
        <f>+bma!K11/data!$K11</f>
        <v>0</v>
      </c>
      <c r="N11">
        <f>+bma!N11/data!$K11</f>
        <v>0</v>
      </c>
      <c r="O11">
        <f>+bma!O11/data!$K11</f>
        <v>0</v>
      </c>
      <c r="P11">
        <f>+bma!P11/data!$K11</f>
        <v>3.3333333333333333E-2</v>
      </c>
      <c r="Q11">
        <f>+bma!Q11/data!$K11</f>
        <v>0.25311246666666665</v>
      </c>
      <c r="R11">
        <f>+bma!R11/data!$K11</f>
        <v>0.15544796666666669</v>
      </c>
      <c r="S11">
        <f>+bma!S11/data!$K11</f>
        <v>3.3333333333333333E-2</v>
      </c>
    </row>
    <row r="12" spans="1:19" x14ac:dyDescent="0.25">
      <c r="A12">
        <f>+bma!A12/data!$K12</f>
        <v>-3.0232210625854111E-2</v>
      </c>
      <c r="B12">
        <f>+bma!B12/data!$K12</f>
        <v>3.7523759309945866E-3</v>
      </c>
      <c r="C12">
        <f>+bma!C12/data!$K12</f>
        <v>0</v>
      </c>
      <c r="D12">
        <f>+bma!D12/data!$K12</f>
        <v>3.3333333333333333E-2</v>
      </c>
      <c r="E12">
        <f>+bma!E12/data!$K12</f>
        <v>0</v>
      </c>
      <c r="F12">
        <f>+bma!F12/data!$K12</f>
        <v>0</v>
      </c>
      <c r="G12">
        <f>+bma!G12/data!$K12</f>
        <v>3.3333333333333333E-2</v>
      </c>
      <c r="H12">
        <f>+bma!H12/data!$K12</f>
        <v>0</v>
      </c>
      <c r="I12">
        <f>+bma!I12/data!$K12</f>
        <v>0</v>
      </c>
      <c r="J12">
        <f>+bma!L12/data!$K12</f>
        <v>0</v>
      </c>
      <c r="K12">
        <f>+bma!M12/data!$K12</f>
        <v>0</v>
      </c>
      <c r="L12">
        <f>+bma!J12/data!$K12</f>
        <v>0</v>
      </c>
      <c r="M12">
        <f>+bma!K12/data!$K12</f>
        <v>0</v>
      </c>
      <c r="N12">
        <f>+bma!N12/data!$K12</f>
        <v>0</v>
      </c>
      <c r="O12">
        <f>+bma!O12/data!$K12</f>
        <v>0</v>
      </c>
      <c r="P12">
        <f>+bma!P12/data!$K12</f>
        <v>3.3333333333333333E-2</v>
      </c>
      <c r="Q12">
        <f>+bma!Q12/data!$K12</f>
        <v>0.25311246666666665</v>
      </c>
      <c r="R12">
        <f>+bma!R12/data!$K12</f>
        <v>0.15544796666666669</v>
      </c>
      <c r="S12">
        <f>+bma!S12/data!$K12</f>
        <v>3.3333333333333333E-2</v>
      </c>
    </row>
    <row r="13" spans="1:19" x14ac:dyDescent="0.25">
      <c r="A13">
        <f>+bma!A13/data!$K13</f>
        <v>-3.0302971521718351E-2</v>
      </c>
      <c r="B13">
        <f>+bma!B13/data!$K13</f>
        <v>3.7113823768917561E-3</v>
      </c>
      <c r="C13">
        <f>+bma!C13/data!$K13</f>
        <v>0</v>
      </c>
      <c r="D13">
        <f>+bma!D13/data!$K13</f>
        <v>3.3333333333333333E-2</v>
      </c>
      <c r="E13">
        <f>+bma!E13/data!$K13</f>
        <v>0</v>
      </c>
      <c r="F13">
        <f>+bma!F13/data!$K13</f>
        <v>0</v>
      </c>
      <c r="G13">
        <f>+bma!G13/data!$K13</f>
        <v>3.3333333333333333E-2</v>
      </c>
      <c r="H13">
        <f>+bma!H13/data!$K13</f>
        <v>0</v>
      </c>
      <c r="I13">
        <f>+bma!I13/data!$K13</f>
        <v>0</v>
      </c>
      <c r="J13">
        <f>+bma!L13/data!$K13</f>
        <v>0</v>
      </c>
      <c r="K13">
        <f>+bma!M13/data!$K13</f>
        <v>0</v>
      </c>
      <c r="L13">
        <f>+bma!J13/data!$K13</f>
        <v>0</v>
      </c>
      <c r="M13">
        <f>+bma!K13/data!$K13</f>
        <v>0</v>
      </c>
      <c r="N13">
        <f>+bma!N13/data!$K13</f>
        <v>0</v>
      </c>
      <c r="O13">
        <f>+bma!O13/data!$K13</f>
        <v>0</v>
      </c>
      <c r="P13">
        <f>+bma!P13/data!$K13</f>
        <v>3.3333333333333333E-2</v>
      </c>
      <c r="Q13">
        <f>+bma!Q13/data!$K13</f>
        <v>0.25311246666666665</v>
      </c>
      <c r="R13">
        <f>+bma!R13/data!$K13</f>
        <v>0.15544796666666669</v>
      </c>
      <c r="S13">
        <f>+bma!S13/data!$K13</f>
        <v>3.3333333333333333E-2</v>
      </c>
    </row>
    <row r="14" spans="1:19" x14ac:dyDescent="0.25">
      <c r="A14">
        <f>+bma!A14/data!$K14</f>
        <v>1.2590264049873521E-2</v>
      </c>
      <c r="B14">
        <f>+bma!B14/data!$K14</f>
        <v>8.2487936878481681E-3</v>
      </c>
      <c r="C14">
        <f>+bma!C14/data!$K14</f>
        <v>0</v>
      </c>
      <c r="D14">
        <f>+bma!D14/data!$K14</f>
        <v>3.3333333333333333E-2</v>
      </c>
      <c r="E14">
        <f>+bma!E14/data!$K14</f>
        <v>0</v>
      </c>
      <c r="F14">
        <f>+bma!F14/data!$K14</f>
        <v>0</v>
      </c>
      <c r="G14">
        <f>+bma!G14/data!$K14</f>
        <v>3.3333333333333333E-2</v>
      </c>
      <c r="H14">
        <f>+bma!H14/data!$K14</f>
        <v>0</v>
      </c>
      <c r="I14">
        <f>+bma!I14/data!$K14</f>
        <v>0</v>
      </c>
      <c r="J14">
        <f>+bma!L14/data!$K14</f>
        <v>0</v>
      </c>
      <c r="K14">
        <f>+bma!M14/data!$K14</f>
        <v>0</v>
      </c>
      <c r="L14">
        <f>+bma!J14/data!$K14</f>
        <v>0</v>
      </c>
      <c r="M14">
        <f>+bma!K14/data!$K14</f>
        <v>0</v>
      </c>
      <c r="N14">
        <f>+bma!N14/data!$K14</f>
        <v>0</v>
      </c>
      <c r="O14">
        <f>+bma!O14/data!$K14</f>
        <v>0</v>
      </c>
      <c r="P14">
        <f>+bma!P14/data!$K14</f>
        <v>3.3333333333333333E-2</v>
      </c>
      <c r="Q14">
        <f>+bma!Q14/data!$K14</f>
        <v>0.25311246666666665</v>
      </c>
      <c r="R14">
        <f>+bma!R14/data!$K14</f>
        <v>0.15544796666666669</v>
      </c>
      <c r="S14">
        <f>+bma!S14/data!$K14</f>
        <v>3.3333333333333333E-2</v>
      </c>
    </row>
    <row r="15" spans="1:19" x14ac:dyDescent="0.25">
      <c r="A15">
        <f>+bma!A15/data!$K15</f>
        <v>-1.8107150844385869E-2</v>
      </c>
      <c r="B15">
        <f>+bma!B15/data!$K15</f>
        <v>7.479697279062298E-3</v>
      </c>
      <c r="C15">
        <f>+bma!C15/data!$K15</f>
        <v>0</v>
      </c>
      <c r="D15">
        <f>+bma!D15/data!$K15</f>
        <v>3.3333333333333333E-2</v>
      </c>
      <c r="E15">
        <f>+bma!E15/data!$K15</f>
        <v>0</v>
      </c>
      <c r="F15">
        <f>+bma!F15/data!$K15</f>
        <v>0</v>
      </c>
      <c r="G15">
        <f>+bma!G15/data!$K15</f>
        <v>3.3333333333333333E-2</v>
      </c>
      <c r="H15">
        <f>+bma!H15/data!$K15</f>
        <v>0</v>
      </c>
      <c r="I15">
        <f>+bma!I15/data!$K15</f>
        <v>0</v>
      </c>
      <c r="J15">
        <f>+bma!L15/data!$K15</f>
        <v>0</v>
      </c>
      <c r="K15">
        <f>+bma!M15/data!$K15</f>
        <v>0</v>
      </c>
      <c r="L15">
        <f>+bma!J15/data!$K15</f>
        <v>0</v>
      </c>
      <c r="M15">
        <f>+bma!K15/data!$K15</f>
        <v>0</v>
      </c>
      <c r="N15">
        <f>+bma!N15/data!$K15</f>
        <v>0</v>
      </c>
      <c r="O15">
        <f>+bma!O15/data!$K15</f>
        <v>0</v>
      </c>
      <c r="P15">
        <f>+bma!P15/data!$K15</f>
        <v>3.3333333333333333E-2</v>
      </c>
      <c r="Q15">
        <f>+bma!Q15/data!$K15</f>
        <v>0.25311246666666665</v>
      </c>
      <c r="R15">
        <f>+bma!R15/data!$K15</f>
        <v>0.15544796666666669</v>
      </c>
      <c r="S15">
        <f>+bma!S15/data!$K15</f>
        <v>3.3333333333333333E-2</v>
      </c>
    </row>
    <row r="16" spans="1:19" x14ac:dyDescent="0.25">
      <c r="A16">
        <f>+bma!A16/data!$K16</f>
        <v>8.7559375548860903E-3</v>
      </c>
      <c r="B16">
        <f>+bma!B16/data!$K16</f>
        <v>8.5958655703360694E-3</v>
      </c>
      <c r="C16">
        <f>+bma!C16/data!$K16</f>
        <v>0</v>
      </c>
      <c r="D16">
        <f>+bma!D16/data!$K16</f>
        <v>3.3333333333333333E-2</v>
      </c>
      <c r="E16">
        <f>+bma!E16/data!$K16</f>
        <v>0</v>
      </c>
      <c r="F16">
        <f>+bma!F16/data!$K16</f>
        <v>0</v>
      </c>
      <c r="G16">
        <f>+bma!G16/data!$K16</f>
        <v>3.3333333333333333E-2</v>
      </c>
      <c r="H16">
        <f>+bma!H16/data!$K16</f>
        <v>0</v>
      </c>
      <c r="I16">
        <f>+bma!I16/data!$K16</f>
        <v>0</v>
      </c>
      <c r="J16">
        <f>+bma!L16/data!$K16</f>
        <v>0</v>
      </c>
      <c r="K16">
        <f>+bma!M16/data!$K16</f>
        <v>0</v>
      </c>
      <c r="L16">
        <f>+bma!J16/data!$K16</f>
        <v>0</v>
      </c>
      <c r="M16">
        <f>+bma!K16/data!$K16</f>
        <v>0</v>
      </c>
      <c r="N16">
        <f>+bma!N16/data!$K16</f>
        <v>0</v>
      </c>
      <c r="O16">
        <f>+bma!O16/data!$K16</f>
        <v>0</v>
      </c>
      <c r="P16">
        <f>+bma!P16/data!$K16</f>
        <v>3.3333333333333333E-2</v>
      </c>
      <c r="Q16">
        <f>+bma!Q16/data!$K16</f>
        <v>0.25311246666666665</v>
      </c>
      <c r="R16">
        <f>+bma!R16/data!$K16</f>
        <v>0.15544796666666669</v>
      </c>
      <c r="S16">
        <f>+bma!S16/data!$K16</f>
        <v>3.3333333333333333E-2</v>
      </c>
    </row>
    <row r="17" spans="1:19" x14ac:dyDescent="0.25">
      <c r="A17">
        <f>+bma!A17/data!$K17</f>
        <v>-2.2177606688816218E-2</v>
      </c>
      <c r="B17">
        <f>+bma!B17/data!$K17</f>
        <v>6.4252879191897443E-3</v>
      </c>
      <c r="C17">
        <f>+bma!C17/data!$K17</f>
        <v>0</v>
      </c>
      <c r="D17">
        <f>+bma!D17/data!$K17</f>
        <v>3.3333333333333333E-2</v>
      </c>
      <c r="E17">
        <f>+bma!E17/data!$K17</f>
        <v>0</v>
      </c>
      <c r="F17">
        <f>+bma!F17/data!$K17</f>
        <v>0</v>
      </c>
      <c r="G17">
        <f>+bma!G17/data!$K17</f>
        <v>3.3333333333333333E-2</v>
      </c>
      <c r="H17">
        <f>+bma!H17/data!$K17</f>
        <v>0</v>
      </c>
      <c r="I17">
        <f>+bma!I17/data!$K17</f>
        <v>0</v>
      </c>
      <c r="J17">
        <f>+bma!L17/data!$K17</f>
        <v>0</v>
      </c>
      <c r="K17">
        <f>+bma!M17/data!$K17</f>
        <v>0</v>
      </c>
      <c r="L17">
        <f>+bma!J17/data!$K17</f>
        <v>0</v>
      </c>
      <c r="M17">
        <f>+bma!K17/data!$K17</f>
        <v>0</v>
      </c>
      <c r="N17">
        <f>+bma!N17/data!$K17</f>
        <v>0</v>
      </c>
      <c r="O17">
        <f>+bma!O17/data!$K17</f>
        <v>0</v>
      </c>
      <c r="P17">
        <f>+bma!P17/data!$K17</f>
        <v>3.3333333333333333E-2</v>
      </c>
      <c r="Q17">
        <f>+bma!Q17/data!$K17</f>
        <v>0.25311246666666665</v>
      </c>
      <c r="R17">
        <f>+bma!R17/data!$K17</f>
        <v>0.15544796666666669</v>
      </c>
      <c r="S17">
        <f>+bma!S17/data!$K17</f>
        <v>3.3333333333333333E-2</v>
      </c>
    </row>
    <row r="18" spans="1:19" x14ac:dyDescent="0.25">
      <c r="A18">
        <f>+bma!A18/data!$K18</f>
        <v>-1.7491545368342156E-2</v>
      </c>
      <c r="B18">
        <f>+bma!B18/data!$K18</f>
        <v>7.3264677789429524E-3</v>
      </c>
      <c r="C18">
        <f>+bma!C18/data!$K18</f>
        <v>0</v>
      </c>
      <c r="D18">
        <f>+bma!D18/data!$K18</f>
        <v>3.3333333333333333E-2</v>
      </c>
      <c r="E18">
        <f>+bma!E18/data!$K18</f>
        <v>0</v>
      </c>
      <c r="F18">
        <f>+bma!F18/data!$K18</f>
        <v>0</v>
      </c>
      <c r="G18">
        <f>+bma!G18/data!$K18</f>
        <v>3.3333333333333333E-2</v>
      </c>
      <c r="H18">
        <f>+bma!H18/data!$K18</f>
        <v>0</v>
      </c>
      <c r="I18">
        <f>+bma!I18/data!$K18</f>
        <v>0</v>
      </c>
      <c r="J18">
        <f>+bma!L18/data!$K18</f>
        <v>0</v>
      </c>
      <c r="K18">
        <f>+bma!M18/data!$K18</f>
        <v>0</v>
      </c>
      <c r="L18">
        <f>+bma!J18/data!$K18</f>
        <v>0</v>
      </c>
      <c r="M18">
        <f>+bma!K18/data!$K18</f>
        <v>0</v>
      </c>
      <c r="N18">
        <f>+bma!N18/data!$K18</f>
        <v>0</v>
      </c>
      <c r="O18">
        <f>+bma!O18/data!$K18</f>
        <v>0</v>
      </c>
      <c r="P18">
        <f>+bma!P18/data!$K18</f>
        <v>3.3333333333333333E-2</v>
      </c>
      <c r="Q18">
        <f>+bma!Q18/data!$K18</f>
        <v>0.25311246666666665</v>
      </c>
      <c r="R18">
        <f>+bma!R18/data!$K18</f>
        <v>0.15544796666666669</v>
      </c>
      <c r="S18">
        <f>+bma!S18/data!$K18</f>
        <v>3.3333333333333333E-2</v>
      </c>
    </row>
    <row r="19" spans="1:19" x14ac:dyDescent="0.25">
      <c r="A19">
        <f>+bma!A19/data!$K19</f>
        <v>-1.8364995166269726E-2</v>
      </c>
      <c r="B19">
        <f>+bma!B19/data!$K19</f>
        <v>7.1825625123349991E-3</v>
      </c>
      <c r="C19">
        <f>+bma!C19/data!$K19</f>
        <v>0</v>
      </c>
      <c r="D19">
        <f>+bma!D19/data!$K19</f>
        <v>3.3333333333333333E-2</v>
      </c>
      <c r="E19">
        <f>+bma!E19/data!$K19</f>
        <v>0</v>
      </c>
      <c r="F19">
        <f>+bma!F19/data!$K19</f>
        <v>0</v>
      </c>
      <c r="G19">
        <f>+bma!G19/data!$K19</f>
        <v>3.3333333333333333E-2</v>
      </c>
      <c r="H19">
        <f>+bma!H19/data!$K19</f>
        <v>0</v>
      </c>
      <c r="I19">
        <f>+bma!I19/data!$K19</f>
        <v>0</v>
      </c>
      <c r="J19">
        <f>+bma!L19/data!$K19</f>
        <v>0</v>
      </c>
      <c r="K19">
        <f>+bma!M19/data!$K19</f>
        <v>0</v>
      </c>
      <c r="L19">
        <f>+bma!J19/data!$K19</f>
        <v>0</v>
      </c>
      <c r="M19">
        <f>+bma!K19/data!$K19</f>
        <v>0</v>
      </c>
      <c r="N19">
        <f>+bma!N19/data!$K19</f>
        <v>0</v>
      </c>
      <c r="O19">
        <f>+bma!O19/data!$K19</f>
        <v>0</v>
      </c>
      <c r="P19">
        <f>+bma!P19/data!$K19</f>
        <v>3.3333333333333333E-2</v>
      </c>
      <c r="Q19">
        <f>+bma!Q19/data!$K19</f>
        <v>0.25311246666666665</v>
      </c>
      <c r="R19">
        <f>+bma!R19/data!$K19</f>
        <v>0.15544796666666669</v>
      </c>
      <c r="S19">
        <f>+bma!S19/data!$K19</f>
        <v>3.3333333333333333E-2</v>
      </c>
    </row>
    <row r="20" spans="1:19" x14ac:dyDescent="0.25">
      <c r="A20">
        <f>+bma!A20/data!$K20</f>
        <v>-2.9367912827547138E-2</v>
      </c>
      <c r="B20">
        <f>+bma!B20/data!$K20</f>
        <v>4.0713372681442424E-3</v>
      </c>
      <c r="C20">
        <f>+bma!C20/data!$K20</f>
        <v>0</v>
      </c>
      <c r="D20">
        <f>+bma!D20/data!$K20</f>
        <v>3.3333333333333333E-2</v>
      </c>
      <c r="E20">
        <f>+bma!E20/data!$K20</f>
        <v>0</v>
      </c>
      <c r="F20">
        <f>+bma!F20/data!$K20</f>
        <v>0</v>
      </c>
      <c r="G20">
        <f>+bma!G20/data!$K20</f>
        <v>3.3333333333333333E-2</v>
      </c>
      <c r="H20">
        <f>+bma!H20/data!$K20</f>
        <v>0</v>
      </c>
      <c r="I20">
        <f>+bma!I20/data!$K20</f>
        <v>0</v>
      </c>
      <c r="J20">
        <f>+bma!L20/data!$K20</f>
        <v>0</v>
      </c>
      <c r="K20">
        <f>+bma!M20/data!$K20</f>
        <v>0</v>
      </c>
      <c r="L20">
        <f>+bma!J20/data!$K20</f>
        <v>0</v>
      </c>
      <c r="M20">
        <f>+bma!K20/data!$K20</f>
        <v>0</v>
      </c>
      <c r="N20">
        <f>+bma!N20/data!$K20</f>
        <v>0</v>
      </c>
      <c r="O20">
        <f>+bma!O20/data!$K20</f>
        <v>0</v>
      </c>
      <c r="P20">
        <f>+bma!P20/data!$K20</f>
        <v>3.3333333333333333E-2</v>
      </c>
      <c r="Q20">
        <f>+bma!Q20/data!$K20</f>
        <v>0.25311246666666665</v>
      </c>
      <c r="R20">
        <f>+bma!R20/data!$K20</f>
        <v>0.15544796666666669</v>
      </c>
      <c r="S20">
        <f>+bma!S20/data!$K20</f>
        <v>3.3333333333333333E-2</v>
      </c>
    </row>
    <row r="21" spans="1:19" x14ac:dyDescent="0.25">
      <c r="A21">
        <f>+bma!A21/data!$K21</f>
        <v>-2.9866390950922674E-2</v>
      </c>
      <c r="B21">
        <f>+bma!B21/data!$K21</f>
        <v>3.8219524040098932E-3</v>
      </c>
      <c r="C21">
        <f>+bma!C21/data!$K21</f>
        <v>0</v>
      </c>
      <c r="D21">
        <f>+bma!D21/data!$K21</f>
        <v>3.3333333333333333E-2</v>
      </c>
      <c r="E21">
        <f>+bma!E21/data!$K21</f>
        <v>0</v>
      </c>
      <c r="F21">
        <f>+bma!F21/data!$K21</f>
        <v>0</v>
      </c>
      <c r="G21">
        <f>+bma!G21/data!$K21</f>
        <v>3.3333333333333333E-2</v>
      </c>
      <c r="H21">
        <f>+bma!H21/data!$K21</f>
        <v>0</v>
      </c>
      <c r="I21">
        <f>+bma!I21/data!$K21</f>
        <v>0</v>
      </c>
      <c r="J21">
        <f>+bma!L21/data!$K21</f>
        <v>0</v>
      </c>
      <c r="K21">
        <f>+bma!M21/data!$K21</f>
        <v>0</v>
      </c>
      <c r="L21">
        <f>+bma!J21/data!$K21</f>
        <v>0</v>
      </c>
      <c r="M21">
        <f>+bma!K21/data!$K21</f>
        <v>0</v>
      </c>
      <c r="N21">
        <f>+bma!N21/data!$K21</f>
        <v>0</v>
      </c>
      <c r="O21">
        <f>+bma!O21/data!$K21</f>
        <v>0</v>
      </c>
      <c r="P21">
        <f>+bma!P21/data!$K21</f>
        <v>3.3333333333333333E-2</v>
      </c>
      <c r="Q21">
        <f>+bma!Q21/data!$K21</f>
        <v>0.25311246666666665</v>
      </c>
      <c r="R21">
        <f>+bma!R21/data!$K21</f>
        <v>0.15544796666666669</v>
      </c>
      <c r="S21">
        <f>+bma!S21/data!$K21</f>
        <v>3.3333333333333333E-2</v>
      </c>
    </row>
    <row r="22" spans="1:19" x14ac:dyDescent="0.25">
      <c r="A22">
        <f>+bma!A22/data!$K22</f>
        <v>-2.6943348949835914E-2</v>
      </c>
      <c r="B22">
        <f>+bma!B22/data!$K22</f>
        <v>5.0673270960700564E-3</v>
      </c>
      <c r="C22">
        <f>+bma!C22/data!$K22</f>
        <v>0</v>
      </c>
      <c r="D22">
        <f>+bma!D22/data!$K22</f>
        <v>3.3333333333333333E-2</v>
      </c>
      <c r="E22">
        <f>+bma!E22/data!$K22</f>
        <v>0</v>
      </c>
      <c r="F22">
        <f>+bma!F22/data!$K22</f>
        <v>0</v>
      </c>
      <c r="G22">
        <f>+bma!G22/data!$K22</f>
        <v>3.3333333333333333E-2</v>
      </c>
      <c r="H22">
        <f>+bma!H22/data!$K22</f>
        <v>0</v>
      </c>
      <c r="I22">
        <f>+bma!I22/data!$K22</f>
        <v>0</v>
      </c>
      <c r="J22">
        <f>+bma!L22/data!$K22</f>
        <v>0</v>
      </c>
      <c r="K22">
        <f>+bma!M22/data!$K22</f>
        <v>0</v>
      </c>
      <c r="L22">
        <f>+bma!J22/data!$K22</f>
        <v>0</v>
      </c>
      <c r="M22">
        <f>+bma!K22/data!$K22</f>
        <v>0</v>
      </c>
      <c r="N22">
        <f>+bma!N22/data!$K22</f>
        <v>0</v>
      </c>
      <c r="O22">
        <f>+bma!O22/data!$K22</f>
        <v>0</v>
      </c>
      <c r="P22">
        <f>+bma!P22/data!$K22</f>
        <v>3.3333333333333333E-2</v>
      </c>
      <c r="Q22">
        <f>+bma!Q22/data!$K22</f>
        <v>0.25311246666666665</v>
      </c>
      <c r="R22">
        <f>+bma!R22/data!$K22</f>
        <v>0.15544796666666669</v>
      </c>
      <c r="S22">
        <f>+bma!S22/data!$K22</f>
        <v>3.3333333333333333E-2</v>
      </c>
    </row>
    <row r="23" spans="1:19" x14ac:dyDescent="0.25">
      <c r="A23">
        <f>+bma!A23/data!$K23</f>
        <v>-1.1929628349015703E-2</v>
      </c>
      <c r="B23">
        <f>+bma!B23/data!$K23</f>
        <v>8.0365626091651564E-3</v>
      </c>
      <c r="C23">
        <f>+bma!C23/data!$K23</f>
        <v>0</v>
      </c>
      <c r="D23">
        <f>+bma!D23/data!$K23</f>
        <v>3.3333333333333333E-2</v>
      </c>
      <c r="E23">
        <f>+bma!E23/data!$K23</f>
        <v>0</v>
      </c>
      <c r="F23">
        <f>+bma!F23/data!$K23</f>
        <v>0</v>
      </c>
      <c r="G23">
        <f>+bma!G23/data!$K23</f>
        <v>3.3333333333333333E-2</v>
      </c>
      <c r="H23">
        <f>+bma!H23/data!$K23</f>
        <v>0</v>
      </c>
      <c r="I23">
        <f>+bma!I23/data!$K23</f>
        <v>0</v>
      </c>
      <c r="J23">
        <f>+bma!L23/data!$K23</f>
        <v>0</v>
      </c>
      <c r="K23">
        <f>+bma!M23/data!$K23</f>
        <v>0</v>
      </c>
      <c r="L23">
        <f>+bma!J23/data!$K23</f>
        <v>0</v>
      </c>
      <c r="M23">
        <f>+bma!K23/data!$K23</f>
        <v>0</v>
      </c>
      <c r="N23">
        <f>+bma!N23/data!$K23</f>
        <v>0</v>
      </c>
      <c r="O23">
        <f>+bma!O23/data!$K23</f>
        <v>0</v>
      </c>
      <c r="P23">
        <f>+bma!P23/data!$K23</f>
        <v>3.3333333333333333E-2</v>
      </c>
      <c r="Q23">
        <f>+bma!Q23/data!$K23</f>
        <v>0.25311246666666665</v>
      </c>
      <c r="R23">
        <f>+bma!R23/data!$K23</f>
        <v>0.15544796666666669</v>
      </c>
      <c r="S23">
        <f>+bma!S23/data!$K23</f>
        <v>3.3333333333333333E-2</v>
      </c>
    </row>
    <row r="24" spans="1:19" x14ac:dyDescent="0.25">
      <c r="A24">
        <f>+bma!A24/data!$K24</f>
        <v>-2.8463335245073822E-2</v>
      </c>
      <c r="B24">
        <f>+bma!B24/data!$K24</f>
        <v>4.4792086937884409E-3</v>
      </c>
      <c r="C24">
        <f>+bma!C24/data!$K24</f>
        <v>0</v>
      </c>
      <c r="D24">
        <f>+bma!D24/data!$K24</f>
        <v>3.3333333333333333E-2</v>
      </c>
      <c r="E24">
        <f>+bma!E24/data!$K24</f>
        <v>0</v>
      </c>
      <c r="F24">
        <f>+bma!F24/data!$K24</f>
        <v>0</v>
      </c>
      <c r="G24">
        <f>+bma!G24/data!$K24</f>
        <v>3.3333333333333333E-2</v>
      </c>
      <c r="H24">
        <f>+bma!H24/data!$K24</f>
        <v>0</v>
      </c>
      <c r="I24">
        <f>+bma!I24/data!$K24</f>
        <v>0</v>
      </c>
      <c r="J24">
        <f>+bma!L24/data!$K24</f>
        <v>0</v>
      </c>
      <c r="K24">
        <f>+bma!M24/data!$K24</f>
        <v>0</v>
      </c>
      <c r="L24">
        <f>+bma!J24/data!$K24</f>
        <v>0</v>
      </c>
      <c r="M24">
        <f>+bma!K24/data!$K24</f>
        <v>0</v>
      </c>
      <c r="N24">
        <f>+bma!N24/data!$K24</f>
        <v>0</v>
      </c>
      <c r="O24">
        <f>+bma!O24/data!$K24</f>
        <v>0</v>
      </c>
      <c r="P24">
        <f>+bma!P24/data!$K24</f>
        <v>3.3333333333333333E-2</v>
      </c>
      <c r="Q24">
        <f>+bma!Q24/data!$K24</f>
        <v>0.25311246666666665</v>
      </c>
      <c r="R24">
        <f>+bma!R24/data!$K24</f>
        <v>0.15544796666666669</v>
      </c>
      <c r="S24">
        <f>+bma!S24/data!$K24</f>
        <v>3.3333333333333333E-2</v>
      </c>
    </row>
    <row r="25" spans="1:19" x14ac:dyDescent="0.25">
      <c r="A25">
        <f>+bma!A25/data!$K25</f>
        <v>-2.5221280303627937E-2</v>
      </c>
      <c r="B25">
        <f>+bma!B25/data!$K25</f>
        <v>5.6273032674448997E-3</v>
      </c>
      <c r="C25">
        <f>+bma!C25/data!$K25</f>
        <v>0</v>
      </c>
      <c r="D25">
        <f>+bma!D25/data!$K25</f>
        <v>3.3333333333333333E-2</v>
      </c>
      <c r="E25">
        <f>+bma!E25/data!$K25</f>
        <v>0</v>
      </c>
      <c r="F25">
        <f>+bma!F25/data!$K25</f>
        <v>0</v>
      </c>
      <c r="G25">
        <f>+bma!G25/data!$K25</f>
        <v>3.3333333333333333E-2</v>
      </c>
      <c r="H25">
        <f>+bma!H25/data!$K25</f>
        <v>0</v>
      </c>
      <c r="I25">
        <f>+bma!I25/data!$K25</f>
        <v>0</v>
      </c>
      <c r="J25">
        <f>+bma!L25/data!$K25</f>
        <v>0</v>
      </c>
      <c r="K25">
        <f>+bma!M25/data!$K25</f>
        <v>0</v>
      </c>
      <c r="L25">
        <f>+bma!J25/data!$K25</f>
        <v>0</v>
      </c>
      <c r="M25">
        <f>+bma!K25/data!$K25</f>
        <v>0</v>
      </c>
      <c r="N25">
        <f>+bma!N25/data!$K25</f>
        <v>0</v>
      </c>
      <c r="O25">
        <f>+bma!O25/data!$K25</f>
        <v>0</v>
      </c>
      <c r="P25">
        <f>+bma!P25/data!$K25</f>
        <v>3.3333333333333333E-2</v>
      </c>
      <c r="Q25">
        <f>+bma!Q25/data!$K25</f>
        <v>0.25311246666666665</v>
      </c>
      <c r="R25">
        <f>+bma!R25/data!$K25</f>
        <v>0.15544796666666669</v>
      </c>
      <c r="S25">
        <f>+bma!S25/data!$K25</f>
        <v>3.3333333333333333E-2</v>
      </c>
    </row>
    <row r="26" spans="1:19" x14ac:dyDescent="0.25">
      <c r="A26">
        <f>+bma!A26/data!$K26</f>
        <v>-3.1382974593787208E-2</v>
      </c>
      <c r="B26">
        <f>+bma!B26/data!$K26</f>
        <v>2.9008046786689798E-3</v>
      </c>
      <c r="C26">
        <f>+bma!C26/data!$K26</f>
        <v>0</v>
      </c>
      <c r="D26">
        <f>+bma!D26/data!$K26</f>
        <v>3.3333333333333333E-2</v>
      </c>
      <c r="E26">
        <f>+bma!E26/data!$K26</f>
        <v>0</v>
      </c>
      <c r="F26">
        <f>+bma!F26/data!$K26</f>
        <v>0</v>
      </c>
      <c r="G26">
        <f>+bma!G26/data!$K26</f>
        <v>3.3333333333333333E-2</v>
      </c>
      <c r="H26">
        <f>+bma!H26/data!$K26</f>
        <v>0</v>
      </c>
      <c r="I26">
        <f>+bma!I26/data!$K26</f>
        <v>0</v>
      </c>
      <c r="J26">
        <f>+bma!L26/data!$K26</f>
        <v>0</v>
      </c>
      <c r="K26">
        <f>+bma!M26/data!$K26</f>
        <v>0</v>
      </c>
      <c r="L26">
        <f>+bma!J26/data!$K26</f>
        <v>0</v>
      </c>
      <c r="M26">
        <f>+bma!K26/data!$K26</f>
        <v>0</v>
      </c>
      <c r="N26">
        <f>+bma!N26/data!$K26</f>
        <v>0</v>
      </c>
      <c r="O26">
        <f>+bma!O26/data!$K26</f>
        <v>0</v>
      </c>
      <c r="P26">
        <f>+bma!P26/data!$K26</f>
        <v>3.3333333333333333E-2</v>
      </c>
      <c r="Q26">
        <f>+bma!Q26/data!$K26</f>
        <v>0.25311246666666665</v>
      </c>
      <c r="R26">
        <f>+bma!R26/data!$K26</f>
        <v>0.15544796666666669</v>
      </c>
      <c r="S26">
        <f>+bma!S26/data!$K26</f>
        <v>3.3333333333333333E-2</v>
      </c>
    </row>
    <row r="27" spans="1:19" x14ac:dyDescent="0.25">
      <c r="A27">
        <f>+bma!A27/data!$K27</f>
        <v>3.5443899324222733E-3</v>
      </c>
      <c r="B27">
        <f>+bma!B27/data!$K27</f>
        <v>8.557836218414305E-3</v>
      </c>
      <c r="C27">
        <f>+bma!C27/data!$K27</f>
        <v>0</v>
      </c>
      <c r="D27">
        <f>+bma!D27/data!$K27</f>
        <v>3.3333333333333333E-2</v>
      </c>
      <c r="E27">
        <f>+bma!E27/data!$K27</f>
        <v>0</v>
      </c>
      <c r="F27">
        <f>+bma!F27/data!$K27</f>
        <v>0</v>
      </c>
      <c r="G27">
        <f>+bma!G27/data!$K27</f>
        <v>3.3333333333333333E-2</v>
      </c>
      <c r="H27">
        <f>+bma!H27/data!$K27</f>
        <v>0</v>
      </c>
      <c r="I27">
        <f>+bma!I27/data!$K27</f>
        <v>0</v>
      </c>
      <c r="J27">
        <f>+bma!L27/data!$K27</f>
        <v>0</v>
      </c>
      <c r="K27">
        <f>+bma!M27/data!$K27</f>
        <v>0</v>
      </c>
      <c r="L27">
        <f>+bma!J27/data!$K27</f>
        <v>0</v>
      </c>
      <c r="M27">
        <f>+bma!K27/data!$K27</f>
        <v>0</v>
      </c>
      <c r="N27">
        <f>+bma!N27/data!$K27</f>
        <v>0</v>
      </c>
      <c r="O27">
        <f>+bma!O27/data!$K27</f>
        <v>0</v>
      </c>
      <c r="P27">
        <f>+bma!P27/data!$K27</f>
        <v>3.3333333333333333E-2</v>
      </c>
      <c r="Q27">
        <f>+bma!Q27/data!$K27</f>
        <v>0.25311246666666665</v>
      </c>
      <c r="R27">
        <f>+bma!R27/data!$K27</f>
        <v>0.15544796666666669</v>
      </c>
      <c r="S27">
        <f>+bma!S27/data!$K27</f>
        <v>3.3333333333333333E-2</v>
      </c>
    </row>
    <row r="28" spans="1:19" x14ac:dyDescent="0.25">
      <c r="A28">
        <f>+bma!A28/data!$K28</f>
        <v>-1.9090752882549092E-2</v>
      </c>
      <c r="B28">
        <f>+bma!B28/data!$K28</f>
        <v>7.0552782392029239E-3</v>
      </c>
      <c r="C28">
        <f>+bma!C28/data!$K28</f>
        <v>0</v>
      </c>
      <c r="D28">
        <f>+bma!D28/data!$K28</f>
        <v>3.3333333333333333E-2</v>
      </c>
      <c r="E28">
        <f>+bma!E28/data!$K28</f>
        <v>0</v>
      </c>
      <c r="F28">
        <f>+bma!F28/data!$K28</f>
        <v>0</v>
      </c>
      <c r="G28">
        <f>+bma!G28/data!$K28</f>
        <v>3.3333333333333333E-2</v>
      </c>
      <c r="H28">
        <f>+bma!H28/data!$K28</f>
        <v>0</v>
      </c>
      <c r="I28">
        <f>+bma!I28/data!$K28</f>
        <v>0</v>
      </c>
      <c r="J28">
        <f>+bma!L28/data!$K28</f>
        <v>0</v>
      </c>
      <c r="K28">
        <f>+bma!M28/data!$K28</f>
        <v>0</v>
      </c>
      <c r="L28">
        <f>+bma!J28/data!$K28</f>
        <v>0</v>
      </c>
      <c r="M28">
        <f>+bma!K28/data!$K28</f>
        <v>0</v>
      </c>
      <c r="N28">
        <f>+bma!N28/data!$K28</f>
        <v>0</v>
      </c>
      <c r="O28">
        <f>+bma!O28/data!$K28</f>
        <v>0</v>
      </c>
      <c r="P28">
        <f>+bma!P28/data!$K28</f>
        <v>3.3333333333333333E-2</v>
      </c>
      <c r="Q28">
        <f>+bma!Q28/data!$K28</f>
        <v>0.25311246666666665</v>
      </c>
      <c r="R28">
        <f>+bma!R28/data!$K28</f>
        <v>0.15544796666666669</v>
      </c>
      <c r="S28">
        <f>+bma!S28/data!$K28</f>
        <v>3.3333333333333333E-2</v>
      </c>
    </row>
    <row r="29" spans="1:19" x14ac:dyDescent="0.25">
      <c r="A29">
        <f>+bma!A29/data!$K29</f>
        <v>-2.6550469701814614E-2</v>
      </c>
      <c r="B29">
        <f>+bma!B29/data!$K29</f>
        <v>5.2037401275373428E-3</v>
      </c>
      <c r="C29">
        <f>+bma!C29/data!$K29</f>
        <v>0</v>
      </c>
      <c r="D29">
        <f>+bma!D29/data!$K29</f>
        <v>3.3333333333333333E-2</v>
      </c>
      <c r="E29">
        <f>+bma!E29/data!$K29</f>
        <v>0</v>
      </c>
      <c r="F29">
        <f>+bma!F29/data!$K29</f>
        <v>0</v>
      </c>
      <c r="G29">
        <f>+bma!G29/data!$K29</f>
        <v>3.3333333333333333E-2</v>
      </c>
      <c r="H29">
        <f>+bma!H29/data!$K29</f>
        <v>0</v>
      </c>
      <c r="I29">
        <f>+bma!I29/data!$K29</f>
        <v>0</v>
      </c>
      <c r="J29">
        <f>+bma!L29/data!$K29</f>
        <v>0</v>
      </c>
      <c r="K29">
        <f>+bma!M29/data!$K29</f>
        <v>0</v>
      </c>
      <c r="L29">
        <f>+bma!J29/data!$K29</f>
        <v>0</v>
      </c>
      <c r="M29">
        <f>+bma!K29/data!$K29</f>
        <v>0</v>
      </c>
      <c r="N29">
        <f>+bma!N29/data!$K29</f>
        <v>0</v>
      </c>
      <c r="O29">
        <f>+bma!O29/data!$K29</f>
        <v>0</v>
      </c>
      <c r="P29">
        <f>+bma!P29/data!$K29</f>
        <v>3.3333333333333333E-2</v>
      </c>
      <c r="Q29">
        <f>+bma!Q29/data!$K29</f>
        <v>0.25311246666666665</v>
      </c>
      <c r="R29">
        <f>+bma!R29/data!$K29</f>
        <v>0.15544796666666669</v>
      </c>
      <c r="S29">
        <f>+bma!S29/data!$K29</f>
        <v>3.3333333333333333E-2</v>
      </c>
    </row>
    <row r="30" spans="1:19" x14ac:dyDescent="0.25">
      <c r="A30">
        <f>+bma!A30/data!$K30</f>
        <v>-1.7684006736403926E-2</v>
      </c>
      <c r="B30">
        <f>+bma!B30/data!$K30</f>
        <v>7.2956014915743659E-3</v>
      </c>
      <c r="C30">
        <f>+bma!C30/data!$K30</f>
        <v>0</v>
      </c>
      <c r="D30">
        <f>+bma!D30/data!$K30</f>
        <v>3.3333333333333333E-2</v>
      </c>
      <c r="E30">
        <f>+bma!E30/data!$K30</f>
        <v>0</v>
      </c>
      <c r="F30">
        <f>+bma!F30/data!$K30</f>
        <v>0</v>
      </c>
      <c r="G30">
        <f>+bma!G30/data!$K30</f>
        <v>3.3333333333333333E-2</v>
      </c>
      <c r="H30">
        <f>+bma!H30/data!$K30</f>
        <v>0</v>
      </c>
      <c r="I30">
        <f>+bma!I30/data!$K30</f>
        <v>0</v>
      </c>
      <c r="J30">
        <f>+bma!L30/data!$K30</f>
        <v>0</v>
      </c>
      <c r="K30">
        <f>+bma!M30/data!$K30</f>
        <v>0</v>
      </c>
      <c r="L30">
        <f>+bma!J30/data!$K30</f>
        <v>0</v>
      </c>
      <c r="M30">
        <f>+bma!K30/data!$K30</f>
        <v>0</v>
      </c>
      <c r="N30">
        <f>+bma!N30/data!$K30</f>
        <v>0</v>
      </c>
      <c r="O30">
        <f>+bma!O30/data!$K30</f>
        <v>0</v>
      </c>
      <c r="P30">
        <f>+bma!P30/data!$K30</f>
        <v>3.3333333333333333E-2</v>
      </c>
      <c r="Q30">
        <f>+bma!Q30/data!$K30</f>
        <v>0.25311246666666665</v>
      </c>
      <c r="R30">
        <f>+bma!R30/data!$K30</f>
        <v>0.15544796666666669</v>
      </c>
      <c r="S30">
        <f>+bma!S30/data!$K30</f>
        <v>3.3333333333333333E-2</v>
      </c>
    </row>
    <row r="31" spans="1:19" x14ac:dyDescent="0.25">
      <c r="A31">
        <f>+bma!A31/data!$K31</f>
        <v>-6.613762319839833E-3</v>
      </c>
      <c r="B31">
        <f>+bma!B31/data!$K31</f>
        <v>8.4355172103346369E-3</v>
      </c>
      <c r="C31">
        <f>+bma!C31/data!$K31</f>
        <v>0</v>
      </c>
      <c r="D31">
        <f>+bma!D31/data!$K31</f>
        <v>3.3333333333333333E-2</v>
      </c>
      <c r="E31">
        <f>+bma!E31/data!$K31</f>
        <v>0</v>
      </c>
      <c r="F31">
        <f>+bma!F31/data!$K31</f>
        <v>0</v>
      </c>
      <c r="G31">
        <f>+bma!G31/data!$K31</f>
        <v>3.3333333333333333E-2</v>
      </c>
      <c r="H31">
        <f>+bma!H31/data!$K31</f>
        <v>0</v>
      </c>
      <c r="I31">
        <f>+bma!I31/data!$K31</f>
        <v>0</v>
      </c>
      <c r="J31">
        <f>+bma!L31/data!$K31</f>
        <v>0</v>
      </c>
      <c r="K31">
        <f>+bma!M31/data!$K31</f>
        <v>0</v>
      </c>
      <c r="L31">
        <f>+bma!J31/data!$K31</f>
        <v>0</v>
      </c>
      <c r="M31">
        <f>+bma!K31/data!$K31</f>
        <v>0</v>
      </c>
      <c r="N31">
        <f>+bma!N31/data!$K31</f>
        <v>0</v>
      </c>
      <c r="O31">
        <f>+bma!O31/data!$K31</f>
        <v>0</v>
      </c>
      <c r="P31">
        <f>+bma!P31/data!$K31</f>
        <v>3.3333333333333333E-2</v>
      </c>
      <c r="Q31">
        <f>+bma!Q31/data!$K31</f>
        <v>0.25311246666666665</v>
      </c>
      <c r="R31">
        <f>+bma!R31/data!$K31</f>
        <v>0.15544796666666669</v>
      </c>
      <c r="S31">
        <f>+bma!S31/data!$K31</f>
        <v>3.3333333333333333E-2</v>
      </c>
    </row>
    <row r="32" spans="1:19" x14ac:dyDescent="0.25">
      <c r="A32">
        <f>+bma!A32/data!$K32</f>
        <v>-0.14100802898203746</v>
      </c>
      <c r="B32">
        <f>+bma!B32/data!$K32</f>
        <v>6.5281494899091339E-2</v>
      </c>
      <c r="C32">
        <f>+bma!C32/data!$K32</f>
        <v>0</v>
      </c>
      <c r="D32">
        <f>+bma!D32/data!$K32</f>
        <v>0.25</v>
      </c>
      <c r="E32">
        <f>+bma!E32/data!$K32</f>
        <v>0</v>
      </c>
      <c r="F32">
        <f>+bma!F32/data!$K32</f>
        <v>0</v>
      </c>
      <c r="G32">
        <f>+bma!G32/data!$K32</f>
        <v>0</v>
      </c>
      <c r="H32">
        <f>+bma!H32/data!$K32</f>
        <v>0.25</v>
      </c>
      <c r="I32">
        <f>+bma!I32/data!$K32</f>
        <v>0.25</v>
      </c>
      <c r="J32">
        <f>+bma!L32/data!$K32</f>
        <v>0</v>
      </c>
      <c r="K32">
        <f>+bma!M32/data!$K32</f>
        <v>0.25</v>
      </c>
      <c r="L32">
        <f>+bma!J32/data!$K32</f>
        <v>0</v>
      </c>
      <c r="M32">
        <f>+bma!K32/data!$K32</f>
        <v>0</v>
      </c>
      <c r="N32">
        <f>+bma!N32/data!$K32</f>
        <v>0</v>
      </c>
      <c r="O32">
        <f>+bma!O32/data!$K32</f>
        <v>0</v>
      </c>
      <c r="P32">
        <f>+bma!P32/data!$K32</f>
        <v>0.25</v>
      </c>
      <c r="Q32">
        <f>+bma!Q32/data!$K32</f>
        <v>1.8982174999999999</v>
      </c>
      <c r="R32">
        <f>+bma!R32/data!$K32</f>
        <v>0.64123724999999998</v>
      </c>
      <c r="S32">
        <f>+bma!S32/data!$K32</f>
        <v>0.25</v>
      </c>
    </row>
    <row r="33" spans="1:19" x14ac:dyDescent="0.25">
      <c r="A33">
        <f>+bma!A33/data!$K33</f>
        <v>-0.11454178285289626</v>
      </c>
      <c r="B33">
        <f>+bma!B33/data!$K33</f>
        <v>7.0271032425089613E-2</v>
      </c>
      <c r="C33">
        <f>+bma!C33/data!$K33</f>
        <v>0</v>
      </c>
      <c r="D33">
        <f>+bma!D33/data!$K33</f>
        <v>0.25</v>
      </c>
      <c r="E33">
        <f>+bma!E33/data!$K33</f>
        <v>0</v>
      </c>
      <c r="F33">
        <f>+bma!F33/data!$K33</f>
        <v>0.25</v>
      </c>
      <c r="G33">
        <f>+bma!G33/data!$K33</f>
        <v>0</v>
      </c>
      <c r="H33">
        <f>+bma!H33/data!$K33</f>
        <v>0.25</v>
      </c>
      <c r="I33">
        <f>+bma!I33/data!$K33</f>
        <v>0.25</v>
      </c>
      <c r="J33">
        <f>+bma!L33/data!$K33</f>
        <v>0</v>
      </c>
      <c r="K33">
        <f>+bma!M33/data!$K33</f>
        <v>0.25</v>
      </c>
      <c r="L33">
        <f>+bma!J33/data!$K33</f>
        <v>0</v>
      </c>
      <c r="M33">
        <f>+bma!K33/data!$K33</f>
        <v>0</v>
      </c>
      <c r="N33">
        <f>+bma!N33/data!$K33</f>
        <v>0</v>
      </c>
      <c r="O33">
        <f>+bma!O33/data!$K33</f>
        <v>0</v>
      </c>
      <c r="P33">
        <f>+bma!P33/data!$K33</f>
        <v>0.25</v>
      </c>
      <c r="Q33">
        <f>+bma!Q33/data!$K33</f>
        <v>1.8982174999999999</v>
      </c>
      <c r="R33">
        <f>+bma!R33/data!$K33</f>
        <v>0.64123724999999998</v>
      </c>
      <c r="S33">
        <f>+bma!S33/data!$K33</f>
        <v>0.25</v>
      </c>
    </row>
    <row r="34" spans="1:19" x14ac:dyDescent="0.25">
      <c r="A34">
        <f>+bma!A34/data!$K34</f>
        <v>-8.8049742027753217E-2</v>
      </c>
      <c r="B34">
        <f>+bma!B34/data!$K34</f>
        <v>7.3991379855254835E-2</v>
      </c>
      <c r="C34">
        <f>+bma!C34/data!$K34</f>
        <v>0</v>
      </c>
      <c r="D34">
        <f>+bma!D34/data!$K34</f>
        <v>0.25</v>
      </c>
      <c r="E34">
        <f>+bma!E34/data!$K34</f>
        <v>0</v>
      </c>
      <c r="F34">
        <f>+bma!F34/data!$K34</f>
        <v>0</v>
      </c>
      <c r="G34">
        <f>+bma!G34/data!$K34</f>
        <v>0</v>
      </c>
      <c r="H34">
        <f>+bma!H34/data!$K34</f>
        <v>0.25</v>
      </c>
      <c r="I34">
        <f>+bma!I34/data!$K34</f>
        <v>0.25</v>
      </c>
      <c r="J34">
        <f>+bma!L34/data!$K34</f>
        <v>0</v>
      </c>
      <c r="K34">
        <f>+bma!M34/data!$K34</f>
        <v>0.25</v>
      </c>
      <c r="L34">
        <f>+bma!J34/data!$K34</f>
        <v>0</v>
      </c>
      <c r="M34">
        <f>+bma!K34/data!$K34</f>
        <v>0</v>
      </c>
      <c r="N34">
        <f>+bma!N34/data!$K34</f>
        <v>0</v>
      </c>
      <c r="O34">
        <f>+bma!O34/data!$K34</f>
        <v>0</v>
      </c>
      <c r="P34">
        <f>+bma!P34/data!$K34</f>
        <v>0.25</v>
      </c>
      <c r="Q34">
        <f>+bma!Q34/data!$K34</f>
        <v>1.8982174999999999</v>
      </c>
      <c r="R34">
        <f>+bma!R34/data!$K34</f>
        <v>0.64123724999999998</v>
      </c>
      <c r="S34">
        <f>+bma!S34/data!$K34</f>
        <v>0.25</v>
      </c>
    </row>
    <row r="35" spans="1:19" x14ac:dyDescent="0.25">
      <c r="A35">
        <f>+bma!A35/data!$K35</f>
        <v>-0.11398551084508346</v>
      </c>
      <c r="B35">
        <f>+bma!B35/data!$K35</f>
        <v>7.0361426447582323E-2</v>
      </c>
      <c r="C35">
        <f>+bma!C35/data!$K35</f>
        <v>0</v>
      </c>
      <c r="D35">
        <f>+bma!D35/data!$K35</f>
        <v>0.25</v>
      </c>
      <c r="E35">
        <f>+bma!E35/data!$K35</f>
        <v>0</v>
      </c>
      <c r="F35">
        <f>+bma!F35/data!$K35</f>
        <v>0</v>
      </c>
      <c r="G35">
        <f>+bma!G35/data!$K35</f>
        <v>0.25</v>
      </c>
      <c r="H35">
        <f>+bma!H35/data!$K35</f>
        <v>0.25</v>
      </c>
      <c r="I35">
        <f>+bma!I35/data!$K35</f>
        <v>0.25</v>
      </c>
      <c r="J35">
        <f>+bma!L35/data!$K35</f>
        <v>0</v>
      </c>
      <c r="K35">
        <f>+bma!M35/data!$K35</f>
        <v>0.25</v>
      </c>
      <c r="L35">
        <f>+bma!J35/data!$K35</f>
        <v>0</v>
      </c>
      <c r="M35">
        <f>+bma!K35/data!$K35</f>
        <v>0</v>
      </c>
      <c r="N35">
        <f>+bma!N35/data!$K35</f>
        <v>0</v>
      </c>
      <c r="O35">
        <f>+bma!O35/data!$K35</f>
        <v>0</v>
      </c>
      <c r="P35">
        <f>+bma!P35/data!$K35</f>
        <v>0.25</v>
      </c>
      <c r="Q35">
        <f>+bma!Q35/data!$K35</f>
        <v>1.8982174999999999</v>
      </c>
      <c r="R35">
        <f>+bma!R35/data!$K35</f>
        <v>0.64123724999999998</v>
      </c>
      <c r="S35">
        <f>+bma!S35/data!$K35</f>
        <v>0.25</v>
      </c>
    </row>
    <row r="36" spans="1:19" x14ac:dyDescent="0.25">
      <c r="A36">
        <f>+bma!A36/data!$K36</f>
        <v>-9.6578857344663711E-3</v>
      </c>
      <c r="B36">
        <f>+bma!B36/data!$K36</f>
        <v>4.7111637729104188E-3</v>
      </c>
      <c r="C36">
        <f>+bma!C36/data!$K36</f>
        <v>0</v>
      </c>
      <c r="D36">
        <f>+bma!D36/data!$K36</f>
        <v>0</v>
      </c>
      <c r="E36">
        <f>+bma!E36/data!$K36</f>
        <v>0.2</v>
      </c>
      <c r="F36">
        <f>+bma!F36/data!$K36</f>
        <v>0</v>
      </c>
      <c r="G36">
        <f>+bma!G36/data!$K36</f>
        <v>0.2</v>
      </c>
      <c r="H36">
        <f>+bma!H36/data!$K36</f>
        <v>0.2</v>
      </c>
      <c r="I36">
        <f>+bma!I36/data!$K36</f>
        <v>0.2</v>
      </c>
      <c r="J36">
        <f>+bma!L36/data!$K36</f>
        <v>0</v>
      </c>
      <c r="K36">
        <f>+bma!M36/data!$K36</f>
        <v>0.2</v>
      </c>
      <c r="L36">
        <f>+bma!J36/data!$K36</f>
        <v>0</v>
      </c>
      <c r="M36">
        <f>+bma!K36/data!$K36</f>
        <v>0</v>
      </c>
      <c r="N36">
        <f>+bma!N36/data!$K36</f>
        <v>0.2</v>
      </c>
      <c r="O36">
        <f>+bma!O36/data!$K36</f>
        <v>0</v>
      </c>
      <c r="P36">
        <f>+bma!P36/data!$K36</f>
        <v>0.2</v>
      </c>
      <c r="Q36">
        <f>+bma!Q36/data!$K36</f>
        <v>1.5200803999999999</v>
      </c>
      <c r="R36">
        <f>+bma!R36/data!$K36</f>
        <v>0.81886899999999996</v>
      </c>
      <c r="S36">
        <f>+bma!S36/data!$K36</f>
        <v>0.2</v>
      </c>
    </row>
    <row r="37" spans="1:19" x14ac:dyDescent="0.25">
      <c r="A37">
        <f>+bma!A37/data!$K37</f>
        <v>-1.4497182344266635E-2</v>
      </c>
      <c r="B37">
        <f>+bma!B37/data!$K37</f>
        <v>4.7068773845021497E-3</v>
      </c>
      <c r="C37">
        <f>+bma!C37/data!$K37</f>
        <v>0</v>
      </c>
      <c r="D37">
        <f>+bma!D37/data!$K37</f>
        <v>0</v>
      </c>
      <c r="E37">
        <f>+bma!E37/data!$K37</f>
        <v>0.2</v>
      </c>
      <c r="F37">
        <f>+bma!F37/data!$K37</f>
        <v>0</v>
      </c>
      <c r="G37">
        <f>+bma!G37/data!$K37</f>
        <v>0.2</v>
      </c>
      <c r="H37">
        <f>+bma!H37/data!$K37</f>
        <v>0.2</v>
      </c>
      <c r="I37">
        <f>+bma!I37/data!$K37</f>
        <v>0.2</v>
      </c>
      <c r="J37">
        <f>+bma!L37/data!$K37</f>
        <v>0</v>
      </c>
      <c r="K37">
        <f>+bma!M37/data!$K37</f>
        <v>0.2</v>
      </c>
      <c r="L37">
        <f>+bma!J37/data!$K37</f>
        <v>0</v>
      </c>
      <c r="M37">
        <f>+bma!K37/data!$K37</f>
        <v>0</v>
      </c>
      <c r="N37">
        <f>+bma!N37/data!$K37</f>
        <v>0.2</v>
      </c>
      <c r="O37">
        <f>+bma!O37/data!$K37</f>
        <v>0</v>
      </c>
      <c r="P37">
        <f>+bma!P37/data!$K37</f>
        <v>0.2</v>
      </c>
      <c r="Q37">
        <f>+bma!Q37/data!$K37</f>
        <v>1.5200803999999999</v>
      </c>
      <c r="R37">
        <f>+bma!R37/data!$K37</f>
        <v>0.81886899999999996</v>
      </c>
      <c r="S37">
        <f>+bma!S37/data!$K37</f>
        <v>0.2</v>
      </c>
    </row>
    <row r="38" spans="1:19" x14ac:dyDescent="0.25">
      <c r="A38">
        <f>+bma!A38/data!$K38</f>
        <v>-1.645692725293102E-2</v>
      </c>
      <c r="B38">
        <f>+bma!B38/data!$K38</f>
        <v>4.7019792151231435E-3</v>
      </c>
      <c r="C38">
        <f>+bma!C38/data!$K38</f>
        <v>0</v>
      </c>
      <c r="D38">
        <f>+bma!D38/data!$K38</f>
        <v>0</v>
      </c>
      <c r="E38">
        <f>+bma!E38/data!$K38</f>
        <v>0.2</v>
      </c>
      <c r="F38">
        <f>+bma!F38/data!$K38</f>
        <v>0</v>
      </c>
      <c r="G38">
        <f>+bma!G38/data!$K38</f>
        <v>0.2</v>
      </c>
      <c r="H38">
        <f>+bma!H38/data!$K38</f>
        <v>0.2</v>
      </c>
      <c r="I38">
        <f>+bma!I38/data!$K38</f>
        <v>0.2</v>
      </c>
      <c r="J38">
        <f>+bma!L38/data!$K38</f>
        <v>0</v>
      </c>
      <c r="K38">
        <f>+bma!M38/data!$K38</f>
        <v>0.2</v>
      </c>
      <c r="L38">
        <f>+bma!J38/data!$K38</f>
        <v>0</v>
      </c>
      <c r="M38">
        <f>+bma!K38/data!$K38</f>
        <v>0</v>
      </c>
      <c r="N38">
        <f>+bma!N38/data!$K38</f>
        <v>0.2</v>
      </c>
      <c r="O38">
        <f>+bma!O38/data!$K38</f>
        <v>0</v>
      </c>
      <c r="P38">
        <f>+bma!P38/data!$K38</f>
        <v>0.2</v>
      </c>
      <c r="Q38">
        <f>+bma!Q38/data!$K38</f>
        <v>1.5200803999999999</v>
      </c>
      <c r="R38">
        <f>+bma!R38/data!$K38</f>
        <v>0.81886899999999996</v>
      </c>
      <c r="S38">
        <f>+bma!S38/data!$K38</f>
        <v>0.2</v>
      </c>
    </row>
    <row r="39" spans="1:19" x14ac:dyDescent="0.25">
      <c r="A39">
        <f>+bma!A39/data!$K39</f>
        <v>-2.0791851402781451E-2</v>
      </c>
      <c r="B39">
        <f>+bma!B39/data!$K39</f>
        <v>6.457096708938341E-3</v>
      </c>
      <c r="C39">
        <f>+bma!C39/data!$K39</f>
        <v>0</v>
      </c>
      <c r="D39">
        <f>+bma!D39/data!$K39</f>
        <v>0</v>
      </c>
      <c r="E39">
        <f>+bma!E39/data!$K39</f>
        <v>0.2</v>
      </c>
      <c r="F39">
        <f>+bma!F39/data!$K39</f>
        <v>0</v>
      </c>
      <c r="G39">
        <f>+bma!G39/data!$K39</f>
        <v>0.2</v>
      </c>
      <c r="H39">
        <f>+bma!H39/data!$K39</f>
        <v>0.2</v>
      </c>
      <c r="I39">
        <f>+bma!I39/data!$K39</f>
        <v>0.2</v>
      </c>
      <c r="J39">
        <f>+bma!L39/data!$K39</f>
        <v>0</v>
      </c>
      <c r="K39">
        <f>+bma!M39/data!$K39</f>
        <v>0.2</v>
      </c>
      <c r="L39">
        <f>+bma!J39/data!$K39</f>
        <v>0</v>
      </c>
      <c r="M39">
        <f>+bma!K39/data!$K39</f>
        <v>0</v>
      </c>
      <c r="N39">
        <f>+bma!N39/data!$K39</f>
        <v>0.2</v>
      </c>
      <c r="O39">
        <f>+bma!O39/data!$K39</f>
        <v>0</v>
      </c>
      <c r="P39">
        <f>+bma!P39/data!$K39</f>
        <v>0.2</v>
      </c>
      <c r="Q39">
        <f>+bma!Q39/data!$K39</f>
        <v>1.5200803999999999</v>
      </c>
      <c r="R39">
        <f>+bma!R39/data!$K39</f>
        <v>0.81886899999999996</v>
      </c>
      <c r="S39">
        <f>+bma!S39/data!$K39</f>
        <v>0.2</v>
      </c>
    </row>
    <row r="40" spans="1:19" x14ac:dyDescent="0.25">
      <c r="A40">
        <f>+bma!A40/data!$K40</f>
        <v>-2.079185140278144E-2</v>
      </c>
      <c r="B40">
        <f>+bma!B40/data!$K40</f>
        <v>6.457096708938341E-3</v>
      </c>
      <c r="C40">
        <f>+bma!C40/data!$K40</f>
        <v>0</v>
      </c>
      <c r="D40">
        <f>+bma!D40/data!$K40</f>
        <v>0</v>
      </c>
      <c r="E40">
        <f>+bma!E40/data!$K40</f>
        <v>0.2</v>
      </c>
      <c r="F40">
        <f>+bma!F40/data!$K40</f>
        <v>0</v>
      </c>
      <c r="G40">
        <f>+bma!G40/data!$K40</f>
        <v>0.2</v>
      </c>
      <c r="H40">
        <f>+bma!H40/data!$K40</f>
        <v>0.2</v>
      </c>
      <c r="I40">
        <f>+bma!I40/data!$K40</f>
        <v>0.2</v>
      </c>
      <c r="J40">
        <f>+bma!L40/data!$K40</f>
        <v>0</v>
      </c>
      <c r="K40">
        <f>+bma!M40/data!$K40</f>
        <v>0.2</v>
      </c>
      <c r="L40">
        <f>+bma!J40/data!$K40</f>
        <v>0</v>
      </c>
      <c r="M40">
        <f>+bma!K40/data!$K40</f>
        <v>0</v>
      </c>
      <c r="N40">
        <f>+bma!N40/data!$K40</f>
        <v>0.2</v>
      </c>
      <c r="O40">
        <f>+bma!O40/data!$K40</f>
        <v>0</v>
      </c>
      <c r="P40">
        <f>+bma!P40/data!$K40</f>
        <v>0.2</v>
      </c>
      <c r="Q40">
        <f>+bma!Q40/data!$K40</f>
        <v>1.5200803999999999</v>
      </c>
      <c r="R40">
        <f>+bma!R40/data!$K40</f>
        <v>0.81886899999999996</v>
      </c>
      <c r="S40">
        <f>+bma!S40/data!$K40</f>
        <v>0.2</v>
      </c>
    </row>
    <row r="41" spans="1:19" x14ac:dyDescent="0.25">
      <c r="A41">
        <f>+bma!A41/data!$K41</f>
        <v>-0.16399672901618437</v>
      </c>
      <c r="B41">
        <f>+bma!B41/data!$K41</f>
        <v>2.8329070463968459E-2</v>
      </c>
      <c r="C41">
        <f>+bma!C41/data!$K41</f>
        <v>0.5</v>
      </c>
      <c r="D41">
        <f>+bma!D41/data!$K41</f>
        <v>0</v>
      </c>
      <c r="E41">
        <f>+bma!E41/data!$K41</f>
        <v>0.5</v>
      </c>
      <c r="F41">
        <f>+bma!F41/data!$K41</f>
        <v>0.5</v>
      </c>
      <c r="G41">
        <f>+bma!G41/data!$K41</f>
        <v>0</v>
      </c>
      <c r="H41">
        <f>+bma!H41/data!$K41</f>
        <v>0.5</v>
      </c>
      <c r="I41">
        <f>+bma!I41/data!$K41</f>
        <v>0.5</v>
      </c>
      <c r="J41">
        <f>+bma!L41/data!$K41</f>
        <v>0</v>
      </c>
      <c r="K41">
        <f>+bma!M41/data!$K41</f>
        <v>0.5</v>
      </c>
      <c r="L41">
        <f>+bma!J41/data!$K41</f>
        <v>0</v>
      </c>
      <c r="M41">
        <f>+bma!K41/data!$K41</f>
        <v>0</v>
      </c>
      <c r="N41">
        <f>+bma!N41/data!$K41</f>
        <v>0.5</v>
      </c>
      <c r="O41">
        <f>+bma!O41/data!$K41</f>
        <v>0</v>
      </c>
      <c r="P41">
        <f>+bma!P41/data!$K41</f>
        <v>0.5</v>
      </c>
      <c r="Q41">
        <f>+bma!Q41/data!$K41</f>
        <v>3.800951</v>
      </c>
      <c r="R41">
        <f>+bma!R41/data!$K41</f>
        <v>0</v>
      </c>
      <c r="S41">
        <f>+bma!S41/data!$K41</f>
        <v>0.5</v>
      </c>
    </row>
    <row r="42" spans="1:19" x14ac:dyDescent="0.25">
      <c r="A42">
        <f>+bma!A42/data!$K42</f>
        <v>-4.0756656399907207E-2</v>
      </c>
      <c r="B42">
        <f>+bma!B42/data!$K42</f>
        <v>2.9888214693265289E-2</v>
      </c>
      <c r="C42">
        <f>+bma!C42/data!$K42</f>
        <v>0.5</v>
      </c>
      <c r="D42">
        <f>+bma!D42/data!$K42</f>
        <v>0</v>
      </c>
      <c r="E42">
        <f>+bma!E42/data!$K42</f>
        <v>0.5</v>
      </c>
      <c r="F42">
        <f>+bma!F42/data!$K42</f>
        <v>0.5</v>
      </c>
      <c r="G42">
        <f>+bma!G42/data!$K42</f>
        <v>0</v>
      </c>
      <c r="H42">
        <f>+bma!H42/data!$K42</f>
        <v>0.5</v>
      </c>
      <c r="I42">
        <f>+bma!I42/data!$K42</f>
        <v>0.5</v>
      </c>
      <c r="J42">
        <f>+bma!L42/data!$K42</f>
        <v>0</v>
      </c>
      <c r="K42">
        <f>+bma!M42/data!$K42</f>
        <v>0.5</v>
      </c>
      <c r="L42">
        <f>+bma!J42/data!$K42</f>
        <v>0</v>
      </c>
      <c r="M42">
        <f>+bma!K42/data!$K42</f>
        <v>0</v>
      </c>
      <c r="N42">
        <f>+bma!N42/data!$K42</f>
        <v>0</v>
      </c>
      <c r="O42">
        <f>+bma!O42/data!$K42</f>
        <v>0.5</v>
      </c>
      <c r="P42">
        <f>+bma!P42/data!$K42</f>
        <v>0.5</v>
      </c>
      <c r="Q42">
        <f>+bma!Q42/data!$K42</f>
        <v>3.800951</v>
      </c>
      <c r="R42">
        <f>+bma!R42/data!$K42</f>
        <v>0</v>
      </c>
      <c r="S42">
        <f>+bma!S42/data!$K42</f>
        <v>0.5</v>
      </c>
    </row>
    <row r="43" spans="1:19" x14ac:dyDescent="0.25">
      <c r="A43">
        <f>+bma!A43/data!$K43</f>
        <v>-6.0940108447084813E-2</v>
      </c>
      <c r="B43">
        <f>+bma!B43/data!$K43</f>
        <v>9.7880032841446783E-3</v>
      </c>
      <c r="C43">
        <f>+bma!C43/data!$K43</f>
        <v>0.33333333333333331</v>
      </c>
      <c r="D43">
        <f>+bma!D43/data!$K43</f>
        <v>0.33333333333333331</v>
      </c>
      <c r="E43">
        <f>+bma!E43/data!$K43</f>
        <v>0</v>
      </c>
      <c r="F43">
        <f>+bma!F43/data!$K43</f>
        <v>0</v>
      </c>
      <c r="G43">
        <f>+bma!G43/data!$K43</f>
        <v>0.33333333333333331</v>
      </c>
      <c r="H43">
        <f>+bma!H43/data!$K43</f>
        <v>0</v>
      </c>
      <c r="I43">
        <f>+bma!I43/data!$K43</f>
        <v>0.33333333333333331</v>
      </c>
      <c r="J43">
        <f>+bma!L43/data!$K43</f>
        <v>0.33333333333333331</v>
      </c>
      <c r="K43">
        <f>+bma!M43/data!$K43</f>
        <v>0</v>
      </c>
      <c r="L43">
        <f>+bma!J43/data!$K43</f>
        <v>0</v>
      </c>
      <c r="M43">
        <f>+bma!K43/data!$K43</f>
        <v>0</v>
      </c>
      <c r="N43">
        <f>+bma!N43/data!$K43</f>
        <v>0</v>
      </c>
      <c r="O43">
        <f>+bma!O43/data!$K43</f>
        <v>0</v>
      </c>
      <c r="P43">
        <f>+bma!P43/data!$K43</f>
        <v>0.33333333333333331</v>
      </c>
      <c r="Q43">
        <f>+bma!Q43/data!$K43</f>
        <v>2.5333006666666669</v>
      </c>
      <c r="R43">
        <f>+bma!R43/data!$K43</f>
        <v>1.0860320000000001</v>
      </c>
      <c r="S43">
        <f>+bma!S43/data!$K43</f>
        <v>0.33333333333333331</v>
      </c>
    </row>
    <row r="44" spans="1:19" x14ac:dyDescent="0.25">
      <c r="A44">
        <f>+bma!A44/data!$K44</f>
        <v>5.0414032046572903E-2</v>
      </c>
      <c r="B44">
        <f>+bma!B44/data!$K44</f>
        <v>9.8368843017703298E-3</v>
      </c>
      <c r="C44">
        <f>+bma!C44/data!$K44</f>
        <v>0.33333333333333331</v>
      </c>
      <c r="D44">
        <f>+bma!D44/data!$K44</f>
        <v>0.33333333333333331</v>
      </c>
      <c r="E44">
        <f>+bma!E44/data!$K44</f>
        <v>0</v>
      </c>
      <c r="F44">
        <f>+bma!F44/data!$K44</f>
        <v>0</v>
      </c>
      <c r="G44">
        <f>+bma!G44/data!$K44</f>
        <v>0.33333333333333331</v>
      </c>
      <c r="H44">
        <f>+bma!H44/data!$K44</f>
        <v>0</v>
      </c>
      <c r="I44">
        <f>+bma!I44/data!$K44</f>
        <v>0.33333333333333331</v>
      </c>
      <c r="J44">
        <f>+bma!L44/data!$K44</f>
        <v>0.33333333333333331</v>
      </c>
      <c r="K44">
        <f>+bma!M44/data!$K44</f>
        <v>0</v>
      </c>
      <c r="L44">
        <f>+bma!J44/data!$K44</f>
        <v>0</v>
      </c>
      <c r="M44">
        <f>+bma!K44/data!$K44</f>
        <v>0</v>
      </c>
      <c r="N44">
        <f>+bma!N44/data!$K44</f>
        <v>0.33333333333333331</v>
      </c>
      <c r="O44">
        <f>+bma!O44/data!$K44</f>
        <v>0</v>
      </c>
      <c r="P44">
        <f>+bma!P44/data!$K44</f>
        <v>0.33333333333333331</v>
      </c>
      <c r="Q44">
        <f>+bma!Q44/data!$K44</f>
        <v>2.5333006666666669</v>
      </c>
      <c r="R44">
        <f>+bma!R44/data!$K44</f>
        <v>1.0860320000000001</v>
      </c>
      <c r="S44">
        <f>+bma!S44/data!$K44</f>
        <v>0.33333333333333331</v>
      </c>
    </row>
    <row r="45" spans="1:19" x14ac:dyDescent="0.25">
      <c r="A45">
        <f>+bma!A45/data!$K45</f>
        <v>-9.0166495840597553E-3</v>
      </c>
      <c r="B45">
        <f>+bma!B45/data!$K45</f>
        <v>9.9521518587855923E-3</v>
      </c>
      <c r="C45">
        <f>+bma!C45/data!$K45</f>
        <v>0.33333333333333331</v>
      </c>
      <c r="D45">
        <f>+bma!D45/data!$K45</f>
        <v>0.33333333333333331</v>
      </c>
      <c r="E45">
        <f>+bma!E45/data!$K45</f>
        <v>0</v>
      </c>
      <c r="F45">
        <f>+bma!F45/data!$K45</f>
        <v>0</v>
      </c>
      <c r="G45">
        <f>+bma!G45/data!$K45</f>
        <v>0.33333333333333331</v>
      </c>
      <c r="H45">
        <f>+bma!H45/data!$K45</f>
        <v>0</v>
      </c>
      <c r="I45">
        <f>+bma!I45/data!$K45</f>
        <v>0.33333333333333331</v>
      </c>
      <c r="J45">
        <f>+bma!L45/data!$K45</f>
        <v>0.33333333333333331</v>
      </c>
      <c r="K45">
        <f>+bma!M45/data!$K45</f>
        <v>0</v>
      </c>
      <c r="L45">
        <f>+bma!J45/data!$K45</f>
        <v>0</v>
      </c>
      <c r="M45">
        <f>+bma!K45/data!$K45</f>
        <v>0</v>
      </c>
      <c r="N45">
        <f>+bma!N45/data!$K45</f>
        <v>0</v>
      </c>
      <c r="O45">
        <f>+bma!O45/data!$K45</f>
        <v>0.33333333333333331</v>
      </c>
      <c r="P45">
        <f>+bma!P45/data!$K45</f>
        <v>0.33333333333333331</v>
      </c>
      <c r="Q45">
        <f>+bma!Q45/data!$K45</f>
        <v>2.5333006666666669</v>
      </c>
      <c r="R45">
        <f>+bma!R45/data!$K45</f>
        <v>1.0860320000000001</v>
      </c>
      <c r="S45">
        <f>+bma!S45/data!$K45</f>
        <v>0.33333333333333331</v>
      </c>
    </row>
    <row r="46" spans="1:19" x14ac:dyDescent="0.25">
      <c r="A46">
        <f>+bma!A46/data!$K46</f>
        <v>-4.2182274076696946E-2</v>
      </c>
      <c r="B46">
        <f>+bma!B46/data!$K46</f>
        <v>1.3483262606658487E-2</v>
      </c>
      <c r="C46">
        <f>+bma!C46/data!$K46</f>
        <v>0.25</v>
      </c>
      <c r="D46">
        <f>+bma!D46/data!$K46</f>
        <v>0.25</v>
      </c>
      <c r="E46">
        <f>+bma!E46/data!$K46</f>
        <v>0</v>
      </c>
      <c r="F46">
        <f>+bma!F46/data!$K46</f>
        <v>0.25</v>
      </c>
      <c r="G46">
        <f>+bma!G46/data!$K46</f>
        <v>0</v>
      </c>
      <c r="H46">
        <f>+bma!H46/data!$K46</f>
        <v>0.25</v>
      </c>
      <c r="I46">
        <f>+bma!I46/data!$K46</f>
        <v>0.25</v>
      </c>
      <c r="J46">
        <f>+bma!L46/data!$K46</f>
        <v>0</v>
      </c>
      <c r="K46">
        <f>+bma!M46/data!$K46</f>
        <v>0.25</v>
      </c>
      <c r="L46">
        <f>+bma!J46/data!$K46</f>
        <v>0.25</v>
      </c>
      <c r="M46">
        <f>+bma!K46/data!$K46</f>
        <v>0</v>
      </c>
      <c r="N46">
        <f>+bma!N46/data!$K46</f>
        <v>0</v>
      </c>
      <c r="O46">
        <f>+bma!O46/data!$K46</f>
        <v>0.25</v>
      </c>
      <c r="P46">
        <f>+bma!P46/data!$K46</f>
        <v>0</v>
      </c>
      <c r="Q46">
        <f>+bma!Q46/data!$K46</f>
        <v>1.90184525</v>
      </c>
      <c r="R46">
        <f>+bma!R46/data!$K46</f>
        <v>0.27465299999999998</v>
      </c>
      <c r="S46">
        <f>+bma!S46/data!$K46</f>
        <v>0.25</v>
      </c>
    </row>
    <row r="47" spans="1:19" x14ac:dyDescent="0.25">
      <c r="A47">
        <f>+bma!A47/data!$K47</f>
        <v>-3.9091874782989589E-2</v>
      </c>
      <c r="B47">
        <f>+bma!B47/data!$K47</f>
        <v>1.3470848742786954E-2</v>
      </c>
      <c r="C47">
        <f>+bma!C47/data!$K47</f>
        <v>0.25</v>
      </c>
      <c r="D47">
        <f>+bma!D47/data!$K47</f>
        <v>0</v>
      </c>
      <c r="E47">
        <f>+bma!E47/data!$K47</f>
        <v>0</v>
      </c>
      <c r="F47">
        <f>+bma!F47/data!$K47</f>
        <v>0.25</v>
      </c>
      <c r="G47">
        <f>+bma!G47/data!$K47</f>
        <v>0</v>
      </c>
      <c r="H47">
        <f>+bma!H47/data!$K47</f>
        <v>0.25</v>
      </c>
      <c r="I47">
        <f>+bma!I47/data!$K47</f>
        <v>0.25</v>
      </c>
      <c r="J47">
        <f>+bma!L47/data!$K47</f>
        <v>0</v>
      </c>
      <c r="K47">
        <f>+bma!M47/data!$K47</f>
        <v>0.25</v>
      </c>
      <c r="L47">
        <f>+bma!J47/data!$K47</f>
        <v>0.25</v>
      </c>
      <c r="M47">
        <f>+bma!K47/data!$K47</f>
        <v>0</v>
      </c>
      <c r="N47">
        <f>+bma!N47/data!$K47</f>
        <v>0</v>
      </c>
      <c r="O47">
        <f>+bma!O47/data!$K47</f>
        <v>0.25</v>
      </c>
      <c r="P47">
        <f>+bma!P47/data!$K47</f>
        <v>0</v>
      </c>
      <c r="Q47">
        <f>+bma!Q47/data!$K47</f>
        <v>1.90184525</v>
      </c>
      <c r="R47">
        <f>+bma!R47/data!$K47</f>
        <v>0.27465299999999998</v>
      </c>
      <c r="S47">
        <f>+bma!S47/data!$K47</f>
        <v>0.25</v>
      </c>
    </row>
    <row r="48" spans="1:19" x14ac:dyDescent="0.25">
      <c r="A48">
        <f>+bma!A48/data!$K48</f>
        <v>-3.2815628084321508E-2</v>
      </c>
      <c r="B48">
        <f>+bma!B48/data!$K48</f>
        <v>1.3561032426012989E-2</v>
      </c>
      <c r="C48">
        <f>+bma!C48/data!$K48</f>
        <v>0.25</v>
      </c>
      <c r="D48">
        <f>+bma!D48/data!$K48</f>
        <v>0.25</v>
      </c>
      <c r="E48">
        <f>+bma!E48/data!$K48</f>
        <v>0</v>
      </c>
      <c r="F48">
        <f>+bma!F48/data!$K48</f>
        <v>0.25</v>
      </c>
      <c r="G48">
        <f>+bma!G48/data!$K48</f>
        <v>0</v>
      </c>
      <c r="H48">
        <f>+bma!H48/data!$K48</f>
        <v>0.25</v>
      </c>
      <c r="I48">
        <f>+bma!I48/data!$K48</f>
        <v>0.25</v>
      </c>
      <c r="J48">
        <f>+bma!L48/data!$K48</f>
        <v>0</v>
      </c>
      <c r="K48">
        <f>+bma!M48/data!$K48</f>
        <v>0.25</v>
      </c>
      <c r="L48">
        <f>+bma!J48/data!$K48</f>
        <v>0</v>
      </c>
      <c r="M48">
        <f>+bma!K48/data!$K48</f>
        <v>0.25</v>
      </c>
      <c r="N48">
        <f>+bma!N48/data!$K48</f>
        <v>0</v>
      </c>
      <c r="O48">
        <f>+bma!O48/data!$K48</f>
        <v>0.25</v>
      </c>
      <c r="P48">
        <f>+bma!P48/data!$K48</f>
        <v>0</v>
      </c>
      <c r="Q48">
        <f>+bma!Q48/data!$K48</f>
        <v>1.90184525</v>
      </c>
      <c r="R48">
        <f>+bma!R48/data!$K48</f>
        <v>0.27465299999999998</v>
      </c>
      <c r="S48">
        <f>+bma!S48/data!$K48</f>
        <v>0.25</v>
      </c>
    </row>
    <row r="49" spans="1:19" x14ac:dyDescent="0.25">
      <c r="A49">
        <f>+bma!A49/data!$K49</f>
        <v>-4.0954667788456682E-2</v>
      </c>
      <c r="B49">
        <f>+bma!B49/data!$K49</f>
        <v>1.345436678828188E-2</v>
      </c>
      <c r="C49">
        <f>+bma!C49/data!$K49</f>
        <v>0.25</v>
      </c>
      <c r="D49">
        <f>+bma!D49/data!$K49</f>
        <v>0</v>
      </c>
      <c r="E49">
        <f>+bma!E49/data!$K49</f>
        <v>0</v>
      </c>
      <c r="F49">
        <f>+bma!F49/data!$K49</f>
        <v>0.25</v>
      </c>
      <c r="G49">
        <f>+bma!G49/data!$K49</f>
        <v>0</v>
      </c>
      <c r="H49">
        <f>+bma!H49/data!$K49</f>
        <v>0.25</v>
      </c>
      <c r="I49">
        <f>+bma!I49/data!$K49</f>
        <v>0.25</v>
      </c>
      <c r="J49">
        <f>+bma!L49/data!$K49</f>
        <v>0</v>
      </c>
      <c r="K49">
        <f>+bma!M49/data!$K49</f>
        <v>0.25</v>
      </c>
      <c r="L49">
        <f>+bma!J49/data!$K49</f>
        <v>0</v>
      </c>
      <c r="M49">
        <f>+bma!K49/data!$K49</f>
        <v>0.25</v>
      </c>
      <c r="N49">
        <f>+bma!N49/data!$K49</f>
        <v>0</v>
      </c>
      <c r="O49">
        <f>+bma!O49/data!$K49</f>
        <v>0.25</v>
      </c>
      <c r="P49">
        <f>+bma!P49/data!$K49</f>
        <v>0</v>
      </c>
      <c r="Q49">
        <f>+bma!Q49/data!$K49</f>
        <v>1.90184525</v>
      </c>
      <c r="R49">
        <f>+bma!R49/data!$K49</f>
        <v>0.27465299999999998</v>
      </c>
      <c r="S49">
        <f>+bma!S49/data!$K49</f>
        <v>0.25</v>
      </c>
    </row>
    <row r="50" spans="1:19" x14ac:dyDescent="0.25">
      <c r="A50">
        <f>+bma!A50/data!$K50</f>
        <v>-2.5001156330221024E-2</v>
      </c>
      <c r="B50">
        <f>+bma!B50/data!$K50</f>
        <v>1.5042362392016317E-2</v>
      </c>
      <c r="C50">
        <f>+bma!C50/data!$K50</f>
        <v>0</v>
      </c>
      <c r="D50">
        <f>+bma!D50/data!$K50</f>
        <v>0.16666666666666666</v>
      </c>
      <c r="E50">
        <f>+bma!E50/data!$K50</f>
        <v>0</v>
      </c>
      <c r="F50">
        <f>+bma!F50/data!$K50</f>
        <v>0</v>
      </c>
      <c r="G50">
        <f>+bma!G50/data!$K50</f>
        <v>0.16666666666666666</v>
      </c>
      <c r="H50">
        <f>+bma!H50/data!$K50</f>
        <v>0</v>
      </c>
      <c r="I50">
        <f>+bma!I50/data!$K50</f>
        <v>0.16666666666666666</v>
      </c>
      <c r="J50">
        <f>+bma!L50/data!$K50</f>
        <v>0</v>
      </c>
      <c r="K50">
        <f>+bma!M50/data!$K50</f>
        <v>0</v>
      </c>
      <c r="L50">
        <f>+bma!J50/data!$K50</f>
        <v>0</v>
      </c>
      <c r="M50">
        <f>+bma!K50/data!$K50</f>
        <v>0</v>
      </c>
      <c r="N50">
        <f>+bma!N50/data!$K50</f>
        <v>0.16666666666666666</v>
      </c>
      <c r="O50">
        <f>+bma!O50/data!$K50</f>
        <v>0</v>
      </c>
      <c r="P50">
        <f>+bma!P50/data!$K50</f>
        <v>0.16666666666666666</v>
      </c>
      <c r="Q50">
        <f>+bma!Q50/data!$K50</f>
        <v>1.2671501666666667</v>
      </c>
      <c r="R50">
        <f>+bma!R50/data!$K50</f>
        <v>0.62686666666666668</v>
      </c>
      <c r="S50">
        <f>+bma!S50/data!$K50</f>
        <v>0.16666666666666666</v>
      </c>
    </row>
    <row r="51" spans="1:19" x14ac:dyDescent="0.25">
      <c r="A51">
        <f>+bma!A51/data!$K51</f>
        <v>-4.3212904055721028E-2</v>
      </c>
      <c r="B51">
        <f>+bma!B51/data!$K51</f>
        <v>8.9151457775929043E-3</v>
      </c>
      <c r="C51">
        <f>+bma!C51/data!$K51</f>
        <v>0</v>
      </c>
      <c r="D51">
        <f>+bma!D51/data!$K51</f>
        <v>0.16666666666666666</v>
      </c>
      <c r="E51">
        <f>+bma!E51/data!$K51</f>
        <v>0</v>
      </c>
      <c r="F51">
        <f>+bma!F51/data!$K51</f>
        <v>0</v>
      </c>
      <c r="G51">
        <f>+bma!G51/data!$K51</f>
        <v>0.16666666666666666</v>
      </c>
      <c r="H51">
        <f>+bma!H51/data!$K51</f>
        <v>0</v>
      </c>
      <c r="I51">
        <f>+bma!I51/data!$K51</f>
        <v>0</v>
      </c>
      <c r="J51">
        <f>+bma!L51/data!$K51</f>
        <v>0</v>
      </c>
      <c r="K51">
        <f>+bma!M51/data!$K51</f>
        <v>0</v>
      </c>
      <c r="L51">
        <f>+bma!J51/data!$K51</f>
        <v>0</v>
      </c>
      <c r="M51">
        <f>+bma!K51/data!$K51</f>
        <v>0</v>
      </c>
      <c r="N51">
        <f>+bma!N51/data!$K51</f>
        <v>0.16666666666666666</v>
      </c>
      <c r="O51">
        <f>+bma!O51/data!$K51</f>
        <v>0</v>
      </c>
      <c r="P51">
        <f>+bma!P51/data!$K51</f>
        <v>0.16666666666666666</v>
      </c>
      <c r="Q51">
        <f>+bma!Q51/data!$K51</f>
        <v>1.2671501666666667</v>
      </c>
      <c r="R51">
        <f>+bma!R51/data!$K51</f>
        <v>0.62686666666666668</v>
      </c>
      <c r="S51">
        <f>+bma!S51/data!$K51</f>
        <v>0.16666666666666666</v>
      </c>
    </row>
    <row r="52" spans="1:19" x14ac:dyDescent="0.25">
      <c r="A52">
        <f>+bma!A52/data!$K52</f>
        <v>-2.4799956604478701E-2</v>
      </c>
      <c r="B52">
        <f>+bma!B52/data!$K52</f>
        <v>1.4921307223694688E-2</v>
      </c>
      <c r="C52">
        <f>+bma!C52/data!$K52</f>
        <v>0</v>
      </c>
      <c r="D52">
        <f>+bma!D52/data!$K52</f>
        <v>0.16666666666666666</v>
      </c>
      <c r="E52">
        <f>+bma!E52/data!$K52</f>
        <v>0</v>
      </c>
      <c r="F52">
        <f>+bma!F52/data!$K52</f>
        <v>0</v>
      </c>
      <c r="G52">
        <f>+bma!G52/data!$K52</f>
        <v>0</v>
      </c>
      <c r="H52">
        <f>+bma!H52/data!$K52</f>
        <v>0</v>
      </c>
      <c r="I52">
        <f>+bma!I52/data!$K52</f>
        <v>0</v>
      </c>
      <c r="J52">
        <f>+bma!L52/data!$K52</f>
        <v>0</v>
      </c>
      <c r="K52">
        <f>+bma!M52/data!$K52</f>
        <v>0</v>
      </c>
      <c r="L52">
        <f>+bma!J52/data!$K52</f>
        <v>0</v>
      </c>
      <c r="M52">
        <f>+bma!K52/data!$K52</f>
        <v>0</v>
      </c>
      <c r="N52">
        <f>+bma!N52/data!$K52</f>
        <v>0.16666666666666666</v>
      </c>
      <c r="O52">
        <f>+bma!O52/data!$K52</f>
        <v>0</v>
      </c>
      <c r="P52">
        <f>+bma!P52/data!$K52</f>
        <v>0.16666666666666666</v>
      </c>
      <c r="Q52">
        <f>+bma!Q52/data!$K52</f>
        <v>1.2671501666666667</v>
      </c>
      <c r="R52">
        <f>+bma!R52/data!$K52</f>
        <v>0.62686666666666668</v>
      </c>
      <c r="S52">
        <f>+bma!S52/data!$K52</f>
        <v>0.16666666666666666</v>
      </c>
    </row>
    <row r="53" spans="1:19" x14ac:dyDescent="0.25">
      <c r="A53">
        <f>+bma!A53/data!$K53</f>
        <v>-6.9383872141972044E-2</v>
      </c>
      <c r="B53">
        <f>+bma!B53/data!$K53</f>
        <v>1.2456317203440649E-2</v>
      </c>
      <c r="C53">
        <f>+bma!C53/data!$K53</f>
        <v>0</v>
      </c>
      <c r="D53">
        <f>+bma!D53/data!$K53</f>
        <v>0.16666666666666666</v>
      </c>
      <c r="E53">
        <f>+bma!E53/data!$K53</f>
        <v>0</v>
      </c>
      <c r="F53">
        <f>+bma!F53/data!$K53</f>
        <v>0</v>
      </c>
      <c r="G53">
        <f>+bma!G53/data!$K53</f>
        <v>0.16666666666666666</v>
      </c>
      <c r="H53">
        <f>+bma!H53/data!$K53</f>
        <v>0</v>
      </c>
      <c r="I53">
        <f>+bma!I53/data!$K53</f>
        <v>0.16666666666666666</v>
      </c>
      <c r="J53">
        <f>+bma!L53/data!$K53</f>
        <v>0</v>
      </c>
      <c r="K53">
        <f>+bma!M53/data!$K53</f>
        <v>0</v>
      </c>
      <c r="L53">
        <f>+bma!J53/data!$K53</f>
        <v>0</v>
      </c>
      <c r="M53">
        <f>+bma!K53/data!$K53</f>
        <v>0</v>
      </c>
      <c r="N53">
        <f>+bma!N53/data!$K53</f>
        <v>0.16666666666666666</v>
      </c>
      <c r="O53">
        <f>+bma!O53/data!$K53</f>
        <v>0</v>
      </c>
      <c r="P53">
        <f>+bma!P53/data!$K53</f>
        <v>0.16666666666666666</v>
      </c>
      <c r="Q53">
        <f>+bma!Q53/data!$K53</f>
        <v>1.2671501666666667</v>
      </c>
      <c r="R53">
        <f>+bma!R53/data!$K53</f>
        <v>0.62686666666666668</v>
      </c>
      <c r="S53">
        <f>+bma!S53/data!$K53</f>
        <v>0.16666666666666666</v>
      </c>
    </row>
    <row r="54" spans="1:19" x14ac:dyDescent="0.25">
      <c r="A54">
        <f>+bma!A54/data!$K54</f>
        <v>-7.4476604025845564E-2</v>
      </c>
      <c r="B54">
        <f>+bma!B54/data!$K54</f>
        <v>8.0157022976969378E-3</v>
      </c>
      <c r="C54">
        <f>+bma!C54/data!$K54</f>
        <v>0</v>
      </c>
      <c r="D54">
        <f>+bma!D54/data!$K54</f>
        <v>0.16666666666666666</v>
      </c>
      <c r="E54">
        <f>+bma!E54/data!$K54</f>
        <v>0</v>
      </c>
      <c r="F54">
        <f>+bma!F54/data!$K54</f>
        <v>0</v>
      </c>
      <c r="G54">
        <f>+bma!G54/data!$K54</f>
        <v>0.16666666666666666</v>
      </c>
      <c r="H54">
        <f>+bma!H54/data!$K54</f>
        <v>0</v>
      </c>
      <c r="I54">
        <f>+bma!I54/data!$K54</f>
        <v>0</v>
      </c>
      <c r="J54">
        <f>+bma!L54/data!$K54</f>
        <v>0</v>
      </c>
      <c r="K54">
        <f>+bma!M54/data!$K54</f>
        <v>0</v>
      </c>
      <c r="L54">
        <f>+bma!J54/data!$K54</f>
        <v>0</v>
      </c>
      <c r="M54">
        <f>+bma!K54/data!$K54</f>
        <v>0</v>
      </c>
      <c r="N54">
        <f>+bma!N54/data!$K54</f>
        <v>0.16666666666666666</v>
      </c>
      <c r="O54">
        <f>+bma!O54/data!$K54</f>
        <v>0</v>
      </c>
      <c r="P54">
        <f>+bma!P54/data!$K54</f>
        <v>0.16666666666666666</v>
      </c>
      <c r="Q54">
        <f>+bma!Q54/data!$K54</f>
        <v>1.2671501666666667</v>
      </c>
      <c r="R54">
        <f>+bma!R54/data!$K54</f>
        <v>0.62686666666666668</v>
      </c>
      <c r="S54">
        <f>+bma!S54/data!$K54</f>
        <v>0.16666666666666666</v>
      </c>
    </row>
    <row r="55" spans="1:19" x14ac:dyDescent="0.25">
      <c r="A55">
        <f>+bma!A55/data!$K55</f>
        <v>-6.8693709884828522E-2</v>
      </c>
      <c r="B55">
        <f>+bma!B55/data!$K55</f>
        <v>8.1636003051535344E-3</v>
      </c>
      <c r="C55">
        <f>+bma!C55/data!$K55</f>
        <v>0</v>
      </c>
      <c r="D55">
        <f>+bma!D55/data!$K55</f>
        <v>0.16666666666666666</v>
      </c>
      <c r="E55">
        <f>+bma!E55/data!$K55</f>
        <v>0</v>
      </c>
      <c r="F55">
        <f>+bma!F55/data!$K55</f>
        <v>0</v>
      </c>
      <c r="G55">
        <f>+bma!G55/data!$K55</f>
        <v>0</v>
      </c>
      <c r="H55">
        <f>+bma!H55/data!$K55</f>
        <v>0</v>
      </c>
      <c r="I55">
        <f>+bma!I55/data!$K55</f>
        <v>0</v>
      </c>
      <c r="J55">
        <f>+bma!L55/data!$K55</f>
        <v>0</v>
      </c>
      <c r="K55">
        <f>+bma!M55/data!$K55</f>
        <v>0</v>
      </c>
      <c r="L55">
        <f>+bma!J55/data!$K55</f>
        <v>0</v>
      </c>
      <c r="M55">
        <f>+bma!K55/data!$K55</f>
        <v>0</v>
      </c>
      <c r="N55">
        <f>+bma!N55/data!$K55</f>
        <v>0.16666666666666666</v>
      </c>
      <c r="O55">
        <f>+bma!O55/data!$K55</f>
        <v>0</v>
      </c>
      <c r="P55">
        <f>+bma!P55/data!$K55</f>
        <v>0.16666666666666666</v>
      </c>
      <c r="Q55">
        <f>+bma!Q55/data!$K55</f>
        <v>1.2671501666666667</v>
      </c>
      <c r="R55">
        <f>+bma!R55/data!$K55</f>
        <v>0.62686666666666668</v>
      </c>
      <c r="S55">
        <f>+bma!S55/data!$K55</f>
        <v>0.16666666666666666</v>
      </c>
    </row>
    <row r="56" spans="1:19" x14ac:dyDescent="0.25">
      <c r="A56">
        <f>+bma!A56/data!$K56</f>
        <v>-0.13673830136393697</v>
      </c>
      <c r="B56">
        <f>+bma!B56/data!$K56</f>
        <v>4.6801791330474796E-2</v>
      </c>
      <c r="C56">
        <f>+bma!C56/data!$K56</f>
        <v>1</v>
      </c>
      <c r="D56">
        <f>+bma!D56/data!$K56</f>
        <v>1</v>
      </c>
      <c r="E56">
        <f>+bma!E56/data!$K56</f>
        <v>0</v>
      </c>
      <c r="F56">
        <f>+bma!F56/data!$K56</f>
        <v>0</v>
      </c>
      <c r="G56">
        <f>+bma!G56/data!$K56</f>
        <v>1</v>
      </c>
      <c r="H56">
        <f>+bma!H56/data!$K56</f>
        <v>0</v>
      </c>
      <c r="I56">
        <f>+bma!I56/data!$K56</f>
        <v>1</v>
      </c>
      <c r="J56">
        <f>+bma!L56/data!$K56</f>
        <v>0</v>
      </c>
      <c r="K56">
        <f>+bma!M56/data!$K56</f>
        <v>1</v>
      </c>
      <c r="L56">
        <f>+bma!J56/data!$K56</f>
        <v>0</v>
      </c>
      <c r="M56">
        <f>+bma!K56/data!$K56</f>
        <v>0</v>
      </c>
      <c r="N56">
        <f>+bma!N56/data!$K56</f>
        <v>0</v>
      </c>
      <c r="O56">
        <f>+bma!O56/data!$K56</f>
        <v>1</v>
      </c>
      <c r="P56">
        <f>+bma!P56/data!$K56</f>
        <v>1</v>
      </c>
      <c r="Q56">
        <f>+bma!Q56/data!$K56</f>
        <v>7.5842650000000003</v>
      </c>
      <c r="R56">
        <f>+bma!R56/data!$K56</f>
        <v>5.6835800000000001</v>
      </c>
      <c r="S56">
        <f>+bma!S56/data!$K56</f>
        <v>1</v>
      </c>
    </row>
    <row r="57" spans="1:19" x14ac:dyDescent="0.25">
      <c r="A57">
        <f>+bma!A57/data!$K57</f>
        <v>-5.7086178592853113E-3</v>
      </c>
      <c r="B57">
        <f>+bma!B57/data!$K57</f>
        <v>7.6647176851942656E-3</v>
      </c>
      <c r="C57">
        <f>+bma!C57/data!$K57</f>
        <v>0</v>
      </c>
      <c r="D57">
        <f>+bma!D57/data!$K57</f>
        <v>0.05</v>
      </c>
      <c r="E57">
        <f>+bma!E57/data!$K57</f>
        <v>0</v>
      </c>
      <c r="F57">
        <f>+bma!F57/data!$K57</f>
        <v>0</v>
      </c>
      <c r="G57">
        <f>+bma!G57/data!$K57</f>
        <v>0.05</v>
      </c>
      <c r="H57">
        <f>+bma!H57/data!$K57</f>
        <v>0.05</v>
      </c>
      <c r="I57">
        <f>+bma!I57/data!$K57</f>
        <v>0.05</v>
      </c>
      <c r="J57">
        <f>+bma!L57/data!$K57</f>
        <v>0</v>
      </c>
      <c r="K57">
        <f>+bma!M57/data!$K57</f>
        <v>0.05</v>
      </c>
      <c r="L57">
        <f>+bma!J57/data!$K57</f>
        <v>0.05</v>
      </c>
      <c r="M57">
        <f>+bma!K57/data!$K57</f>
        <v>0</v>
      </c>
      <c r="N57">
        <f>+bma!N57/data!$K57</f>
        <v>0</v>
      </c>
      <c r="O57">
        <f>+bma!O57/data!$K57</f>
        <v>0</v>
      </c>
      <c r="P57">
        <f>+bma!P57/data!$K57</f>
        <v>0</v>
      </c>
      <c r="Q57">
        <f>+bma!Q57/data!$K57</f>
        <v>0.38009510000000002</v>
      </c>
      <c r="R57">
        <f>+bma!R57/data!$K57</f>
        <v>0.15222615</v>
      </c>
      <c r="S57">
        <f>+bma!S57/data!$K57</f>
        <v>0</v>
      </c>
    </row>
    <row r="58" spans="1:19" x14ac:dyDescent="0.25">
      <c r="A58">
        <f>+bma!A58/data!$K58</f>
        <v>-9.8828638535887782E-3</v>
      </c>
      <c r="B58">
        <f>+bma!B58/data!$K58</f>
        <v>7.6546319502597427E-3</v>
      </c>
      <c r="C58">
        <f>+bma!C58/data!$K58</f>
        <v>0</v>
      </c>
      <c r="D58">
        <f>+bma!D58/data!$K58</f>
        <v>0.05</v>
      </c>
      <c r="E58">
        <f>+bma!E58/data!$K58</f>
        <v>0</v>
      </c>
      <c r="F58">
        <f>+bma!F58/data!$K58</f>
        <v>0</v>
      </c>
      <c r="G58">
        <f>+bma!G58/data!$K58</f>
        <v>0.05</v>
      </c>
      <c r="H58">
        <f>+bma!H58/data!$K58</f>
        <v>0.05</v>
      </c>
      <c r="I58">
        <f>+bma!I58/data!$K58</f>
        <v>0.05</v>
      </c>
      <c r="J58">
        <f>+bma!L58/data!$K58</f>
        <v>0</v>
      </c>
      <c r="K58">
        <f>+bma!M58/data!$K58</f>
        <v>0.05</v>
      </c>
      <c r="L58">
        <f>+bma!J58/data!$K58</f>
        <v>0.05</v>
      </c>
      <c r="M58">
        <f>+bma!K58/data!$K58</f>
        <v>0</v>
      </c>
      <c r="N58">
        <f>+bma!N58/data!$K58</f>
        <v>0</v>
      </c>
      <c r="O58">
        <f>+bma!O58/data!$K58</f>
        <v>0</v>
      </c>
      <c r="P58">
        <f>+bma!P58/data!$K58</f>
        <v>0</v>
      </c>
      <c r="Q58">
        <f>+bma!Q58/data!$K58</f>
        <v>0.38009510000000002</v>
      </c>
      <c r="R58">
        <f>+bma!R58/data!$K58</f>
        <v>0.15222615</v>
      </c>
      <c r="S58">
        <f>+bma!S58/data!$K58</f>
        <v>0</v>
      </c>
    </row>
    <row r="59" spans="1:19" x14ac:dyDescent="0.25">
      <c r="A59">
        <f>+bma!A59/data!$K59</f>
        <v>-1.3114845765152644E-2</v>
      </c>
      <c r="B59">
        <f>+bma!B59/data!$K59</f>
        <v>7.5352841896271765E-3</v>
      </c>
      <c r="C59">
        <f>+bma!C59/data!$K59</f>
        <v>0.05</v>
      </c>
      <c r="D59">
        <f>+bma!D59/data!$K59</f>
        <v>0.05</v>
      </c>
      <c r="E59">
        <f>+bma!E59/data!$K59</f>
        <v>0</v>
      </c>
      <c r="F59">
        <f>+bma!F59/data!$K59</f>
        <v>0</v>
      </c>
      <c r="G59">
        <f>+bma!G59/data!$K59</f>
        <v>0.05</v>
      </c>
      <c r="H59">
        <f>+bma!H59/data!$K59</f>
        <v>0.05</v>
      </c>
      <c r="I59">
        <f>+bma!I59/data!$K59</f>
        <v>0.05</v>
      </c>
      <c r="J59">
        <f>+bma!L59/data!$K59</f>
        <v>0</v>
      </c>
      <c r="K59">
        <f>+bma!M59/data!$K59</f>
        <v>0.05</v>
      </c>
      <c r="L59">
        <f>+bma!J59/data!$K59</f>
        <v>0.05</v>
      </c>
      <c r="M59">
        <f>+bma!K59/data!$K59</f>
        <v>0</v>
      </c>
      <c r="N59">
        <f>+bma!N59/data!$K59</f>
        <v>0</v>
      </c>
      <c r="O59">
        <f>+bma!O59/data!$K59</f>
        <v>0</v>
      </c>
      <c r="P59">
        <f>+bma!P59/data!$K59</f>
        <v>0</v>
      </c>
      <c r="Q59">
        <f>+bma!Q59/data!$K59</f>
        <v>0.38009510000000002</v>
      </c>
      <c r="R59">
        <f>+bma!R59/data!$K59</f>
        <v>0.15222615</v>
      </c>
      <c r="S59">
        <f>+bma!S59/data!$K59</f>
        <v>0</v>
      </c>
    </row>
    <row r="60" spans="1:19" x14ac:dyDescent="0.25">
      <c r="A60">
        <f>+bma!A60/data!$K60</f>
        <v>-1.551855524790666E-2</v>
      </c>
      <c r="B60">
        <f>+bma!B60/data!$K60</f>
        <v>7.515275182948508E-3</v>
      </c>
      <c r="C60">
        <f>+bma!C60/data!$K60</f>
        <v>0.05</v>
      </c>
      <c r="D60">
        <f>+bma!D60/data!$K60</f>
        <v>0.05</v>
      </c>
      <c r="E60">
        <f>+bma!E60/data!$K60</f>
        <v>0</v>
      </c>
      <c r="F60">
        <f>+bma!F60/data!$K60</f>
        <v>0</v>
      </c>
      <c r="G60">
        <f>+bma!G60/data!$K60</f>
        <v>0.05</v>
      </c>
      <c r="H60">
        <f>+bma!H60/data!$K60</f>
        <v>0.05</v>
      </c>
      <c r="I60">
        <f>+bma!I60/data!$K60</f>
        <v>0.05</v>
      </c>
      <c r="J60">
        <f>+bma!L60/data!$K60</f>
        <v>0</v>
      </c>
      <c r="K60">
        <f>+bma!M60/data!$K60</f>
        <v>0.05</v>
      </c>
      <c r="L60">
        <f>+bma!J60/data!$K60</f>
        <v>0.05</v>
      </c>
      <c r="M60">
        <f>+bma!K60/data!$K60</f>
        <v>0</v>
      </c>
      <c r="N60">
        <f>+bma!N60/data!$K60</f>
        <v>0</v>
      </c>
      <c r="O60">
        <f>+bma!O60/data!$K60</f>
        <v>0</v>
      </c>
      <c r="P60">
        <f>+bma!P60/data!$K60</f>
        <v>0</v>
      </c>
      <c r="Q60">
        <f>+bma!Q60/data!$K60</f>
        <v>0.38009510000000002</v>
      </c>
      <c r="R60">
        <f>+bma!R60/data!$K60</f>
        <v>0.15222615</v>
      </c>
      <c r="S60">
        <f>+bma!S60/data!$K60</f>
        <v>0</v>
      </c>
    </row>
    <row r="61" spans="1:19" x14ac:dyDescent="0.25">
      <c r="A61">
        <f>+bma!A61/data!$K61</f>
        <v>-2.6719500342772436E-3</v>
      </c>
      <c r="B61">
        <f>+bma!B61/data!$K61</f>
        <v>7.8943978285464025E-3</v>
      </c>
      <c r="C61">
        <f>+bma!C61/data!$K61</f>
        <v>0.05</v>
      </c>
      <c r="D61">
        <f>+bma!D61/data!$K61</f>
        <v>0.05</v>
      </c>
      <c r="E61">
        <f>+bma!E61/data!$K61</f>
        <v>0</v>
      </c>
      <c r="F61">
        <f>+bma!F61/data!$K61</f>
        <v>0</v>
      </c>
      <c r="G61">
        <f>+bma!G61/data!$K61</f>
        <v>0.05</v>
      </c>
      <c r="H61">
        <f>+bma!H61/data!$K61</f>
        <v>0.05</v>
      </c>
      <c r="I61">
        <f>+bma!I61/data!$K61</f>
        <v>0.05</v>
      </c>
      <c r="J61">
        <f>+bma!L61/data!$K61</f>
        <v>0</v>
      </c>
      <c r="K61">
        <f>+bma!M61/data!$K61</f>
        <v>0.05</v>
      </c>
      <c r="L61">
        <f>+bma!J61/data!$K61</f>
        <v>0.05</v>
      </c>
      <c r="M61">
        <f>+bma!K61/data!$K61</f>
        <v>0</v>
      </c>
      <c r="N61">
        <f>+bma!N61/data!$K61</f>
        <v>0</v>
      </c>
      <c r="O61">
        <f>+bma!O61/data!$K61</f>
        <v>0</v>
      </c>
      <c r="P61">
        <f>+bma!P61/data!$K61</f>
        <v>0</v>
      </c>
      <c r="Q61">
        <f>+bma!Q61/data!$K61</f>
        <v>0.38009510000000002</v>
      </c>
      <c r="R61">
        <f>+bma!R61/data!$K61</f>
        <v>0.15222615</v>
      </c>
      <c r="S61">
        <f>+bma!S61/data!$K61</f>
        <v>0</v>
      </c>
    </row>
    <row r="62" spans="1:19" x14ac:dyDescent="0.25">
      <c r="A62">
        <f>+bma!A62/data!$K62</f>
        <v>-5.6725521817270301E-4</v>
      </c>
      <c r="B62">
        <f>+bma!B62/data!$K62</f>
        <v>7.7146709671487611E-3</v>
      </c>
      <c r="C62">
        <f>+bma!C62/data!$K62</f>
        <v>0</v>
      </c>
      <c r="D62">
        <f>+bma!D62/data!$K62</f>
        <v>0.05</v>
      </c>
      <c r="E62">
        <f>+bma!E62/data!$K62</f>
        <v>0</v>
      </c>
      <c r="F62">
        <f>+bma!F62/data!$K62</f>
        <v>0</v>
      </c>
      <c r="G62">
        <f>+bma!G62/data!$K62</f>
        <v>0.05</v>
      </c>
      <c r="H62">
        <f>+bma!H62/data!$K62</f>
        <v>0.05</v>
      </c>
      <c r="I62">
        <f>+bma!I62/data!$K62</f>
        <v>0.05</v>
      </c>
      <c r="J62">
        <f>+bma!L62/data!$K62</f>
        <v>0</v>
      </c>
      <c r="K62">
        <f>+bma!M62/data!$K62</f>
        <v>0.05</v>
      </c>
      <c r="L62">
        <f>+bma!J62/data!$K62</f>
        <v>0</v>
      </c>
      <c r="M62">
        <f>+bma!K62/data!$K62</f>
        <v>0.05</v>
      </c>
      <c r="N62">
        <f>+bma!N62/data!$K62</f>
        <v>0</v>
      </c>
      <c r="O62">
        <f>+bma!O62/data!$K62</f>
        <v>0</v>
      </c>
      <c r="P62">
        <f>+bma!P62/data!$K62</f>
        <v>0</v>
      </c>
      <c r="Q62">
        <f>+bma!Q62/data!$K62</f>
        <v>0.38009510000000002</v>
      </c>
      <c r="R62">
        <f>+bma!R62/data!$K62</f>
        <v>0.15222615</v>
      </c>
      <c r="S62">
        <f>+bma!S62/data!$K62</f>
        <v>0</v>
      </c>
    </row>
    <row r="63" spans="1:19" x14ac:dyDescent="0.25">
      <c r="A63">
        <f>+bma!A63/data!$K63</f>
        <v>-3.7220984212457697E-3</v>
      </c>
      <c r="B63">
        <f>+bma!B63/data!$K63</f>
        <v>7.7870216970799657E-3</v>
      </c>
      <c r="C63">
        <f>+bma!C63/data!$K63</f>
        <v>0</v>
      </c>
      <c r="D63">
        <f>+bma!D63/data!$K63</f>
        <v>0.05</v>
      </c>
      <c r="E63">
        <f>+bma!E63/data!$K63</f>
        <v>0</v>
      </c>
      <c r="F63">
        <f>+bma!F63/data!$K63</f>
        <v>0</v>
      </c>
      <c r="G63">
        <f>+bma!G63/data!$K63</f>
        <v>0.05</v>
      </c>
      <c r="H63">
        <f>+bma!H63/data!$K63</f>
        <v>0.05</v>
      </c>
      <c r="I63">
        <f>+bma!I63/data!$K63</f>
        <v>0.05</v>
      </c>
      <c r="J63">
        <f>+bma!L63/data!$K63</f>
        <v>0</v>
      </c>
      <c r="K63">
        <f>+bma!M63/data!$K63</f>
        <v>0.05</v>
      </c>
      <c r="L63">
        <f>+bma!J63/data!$K63</f>
        <v>0</v>
      </c>
      <c r="M63">
        <f>+bma!K63/data!$K63</f>
        <v>0.05</v>
      </c>
      <c r="N63">
        <f>+bma!N63/data!$K63</f>
        <v>0</v>
      </c>
      <c r="O63">
        <f>+bma!O63/data!$K63</f>
        <v>0</v>
      </c>
      <c r="P63">
        <f>+bma!P63/data!$K63</f>
        <v>0</v>
      </c>
      <c r="Q63">
        <f>+bma!Q63/data!$K63</f>
        <v>0.38009510000000002</v>
      </c>
      <c r="R63">
        <f>+bma!R63/data!$K63</f>
        <v>0.15222615</v>
      </c>
      <c r="S63">
        <f>+bma!S63/data!$K63</f>
        <v>0</v>
      </c>
    </row>
    <row r="64" spans="1:19" x14ac:dyDescent="0.25">
      <c r="A64">
        <f>+bma!A64/data!$K64</f>
        <v>-8.08577423451717E-3</v>
      </c>
      <c r="B64">
        <f>+bma!B64/data!$K64</f>
        <v>7.7059056463183754E-3</v>
      </c>
      <c r="C64">
        <f>+bma!C64/data!$K64</f>
        <v>0.05</v>
      </c>
      <c r="D64">
        <f>+bma!D64/data!$K64</f>
        <v>0.05</v>
      </c>
      <c r="E64">
        <f>+bma!E64/data!$K64</f>
        <v>0</v>
      </c>
      <c r="F64">
        <f>+bma!F64/data!$K64</f>
        <v>0</v>
      </c>
      <c r="G64">
        <f>+bma!G64/data!$K64</f>
        <v>0.05</v>
      </c>
      <c r="H64">
        <f>+bma!H64/data!$K64</f>
        <v>0.05</v>
      </c>
      <c r="I64">
        <f>+bma!I64/data!$K64</f>
        <v>0.05</v>
      </c>
      <c r="J64">
        <f>+bma!L64/data!$K64</f>
        <v>0</v>
      </c>
      <c r="K64">
        <f>+bma!M64/data!$K64</f>
        <v>0.05</v>
      </c>
      <c r="L64">
        <f>+bma!J64/data!$K64</f>
        <v>0</v>
      </c>
      <c r="M64">
        <f>+bma!K64/data!$K64</f>
        <v>0.05</v>
      </c>
      <c r="N64">
        <f>+bma!N64/data!$K64</f>
        <v>0</v>
      </c>
      <c r="O64">
        <f>+bma!O64/data!$K64</f>
        <v>0</v>
      </c>
      <c r="P64">
        <f>+bma!P64/data!$K64</f>
        <v>0</v>
      </c>
      <c r="Q64">
        <f>+bma!Q64/data!$K64</f>
        <v>0.38009510000000002</v>
      </c>
      <c r="R64">
        <f>+bma!R64/data!$K64</f>
        <v>0.15222615</v>
      </c>
      <c r="S64">
        <f>+bma!S64/data!$K64</f>
        <v>0</v>
      </c>
    </row>
    <row r="65" spans="1:19" x14ac:dyDescent="0.25">
      <c r="A65">
        <f>+bma!A65/data!$K65</f>
        <v>-1.0020163083382518E-2</v>
      </c>
      <c r="B65">
        <f>+bma!B65/data!$K65</f>
        <v>7.7453152482362163E-3</v>
      </c>
      <c r="C65">
        <f>+bma!C65/data!$K65</f>
        <v>0.05</v>
      </c>
      <c r="D65">
        <f>+bma!D65/data!$K65</f>
        <v>0.05</v>
      </c>
      <c r="E65">
        <f>+bma!E65/data!$K65</f>
        <v>0</v>
      </c>
      <c r="F65">
        <f>+bma!F65/data!$K65</f>
        <v>0</v>
      </c>
      <c r="G65">
        <f>+bma!G65/data!$K65</f>
        <v>0.05</v>
      </c>
      <c r="H65">
        <f>+bma!H65/data!$K65</f>
        <v>0.05</v>
      </c>
      <c r="I65">
        <f>+bma!I65/data!$K65</f>
        <v>0.05</v>
      </c>
      <c r="J65">
        <f>+bma!L65/data!$K65</f>
        <v>0</v>
      </c>
      <c r="K65">
        <f>+bma!M65/data!$K65</f>
        <v>0.05</v>
      </c>
      <c r="L65">
        <f>+bma!J65/data!$K65</f>
        <v>0</v>
      </c>
      <c r="M65">
        <f>+bma!K65/data!$K65</f>
        <v>0.05</v>
      </c>
      <c r="N65">
        <f>+bma!N65/data!$K65</f>
        <v>0</v>
      </c>
      <c r="O65">
        <f>+bma!O65/data!$K65</f>
        <v>0</v>
      </c>
      <c r="P65">
        <f>+bma!P65/data!$K65</f>
        <v>0</v>
      </c>
      <c r="Q65">
        <f>+bma!Q65/data!$K65</f>
        <v>0.38009510000000002</v>
      </c>
      <c r="R65">
        <f>+bma!R65/data!$K65</f>
        <v>0.15222615</v>
      </c>
      <c r="S65">
        <f>+bma!S65/data!$K65</f>
        <v>0</v>
      </c>
    </row>
    <row r="66" spans="1:19" x14ac:dyDescent="0.25">
      <c r="A66">
        <f>+bma!A66/data!$K66</f>
        <v>1.6977646215209211E-3</v>
      </c>
      <c r="B66">
        <f>+bma!B66/data!$K66</f>
        <v>7.9011353540012104E-3</v>
      </c>
      <c r="C66">
        <f>+bma!C66/data!$K66</f>
        <v>0.05</v>
      </c>
      <c r="D66">
        <f>+bma!D66/data!$K66</f>
        <v>0.05</v>
      </c>
      <c r="E66">
        <f>+bma!E66/data!$K66</f>
        <v>0</v>
      </c>
      <c r="F66">
        <f>+bma!F66/data!$K66</f>
        <v>0</v>
      </c>
      <c r="G66">
        <f>+bma!G66/data!$K66</f>
        <v>0.05</v>
      </c>
      <c r="H66">
        <f>+bma!H66/data!$K66</f>
        <v>0.05</v>
      </c>
      <c r="I66">
        <f>+bma!I66/data!$K66</f>
        <v>0.05</v>
      </c>
      <c r="J66">
        <f>+bma!L66/data!$K66</f>
        <v>0</v>
      </c>
      <c r="K66">
        <f>+bma!M66/data!$K66</f>
        <v>0.05</v>
      </c>
      <c r="L66">
        <f>+bma!J66/data!$K66</f>
        <v>0</v>
      </c>
      <c r="M66">
        <f>+bma!K66/data!$K66</f>
        <v>0.05</v>
      </c>
      <c r="N66">
        <f>+bma!N66/data!$K66</f>
        <v>0</v>
      </c>
      <c r="O66">
        <f>+bma!O66/data!$K66</f>
        <v>0</v>
      </c>
      <c r="P66">
        <f>+bma!P66/data!$K66</f>
        <v>0</v>
      </c>
      <c r="Q66">
        <f>+bma!Q66/data!$K66</f>
        <v>0.38009510000000002</v>
      </c>
      <c r="R66">
        <f>+bma!R66/data!$K66</f>
        <v>0.15222615</v>
      </c>
      <c r="S66">
        <f>+bma!S66/data!$K66</f>
        <v>0</v>
      </c>
    </row>
    <row r="67" spans="1:19" x14ac:dyDescent="0.25">
      <c r="A67">
        <f>+bma!A67/data!$K67</f>
        <v>-4.691468888227749E-3</v>
      </c>
      <c r="B67">
        <f>+bma!B67/data!$K67</f>
        <v>7.681130434647394E-3</v>
      </c>
      <c r="C67">
        <f>+bma!C67/data!$K67</f>
        <v>0</v>
      </c>
      <c r="D67">
        <f>+bma!D67/data!$K67</f>
        <v>0.05</v>
      </c>
      <c r="E67">
        <f>+bma!E67/data!$K67</f>
        <v>0</v>
      </c>
      <c r="F67">
        <f>+bma!F67/data!$K67</f>
        <v>0</v>
      </c>
      <c r="G67">
        <f>+bma!G67/data!$K67</f>
        <v>0.05</v>
      </c>
      <c r="H67">
        <f>+bma!H67/data!$K67</f>
        <v>0.05</v>
      </c>
      <c r="I67">
        <f>+bma!I67/data!$K67</f>
        <v>0.05</v>
      </c>
      <c r="J67">
        <f>+bma!L67/data!$K67</f>
        <v>0</v>
      </c>
      <c r="K67">
        <f>+bma!M67/data!$K67</f>
        <v>0.05</v>
      </c>
      <c r="L67">
        <f>+bma!J67/data!$K67</f>
        <v>0</v>
      </c>
      <c r="M67">
        <f>+bma!K67/data!$K67</f>
        <v>0</v>
      </c>
      <c r="N67">
        <f>+bma!N67/data!$K67</f>
        <v>0</v>
      </c>
      <c r="O67">
        <f>+bma!O67/data!$K67</f>
        <v>0</v>
      </c>
      <c r="P67">
        <f>+bma!P67/data!$K67</f>
        <v>0</v>
      </c>
      <c r="Q67">
        <f>+bma!Q67/data!$K67</f>
        <v>0.38009510000000002</v>
      </c>
      <c r="R67">
        <f>+bma!R67/data!$K67</f>
        <v>0.15222615</v>
      </c>
      <c r="S67">
        <f>+bma!S67/data!$K67</f>
        <v>0</v>
      </c>
    </row>
    <row r="68" spans="1:19" x14ac:dyDescent="0.25">
      <c r="A68">
        <f>+bma!A68/data!$K68</f>
        <v>-9.138008568004086E-3</v>
      </c>
      <c r="B68">
        <f>+bma!B68/data!$K68</f>
        <v>7.6771704635952703E-3</v>
      </c>
      <c r="C68">
        <f>+bma!C68/data!$K68</f>
        <v>0</v>
      </c>
      <c r="D68">
        <f>+bma!D68/data!$K68</f>
        <v>0.05</v>
      </c>
      <c r="E68">
        <f>+bma!E68/data!$K68</f>
        <v>0</v>
      </c>
      <c r="F68">
        <f>+bma!F68/data!$K68</f>
        <v>0</v>
      </c>
      <c r="G68">
        <f>+bma!G68/data!$K68</f>
        <v>0.05</v>
      </c>
      <c r="H68">
        <f>+bma!H68/data!$K68</f>
        <v>0.05</v>
      </c>
      <c r="I68">
        <f>+bma!I68/data!$K68</f>
        <v>0.05</v>
      </c>
      <c r="J68">
        <f>+bma!L68/data!$K68</f>
        <v>0</v>
      </c>
      <c r="K68">
        <f>+bma!M68/data!$K68</f>
        <v>0.05</v>
      </c>
      <c r="L68">
        <f>+bma!J68/data!$K68</f>
        <v>0</v>
      </c>
      <c r="M68">
        <f>+bma!K68/data!$K68</f>
        <v>0</v>
      </c>
      <c r="N68">
        <f>+bma!N68/data!$K68</f>
        <v>0</v>
      </c>
      <c r="O68">
        <f>+bma!O68/data!$K68</f>
        <v>0</v>
      </c>
      <c r="P68">
        <f>+bma!P68/data!$K68</f>
        <v>0</v>
      </c>
      <c r="Q68">
        <f>+bma!Q68/data!$K68</f>
        <v>0.38009510000000002</v>
      </c>
      <c r="R68">
        <f>+bma!R68/data!$K68</f>
        <v>0.15222615</v>
      </c>
      <c r="S68">
        <f>+bma!S68/data!$K68</f>
        <v>0</v>
      </c>
    </row>
    <row r="69" spans="1:19" x14ac:dyDescent="0.25">
      <c r="A69">
        <f>+bma!A69/data!$K69</f>
        <v>-1.1736130314414301E-2</v>
      </c>
      <c r="B69">
        <f>+bma!B69/data!$K69</f>
        <v>7.5905320441485525E-3</v>
      </c>
      <c r="C69">
        <f>+bma!C69/data!$K69</f>
        <v>0.05</v>
      </c>
      <c r="D69">
        <f>+bma!D69/data!$K69</f>
        <v>0.05</v>
      </c>
      <c r="E69">
        <f>+bma!E69/data!$K69</f>
        <v>0</v>
      </c>
      <c r="F69">
        <f>+bma!F69/data!$K69</f>
        <v>0</v>
      </c>
      <c r="G69">
        <f>+bma!G69/data!$K69</f>
        <v>0.05</v>
      </c>
      <c r="H69">
        <f>+bma!H69/data!$K69</f>
        <v>0.05</v>
      </c>
      <c r="I69">
        <f>+bma!I69/data!$K69</f>
        <v>0.05</v>
      </c>
      <c r="J69">
        <f>+bma!L69/data!$K69</f>
        <v>0</v>
      </c>
      <c r="K69">
        <f>+bma!M69/data!$K69</f>
        <v>0.05</v>
      </c>
      <c r="L69">
        <f>+bma!J69/data!$K69</f>
        <v>0</v>
      </c>
      <c r="M69">
        <f>+bma!K69/data!$K69</f>
        <v>0</v>
      </c>
      <c r="N69">
        <f>+bma!N69/data!$K69</f>
        <v>0</v>
      </c>
      <c r="O69">
        <f>+bma!O69/data!$K69</f>
        <v>0</v>
      </c>
      <c r="P69">
        <f>+bma!P69/data!$K69</f>
        <v>0</v>
      </c>
      <c r="Q69">
        <f>+bma!Q69/data!$K69</f>
        <v>0.38009510000000002</v>
      </c>
      <c r="R69">
        <f>+bma!R69/data!$K69</f>
        <v>0.15222615</v>
      </c>
      <c r="S69">
        <f>+bma!S69/data!$K69</f>
        <v>0</v>
      </c>
    </row>
    <row r="70" spans="1:19" x14ac:dyDescent="0.25">
      <c r="A70">
        <f>+bma!A70/data!$K70</f>
        <v>-1.4748201438848921E-2</v>
      </c>
      <c r="B70">
        <f>+bma!B70/data!$K70</f>
        <v>7.5539568345323743E-3</v>
      </c>
      <c r="C70">
        <f>+bma!C70/data!$K70</f>
        <v>0.05</v>
      </c>
      <c r="D70">
        <f>+bma!D70/data!$K70</f>
        <v>0.05</v>
      </c>
      <c r="E70">
        <f>+bma!E70/data!$K70</f>
        <v>0</v>
      </c>
      <c r="F70">
        <f>+bma!F70/data!$K70</f>
        <v>0</v>
      </c>
      <c r="G70">
        <f>+bma!G70/data!$K70</f>
        <v>0.05</v>
      </c>
      <c r="H70">
        <f>+bma!H70/data!$K70</f>
        <v>0.05</v>
      </c>
      <c r="I70">
        <f>+bma!I70/data!$K70</f>
        <v>0.05</v>
      </c>
      <c r="J70">
        <f>+bma!L70/data!$K70</f>
        <v>0</v>
      </c>
      <c r="K70">
        <f>+bma!M70/data!$K70</f>
        <v>0.05</v>
      </c>
      <c r="L70">
        <f>+bma!J70/data!$K70</f>
        <v>0</v>
      </c>
      <c r="M70">
        <f>+bma!K70/data!$K70</f>
        <v>0</v>
      </c>
      <c r="N70">
        <f>+bma!N70/data!$K70</f>
        <v>0</v>
      </c>
      <c r="O70">
        <f>+bma!O70/data!$K70</f>
        <v>0</v>
      </c>
      <c r="P70">
        <f>+bma!P70/data!$K70</f>
        <v>0</v>
      </c>
      <c r="Q70">
        <f>+bma!Q70/data!$K70</f>
        <v>0.38009510000000002</v>
      </c>
      <c r="R70">
        <f>+bma!R70/data!$K70</f>
        <v>0.15222615</v>
      </c>
      <c r="S70">
        <f>+bma!S70/data!$K70</f>
        <v>0</v>
      </c>
    </row>
    <row r="71" spans="1:19" x14ac:dyDescent="0.25">
      <c r="A71">
        <f>+bma!A71/data!$K71</f>
        <v>-9.8801881521905482E-4</v>
      </c>
      <c r="B71">
        <f>+bma!B71/data!$K71</f>
        <v>7.9041505217524385E-3</v>
      </c>
      <c r="C71">
        <f>+bma!C71/data!$K71</f>
        <v>0.05</v>
      </c>
      <c r="D71">
        <f>+bma!D71/data!$K71</f>
        <v>0.05</v>
      </c>
      <c r="E71">
        <f>+bma!E71/data!$K71</f>
        <v>0</v>
      </c>
      <c r="F71">
        <f>+bma!F71/data!$K71</f>
        <v>0</v>
      </c>
      <c r="G71">
        <f>+bma!G71/data!$K71</f>
        <v>0.05</v>
      </c>
      <c r="H71">
        <f>+bma!H71/data!$K71</f>
        <v>0.05</v>
      </c>
      <c r="I71">
        <f>+bma!I71/data!$K71</f>
        <v>0.05</v>
      </c>
      <c r="J71">
        <f>+bma!L71/data!$K71</f>
        <v>0</v>
      </c>
      <c r="K71">
        <f>+bma!M71/data!$K71</f>
        <v>0.05</v>
      </c>
      <c r="L71">
        <f>+bma!J71/data!$K71</f>
        <v>0</v>
      </c>
      <c r="M71">
        <f>+bma!K71/data!$K71</f>
        <v>0</v>
      </c>
      <c r="N71">
        <f>+bma!N71/data!$K71</f>
        <v>0</v>
      </c>
      <c r="O71">
        <f>+bma!O71/data!$K71</f>
        <v>0</v>
      </c>
      <c r="P71">
        <f>+bma!P71/data!$K71</f>
        <v>0</v>
      </c>
      <c r="Q71">
        <f>+bma!Q71/data!$K71</f>
        <v>0.38009510000000002</v>
      </c>
      <c r="R71">
        <f>+bma!R71/data!$K71</f>
        <v>0.15222615</v>
      </c>
      <c r="S71">
        <f>+bma!S71/data!$K71</f>
        <v>0</v>
      </c>
    </row>
    <row r="72" spans="1:19" x14ac:dyDescent="0.25">
      <c r="A72">
        <f>+bma!A72/data!$K72</f>
        <v>-6.7307442653654205E-4</v>
      </c>
      <c r="B72">
        <f>+bma!B72/data!$K72</f>
        <v>2.5714894757421737E-3</v>
      </c>
      <c r="C72">
        <f>+bma!C72/data!$K72</f>
        <v>0</v>
      </c>
      <c r="D72">
        <f>+bma!D72/data!$K72</f>
        <v>0</v>
      </c>
      <c r="E72">
        <f>+bma!E72/data!$K72</f>
        <v>0.05</v>
      </c>
      <c r="F72">
        <f>+bma!F72/data!$K72</f>
        <v>0</v>
      </c>
      <c r="G72">
        <f>+bma!G72/data!$K72</f>
        <v>0.05</v>
      </c>
      <c r="H72">
        <f>+bma!H72/data!$K72</f>
        <v>0.05</v>
      </c>
      <c r="I72">
        <f>+bma!I72/data!$K72</f>
        <v>0.05</v>
      </c>
      <c r="J72">
        <f>+bma!L72/data!$K72</f>
        <v>0</v>
      </c>
      <c r="K72">
        <f>+bma!M72/data!$K72</f>
        <v>0.05</v>
      </c>
      <c r="L72">
        <f>+bma!J72/data!$K72</f>
        <v>0</v>
      </c>
      <c r="M72">
        <f>+bma!K72/data!$K72</f>
        <v>0</v>
      </c>
      <c r="N72">
        <f>+bma!N72/data!$K72</f>
        <v>0</v>
      </c>
      <c r="O72">
        <f>+bma!O72/data!$K72</f>
        <v>0</v>
      </c>
      <c r="P72">
        <f>+bma!P72/data!$K72</f>
        <v>0</v>
      </c>
      <c r="Q72">
        <f>+bma!Q72/data!$K72</f>
        <v>0.38009510000000002</v>
      </c>
      <c r="R72">
        <f>+bma!R72/data!$K72</f>
        <v>0.15222615</v>
      </c>
      <c r="S72">
        <f>+bma!S72/data!$K72</f>
        <v>0</v>
      </c>
    </row>
    <row r="73" spans="1:19" x14ac:dyDescent="0.25">
      <c r="A73">
        <f>+bma!A73/data!$K73</f>
        <v>1.0017686813090759E-3</v>
      </c>
      <c r="B73">
        <f>+bma!B73/data!$K73</f>
        <v>2.5712062820266281E-3</v>
      </c>
      <c r="C73">
        <f>+bma!C73/data!$K73</f>
        <v>0</v>
      </c>
      <c r="D73">
        <f>+bma!D73/data!$K73</f>
        <v>0</v>
      </c>
      <c r="E73">
        <f>+bma!E73/data!$K73</f>
        <v>0.05</v>
      </c>
      <c r="F73">
        <f>+bma!F73/data!$K73</f>
        <v>0</v>
      </c>
      <c r="G73">
        <f>+bma!G73/data!$K73</f>
        <v>0.05</v>
      </c>
      <c r="H73">
        <f>+bma!H73/data!$K73</f>
        <v>0.05</v>
      </c>
      <c r="I73">
        <f>+bma!I73/data!$K73</f>
        <v>0.05</v>
      </c>
      <c r="J73">
        <f>+bma!L73/data!$K73</f>
        <v>0</v>
      </c>
      <c r="K73">
        <f>+bma!M73/data!$K73</f>
        <v>0.05</v>
      </c>
      <c r="L73">
        <f>+bma!J73/data!$K73</f>
        <v>0</v>
      </c>
      <c r="M73">
        <f>+bma!K73/data!$K73</f>
        <v>0</v>
      </c>
      <c r="N73">
        <f>+bma!N73/data!$K73</f>
        <v>0</v>
      </c>
      <c r="O73">
        <f>+bma!O73/data!$K73</f>
        <v>0</v>
      </c>
      <c r="P73">
        <f>+bma!P73/data!$K73</f>
        <v>0</v>
      </c>
      <c r="Q73">
        <f>+bma!Q73/data!$K73</f>
        <v>0.38009510000000002</v>
      </c>
      <c r="R73">
        <f>+bma!R73/data!$K73</f>
        <v>0.15222615</v>
      </c>
      <c r="S73">
        <f>+bma!S73/data!$K73</f>
        <v>0</v>
      </c>
    </row>
    <row r="74" spans="1:19" x14ac:dyDescent="0.25">
      <c r="A74">
        <f>+bma!A74/data!$K74</f>
        <v>1.0674807081306153E-3</v>
      </c>
      <c r="B74">
        <f>+bma!B74/data!$K74</f>
        <v>2.5711363292608368E-3</v>
      </c>
      <c r="C74">
        <f>+bma!C74/data!$K74</f>
        <v>0</v>
      </c>
      <c r="D74">
        <f>+bma!D74/data!$K74</f>
        <v>0</v>
      </c>
      <c r="E74">
        <f>+bma!E74/data!$K74</f>
        <v>0.05</v>
      </c>
      <c r="F74">
        <f>+bma!F74/data!$K74</f>
        <v>0</v>
      </c>
      <c r="G74">
        <f>+bma!G74/data!$K74</f>
        <v>0.05</v>
      </c>
      <c r="H74">
        <f>+bma!H74/data!$K74</f>
        <v>0.05</v>
      </c>
      <c r="I74">
        <f>+bma!I74/data!$K74</f>
        <v>0.05</v>
      </c>
      <c r="J74">
        <f>+bma!L74/data!$K74</f>
        <v>0</v>
      </c>
      <c r="K74">
        <f>+bma!M74/data!$K74</f>
        <v>0.05</v>
      </c>
      <c r="L74">
        <f>+bma!J74/data!$K74</f>
        <v>0</v>
      </c>
      <c r="M74">
        <f>+bma!K74/data!$K74</f>
        <v>0</v>
      </c>
      <c r="N74">
        <f>+bma!N74/data!$K74</f>
        <v>0</v>
      </c>
      <c r="O74">
        <f>+bma!O74/data!$K74</f>
        <v>0</v>
      </c>
      <c r="P74">
        <f>+bma!P74/data!$K74</f>
        <v>0</v>
      </c>
      <c r="Q74">
        <f>+bma!Q74/data!$K74</f>
        <v>0.38009510000000002</v>
      </c>
      <c r="R74">
        <f>+bma!R74/data!$K74</f>
        <v>0.15222615</v>
      </c>
      <c r="S74">
        <f>+bma!S74/data!$K74</f>
        <v>0</v>
      </c>
    </row>
    <row r="75" spans="1:19" x14ac:dyDescent="0.25">
      <c r="A75">
        <f>+bma!A75/data!$K75</f>
        <v>-0.22813442594598293</v>
      </c>
      <c r="B75">
        <f>+bma!B75/data!$K75</f>
        <v>3.0828976479186861E-2</v>
      </c>
      <c r="C75">
        <f>+bma!C75/data!$K75</f>
        <v>0</v>
      </c>
      <c r="D75">
        <f>+bma!D75/data!$K75</f>
        <v>0.25</v>
      </c>
      <c r="E75">
        <f>+bma!E75/data!$K75</f>
        <v>0</v>
      </c>
      <c r="F75">
        <f>+bma!F75/data!$K75</f>
        <v>0</v>
      </c>
      <c r="G75">
        <f>+bma!G75/data!$K75</f>
        <v>0.25</v>
      </c>
      <c r="H75">
        <f>+bma!H75/data!$K75</f>
        <v>0</v>
      </c>
      <c r="I75">
        <f>+bma!I75/data!$K75</f>
        <v>0</v>
      </c>
      <c r="J75">
        <f>+bma!L75/data!$K75</f>
        <v>0</v>
      </c>
      <c r="K75">
        <f>+bma!M75/data!$K75</f>
        <v>0</v>
      </c>
      <c r="L75">
        <f>+bma!J75/data!$K75</f>
        <v>0</v>
      </c>
      <c r="M75">
        <f>+bma!K75/data!$K75</f>
        <v>0</v>
      </c>
      <c r="N75">
        <f>+bma!N75/data!$K75</f>
        <v>0</v>
      </c>
      <c r="O75">
        <f>+bma!O75/data!$K75</f>
        <v>0.25</v>
      </c>
      <c r="P75">
        <f>+bma!P75/data!$K75</f>
        <v>0.25</v>
      </c>
      <c r="Q75">
        <f>+bma!Q75/data!$K75</f>
        <v>1.9022177499999999</v>
      </c>
      <c r="R75">
        <f>+bma!R75/data!$K75</f>
        <v>0</v>
      </c>
      <c r="S75">
        <f>+bma!S75/data!$K75</f>
        <v>0.25</v>
      </c>
    </row>
    <row r="76" spans="1:19" x14ac:dyDescent="0.25">
      <c r="A76">
        <f>+bma!A76/data!$K76</f>
        <v>-0.21979854881343983</v>
      </c>
      <c r="B76">
        <f>+bma!B76/data!$K76</f>
        <v>3.5914795557751455E-2</v>
      </c>
      <c r="C76">
        <f>+bma!C76/data!$K76</f>
        <v>0</v>
      </c>
      <c r="D76">
        <f>+bma!D76/data!$K76</f>
        <v>0.25</v>
      </c>
      <c r="E76">
        <f>+bma!E76/data!$K76</f>
        <v>0</v>
      </c>
      <c r="F76">
        <f>+bma!F76/data!$K76</f>
        <v>0</v>
      </c>
      <c r="G76">
        <f>+bma!G76/data!$K76</f>
        <v>0.25</v>
      </c>
      <c r="H76">
        <f>+bma!H76/data!$K76</f>
        <v>0</v>
      </c>
      <c r="I76">
        <f>+bma!I76/data!$K76</f>
        <v>0</v>
      </c>
      <c r="J76">
        <f>+bma!L76/data!$K76</f>
        <v>0</v>
      </c>
      <c r="K76">
        <f>+bma!M76/data!$K76</f>
        <v>0</v>
      </c>
      <c r="L76">
        <f>+bma!J76/data!$K76</f>
        <v>0</v>
      </c>
      <c r="M76">
        <f>+bma!K76/data!$K76</f>
        <v>0</v>
      </c>
      <c r="N76">
        <f>+bma!N76/data!$K76</f>
        <v>0</v>
      </c>
      <c r="O76">
        <f>+bma!O76/data!$K76</f>
        <v>0.25</v>
      </c>
      <c r="P76">
        <f>+bma!P76/data!$K76</f>
        <v>0.25</v>
      </c>
      <c r="Q76">
        <f>+bma!Q76/data!$K76</f>
        <v>1.9022177499999999</v>
      </c>
      <c r="R76">
        <f>+bma!R76/data!$K76</f>
        <v>0</v>
      </c>
      <c r="S76">
        <f>+bma!S76/data!$K76</f>
        <v>0.25</v>
      </c>
    </row>
    <row r="77" spans="1:19" x14ac:dyDescent="0.25">
      <c r="A77">
        <f>+bma!A77/data!$K77</f>
        <v>-0.21356297813496472</v>
      </c>
      <c r="B77">
        <f>+bma!B77/data!$K77</f>
        <v>3.9185867547699774E-2</v>
      </c>
      <c r="C77">
        <f>+bma!C77/data!$K77</f>
        <v>0</v>
      </c>
      <c r="D77">
        <f>+bma!D77/data!$K77</f>
        <v>0.25</v>
      </c>
      <c r="E77">
        <f>+bma!E77/data!$K77</f>
        <v>0</v>
      </c>
      <c r="F77">
        <f>+bma!F77/data!$K77</f>
        <v>0</v>
      </c>
      <c r="G77">
        <f>+bma!G77/data!$K77</f>
        <v>0.25</v>
      </c>
      <c r="H77">
        <f>+bma!H77/data!$K77</f>
        <v>0</v>
      </c>
      <c r="I77">
        <f>+bma!I77/data!$K77</f>
        <v>0</v>
      </c>
      <c r="J77">
        <f>+bma!L77/data!$K77</f>
        <v>0</v>
      </c>
      <c r="K77">
        <f>+bma!M77/data!$K77</f>
        <v>0</v>
      </c>
      <c r="L77">
        <f>+bma!J77/data!$K77</f>
        <v>0</v>
      </c>
      <c r="M77">
        <f>+bma!K77/data!$K77</f>
        <v>0</v>
      </c>
      <c r="N77">
        <f>+bma!N77/data!$K77</f>
        <v>0</v>
      </c>
      <c r="O77">
        <f>+bma!O77/data!$K77</f>
        <v>0.25</v>
      </c>
      <c r="P77">
        <f>+bma!P77/data!$K77</f>
        <v>0.25</v>
      </c>
      <c r="Q77">
        <f>+bma!Q77/data!$K77</f>
        <v>1.9022177499999999</v>
      </c>
      <c r="R77">
        <f>+bma!R77/data!$K77</f>
        <v>0</v>
      </c>
      <c r="S77">
        <f>+bma!S77/data!$K77</f>
        <v>0.25</v>
      </c>
    </row>
    <row r="78" spans="1:19" x14ac:dyDescent="0.25">
      <c r="A78">
        <f>+bma!A78/data!$K78</f>
        <v>-0.22358487619550715</v>
      </c>
      <c r="B78">
        <f>+bma!B78/data!$K78</f>
        <v>3.37232090792619E-2</v>
      </c>
      <c r="C78">
        <f>+bma!C78/data!$K78</f>
        <v>0</v>
      </c>
      <c r="D78">
        <f>+bma!D78/data!$K78</f>
        <v>0.25</v>
      </c>
      <c r="E78">
        <f>+bma!E78/data!$K78</f>
        <v>0</v>
      </c>
      <c r="F78">
        <f>+bma!F78/data!$K78</f>
        <v>0</v>
      </c>
      <c r="G78">
        <f>+bma!G78/data!$K78</f>
        <v>0.25</v>
      </c>
      <c r="H78">
        <f>+bma!H78/data!$K78</f>
        <v>0</v>
      </c>
      <c r="I78">
        <f>+bma!I78/data!$K78</f>
        <v>0</v>
      </c>
      <c r="J78">
        <f>+bma!L78/data!$K78</f>
        <v>0</v>
      </c>
      <c r="K78">
        <f>+bma!M78/data!$K78</f>
        <v>0</v>
      </c>
      <c r="L78">
        <f>+bma!J78/data!$K78</f>
        <v>0</v>
      </c>
      <c r="M78">
        <f>+bma!K78/data!$K78</f>
        <v>0</v>
      </c>
      <c r="N78">
        <f>+bma!N78/data!$K78</f>
        <v>0</v>
      </c>
      <c r="O78">
        <f>+bma!O78/data!$K78</f>
        <v>0.25</v>
      </c>
      <c r="P78">
        <f>+bma!P78/data!$K78</f>
        <v>0.25</v>
      </c>
      <c r="Q78">
        <f>+bma!Q78/data!$K78</f>
        <v>1.9022177499999999</v>
      </c>
      <c r="R78">
        <f>+bma!R78/data!$K78</f>
        <v>0</v>
      </c>
      <c r="S78">
        <f>+bma!S78/data!$K78</f>
        <v>0.25</v>
      </c>
    </row>
    <row r="79" spans="1:19" x14ac:dyDescent="0.25">
      <c r="A79">
        <f>+bma!A79/data!$K79</f>
        <v>-4.7748219080568704E-3</v>
      </c>
      <c r="B79">
        <f>+bma!B79/data!$K79</f>
        <v>1.133417321609459E-3</v>
      </c>
      <c r="C79">
        <f>+bma!C79/data!$K79</f>
        <v>0</v>
      </c>
      <c r="D79">
        <f>+bma!D79/data!$K79</f>
        <v>6.25E-2</v>
      </c>
      <c r="E79">
        <f>+bma!E79/data!$K79</f>
        <v>0</v>
      </c>
      <c r="F79">
        <f>+bma!F79/data!$K79</f>
        <v>0</v>
      </c>
      <c r="G79">
        <f>+bma!G79/data!$K79</f>
        <v>0</v>
      </c>
      <c r="H79">
        <f>+bma!H79/data!$K79</f>
        <v>0</v>
      </c>
      <c r="I79">
        <f>+bma!I79/data!$K79</f>
        <v>0</v>
      </c>
      <c r="J79">
        <f>+bma!L79/data!$K79</f>
        <v>0</v>
      </c>
      <c r="K79">
        <f>+bma!M79/data!$K79</f>
        <v>0</v>
      </c>
      <c r="L79">
        <f>+bma!J79/data!$K79</f>
        <v>0</v>
      </c>
      <c r="M79">
        <f>+bma!K79/data!$K79</f>
        <v>0</v>
      </c>
      <c r="N79">
        <f>+bma!N79/data!$K79</f>
        <v>6.25E-2</v>
      </c>
      <c r="O79">
        <f>+bma!O79/data!$K79</f>
        <v>0</v>
      </c>
      <c r="P79">
        <f>+bma!P79/data!$K79</f>
        <v>6.25E-2</v>
      </c>
      <c r="Q79">
        <f>+bma!Q79/data!$K79</f>
        <v>0.47508762500000001</v>
      </c>
      <c r="R79">
        <f>+bma!R79/data!$K79</f>
        <v>6.8663249999999995E-2</v>
      </c>
      <c r="S79">
        <f>+bma!S79/data!$K79</f>
        <v>0</v>
      </c>
    </row>
    <row r="80" spans="1:19" x14ac:dyDescent="0.25">
      <c r="A80">
        <f>+bma!A80/data!$K80</f>
        <v>-3.5832297486583487E-3</v>
      </c>
      <c r="B80">
        <f>+bma!B80/data!$K80</f>
        <v>1.2932235597536337E-3</v>
      </c>
      <c r="C80">
        <f>+bma!C80/data!$K80</f>
        <v>0</v>
      </c>
      <c r="D80">
        <f>+bma!D80/data!$K80</f>
        <v>6.25E-2</v>
      </c>
      <c r="E80">
        <f>+bma!E80/data!$K80</f>
        <v>0</v>
      </c>
      <c r="F80">
        <f>+bma!F80/data!$K80</f>
        <v>0</v>
      </c>
      <c r="G80">
        <f>+bma!G80/data!$K80</f>
        <v>0</v>
      </c>
      <c r="H80">
        <f>+bma!H80/data!$K80</f>
        <v>0</v>
      </c>
      <c r="I80">
        <f>+bma!I80/data!$K80</f>
        <v>0</v>
      </c>
      <c r="J80">
        <f>+bma!L80/data!$K80</f>
        <v>0</v>
      </c>
      <c r="K80">
        <f>+bma!M80/data!$K80</f>
        <v>0</v>
      </c>
      <c r="L80">
        <f>+bma!J80/data!$K80</f>
        <v>0</v>
      </c>
      <c r="M80">
        <f>+bma!K80/data!$K80</f>
        <v>0</v>
      </c>
      <c r="N80">
        <f>+bma!N80/data!$K80</f>
        <v>0</v>
      </c>
      <c r="O80">
        <f>+bma!O80/data!$K80</f>
        <v>6.25E-2</v>
      </c>
      <c r="P80">
        <f>+bma!P80/data!$K80</f>
        <v>6.25E-2</v>
      </c>
      <c r="Q80">
        <f>+bma!Q80/data!$K80</f>
        <v>0.47508762500000001</v>
      </c>
      <c r="R80">
        <f>+bma!R80/data!$K80</f>
        <v>6.8663249999999995E-2</v>
      </c>
      <c r="S80">
        <f>+bma!S80/data!$K80</f>
        <v>0</v>
      </c>
    </row>
    <row r="81" spans="1:19" x14ac:dyDescent="0.25">
      <c r="A81">
        <f>+bma!A81/data!$K81</f>
        <v>2.9717866972947286E-3</v>
      </c>
      <c r="B81">
        <f>+bma!B81/data!$K81</f>
        <v>3.757802744042972E-3</v>
      </c>
      <c r="C81">
        <f>+bma!C81/data!$K81</f>
        <v>0</v>
      </c>
      <c r="D81">
        <f>+bma!D81/data!$K81</f>
        <v>6.25E-2</v>
      </c>
      <c r="E81">
        <f>+bma!E81/data!$K81</f>
        <v>0</v>
      </c>
      <c r="F81">
        <f>+bma!F81/data!$K81</f>
        <v>0</v>
      </c>
      <c r="G81">
        <f>+bma!G81/data!$K81</f>
        <v>0</v>
      </c>
      <c r="H81">
        <f>+bma!H81/data!$K81</f>
        <v>0</v>
      </c>
      <c r="I81">
        <f>+bma!I81/data!$K81</f>
        <v>0</v>
      </c>
      <c r="J81">
        <f>+bma!L81/data!$K81</f>
        <v>0</v>
      </c>
      <c r="K81">
        <f>+bma!M81/data!$K81</f>
        <v>0</v>
      </c>
      <c r="L81">
        <f>+bma!J81/data!$K81</f>
        <v>0</v>
      </c>
      <c r="M81">
        <f>+bma!K81/data!$K81</f>
        <v>0</v>
      </c>
      <c r="N81">
        <f>+bma!N81/data!$K81</f>
        <v>6.25E-2</v>
      </c>
      <c r="O81">
        <f>+bma!O81/data!$K81</f>
        <v>0</v>
      </c>
      <c r="P81">
        <f>+bma!P81/data!$K81</f>
        <v>6.25E-2</v>
      </c>
      <c r="Q81">
        <f>+bma!Q81/data!$K81</f>
        <v>0.47508762500000001</v>
      </c>
      <c r="R81">
        <f>+bma!R81/data!$K81</f>
        <v>6.8663249999999995E-2</v>
      </c>
      <c r="S81">
        <f>+bma!S81/data!$K81</f>
        <v>0</v>
      </c>
    </row>
    <row r="82" spans="1:19" x14ac:dyDescent="0.25">
      <c r="A82">
        <f>+bma!A82/data!$K82</f>
        <v>-4.0014562022184317E-3</v>
      </c>
      <c r="B82">
        <f>+bma!B82/data!$K82</f>
        <v>1.7784249787637474E-3</v>
      </c>
      <c r="C82">
        <f>+bma!C82/data!$K82</f>
        <v>0</v>
      </c>
      <c r="D82">
        <f>+bma!D82/data!$K82</f>
        <v>6.25E-2</v>
      </c>
      <c r="E82">
        <f>+bma!E82/data!$K82</f>
        <v>0</v>
      </c>
      <c r="F82">
        <f>+bma!F82/data!$K82</f>
        <v>0</v>
      </c>
      <c r="G82">
        <f>+bma!G82/data!$K82</f>
        <v>0</v>
      </c>
      <c r="H82">
        <f>+bma!H82/data!$K82</f>
        <v>0</v>
      </c>
      <c r="I82">
        <f>+bma!I82/data!$K82</f>
        <v>0</v>
      </c>
      <c r="J82">
        <f>+bma!L82/data!$K82</f>
        <v>0</v>
      </c>
      <c r="K82">
        <f>+bma!M82/data!$K82</f>
        <v>0</v>
      </c>
      <c r="L82">
        <f>+bma!J82/data!$K82</f>
        <v>0</v>
      </c>
      <c r="M82">
        <f>+bma!K82/data!$K82</f>
        <v>0</v>
      </c>
      <c r="N82">
        <f>+bma!N82/data!$K82</f>
        <v>6.25E-2</v>
      </c>
      <c r="O82">
        <f>+bma!O82/data!$K82</f>
        <v>0</v>
      </c>
      <c r="P82">
        <f>+bma!P82/data!$K82</f>
        <v>6.25E-2</v>
      </c>
      <c r="Q82">
        <f>+bma!Q82/data!$K82</f>
        <v>0.47508762500000001</v>
      </c>
      <c r="R82">
        <f>+bma!R82/data!$K82</f>
        <v>6.8663249999999995E-2</v>
      </c>
      <c r="S82">
        <f>+bma!S82/data!$K82</f>
        <v>0</v>
      </c>
    </row>
    <row r="83" spans="1:19" x14ac:dyDescent="0.25">
      <c r="A83">
        <f>+bma!A83/data!$K83</f>
        <v>-4.5271029700019822E-3</v>
      </c>
      <c r="B83">
        <f>+bma!B83/data!$K83</f>
        <v>1.6111160569712935E-3</v>
      </c>
      <c r="C83">
        <f>+bma!C83/data!$K83</f>
        <v>0</v>
      </c>
      <c r="D83">
        <f>+bma!D83/data!$K83</f>
        <v>6.25E-2</v>
      </c>
      <c r="E83">
        <f>+bma!E83/data!$K83</f>
        <v>0</v>
      </c>
      <c r="F83">
        <f>+bma!F83/data!$K83</f>
        <v>0</v>
      </c>
      <c r="G83">
        <f>+bma!G83/data!$K83</f>
        <v>0</v>
      </c>
      <c r="H83">
        <f>+bma!H83/data!$K83</f>
        <v>0</v>
      </c>
      <c r="I83">
        <f>+bma!I83/data!$K83</f>
        <v>0</v>
      </c>
      <c r="J83">
        <f>+bma!L83/data!$K83</f>
        <v>0</v>
      </c>
      <c r="K83">
        <f>+bma!M83/data!$K83</f>
        <v>0</v>
      </c>
      <c r="L83">
        <f>+bma!J83/data!$K83</f>
        <v>0</v>
      </c>
      <c r="M83">
        <f>+bma!K83/data!$K83</f>
        <v>0</v>
      </c>
      <c r="N83">
        <f>+bma!N83/data!$K83</f>
        <v>6.25E-2</v>
      </c>
      <c r="O83">
        <f>+bma!O83/data!$K83</f>
        <v>0</v>
      </c>
      <c r="P83">
        <f>+bma!P83/data!$K83</f>
        <v>6.25E-2</v>
      </c>
      <c r="Q83">
        <f>+bma!Q83/data!$K83</f>
        <v>0.47508762500000001</v>
      </c>
      <c r="R83">
        <f>+bma!R83/data!$K83</f>
        <v>6.8663249999999995E-2</v>
      </c>
      <c r="S83">
        <f>+bma!S83/data!$K83</f>
        <v>0</v>
      </c>
    </row>
    <row r="84" spans="1:19" x14ac:dyDescent="0.25">
      <c r="A84">
        <f>+bma!A84/data!$K84</f>
        <v>-9.7212348208726971E-4</v>
      </c>
      <c r="B84">
        <f>+bma!B84/data!$K84</f>
        <v>2.5281734852940739E-3</v>
      </c>
      <c r="C84">
        <f>+bma!C84/data!$K84</f>
        <v>0</v>
      </c>
      <c r="D84">
        <f>+bma!D84/data!$K84</f>
        <v>6.25E-2</v>
      </c>
      <c r="E84">
        <f>+bma!E84/data!$K84</f>
        <v>0</v>
      </c>
      <c r="F84">
        <f>+bma!F84/data!$K84</f>
        <v>0</v>
      </c>
      <c r="G84">
        <f>+bma!G84/data!$K84</f>
        <v>0</v>
      </c>
      <c r="H84">
        <f>+bma!H84/data!$K84</f>
        <v>0</v>
      </c>
      <c r="I84">
        <f>+bma!I84/data!$K84</f>
        <v>0</v>
      </c>
      <c r="J84">
        <f>+bma!L84/data!$K84</f>
        <v>0</v>
      </c>
      <c r="K84">
        <f>+bma!M84/data!$K84</f>
        <v>0</v>
      </c>
      <c r="L84">
        <f>+bma!J84/data!$K84</f>
        <v>0</v>
      </c>
      <c r="M84">
        <f>+bma!K84/data!$K84</f>
        <v>0</v>
      </c>
      <c r="N84">
        <f>+bma!N84/data!$K84</f>
        <v>0</v>
      </c>
      <c r="O84">
        <f>+bma!O84/data!$K84</f>
        <v>6.25E-2</v>
      </c>
      <c r="P84">
        <f>+bma!P84/data!$K84</f>
        <v>6.25E-2</v>
      </c>
      <c r="Q84">
        <f>+bma!Q84/data!$K84</f>
        <v>0.47508762500000001</v>
      </c>
      <c r="R84">
        <f>+bma!R84/data!$K84</f>
        <v>6.8663249999999995E-2</v>
      </c>
      <c r="S84">
        <f>+bma!S84/data!$K84</f>
        <v>0</v>
      </c>
    </row>
    <row r="85" spans="1:19" x14ac:dyDescent="0.25">
      <c r="A85">
        <f>+bma!A85/data!$K85</f>
        <v>-1.9556955051863958E-4</v>
      </c>
      <c r="B85">
        <f>+bma!B85/data!$K85</f>
        <v>1.8279766150517741E-3</v>
      </c>
      <c r="C85">
        <f>+bma!C85/data!$K85</f>
        <v>0</v>
      </c>
      <c r="D85">
        <f>+bma!D85/data!$K85</f>
        <v>6.25E-2</v>
      </c>
      <c r="E85">
        <f>+bma!E85/data!$K85</f>
        <v>0</v>
      </c>
      <c r="F85">
        <f>+bma!F85/data!$K85</f>
        <v>0</v>
      </c>
      <c r="G85">
        <f>+bma!G85/data!$K85</f>
        <v>0</v>
      </c>
      <c r="H85">
        <f>+bma!H85/data!$K85</f>
        <v>0</v>
      </c>
      <c r="I85">
        <f>+bma!I85/data!$K85</f>
        <v>0</v>
      </c>
      <c r="J85">
        <f>+bma!L85/data!$K85</f>
        <v>0</v>
      </c>
      <c r="K85">
        <f>+bma!M85/data!$K85</f>
        <v>0</v>
      </c>
      <c r="L85">
        <f>+bma!J85/data!$K85</f>
        <v>0</v>
      </c>
      <c r="M85">
        <f>+bma!K85/data!$K85</f>
        <v>0</v>
      </c>
      <c r="N85">
        <f>+bma!N85/data!$K85</f>
        <v>0</v>
      </c>
      <c r="O85">
        <f>+bma!O85/data!$K85</f>
        <v>6.25E-2</v>
      </c>
      <c r="P85">
        <f>+bma!P85/data!$K85</f>
        <v>6.25E-2</v>
      </c>
      <c r="Q85">
        <f>+bma!Q85/data!$K85</f>
        <v>0.47508762500000001</v>
      </c>
      <c r="R85">
        <f>+bma!R85/data!$K85</f>
        <v>6.8663249999999995E-2</v>
      </c>
      <c r="S85">
        <f>+bma!S85/data!$K85</f>
        <v>0</v>
      </c>
    </row>
    <row r="86" spans="1:19" x14ac:dyDescent="0.25">
      <c r="A86">
        <f>+bma!A86/data!$K86</f>
        <v>-7.6087247374083981E-3</v>
      </c>
      <c r="B86">
        <f>+bma!B86/data!$K86</f>
        <v>2.69973248810511E-3</v>
      </c>
      <c r="C86">
        <f>+bma!C86/data!$K86</f>
        <v>0</v>
      </c>
      <c r="D86">
        <f>+bma!D86/data!$K86</f>
        <v>6.25E-2</v>
      </c>
      <c r="E86">
        <f>+bma!E86/data!$K86</f>
        <v>0</v>
      </c>
      <c r="F86">
        <f>+bma!F86/data!$K86</f>
        <v>0</v>
      </c>
      <c r="G86">
        <f>+bma!G86/data!$K86</f>
        <v>0</v>
      </c>
      <c r="H86">
        <f>+bma!H86/data!$K86</f>
        <v>0</v>
      </c>
      <c r="I86">
        <f>+bma!I86/data!$K86</f>
        <v>0</v>
      </c>
      <c r="J86">
        <f>+bma!L86/data!$K86</f>
        <v>0</v>
      </c>
      <c r="K86">
        <f>+bma!M86/data!$K86</f>
        <v>0</v>
      </c>
      <c r="L86">
        <f>+bma!J86/data!$K86</f>
        <v>0</v>
      </c>
      <c r="M86">
        <f>+bma!K86/data!$K86</f>
        <v>0</v>
      </c>
      <c r="N86">
        <f>+bma!N86/data!$K86</f>
        <v>0</v>
      </c>
      <c r="O86">
        <f>+bma!O86/data!$K86</f>
        <v>6.25E-2</v>
      </c>
      <c r="P86">
        <f>+bma!P86/data!$K86</f>
        <v>6.25E-2</v>
      </c>
      <c r="Q86">
        <f>+bma!Q86/data!$K86</f>
        <v>0.47508762500000001</v>
      </c>
      <c r="R86">
        <f>+bma!R86/data!$K86</f>
        <v>6.8663249999999995E-2</v>
      </c>
      <c r="S86">
        <f>+bma!S86/data!$K86</f>
        <v>0</v>
      </c>
    </row>
    <row r="87" spans="1:19" x14ac:dyDescent="0.25">
      <c r="A87">
        <f>+bma!A87/data!$K87</f>
        <v>-4.1250995624965833E-3</v>
      </c>
      <c r="B87">
        <f>+bma!B87/data!$K87</f>
        <v>1.132949879840611E-3</v>
      </c>
      <c r="C87">
        <f>+bma!C87/data!$K87</f>
        <v>0</v>
      </c>
      <c r="D87">
        <f>+bma!D87/data!$K87</f>
        <v>0</v>
      </c>
      <c r="E87">
        <f>+bma!E87/data!$K87</f>
        <v>0</v>
      </c>
      <c r="F87">
        <f>+bma!F87/data!$K87</f>
        <v>0</v>
      </c>
      <c r="G87">
        <f>+bma!G87/data!$K87</f>
        <v>0</v>
      </c>
      <c r="H87">
        <f>+bma!H87/data!$K87</f>
        <v>0</v>
      </c>
      <c r="I87">
        <f>+bma!I87/data!$K87</f>
        <v>0</v>
      </c>
      <c r="J87">
        <f>+bma!L87/data!$K87</f>
        <v>0</v>
      </c>
      <c r="K87">
        <f>+bma!M87/data!$K87</f>
        <v>0</v>
      </c>
      <c r="L87">
        <f>+bma!J87/data!$K87</f>
        <v>0</v>
      </c>
      <c r="M87">
        <f>+bma!K87/data!$K87</f>
        <v>0</v>
      </c>
      <c r="N87">
        <f>+bma!N87/data!$K87</f>
        <v>6.25E-2</v>
      </c>
      <c r="O87">
        <f>+bma!O87/data!$K87</f>
        <v>0</v>
      </c>
      <c r="P87">
        <f>+bma!P87/data!$K87</f>
        <v>6.25E-2</v>
      </c>
      <c r="Q87">
        <f>+bma!Q87/data!$K87</f>
        <v>0.47508762500000001</v>
      </c>
      <c r="R87">
        <f>+bma!R87/data!$K87</f>
        <v>6.8663249999999995E-2</v>
      </c>
      <c r="S87">
        <f>+bma!S87/data!$K87</f>
        <v>0</v>
      </c>
    </row>
    <row r="88" spans="1:19" x14ac:dyDescent="0.25">
      <c r="A88">
        <f>+bma!A88/data!$K88</f>
        <v>-2.3812391317642673E-3</v>
      </c>
      <c r="B88">
        <f>+bma!B88/data!$K88</f>
        <v>1.2924719771227882E-3</v>
      </c>
      <c r="C88">
        <f>+bma!C88/data!$K88</f>
        <v>0</v>
      </c>
      <c r="D88">
        <f>+bma!D88/data!$K88</f>
        <v>0</v>
      </c>
      <c r="E88">
        <f>+bma!E88/data!$K88</f>
        <v>0</v>
      </c>
      <c r="F88">
        <f>+bma!F88/data!$K88</f>
        <v>0</v>
      </c>
      <c r="G88">
        <f>+bma!G88/data!$K88</f>
        <v>0</v>
      </c>
      <c r="H88">
        <f>+bma!H88/data!$K88</f>
        <v>0</v>
      </c>
      <c r="I88">
        <f>+bma!I88/data!$K88</f>
        <v>0</v>
      </c>
      <c r="J88">
        <f>+bma!L88/data!$K88</f>
        <v>0</v>
      </c>
      <c r="K88">
        <f>+bma!M88/data!$K88</f>
        <v>0</v>
      </c>
      <c r="L88">
        <f>+bma!J88/data!$K88</f>
        <v>0</v>
      </c>
      <c r="M88">
        <f>+bma!K88/data!$K88</f>
        <v>0</v>
      </c>
      <c r="N88">
        <f>+bma!N88/data!$K88</f>
        <v>0</v>
      </c>
      <c r="O88">
        <f>+bma!O88/data!$K88</f>
        <v>6.25E-2</v>
      </c>
      <c r="P88">
        <f>+bma!P88/data!$K88</f>
        <v>6.25E-2</v>
      </c>
      <c r="Q88">
        <f>+bma!Q88/data!$K88</f>
        <v>0.47508762500000001</v>
      </c>
      <c r="R88">
        <f>+bma!R88/data!$K88</f>
        <v>6.8663249999999995E-2</v>
      </c>
      <c r="S88">
        <f>+bma!S88/data!$K88</f>
        <v>0</v>
      </c>
    </row>
    <row r="89" spans="1:19" x14ac:dyDescent="0.25">
      <c r="A89">
        <f>+bma!A89/data!$K89</f>
        <v>-6.5359804433752595E-3</v>
      </c>
      <c r="B89">
        <f>+bma!B89/data!$K89</f>
        <v>3.7079941338887096E-3</v>
      </c>
      <c r="C89">
        <f>+bma!C89/data!$K89</f>
        <v>0</v>
      </c>
      <c r="D89">
        <f>+bma!D89/data!$K89</f>
        <v>0</v>
      </c>
      <c r="E89">
        <f>+bma!E89/data!$K89</f>
        <v>0</v>
      </c>
      <c r="F89">
        <f>+bma!F89/data!$K89</f>
        <v>0</v>
      </c>
      <c r="G89">
        <f>+bma!G89/data!$K89</f>
        <v>0</v>
      </c>
      <c r="H89">
        <f>+bma!H89/data!$K89</f>
        <v>0</v>
      </c>
      <c r="I89">
        <f>+bma!I89/data!$K89</f>
        <v>0</v>
      </c>
      <c r="J89">
        <f>+bma!L89/data!$K89</f>
        <v>0</v>
      </c>
      <c r="K89">
        <f>+bma!M89/data!$K89</f>
        <v>0</v>
      </c>
      <c r="L89">
        <f>+bma!J89/data!$K89</f>
        <v>0</v>
      </c>
      <c r="M89">
        <f>+bma!K89/data!$K89</f>
        <v>0</v>
      </c>
      <c r="N89">
        <f>+bma!N89/data!$K89</f>
        <v>6.25E-2</v>
      </c>
      <c r="O89">
        <f>+bma!O89/data!$K89</f>
        <v>0</v>
      </c>
      <c r="P89">
        <f>+bma!P89/data!$K89</f>
        <v>6.25E-2</v>
      </c>
      <c r="Q89">
        <f>+bma!Q89/data!$K89</f>
        <v>0.47508762500000001</v>
      </c>
      <c r="R89">
        <f>+bma!R89/data!$K89</f>
        <v>6.8663249999999995E-2</v>
      </c>
      <c r="S89">
        <f>+bma!S89/data!$K89</f>
        <v>0</v>
      </c>
    </row>
    <row r="90" spans="1:19" x14ac:dyDescent="0.25">
      <c r="A90">
        <f>+bma!A90/data!$K90</f>
        <v>-1.3539299838112426E-3</v>
      </c>
      <c r="B90">
        <f>+bma!B90/data!$K90</f>
        <v>1.7780526293424753E-3</v>
      </c>
      <c r="C90">
        <f>+bma!C90/data!$K90</f>
        <v>0</v>
      </c>
      <c r="D90">
        <f>+bma!D90/data!$K90</f>
        <v>0</v>
      </c>
      <c r="E90">
        <f>+bma!E90/data!$K90</f>
        <v>0</v>
      </c>
      <c r="F90">
        <f>+bma!F90/data!$K90</f>
        <v>0</v>
      </c>
      <c r="G90">
        <f>+bma!G90/data!$K90</f>
        <v>0</v>
      </c>
      <c r="H90">
        <f>+bma!H90/data!$K90</f>
        <v>0</v>
      </c>
      <c r="I90">
        <f>+bma!I90/data!$K90</f>
        <v>0</v>
      </c>
      <c r="J90">
        <f>+bma!L90/data!$K90</f>
        <v>0</v>
      </c>
      <c r="K90">
        <f>+bma!M90/data!$K90</f>
        <v>0</v>
      </c>
      <c r="L90">
        <f>+bma!J90/data!$K90</f>
        <v>0</v>
      </c>
      <c r="M90">
        <f>+bma!K90/data!$K90</f>
        <v>0</v>
      </c>
      <c r="N90">
        <f>+bma!N90/data!$K90</f>
        <v>6.25E-2</v>
      </c>
      <c r="O90">
        <f>+bma!O90/data!$K90</f>
        <v>0</v>
      </c>
      <c r="P90">
        <f>+bma!P90/data!$K90</f>
        <v>6.25E-2</v>
      </c>
      <c r="Q90">
        <f>+bma!Q90/data!$K90</f>
        <v>0.47508762500000001</v>
      </c>
      <c r="R90">
        <f>+bma!R90/data!$K90</f>
        <v>6.8663249999999995E-2</v>
      </c>
      <c r="S90">
        <f>+bma!S90/data!$K90</f>
        <v>0</v>
      </c>
    </row>
    <row r="91" spans="1:19" x14ac:dyDescent="0.25">
      <c r="A91">
        <f>+bma!A91/data!$K91</f>
        <v>-4.2199807750011864E-3</v>
      </c>
      <c r="B91">
        <f>+bma!B91/data!$K91</f>
        <v>1.6089881037104981E-3</v>
      </c>
      <c r="C91">
        <f>+bma!C91/data!$K91</f>
        <v>0</v>
      </c>
      <c r="D91">
        <f>+bma!D91/data!$K91</f>
        <v>0</v>
      </c>
      <c r="E91">
        <f>+bma!E91/data!$K91</f>
        <v>0</v>
      </c>
      <c r="F91">
        <f>+bma!F91/data!$K91</f>
        <v>0</v>
      </c>
      <c r="G91">
        <f>+bma!G91/data!$K91</f>
        <v>0</v>
      </c>
      <c r="H91">
        <f>+bma!H91/data!$K91</f>
        <v>0</v>
      </c>
      <c r="I91">
        <f>+bma!I91/data!$K91</f>
        <v>0</v>
      </c>
      <c r="J91">
        <f>+bma!L91/data!$K91</f>
        <v>0</v>
      </c>
      <c r="K91">
        <f>+bma!M91/data!$K91</f>
        <v>0</v>
      </c>
      <c r="L91">
        <f>+bma!J91/data!$K91</f>
        <v>0</v>
      </c>
      <c r="M91">
        <f>+bma!K91/data!$K91</f>
        <v>0</v>
      </c>
      <c r="N91">
        <f>+bma!N91/data!$K91</f>
        <v>6.25E-2</v>
      </c>
      <c r="O91">
        <f>+bma!O91/data!$K91</f>
        <v>0</v>
      </c>
      <c r="P91">
        <f>+bma!P91/data!$K91</f>
        <v>6.25E-2</v>
      </c>
      <c r="Q91">
        <f>+bma!Q91/data!$K91</f>
        <v>0.47508762500000001</v>
      </c>
      <c r="R91">
        <f>+bma!R91/data!$K91</f>
        <v>6.8663249999999995E-2</v>
      </c>
      <c r="S91">
        <f>+bma!S91/data!$K91</f>
        <v>0</v>
      </c>
    </row>
    <row r="92" spans="1:19" x14ac:dyDescent="0.25">
      <c r="A92">
        <f>+bma!A92/data!$K92</f>
        <v>-3.2302572525479377E-3</v>
      </c>
      <c r="B92">
        <f>+bma!B92/data!$K92</f>
        <v>2.5148311496346358E-3</v>
      </c>
      <c r="C92">
        <f>+bma!C92/data!$K92</f>
        <v>0</v>
      </c>
      <c r="D92">
        <f>+bma!D92/data!$K92</f>
        <v>0</v>
      </c>
      <c r="E92">
        <f>+bma!E92/data!$K92</f>
        <v>0</v>
      </c>
      <c r="F92">
        <f>+bma!F92/data!$K92</f>
        <v>0</v>
      </c>
      <c r="G92">
        <f>+bma!G92/data!$K92</f>
        <v>0</v>
      </c>
      <c r="H92">
        <f>+bma!H92/data!$K92</f>
        <v>0</v>
      </c>
      <c r="I92">
        <f>+bma!I92/data!$K92</f>
        <v>0</v>
      </c>
      <c r="J92">
        <f>+bma!L92/data!$K92</f>
        <v>0</v>
      </c>
      <c r="K92">
        <f>+bma!M92/data!$K92</f>
        <v>0</v>
      </c>
      <c r="L92">
        <f>+bma!J92/data!$K92</f>
        <v>0</v>
      </c>
      <c r="M92">
        <f>+bma!K92/data!$K92</f>
        <v>0</v>
      </c>
      <c r="N92">
        <f>+bma!N92/data!$K92</f>
        <v>0</v>
      </c>
      <c r="O92">
        <f>+bma!O92/data!$K92</f>
        <v>6.25E-2</v>
      </c>
      <c r="P92">
        <f>+bma!P92/data!$K92</f>
        <v>6.25E-2</v>
      </c>
      <c r="Q92">
        <f>+bma!Q92/data!$K92</f>
        <v>0.47508762500000001</v>
      </c>
      <c r="R92">
        <f>+bma!R92/data!$K92</f>
        <v>6.8663249999999995E-2</v>
      </c>
      <c r="S92">
        <f>+bma!S92/data!$K92</f>
        <v>0</v>
      </c>
    </row>
    <row r="93" spans="1:19" x14ac:dyDescent="0.25">
      <c r="A93">
        <f>+bma!A93/data!$K93</f>
        <v>-3.7306608104444184E-3</v>
      </c>
      <c r="B93">
        <f>+bma!B93/data!$K93</f>
        <v>1.820836285464615E-3</v>
      </c>
      <c r="C93">
        <f>+bma!C93/data!$K93</f>
        <v>0</v>
      </c>
      <c r="D93">
        <f>+bma!D93/data!$K93</f>
        <v>0</v>
      </c>
      <c r="E93">
        <f>+bma!E93/data!$K93</f>
        <v>0</v>
      </c>
      <c r="F93">
        <f>+bma!F93/data!$K93</f>
        <v>0</v>
      </c>
      <c r="G93">
        <f>+bma!G93/data!$K93</f>
        <v>0</v>
      </c>
      <c r="H93">
        <f>+bma!H93/data!$K93</f>
        <v>0</v>
      </c>
      <c r="I93">
        <f>+bma!I93/data!$K93</f>
        <v>0</v>
      </c>
      <c r="J93">
        <f>+bma!L93/data!$K93</f>
        <v>0</v>
      </c>
      <c r="K93">
        <f>+bma!M93/data!$K93</f>
        <v>0</v>
      </c>
      <c r="L93">
        <f>+bma!J93/data!$K93</f>
        <v>0</v>
      </c>
      <c r="M93">
        <f>+bma!K93/data!$K93</f>
        <v>0</v>
      </c>
      <c r="N93">
        <f>+bma!N93/data!$K93</f>
        <v>0</v>
      </c>
      <c r="O93">
        <f>+bma!O93/data!$K93</f>
        <v>6.25E-2</v>
      </c>
      <c r="P93">
        <f>+bma!P93/data!$K93</f>
        <v>6.25E-2</v>
      </c>
      <c r="Q93">
        <f>+bma!Q93/data!$K93</f>
        <v>0.47508762500000001</v>
      </c>
      <c r="R93">
        <f>+bma!R93/data!$K93</f>
        <v>6.8663249999999995E-2</v>
      </c>
      <c r="S93">
        <f>+bma!S93/data!$K93</f>
        <v>0</v>
      </c>
    </row>
    <row r="94" spans="1:19" x14ac:dyDescent="0.25">
      <c r="A94">
        <f>+bma!A94/data!$K94</f>
        <v>3.0886878300817391E-3</v>
      </c>
      <c r="B94">
        <f>+bma!B94/data!$K94</f>
        <v>2.7038677069895884E-3</v>
      </c>
      <c r="C94">
        <f>+bma!C94/data!$K94</f>
        <v>0</v>
      </c>
      <c r="D94">
        <f>+bma!D94/data!$K94</f>
        <v>0</v>
      </c>
      <c r="E94">
        <f>+bma!E94/data!$K94</f>
        <v>0</v>
      </c>
      <c r="F94">
        <f>+bma!F94/data!$K94</f>
        <v>0</v>
      </c>
      <c r="G94">
        <f>+bma!G94/data!$K94</f>
        <v>0</v>
      </c>
      <c r="H94">
        <f>+bma!H94/data!$K94</f>
        <v>0</v>
      </c>
      <c r="I94">
        <f>+bma!I94/data!$K94</f>
        <v>0</v>
      </c>
      <c r="J94">
        <f>+bma!L94/data!$K94</f>
        <v>0</v>
      </c>
      <c r="K94">
        <f>+bma!M94/data!$K94</f>
        <v>0</v>
      </c>
      <c r="L94">
        <f>+bma!J94/data!$K94</f>
        <v>0</v>
      </c>
      <c r="M94">
        <f>+bma!K94/data!$K94</f>
        <v>0</v>
      </c>
      <c r="N94">
        <f>+bma!N94/data!$K94</f>
        <v>0</v>
      </c>
      <c r="O94">
        <f>+bma!O94/data!$K94</f>
        <v>6.25E-2</v>
      </c>
      <c r="P94">
        <f>+bma!P94/data!$K94</f>
        <v>6.25E-2</v>
      </c>
      <c r="Q94">
        <f>+bma!Q94/data!$K94</f>
        <v>0.47508762500000001</v>
      </c>
      <c r="R94">
        <f>+bma!R94/data!$K94</f>
        <v>6.8663249999999995E-2</v>
      </c>
      <c r="S94">
        <f>+bma!S94/data!$K94</f>
        <v>0</v>
      </c>
    </row>
    <row r="95" spans="1:19" x14ac:dyDescent="0.25">
      <c r="A95">
        <f>+bma!A95/data!$K95</f>
        <v>-6.7127318706506123E-2</v>
      </c>
      <c r="B95">
        <f>+bma!B95/data!$K95</f>
        <v>2.7398905594492293E-2</v>
      </c>
      <c r="C95">
        <f>+bma!C95/data!$K95</f>
        <v>0</v>
      </c>
      <c r="D95">
        <f>+bma!D95/data!$K95</f>
        <v>0.16666666666666666</v>
      </c>
      <c r="E95">
        <f>+bma!E95/data!$K95</f>
        <v>0</v>
      </c>
      <c r="F95">
        <f>+bma!F95/data!$K95</f>
        <v>0</v>
      </c>
      <c r="G95">
        <f>+bma!G95/data!$K95</f>
        <v>0.16666666666666666</v>
      </c>
      <c r="H95">
        <f>+bma!H95/data!$K95</f>
        <v>0</v>
      </c>
      <c r="I95">
        <f>+bma!I95/data!$K95</f>
        <v>0.16666666666666666</v>
      </c>
      <c r="J95">
        <f>+bma!L95/data!$K95</f>
        <v>0</v>
      </c>
      <c r="K95">
        <f>+bma!M95/data!$K95</f>
        <v>0.16666666666666666</v>
      </c>
      <c r="L95">
        <f>+bma!J95/data!$K95</f>
        <v>0</v>
      </c>
      <c r="M95">
        <f>+bma!K95/data!$K95</f>
        <v>0</v>
      </c>
      <c r="N95">
        <f>+bma!N95/data!$K95</f>
        <v>0</v>
      </c>
      <c r="O95">
        <f>+bma!O95/data!$K95</f>
        <v>0</v>
      </c>
      <c r="P95">
        <f>+bma!P95/data!$K95</f>
        <v>0.16666666666666666</v>
      </c>
      <c r="Q95">
        <f>+bma!Q95/data!$K95</f>
        <v>1.2656463333333334</v>
      </c>
      <c r="R95">
        <f>+bma!R95/data!$K95</f>
        <v>0.48172866666666669</v>
      </c>
      <c r="S95">
        <f>+bma!S95/data!$K95</f>
        <v>0.16666666666666666</v>
      </c>
    </row>
    <row r="96" spans="1:19" x14ac:dyDescent="0.25">
      <c r="A96">
        <f>+bma!A96/data!$K96</f>
        <v>-2.8244413641255933E-2</v>
      </c>
      <c r="B96">
        <f>+bma!B96/data!$K96</f>
        <v>3.6728756360540855E-2</v>
      </c>
      <c r="C96">
        <f>+bma!C96/data!$K96</f>
        <v>0</v>
      </c>
      <c r="D96">
        <f>+bma!D96/data!$K96</f>
        <v>0.16666666666666666</v>
      </c>
      <c r="E96">
        <f>+bma!E96/data!$K96</f>
        <v>0</v>
      </c>
      <c r="F96">
        <f>+bma!F96/data!$K96</f>
        <v>0</v>
      </c>
      <c r="G96">
        <f>+bma!G96/data!$K96</f>
        <v>0.16666666666666666</v>
      </c>
      <c r="H96">
        <f>+bma!H96/data!$K96</f>
        <v>0.16666666666666666</v>
      </c>
      <c r="I96">
        <f>+bma!I96/data!$K96</f>
        <v>0.16666666666666666</v>
      </c>
      <c r="J96">
        <f>+bma!L96/data!$K96</f>
        <v>0</v>
      </c>
      <c r="K96">
        <f>+bma!M96/data!$K96</f>
        <v>0.16666666666666666</v>
      </c>
      <c r="L96">
        <f>+bma!J96/data!$K96</f>
        <v>0</v>
      </c>
      <c r="M96">
        <f>+bma!K96/data!$K96</f>
        <v>0</v>
      </c>
      <c r="N96">
        <f>+bma!N96/data!$K96</f>
        <v>0</v>
      </c>
      <c r="O96">
        <f>+bma!O96/data!$K96</f>
        <v>0</v>
      </c>
      <c r="P96">
        <f>+bma!P96/data!$K96</f>
        <v>0.16666666666666666</v>
      </c>
      <c r="Q96">
        <f>+bma!Q96/data!$K96</f>
        <v>1.2656463333333334</v>
      </c>
      <c r="R96">
        <f>+bma!R96/data!$K96</f>
        <v>0.48172866666666669</v>
      </c>
      <c r="S96">
        <f>+bma!S96/data!$K96</f>
        <v>0.16666666666666666</v>
      </c>
    </row>
    <row r="97" spans="1:19" x14ac:dyDescent="0.25">
      <c r="A97">
        <f>+bma!A97/data!$K97</f>
        <v>-7.3807220870943699E-2</v>
      </c>
      <c r="B97">
        <f>+bma!B97/data!$K97</f>
        <v>2.6838989407615806E-2</v>
      </c>
      <c r="C97">
        <f>+bma!C97/data!$K97</f>
        <v>0</v>
      </c>
      <c r="D97">
        <f>+bma!D97/data!$K97</f>
        <v>0.16666666666666666</v>
      </c>
      <c r="E97">
        <f>+bma!E97/data!$K97</f>
        <v>0</v>
      </c>
      <c r="F97">
        <f>+bma!F97/data!$K97</f>
        <v>0</v>
      </c>
      <c r="G97">
        <f>+bma!G97/data!$K97</f>
        <v>0.16666666666666666</v>
      </c>
      <c r="H97">
        <f>+bma!H97/data!$K97</f>
        <v>0</v>
      </c>
      <c r="I97">
        <f>+bma!I97/data!$K97</f>
        <v>0.16666666666666666</v>
      </c>
      <c r="J97">
        <f>+bma!L97/data!$K97</f>
        <v>0</v>
      </c>
      <c r="K97">
        <f>+bma!M97/data!$K97</f>
        <v>0.16666666666666666</v>
      </c>
      <c r="L97">
        <f>+bma!J97/data!$K97</f>
        <v>0</v>
      </c>
      <c r="M97">
        <f>+bma!K97/data!$K97</f>
        <v>0</v>
      </c>
      <c r="N97">
        <f>+bma!N97/data!$K97</f>
        <v>0</v>
      </c>
      <c r="O97">
        <f>+bma!O97/data!$K97</f>
        <v>0</v>
      </c>
      <c r="P97">
        <f>+bma!P97/data!$K97</f>
        <v>0.16666666666666666</v>
      </c>
      <c r="Q97">
        <f>+bma!Q97/data!$K97</f>
        <v>1.2656463333333334</v>
      </c>
      <c r="R97">
        <f>+bma!R97/data!$K97</f>
        <v>0.48172866666666669</v>
      </c>
      <c r="S97">
        <f>+bma!S97/data!$K97</f>
        <v>0.16666666666666666</v>
      </c>
    </row>
    <row r="98" spans="1:19" x14ac:dyDescent="0.25">
      <c r="A98">
        <f>+bma!A98/data!$K98</f>
        <v>9.1579759159358023E-2</v>
      </c>
      <c r="B98">
        <f>+bma!B98/data!$K98</f>
        <v>2.6316022746941888E-2</v>
      </c>
      <c r="C98">
        <f>+bma!C98/data!$K98</f>
        <v>0</v>
      </c>
      <c r="D98">
        <f>+bma!D98/data!$K98</f>
        <v>0.16666666666666666</v>
      </c>
      <c r="E98">
        <f>+bma!E98/data!$K98</f>
        <v>0</v>
      </c>
      <c r="F98">
        <f>+bma!F98/data!$K98</f>
        <v>0</v>
      </c>
      <c r="G98">
        <f>+bma!G98/data!$K98</f>
        <v>0.16666666666666666</v>
      </c>
      <c r="H98">
        <f>+bma!H98/data!$K98</f>
        <v>0</v>
      </c>
      <c r="I98">
        <f>+bma!I98/data!$K98</f>
        <v>0.16666666666666666</v>
      </c>
      <c r="J98">
        <f>+bma!L98/data!$K98</f>
        <v>0</v>
      </c>
      <c r="K98">
        <f>+bma!M98/data!$K98</f>
        <v>0.16666666666666666</v>
      </c>
      <c r="L98">
        <f>+bma!J98/data!$K98</f>
        <v>0</v>
      </c>
      <c r="M98">
        <f>+bma!K98/data!$K98</f>
        <v>0</v>
      </c>
      <c r="N98">
        <f>+bma!N98/data!$K98</f>
        <v>0</v>
      </c>
      <c r="O98">
        <f>+bma!O98/data!$K98</f>
        <v>0</v>
      </c>
      <c r="P98">
        <f>+bma!P98/data!$K98</f>
        <v>0.16666666666666666</v>
      </c>
      <c r="Q98">
        <f>+bma!Q98/data!$K98</f>
        <v>1.2656463333333334</v>
      </c>
      <c r="R98">
        <f>+bma!R98/data!$K98</f>
        <v>0.48172866666666669</v>
      </c>
      <c r="S98">
        <f>+bma!S98/data!$K98</f>
        <v>0.16666666666666666</v>
      </c>
    </row>
    <row r="99" spans="1:19" x14ac:dyDescent="0.25">
      <c r="A99">
        <f>+bma!A99/data!$K99</f>
        <v>9.106733868662599E-2</v>
      </c>
      <c r="B99">
        <f>+bma!B99/data!$K99</f>
        <v>2.686352173646768E-2</v>
      </c>
      <c r="C99">
        <f>+bma!C99/data!$K99</f>
        <v>0</v>
      </c>
      <c r="D99">
        <f>+bma!D99/data!$K99</f>
        <v>0.16666666666666666</v>
      </c>
      <c r="E99">
        <f>+bma!E99/data!$K99</f>
        <v>0</v>
      </c>
      <c r="F99">
        <f>+bma!F99/data!$K99</f>
        <v>0</v>
      </c>
      <c r="G99">
        <f>+bma!G99/data!$K99</f>
        <v>0.16666666666666666</v>
      </c>
      <c r="H99">
        <f>+bma!H99/data!$K99</f>
        <v>0</v>
      </c>
      <c r="I99">
        <f>+bma!I99/data!$K99</f>
        <v>0.16666666666666666</v>
      </c>
      <c r="J99">
        <f>+bma!L99/data!$K99</f>
        <v>0</v>
      </c>
      <c r="K99">
        <f>+bma!M99/data!$K99</f>
        <v>0.16666666666666666</v>
      </c>
      <c r="L99">
        <f>+bma!J99/data!$K99</f>
        <v>0</v>
      </c>
      <c r="M99">
        <f>+bma!K99/data!$K99</f>
        <v>0</v>
      </c>
      <c r="N99">
        <f>+bma!N99/data!$K99</f>
        <v>0</v>
      </c>
      <c r="O99">
        <f>+bma!O99/data!$K99</f>
        <v>0</v>
      </c>
      <c r="P99">
        <f>+bma!P99/data!$K99</f>
        <v>0.16666666666666666</v>
      </c>
      <c r="Q99">
        <f>+bma!Q99/data!$K99</f>
        <v>1.2656463333333334</v>
      </c>
      <c r="R99">
        <f>+bma!R99/data!$K99</f>
        <v>0.48172866666666669</v>
      </c>
      <c r="S99">
        <f>+bma!S99/data!$K99</f>
        <v>0.16666666666666666</v>
      </c>
    </row>
    <row r="100" spans="1:19" x14ac:dyDescent="0.25">
      <c r="A100">
        <f>+bma!A100/data!$K100</f>
        <v>-9.1188821146751808E-2</v>
      </c>
      <c r="B100">
        <f>+bma!B100/data!$K100</f>
        <v>2.5905915098508966E-2</v>
      </c>
      <c r="C100">
        <f>+bma!C100/data!$K100</f>
        <v>0</v>
      </c>
      <c r="D100">
        <f>+bma!D100/data!$K100</f>
        <v>0.16666666666666666</v>
      </c>
      <c r="E100">
        <f>+bma!E100/data!$K100</f>
        <v>0</v>
      </c>
      <c r="F100">
        <f>+bma!F100/data!$K100</f>
        <v>0</v>
      </c>
      <c r="G100">
        <f>+bma!G100/data!$K100</f>
        <v>0.16666666666666666</v>
      </c>
      <c r="H100">
        <f>+bma!H100/data!$K100</f>
        <v>0</v>
      </c>
      <c r="I100">
        <f>+bma!I100/data!$K100</f>
        <v>0.16666666666666666</v>
      </c>
      <c r="J100">
        <f>+bma!L100/data!$K100</f>
        <v>0</v>
      </c>
      <c r="K100">
        <f>+bma!M100/data!$K100</f>
        <v>0.16666666666666666</v>
      </c>
      <c r="L100">
        <f>+bma!J100/data!$K100</f>
        <v>0</v>
      </c>
      <c r="M100">
        <f>+bma!K100/data!$K100</f>
        <v>0</v>
      </c>
      <c r="N100">
        <f>+bma!N100/data!$K100</f>
        <v>0</v>
      </c>
      <c r="O100">
        <f>+bma!O100/data!$K100</f>
        <v>0</v>
      </c>
      <c r="P100">
        <f>+bma!P100/data!$K100</f>
        <v>0.16666666666666666</v>
      </c>
      <c r="Q100">
        <f>+bma!Q100/data!$K100</f>
        <v>1.2656463333333334</v>
      </c>
      <c r="R100">
        <f>+bma!R100/data!$K100</f>
        <v>0.48172866666666669</v>
      </c>
      <c r="S100">
        <f>+bma!S100/data!$K100</f>
        <v>0.16666666666666666</v>
      </c>
    </row>
    <row r="101" spans="1:19" x14ac:dyDescent="0.25">
      <c r="A101">
        <f>+bma!A101/data!$K101</f>
        <v>-1.5891821265962686E-3</v>
      </c>
      <c r="B101">
        <f>+bma!B101/data!$K101</f>
        <v>4.8999782236718277E-3</v>
      </c>
      <c r="C101">
        <f>+bma!C101/data!$K101</f>
        <v>0</v>
      </c>
      <c r="D101">
        <f>+bma!D101/data!$K101</f>
        <v>0.25</v>
      </c>
      <c r="E101">
        <f>+bma!E101/data!$K101</f>
        <v>0.25</v>
      </c>
      <c r="F101">
        <f>+bma!F101/data!$K101</f>
        <v>0</v>
      </c>
      <c r="G101">
        <f>+bma!G101/data!$K101</f>
        <v>0.25</v>
      </c>
      <c r="H101">
        <f>+bma!H101/data!$K101</f>
        <v>0</v>
      </c>
      <c r="I101">
        <f>+bma!I101/data!$K101</f>
        <v>0</v>
      </c>
      <c r="J101">
        <f>+bma!L101/data!$K101</f>
        <v>0</v>
      </c>
      <c r="K101">
        <f>+bma!M101/data!$K101</f>
        <v>0.25</v>
      </c>
      <c r="L101">
        <f>+bma!J101/data!$K101</f>
        <v>0</v>
      </c>
      <c r="M101">
        <f>+bma!K101/data!$K101</f>
        <v>0</v>
      </c>
      <c r="N101">
        <f>+bma!N101/data!$K101</f>
        <v>0</v>
      </c>
      <c r="O101">
        <f>+bma!O101/data!$K101</f>
        <v>0.25</v>
      </c>
      <c r="P101">
        <f>+bma!P101/data!$K101</f>
        <v>0</v>
      </c>
      <c r="Q101">
        <f>+bma!Q101/data!$K101</f>
        <v>1.901348</v>
      </c>
      <c r="R101">
        <f>+bma!R101/data!$K101</f>
        <v>0.98295650000000001</v>
      </c>
      <c r="S101">
        <f>+bma!S101/data!$K101</f>
        <v>0.25</v>
      </c>
    </row>
    <row r="102" spans="1:19" x14ac:dyDescent="0.25">
      <c r="A102">
        <f>+bma!A102/data!$K102</f>
        <v>-1.4854164410994923E-3</v>
      </c>
      <c r="B102">
        <f>+bma!B102/data!$K102</f>
        <v>4.9018742556283246E-3</v>
      </c>
      <c r="C102">
        <f>+bma!C102/data!$K102</f>
        <v>0</v>
      </c>
      <c r="D102">
        <f>+bma!D102/data!$K102</f>
        <v>0.25</v>
      </c>
      <c r="E102">
        <f>+bma!E102/data!$K102</f>
        <v>0.25</v>
      </c>
      <c r="F102">
        <f>+bma!F102/data!$K102</f>
        <v>0</v>
      </c>
      <c r="G102">
        <f>+bma!G102/data!$K102</f>
        <v>0.25</v>
      </c>
      <c r="H102">
        <f>+bma!H102/data!$K102</f>
        <v>0</v>
      </c>
      <c r="I102">
        <f>+bma!I102/data!$K102</f>
        <v>0</v>
      </c>
      <c r="J102">
        <f>+bma!L102/data!$K102</f>
        <v>0</v>
      </c>
      <c r="K102">
        <f>+bma!M102/data!$K102</f>
        <v>0.25</v>
      </c>
      <c r="L102">
        <f>+bma!J102/data!$K102</f>
        <v>0</v>
      </c>
      <c r="M102">
        <f>+bma!K102/data!$K102</f>
        <v>0</v>
      </c>
      <c r="N102">
        <f>+bma!N102/data!$K102</f>
        <v>0</v>
      </c>
      <c r="O102">
        <f>+bma!O102/data!$K102</f>
        <v>0.25</v>
      </c>
      <c r="P102">
        <f>+bma!P102/data!$K102</f>
        <v>0</v>
      </c>
      <c r="Q102">
        <f>+bma!Q102/data!$K102</f>
        <v>1.901348</v>
      </c>
      <c r="R102">
        <f>+bma!R102/data!$K102</f>
        <v>0.98295650000000001</v>
      </c>
      <c r="S102">
        <f>+bma!S102/data!$K102</f>
        <v>0.25</v>
      </c>
    </row>
    <row r="103" spans="1:19" x14ac:dyDescent="0.25">
      <c r="A103">
        <f>+bma!A103/data!$K103</f>
        <v>-1.3857835105200594E-3</v>
      </c>
      <c r="B103">
        <f>+bma!B103/data!$K103</f>
        <v>4.9132324463893014E-3</v>
      </c>
      <c r="C103">
        <f>+bma!C103/data!$K103</f>
        <v>0</v>
      </c>
      <c r="D103">
        <f>+bma!D103/data!$K103</f>
        <v>0.25</v>
      </c>
      <c r="E103">
        <f>+bma!E103/data!$K103</f>
        <v>0.25</v>
      </c>
      <c r="F103">
        <f>+bma!F103/data!$K103</f>
        <v>0</v>
      </c>
      <c r="G103">
        <f>+bma!G103/data!$K103</f>
        <v>0.25</v>
      </c>
      <c r="H103">
        <f>+bma!H103/data!$K103</f>
        <v>0</v>
      </c>
      <c r="I103">
        <f>+bma!I103/data!$K103</f>
        <v>0</v>
      </c>
      <c r="J103">
        <f>+bma!L103/data!$K103</f>
        <v>0</v>
      </c>
      <c r="K103">
        <f>+bma!M103/data!$K103</f>
        <v>0.25</v>
      </c>
      <c r="L103">
        <f>+bma!J103/data!$K103</f>
        <v>0</v>
      </c>
      <c r="M103">
        <f>+bma!K103/data!$K103</f>
        <v>0</v>
      </c>
      <c r="N103">
        <f>+bma!N103/data!$K103</f>
        <v>0</v>
      </c>
      <c r="O103">
        <f>+bma!O103/data!$K103</f>
        <v>0.25</v>
      </c>
      <c r="P103">
        <f>+bma!P103/data!$K103</f>
        <v>0</v>
      </c>
      <c r="Q103">
        <f>+bma!Q103/data!$K103</f>
        <v>1.901348</v>
      </c>
      <c r="R103">
        <f>+bma!R103/data!$K103</f>
        <v>0.98295650000000001</v>
      </c>
      <c r="S103">
        <f>+bma!S103/data!$K103</f>
        <v>0.25</v>
      </c>
    </row>
    <row r="104" spans="1:19" x14ac:dyDescent="0.25">
      <c r="A104">
        <f>+bma!A104/data!$K104</f>
        <v>-5.9578094988436037E-4</v>
      </c>
      <c r="B104">
        <f>+bma!B104/data!$K104</f>
        <v>4.9151928365459728E-3</v>
      </c>
      <c r="C104">
        <f>+bma!C104/data!$K104</f>
        <v>0</v>
      </c>
      <c r="D104">
        <f>+bma!D104/data!$K104</f>
        <v>0.25</v>
      </c>
      <c r="E104">
        <f>+bma!E104/data!$K104</f>
        <v>0.25</v>
      </c>
      <c r="F104">
        <f>+bma!F104/data!$K104</f>
        <v>0</v>
      </c>
      <c r="G104">
        <f>+bma!G104/data!$K104</f>
        <v>0.25</v>
      </c>
      <c r="H104">
        <f>+bma!H104/data!$K104</f>
        <v>0</v>
      </c>
      <c r="I104">
        <f>+bma!I104/data!$K104</f>
        <v>0</v>
      </c>
      <c r="J104">
        <f>+bma!L104/data!$K104</f>
        <v>0</v>
      </c>
      <c r="K104">
        <f>+bma!M104/data!$K104</f>
        <v>0.25</v>
      </c>
      <c r="L104">
        <f>+bma!J104/data!$K104</f>
        <v>0</v>
      </c>
      <c r="M104">
        <f>+bma!K104/data!$K104</f>
        <v>0</v>
      </c>
      <c r="N104">
        <f>+bma!N104/data!$K104</f>
        <v>0</v>
      </c>
      <c r="O104">
        <f>+bma!O104/data!$K104</f>
        <v>0.25</v>
      </c>
      <c r="P104">
        <f>+bma!P104/data!$K104</f>
        <v>0</v>
      </c>
      <c r="Q104">
        <f>+bma!Q104/data!$K104</f>
        <v>1.901348</v>
      </c>
      <c r="R104">
        <f>+bma!R104/data!$K104</f>
        <v>0.98295650000000001</v>
      </c>
      <c r="S104">
        <f>+bma!S104/data!$K104</f>
        <v>0.25</v>
      </c>
    </row>
    <row r="105" spans="1:19" x14ac:dyDescent="0.25">
      <c r="A105">
        <f>+bma!A105/data!$K105</f>
        <v>2.8253764260179746E-2</v>
      </c>
      <c r="B105">
        <f>+bma!B105/data!$K105</f>
        <v>1.1896321793759894E-2</v>
      </c>
      <c r="C105">
        <f>+bma!C105/data!$K105</f>
        <v>0</v>
      </c>
      <c r="D105">
        <f>+bma!D105/data!$K105</f>
        <v>0.2</v>
      </c>
      <c r="E105">
        <f>+bma!E105/data!$K105</f>
        <v>0</v>
      </c>
      <c r="F105">
        <f>+bma!F105/data!$K105</f>
        <v>0</v>
      </c>
      <c r="G105">
        <f>+bma!G105/data!$K105</f>
        <v>0</v>
      </c>
      <c r="H105">
        <f>+bma!H105/data!$K105</f>
        <v>0.2</v>
      </c>
      <c r="I105">
        <f>+bma!I105/data!$K105</f>
        <v>0.2</v>
      </c>
      <c r="J105">
        <f>+bma!L105/data!$K105</f>
        <v>0</v>
      </c>
      <c r="K105">
        <f>+bma!M105/data!$K105</f>
        <v>0.2</v>
      </c>
      <c r="L105">
        <f>+bma!J105/data!$K105</f>
        <v>0</v>
      </c>
      <c r="M105">
        <f>+bma!K105/data!$K105</f>
        <v>0</v>
      </c>
      <c r="N105">
        <f>+bma!N105/data!$K105</f>
        <v>0</v>
      </c>
      <c r="O105">
        <f>+bma!O105/data!$K105</f>
        <v>0.2</v>
      </c>
      <c r="P105">
        <f>+bma!P105/data!$K105</f>
        <v>0.2</v>
      </c>
      <c r="Q105">
        <f>+bma!Q105/data!$K105</f>
        <v>1.5213768000000001</v>
      </c>
      <c r="R105">
        <f>+bma!R105/data!$K105</f>
        <v>0</v>
      </c>
      <c r="S105">
        <f>+bma!S105/data!$K105</f>
        <v>0</v>
      </c>
    </row>
    <row r="106" spans="1:19" x14ac:dyDescent="0.25">
      <c r="A106">
        <f>+bma!A106/data!$K106</f>
        <v>4.3562334992135292E-2</v>
      </c>
      <c r="B106">
        <f>+bma!B106/data!$K106</f>
        <v>1.1728320959421041E-2</v>
      </c>
      <c r="C106">
        <f>+bma!C106/data!$K106</f>
        <v>0</v>
      </c>
      <c r="D106">
        <f>+bma!D106/data!$K106</f>
        <v>0.2</v>
      </c>
      <c r="E106">
        <f>+bma!E106/data!$K106</f>
        <v>0</v>
      </c>
      <c r="F106">
        <f>+bma!F106/data!$K106</f>
        <v>0</v>
      </c>
      <c r="G106">
        <f>+bma!G106/data!$K106</f>
        <v>0</v>
      </c>
      <c r="H106">
        <f>+bma!H106/data!$K106</f>
        <v>0.2</v>
      </c>
      <c r="I106">
        <f>+bma!I106/data!$K106</f>
        <v>0.2</v>
      </c>
      <c r="J106">
        <f>+bma!L106/data!$K106</f>
        <v>0</v>
      </c>
      <c r="K106">
        <f>+bma!M106/data!$K106</f>
        <v>0.2</v>
      </c>
      <c r="L106">
        <f>+bma!J106/data!$K106</f>
        <v>0</v>
      </c>
      <c r="M106">
        <f>+bma!K106/data!$K106</f>
        <v>0</v>
      </c>
      <c r="N106">
        <f>+bma!N106/data!$K106</f>
        <v>0</v>
      </c>
      <c r="O106">
        <f>+bma!O106/data!$K106</f>
        <v>0.2</v>
      </c>
      <c r="P106">
        <f>+bma!P106/data!$K106</f>
        <v>0.2</v>
      </c>
      <c r="Q106">
        <f>+bma!Q106/data!$K106</f>
        <v>1.5213768000000001</v>
      </c>
      <c r="R106">
        <f>+bma!R106/data!$K106</f>
        <v>0</v>
      </c>
      <c r="S106">
        <f>+bma!S106/data!$K106</f>
        <v>0</v>
      </c>
    </row>
    <row r="107" spans="1:19" x14ac:dyDescent="0.25">
      <c r="A107">
        <f>+bma!A107/data!$K107</f>
        <v>-5.1483656890462838E-3</v>
      </c>
      <c r="B107">
        <f>+bma!B107/data!$K107</f>
        <v>1.2012853274441329E-2</v>
      </c>
      <c r="C107">
        <f>+bma!C107/data!$K107</f>
        <v>0</v>
      </c>
      <c r="D107">
        <f>+bma!D107/data!$K107</f>
        <v>0.2</v>
      </c>
      <c r="E107">
        <f>+bma!E107/data!$K107</f>
        <v>0</v>
      </c>
      <c r="F107">
        <f>+bma!F107/data!$K107</f>
        <v>0</v>
      </c>
      <c r="G107">
        <f>+bma!G107/data!$K107</f>
        <v>0</v>
      </c>
      <c r="H107">
        <f>+bma!H107/data!$K107</f>
        <v>0.2</v>
      </c>
      <c r="I107">
        <f>+bma!I107/data!$K107</f>
        <v>0.2</v>
      </c>
      <c r="J107">
        <f>+bma!L107/data!$K107</f>
        <v>0</v>
      </c>
      <c r="K107">
        <f>+bma!M107/data!$K107</f>
        <v>0.2</v>
      </c>
      <c r="L107">
        <f>+bma!J107/data!$K107</f>
        <v>0</v>
      </c>
      <c r="M107">
        <f>+bma!K107/data!$K107</f>
        <v>0</v>
      </c>
      <c r="N107">
        <f>+bma!N107/data!$K107</f>
        <v>0</v>
      </c>
      <c r="O107">
        <f>+bma!O107/data!$K107</f>
        <v>0.2</v>
      </c>
      <c r="P107">
        <f>+bma!P107/data!$K107</f>
        <v>0.2</v>
      </c>
      <c r="Q107">
        <f>+bma!Q107/data!$K107</f>
        <v>1.5213768000000001</v>
      </c>
      <c r="R107">
        <f>+bma!R107/data!$K107</f>
        <v>0</v>
      </c>
      <c r="S107">
        <f>+bma!S107/data!$K107</f>
        <v>0</v>
      </c>
    </row>
    <row r="108" spans="1:19" x14ac:dyDescent="0.25">
      <c r="A108">
        <f>+bma!A108/data!$K108</f>
        <v>-4.3687156918243153E-3</v>
      </c>
      <c r="B108">
        <f>+bma!B108/data!$K108</f>
        <v>1.2013968152516867E-2</v>
      </c>
      <c r="C108">
        <f>+bma!C108/data!$K108</f>
        <v>0</v>
      </c>
      <c r="D108">
        <f>+bma!D108/data!$K108</f>
        <v>0.2</v>
      </c>
      <c r="E108">
        <f>+bma!E108/data!$K108</f>
        <v>0</v>
      </c>
      <c r="F108">
        <f>+bma!F108/data!$K108</f>
        <v>0</v>
      </c>
      <c r="G108">
        <f>+bma!G108/data!$K108</f>
        <v>0</v>
      </c>
      <c r="H108">
        <f>+bma!H108/data!$K108</f>
        <v>0.2</v>
      </c>
      <c r="I108">
        <f>+bma!I108/data!$K108</f>
        <v>0.2</v>
      </c>
      <c r="J108">
        <f>+bma!L108/data!$K108</f>
        <v>0</v>
      </c>
      <c r="K108">
        <f>+bma!M108/data!$K108</f>
        <v>0.2</v>
      </c>
      <c r="L108">
        <f>+bma!J108/data!$K108</f>
        <v>0</v>
      </c>
      <c r="M108">
        <f>+bma!K108/data!$K108</f>
        <v>0</v>
      </c>
      <c r="N108">
        <f>+bma!N108/data!$K108</f>
        <v>0</v>
      </c>
      <c r="O108">
        <f>+bma!O108/data!$K108</f>
        <v>0.2</v>
      </c>
      <c r="P108">
        <f>+bma!P108/data!$K108</f>
        <v>0.2</v>
      </c>
      <c r="Q108">
        <f>+bma!Q108/data!$K108</f>
        <v>1.5213768000000001</v>
      </c>
      <c r="R108">
        <f>+bma!R108/data!$K108</f>
        <v>0</v>
      </c>
      <c r="S108">
        <f>+bma!S108/data!$K108</f>
        <v>0</v>
      </c>
    </row>
    <row r="109" spans="1:19" x14ac:dyDescent="0.25">
      <c r="A109">
        <f>+bma!A109/data!$K109</f>
        <v>1.107544208132008E-2</v>
      </c>
      <c r="B109">
        <f>+bma!B109/data!$K109</f>
        <v>1.1998395588096754E-2</v>
      </c>
      <c r="C109">
        <f>+bma!C109/data!$K109</f>
        <v>0</v>
      </c>
      <c r="D109">
        <f>+bma!D109/data!$K109</f>
        <v>0.2</v>
      </c>
      <c r="E109">
        <f>+bma!E109/data!$K109</f>
        <v>0</v>
      </c>
      <c r="F109">
        <f>+bma!F109/data!$K109</f>
        <v>0</v>
      </c>
      <c r="G109">
        <f>+bma!G109/data!$K109</f>
        <v>0</v>
      </c>
      <c r="H109">
        <f>+bma!H109/data!$K109</f>
        <v>0.2</v>
      </c>
      <c r="I109">
        <f>+bma!I109/data!$K109</f>
        <v>0.2</v>
      </c>
      <c r="J109">
        <f>+bma!L109/data!$K109</f>
        <v>0</v>
      </c>
      <c r="K109">
        <f>+bma!M109/data!$K109</f>
        <v>0.2</v>
      </c>
      <c r="L109">
        <f>+bma!J109/data!$K109</f>
        <v>0</v>
      </c>
      <c r="M109">
        <f>+bma!K109/data!$K109</f>
        <v>0</v>
      </c>
      <c r="N109">
        <f>+bma!N109/data!$K109</f>
        <v>0</v>
      </c>
      <c r="O109">
        <f>+bma!O109/data!$K109</f>
        <v>0.2</v>
      </c>
      <c r="P109">
        <f>+bma!P109/data!$K109</f>
        <v>0.2</v>
      </c>
      <c r="Q109">
        <f>+bma!Q109/data!$K109</f>
        <v>1.5213768000000001</v>
      </c>
      <c r="R109">
        <f>+bma!R109/data!$K109</f>
        <v>0</v>
      </c>
      <c r="S109">
        <f>+bma!S109/data!$K109</f>
        <v>0</v>
      </c>
    </row>
    <row r="110" spans="1:19" x14ac:dyDescent="0.25">
      <c r="A110">
        <f>+bma!A110/data!$K110</f>
        <v>-9.838044805457094E-3</v>
      </c>
      <c r="B110">
        <f>+bma!B110/data!$K110</f>
        <v>3.7838633867142667E-3</v>
      </c>
      <c r="C110">
        <f>+bma!C110/data!$K110</f>
        <v>0</v>
      </c>
      <c r="D110">
        <f>+bma!D110/data!$K110</f>
        <v>0</v>
      </c>
      <c r="E110">
        <f>+bma!E110/data!$K110</f>
        <v>0</v>
      </c>
      <c r="F110">
        <f>+bma!F110/data!$K110</f>
        <v>0.2</v>
      </c>
      <c r="G110">
        <f>+bma!G110/data!$K110</f>
        <v>0</v>
      </c>
      <c r="H110">
        <f>+bma!H110/data!$K110</f>
        <v>0.2</v>
      </c>
      <c r="I110">
        <f>+bma!I110/data!$K110</f>
        <v>0.2</v>
      </c>
      <c r="J110">
        <f>+bma!L110/data!$K110</f>
        <v>0</v>
      </c>
      <c r="K110">
        <f>+bma!M110/data!$K110</f>
        <v>0.2</v>
      </c>
      <c r="L110">
        <f>+bma!J110/data!$K110</f>
        <v>0</v>
      </c>
      <c r="M110">
        <f>+bma!K110/data!$K110</f>
        <v>0</v>
      </c>
      <c r="N110">
        <f>+bma!N110/data!$K110</f>
        <v>0</v>
      </c>
      <c r="O110">
        <f>+bma!O110/data!$K110</f>
        <v>0</v>
      </c>
      <c r="P110">
        <f>+bma!P110/data!$K110</f>
        <v>0</v>
      </c>
      <c r="Q110">
        <f>+bma!Q110/data!$K110</f>
        <v>1.5212775999999999</v>
      </c>
      <c r="R110">
        <f>+bma!R110/data!$K110</f>
        <v>0.74753400000000003</v>
      </c>
      <c r="S110">
        <f>+bma!S110/data!$K110</f>
        <v>0</v>
      </c>
    </row>
    <row r="111" spans="1:19" x14ac:dyDescent="0.25">
      <c r="A111">
        <f>+bma!A111/data!$K111</f>
        <v>-9.5360348108605494E-3</v>
      </c>
      <c r="B111">
        <f>+bma!B111/data!$K111</f>
        <v>3.7841407979605354E-3</v>
      </c>
      <c r="C111">
        <f>+bma!C111/data!$K111</f>
        <v>0</v>
      </c>
      <c r="D111">
        <f>+bma!D111/data!$K111</f>
        <v>0</v>
      </c>
      <c r="E111">
        <f>+bma!E111/data!$K111</f>
        <v>0</v>
      </c>
      <c r="F111">
        <f>+bma!F111/data!$K111</f>
        <v>0.2</v>
      </c>
      <c r="G111">
        <f>+bma!G111/data!$K111</f>
        <v>0</v>
      </c>
      <c r="H111">
        <f>+bma!H111/data!$K111</f>
        <v>0.2</v>
      </c>
      <c r="I111">
        <f>+bma!I111/data!$K111</f>
        <v>0.2</v>
      </c>
      <c r="J111">
        <f>+bma!L111/data!$K111</f>
        <v>0</v>
      </c>
      <c r="K111">
        <f>+bma!M111/data!$K111</f>
        <v>0.2</v>
      </c>
      <c r="L111">
        <f>+bma!J111/data!$K111</f>
        <v>0</v>
      </c>
      <c r="M111">
        <f>+bma!K111/data!$K111</f>
        <v>0</v>
      </c>
      <c r="N111">
        <f>+bma!N111/data!$K111</f>
        <v>0</v>
      </c>
      <c r="O111">
        <f>+bma!O111/data!$K111</f>
        <v>0</v>
      </c>
      <c r="P111">
        <f>+bma!P111/data!$K111</f>
        <v>0</v>
      </c>
      <c r="Q111">
        <f>+bma!Q111/data!$K111</f>
        <v>1.5212775999999999</v>
      </c>
      <c r="R111">
        <f>+bma!R111/data!$K111</f>
        <v>0.74753400000000003</v>
      </c>
      <c r="S111">
        <f>+bma!S111/data!$K111</f>
        <v>0</v>
      </c>
    </row>
    <row r="112" spans="1:19" x14ac:dyDescent="0.25">
      <c r="A112">
        <f>+bma!A112/data!$K112</f>
        <v>-6.6839129552734283E-3</v>
      </c>
      <c r="B112">
        <f>+bma!B112/data!$K112</f>
        <v>4.0557724243164015E-3</v>
      </c>
      <c r="C112">
        <f>+bma!C112/data!$K112</f>
        <v>0</v>
      </c>
      <c r="D112">
        <f>+bma!D112/data!$K112</f>
        <v>0</v>
      </c>
      <c r="E112">
        <f>+bma!E112/data!$K112</f>
        <v>0</v>
      </c>
      <c r="F112">
        <f>+bma!F112/data!$K112</f>
        <v>0.2</v>
      </c>
      <c r="G112">
        <f>+bma!G112/data!$K112</f>
        <v>0</v>
      </c>
      <c r="H112">
        <f>+bma!H112/data!$K112</f>
        <v>0.2</v>
      </c>
      <c r="I112">
        <f>+bma!I112/data!$K112</f>
        <v>0.2</v>
      </c>
      <c r="J112">
        <f>+bma!L112/data!$K112</f>
        <v>0</v>
      </c>
      <c r="K112">
        <f>+bma!M112/data!$K112</f>
        <v>0.2</v>
      </c>
      <c r="L112">
        <f>+bma!J112/data!$K112</f>
        <v>0</v>
      </c>
      <c r="M112">
        <f>+bma!K112/data!$K112</f>
        <v>0</v>
      </c>
      <c r="N112">
        <f>+bma!N112/data!$K112</f>
        <v>0</v>
      </c>
      <c r="O112">
        <f>+bma!O112/data!$K112</f>
        <v>0</v>
      </c>
      <c r="P112">
        <f>+bma!P112/data!$K112</f>
        <v>0</v>
      </c>
      <c r="Q112">
        <f>+bma!Q112/data!$K112</f>
        <v>1.5212775999999999</v>
      </c>
      <c r="R112">
        <f>+bma!R112/data!$K112</f>
        <v>0.74753400000000003</v>
      </c>
      <c r="S112">
        <f>+bma!S112/data!$K112</f>
        <v>0</v>
      </c>
    </row>
    <row r="113" spans="1:19" x14ac:dyDescent="0.25">
      <c r="A113">
        <f>+bma!A113/data!$K113</f>
        <v>-9.7938275035168356E-3</v>
      </c>
      <c r="B113">
        <f>+bma!B113/data!$K113</f>
        <v>3.9071120359774605E-3</v>
      </c>
      <c r="C113">
        <f>+bma!C113/data!$K113</f>
        <v>0</v>
      </c>
      <c r="D113">
        <f>+bma!D113/data!$K113</f>
        <v>0</v>
      </c>
      <c r="E113">
        <f>+bma!E113/data!$K113</f>
        <v>0</v>
      </c>
      <c r="F113">
        <f>+bma!F113/data!$K113</f>
        <v>0.2</v>
      </c>
      <c r="G113">
        <f>+bma!G113/data!$K113</f>
        <v>0</v>
      </c>
      <c r="H113">
        <f>+bma!H113/data!$K113</f>
        <v>0.2</v>
      </c>
      <c r="I113">
        <f>+bma!I113/data!$K113</f>
        <v>0.2</v>
      </c>
      <c r="J113">
        <f>+bma!L113/data!$K113</f>
        <v>0</v>
      </c>
      <c r="K113">
        <f>+bma!M113/data!$K113</f>
        <v>0.2</v>
      </c>
      <c r="L113">
        <f>+bma!J113/data!$K113</f>
        <v>0</v>
      </c>
      <c r="M113">
        <f>+bma!K113/data!$K113</f>
        <v>0</v>
      </c>
      <c r="N113">
        <f>+bma!N113/data!$K113</f>
        <v>0</v>
      </c>
      <c r="O113">
        <f>+bma!O113/data!$K113</f>
        <v>0</v>
      </c>
      <c r="P113">
        <f>+bma!P113/data!$K113</f>
        <v>0</v>
      </c>
      <c r="Q113">
        <f>+bma!Q113/data!$K113</f>
        <v>1.5212775999999999</v>
      </c>
      <c r="R113">
        <f>+bma!R113/data!$K113</f>
        <v>0.74753400000000003</v>
      </c>
      <c r="S113">
        <f>+bma!S113/data!$K113</f>
        <v>0</v>
      </c>
    </row>
    <row r="114" spans="1:19" x14ac:dyDescent="0.25">
      <c r="A114">
        <f>+bma!A114/data!$K114</f>
        <v>-7.5556057352178883E-3</v>
      </c>
      <c r="B114">
        <f>+bma!B114/data!$K114</f>
        <v>4.2105542796879863E-3</v>
      </c>
      <c r="C114">
        <f>+bma!C114/data!$K114</f>
        <v>0</v>
      </c>
      <c r="D114">
        <f>+bma!D114/data!$K114</f>
        <v>0</v>
      </c>
      <c r="E114">
        <f>+bma!E114/data!$K114</f>
        <v>0</v>
      </c>
      <c r="F114">
        <f>+bma!F114/data!$K114</f>
        <v>0.2</v>
      </c>
      <c r="G114">
        <f>+bma!G114/data!$K114</f>
        <v>0</v>
      </c>
      <c r="H114">
        <f>+bma!H114/data!$K114</f>
        <v>0.2</v>
      </c>
      <c r="I114">
        <f>+bma!I114/data!$K114</f>
        <v>0.2</v>
      </c>
      <c r="J114">
        <f>+bma!L114/data!$K114</f>
        <v>0</v>
      </c>
      <c r="K114">
        <f>+bma!M114/data!$K114</f>
        <v>0.2</v>
      </c>
      <c r="L114">
        <f>+bma!J114/data!$K114</f>
        <v>0</v>
      </c>
      <c r="M114">
        <f>+bma!K114/data!$K114</f>
        <v>0</v>
      </c>
      <c r="N114">
        <f>+bma!N114/data!$K114</f>
        <v>0</v>
      </c>
      <c r="O114">
        <f>+bma!O114/data!$K114</f>
        <v>0</v>
      </c>
      <c r="P114">
        <f>+bma!P114/data!$K114</f>
        <v>0</v>
      </c>
      <c r="Q114">
        <f>+bma!Q114/data!$K114</f>
        <v>1.5212775999999999</v>
      </c>
      <c r="R114">
        <f>+bma!R114/data!$K114</f>
        <v>0.74753400000000003</v>
      </c>
      <c r="S114">
        <f>+bma!S114/data!$K114</f>
        <v>0</v>
      </c>
    </row>
    <row r="115" spans="1:19" x14ac:dyDescent="0.25">
      <c r="A115">
        <f>+bma!A115/data!$K115</f>
        <v>-0.19925598638924069</v>
      </c>
      <c r="B115">
        <f>+bma!B115/data!$K115</f>
        <v>0.16332457900757441</v>
      </c>
      <c r="C115">
        <f>+bma!C115/data!$K115</f>
        <v>1</v>
      </c>
      <c r="D115">
        <f>+bma!D115/data!$K115</f>
        <v>1</v>
      </c>
      <c r="E115">
        <f>+bma!E115/data!$K115</f>
        <v>0</v>
      </c>
      <c r="F115">
        <f>+bma!F115/data!$K115</f>
        <v>0</v>
      </c>
      <c r="G115">
        <f>+bma!G115/data!$K115</f>
        <v>1</v>
      </c>
      <c r="H115">
        <f>+bma!H115/data!$K115</f>
        <v>0</v>
      </c>
      <c r="I115">
        <f>+bma!I115/data!$K115</f>
        <v>1</v>
      </c>
      <c r="J115">
        <f>+bma!L115/data!$K115</f>
        <v>1</v>
      </c>
      <c r="K115">
        <f>+bma!M115/data!$K115</f>
        <v>0</v>
      </c>
      <c r="L115">
        <f>+bma!J115/data!$K115</f>
        <v>0</v>
      </c>
      <c r="M115">
        <f>+bma!K115/data!$K115</f>
        <v>0</v>
      </c>
      <c r="N115">
        <f>+bma!N115/data!$K115</f>
        <v>0</v>
      </c>
      <c r="O115">
        <f>+bma!O115/data!$K115</f>
        <v>1</v>
      </c>
      <c r="P115">
        <f>+bma!P115/data!$K115</f>
        <v>1</v>
      </c>
      <c r="Q115">
        <f>+bma!Q115/data!$K115</f>
        <v>7.5908519999999999</v>
      </c>
      <c r="R115">
        <f>+bma!R115/data!$K115</f>
        <v>2.197225</v>
      </c>
      <c r="S115">
        <f>+bma!S115/data!$K115</f>
        <v>1</v>
      </c>
    </row>
    <row r="116" spans="1:19" x14ac:dyDescent="0.25">
      <c r="A116">
        <f>+bma!A116/data!$K116</f>
        <v>-5.2944217707879826E-2</v>
      </c>
      <c r="B116">
        <f>+bma!B116/data!$K116</f>
        <v>1.5052767779691325E-2</v>
      </c>
      <c r="C116">
        <f>+bma!C116/data!$K116</f>
        <v>0.33333333333333331</v>
      </c>
      <c r="D116">
        <f>+bma!D116/data!$K116</f>
        <v>0</v>
      </c>
      <c r="E116">
        <f>+bma!E116/data!$K116</f>
        <v>0.33333333333333331</v>
      </c>
      <c r="F116">
        <f>+bma!F116/data!$K116</f>
        <v>0</v>
      </c>
      <c r="G116">
        <f>+bma!G116/data!$K116</f>
        <v>0</v>
      </c>
      <c r="H116">
        <f>+bma!H116/data!$K116</f>
        <v>0</v>
      </c>
      <c r="I116">
        <f>+bma!I116/data!$K116</f>
        <v>0</v>
      </c>
      <c r="J116">
        <f>+bma!L116/data!$K116</f>
        <v>0</v>
      </c>
      <c r="K116">
        <f>+bma!M116/data!$K116</f>
        <v>0.33333333333333331</v>
      </c>
      <c r="L116">
        <f>+bma!J116/data!$K116</f>
        <v>0</v>
      </c>
      <c r="M116">
        <f>+bma!K116/data!$K116</f>
        <v>0</v>
      </c>
      <c r="N116">
        <f>+bma!N116/data!$K116</f>
        <v>0</v>
      </c>
      <c r="O116">
        <f>+bma!O116/data!$K116</f>
        <v>0</v>
      </c>
      <c r="P116">
        <f>+bma!P116/data!$K116</f>
        <v>0</v>
      </c>
      <c r="Q116">
        <f>+bma!Q116/data!$K116</f>
        <v>2.5357936666666667</v>
      </c>
      <c r="R116">
        <f>+bma!R116/data!$K116</f>
        <v>0.59725300000000003</v>
      </c>
      <c r="S116">
        <f>+bma!S116/data!$K116</f>
        <v>0.33333333333333331</v>
      </c>
    </row>
    <row r="117" spans="1:19" x14ac:dyDescent="0.25">
      <c r="A117">
        <f>+bma!A117/data!$K117</f>
        <v>-0.10597524715955801</v>
      </c>
      <c r="B117">
        <f>+bma!B117/data!$K117</f>
        <v>1.3625388920514597E-2</v>
      </c>
      <c r="C117">
        <f>+bma!C117/data!$K117</f>
        <v>0</v>
      </c>
      <c r="D117">
        <f>+bma!D117/data!$K117</f>
        <v>0</v>
      </c>
      <c r="E117">
        <f>+bma!E117/data!$K117</f>
        <v>0.33333333333333331</v>
      </c>
      <c r="F117">
        <f>+bma!F117/data!$K117</f>
        <v>0</v>
      </c>
      <c r="G117">
        <f>+bma!G117/data!$K117</f>
        <v>0</v>
      </c>
      <c r="H117">
        <f>+bma!H117/data!$K117</f>
        <v>0</v>
      </c>
      <c r="I117">
        <f>+bma!I117/data!$K117</f>
        <v>0</v>
      </c>
      <c r="J117">
        <f>+bma!L117/data!$K117</f>
        <v>0</v>
      </c>
      <c r="K117">
        <f>+bma!M117/data!$K117</f>
        <v>0.33333333333333331</v>
      </c>
      <c r="L117">
        <f>+bma!J117/data!$K117</f>
        <v>0</v>
      </c>
      <c r="M117">
        <f>+bma!K117/data!$K117</f>
        <v>0</v>
      </c>
      <c r="N117">
        <f>+bma!N117/data!$K117</f>
        <v>0</v>
      </c>
      <c r="O117">
        <f>+bma!O117/data!$K117</f>
        <v>0</v>
      </c>
      <c r="P117">
        <f>+bma!P117/data!$K117</f>
        <v>0</v>
      </c>
      <c r="Q117">
        <f>+bma!Q117/data!$K117</f>
        <v>2.5357936666666667</v>
      </c>
      <c r="R117">
        <f>+bma!R117/data!$K117</f>
        <v>0.59725300000000003</v>
      </c>
      <c r="S117">
        <f>+bma!S117/data!$K117</f>
        <v>0.33333333333333331</v>
      </c>
    </row>
    <row r="118" spans="1:19" x14ac:dyDescent="0.25">
      <c r="A118">
        <f>+bma!A118/data!$K118</f>
        <v>-6.110006129672315E-2</v>
      </c>
      <c r="B118">
        <f>+bma!B118/data!$K118</f>
        <v>1.3701225866537917E-2</v>
      </c>
      <c r="C118">
        <f>+bma!C118/data!$K118</f>
        <v>0.33333333333333331</v>
      </c>
      <c r="D118">
        <f>+bma!D118/data!$K118</f>
        <v>0</v>
      </c>
      <c r="E118">
        <f>+bma!E118/data!$K118</f>
        <v>0.33333333333333331</v>
      </c>
      <c r="F118">
        <f>+bma!F118/data!$K118</f>
        <v>0</v>
      </c>
      <c r="G118">
        <f>+bma!G118/data!$K118</f>
        <v>0</v>
      </c>
      <c r="H118">
        <f>+bma!H118/data!$K118</f>
        <v>0</v>
      </c>
      <c r="I118">
        <f>+bma!I118/data!$K118</f>
        <v>0</v>
      </c>
      <c r="J118">
        <f>+bma!L118/data!$K118</f>
        <v>0</v>
      </c>
      <c r="K118">
        <f>+bma!M118/data!$K118</f>
        <v>0.33333333333333331</v>
      </c>
      <c r="L118">
        <f>+bma!J118/data!$K118</f>
        <v>0</v>
      </c>
      <c r="M118">
        <f>+bma!K118/data!$K118</f>
        <v>0</v>
      </c>
      <c r="N118">
        <f>+bma!N118/data!$K118</f>
        <v>0</v>
      </c>
      <c r="O118">
        <f>+bma!O118/data!$K118</f>
        <v>0</v>
      </c>
      <c r="P118">
        <f>+bma!P118/data!$K118</f>
        <v>0</v>
      </c>
      <c r="Q118">
        <f>+bma!Q118/data!$K118</f>
        <v>2.5357936666666667</v>
      </c>
      <c r="R118">
        <f>+bma!R118/data!$K118</f>
        <v>0.59725300000000003</v>
      </c>
      <c r="S118">
        <f>+bma!S118/data!$K118</f>
        <v>0.33333333333333331</v>
      </c>
    </row>
    <row r="119" spans="1:19" x14ac:dyDescent="0.25">
      <c r="A119">
        <f>+bma!A119/data!$K119</f>
        <v>-2.4531024531024553E-2</v>
      </c>
      <c r="B119">
        <f>+bma!B119/data!$K119</f>
        <v>7.2150072150072141E-3</v>
      </c>
      <c r="C119">
        <f>+bma!C119/data!$K119</f>
        <v>4.7619047619047616E-2</v>
      </c>
      <c r="D119">
        <f>+bma!D119/data!$K119</f>
        <v>4.7619047619047616E-2</v>
      </c>
      <c r="E119">
        <f>+bma!E119/data!$K119</f>
        <v>0</v>
      </c>
      <c r="F119">
        <f>+bma!F119/data!$K119</f>
        <v>4.7619047619047616E-2</v>
      </c>
      <c r="G119">
        <f>+bma!G119/data!$K119</f>
        <v>0</v>
      </c>
      <c r="H119">
        <f>+bma!H119/data!$K119</f>
        <v>0</v>
      </c>
      <c r="I119">
        <f>+bma!I119/data!$K119</f>
        <v>0</v>
      </c>
      <c r="J119">
        <f>+bma!L119/data!$K119</f>
        <v>4.7619047619047616E-2</v>
      </c>
      <c r="K119">
        <f>+bma!M119/data!$K119</f>
        <v>0</v>
      </c>
      <c r="L119">
        <f>+bma!J119/data!$K119</f>
        <v>0</v>
      </c>
      <c r="M119">
        <f>+bma!K119/data!$K119</f>
        <v>0</v>
      </c>
      <c r="N119">
        <f>+bma!N119/data!$K119</f>
        <v>0</v>
      </c>
      <c r="O119">
        <f>+bma!O119/data!$K119</f>
        <v>0</v>
      </c>
      <c r="P119">
        <f>+bma!P119/data!$K119</f>
        <v>4.7619047619047616E-2</v>
      </c>
      <c r="Q119">
        <f>+bma!Q119/data!$K119</f>
        <v>0.3616611428571429</v>
      </c>
      <c r="R119">
        <f>+bma!R119/data!$K119</f>
        <v>0.17194847619047618</v>
      </c>
      <c r="S119">
        <f>+bma!S119/data!$K119</f>
        <v>4.7619047619047616E-2</v>
      </c>
    </row>
    <row r="120" spans="1:19" x14ac:dyDescent="0.25">
      <c r="A120">
        <f>+bma!A120/data!$K120</f>
        <v>-2.396913421138579E-2</v>
      </c>
      <c r="B120">
        <f>+bma!B120/data!$K120</f>
        <v>6.4260413435350645E-3</v>
      </c>
      <c r="C120">
        <f>+bma!C120/data!$K120</f>
        <v>4.7619047619047616E-2</v>
      </c>
      <c r="D120">
        <f>+bma!D120/data!$K120</f>
        <v>4.7619047619047616E-2</v>
      </c>
      <c r="E120">
        <f>+bma!E120/data!$K120</f>
        <v>0</v>
      </c>
      <c r="F120">
        <f>+bma!F120/data!$K120</f>
        <v>4.7619047619047616E-2</v>
      </c>
      <c r="G120">
        <f>+bma!G120/data!$K120</f>
        <v>0</v>
      </c>
      <c r="H120">
        <f>+bma!H120/data!$K120</f>
        <v>0</v>
      </c>
      <c r="I120">
        <f>+bma!I120/data!$K120</f>
        <v>0</v>
      </c>
      <c r="J120">
        <f>+bma!L120/data!$K120</f>
        <v>4.7619047619047616E-2</v>
      </c>
      <c r="K120">
        <f>+bma!M120/data!$K120</f>
        <v>0</v>
      </c>
      <c r="L120">
        <f>+bma!J120/data!$K120</f>
        <v>0</v>
      </c>
      <c r="M120">
        <f>+bma!K120/data!$K120</f>
        <v>0</v>
      </c>
      <c r="N120">
        <f>+bma!N120/data!$K120</f>
        <v>0</v>
      </c>
      <c r="O120">
        <f>+bma!O120/data!$K120</f>
        <v>0</v>
      </c>
      <c r="P120">
        <f>+bma!P120/data!$K120</f>
        <v>4.7619047619047616E-2</v>
      </c>
      <c r="Q120">
        <f>+bma!Q120/data!$K120</f>
        <v>0.3616611428571429</v>
      </c>
      <c r="R120">
        <f>+bma!R120/data!$K120</f>
        <v>0.17194847619047618</v>
      </c>
      <c r="S120">
        <f>+bma!S120/data!$K120</f>
        <v>4.7619047619047616E-2</v>
      </c>
    </row>
    <row r="121" spans="1:19" x14ac:dyDescent="0.25">
      <c r="A121">
        <f>+bma!A121/data!$K121</f>
        <v>-2.3432397285244863E-2</v>
      </c>
      <c r="B121">
        <f>+bma!B121/data!$K121</f>
        <v>6.638072885338484E-3</v>
      </c>
      <c r="C121">
        <f>+bma!C121/data!$K121</f>
        <v>4.7619047619047616E-2</v>
      </c>
      <c r="D121">
        <f>+bma!D121/data!$K121</f>
        <v>4.7619047619047616E-2</v>
      </c>
      <c r="E121">
        <f>+bma!E121/data!$K121</f>
        <v>0</v>
      </c>
      <c r="F121">
        <f>+bma!F121/data!$K121</f>
        <v>4.7619047619047616E-2</v>
      </c>
      <c r="G121">
        <f>+bma!G121/data!$K121</f>
        <v>0</v>
      </c>
      <c r="H121">
        <f>+bma!H121/data!$K121</f>
        <v>0</v>
      </c>
      <c r="I121">
        <f>+bma!I121/data!$K121</f>
        <v>0</v>
      </c>
      <c r="J121">
        <f>+bma!L121/data!$K121</f>
        <v>4.7619047619047616E-2</v>
      </c>
      <c r="K121">
        <f>+bma!M121/data!$K121</f>
        <v>0</v>
      </c>
      <c r="L121">
        <f>+bma!J121/data!$K121</f>
        <v>0</v>
      </c>
      <c r="M121">
        <f>+bma!K121/data!$K121</f>
        <v>0</v>
      </c>
      <c r="N121">
        <f>+bma!N121/data!$K121</f>
        <v>0</v>
      </c>
      <c r="O121">
        <f>+bma!O121/data!$K121</f>
        <v>0</v>
      </c>
      <c r="P121">
        <f>+bma!P121/data!$K121</f>
        <v>4.7619047619047616E-2</v>
      </c>
      <c r="Q121">
        <f>+bma!Q121/data!$K121</f>
        <v>0.3616611428571429</v>
      </c>
      <c r="R121">
        <f>+bma!R121/data!$K121</f>
        <v>0.17194847619047618</v>
      </c>
      <c r="S121">
        <f>+bma!S121/data!$K121</f>
        <v>4.7619047619047616E-2</v>
      </c>
    </row>
    <row r="122" spans="1:19" x14ac:dyDescent="0.25">
      <c r="A122">
        <f>+bma!A122/data!$K122</f>
        <v>-2.5302199488481895E-3</v>
      </c>
      <c r="B122">
        <f>+bma!B122/data!$K122</f>
        <v>8.406046341688329E-3</v>
      </c>
      <c r="C122">
        <f>+bma!C122/data!$K122</f>
        <v>4.7619047619047616E-2</v>
      </c>
      <c r="D122">
        <f>+bma!D122/data!$K122</f>
        <v>4.7619047619047616E-2</v>
      </c>
      <c r="E122">
        <f>+bma!E122/data!$K122</f>
        <v>0</v>
      </c>
      <c r="F122">
        <f>+bma!F122/data!$K122</f>
        <v>4.7619047619047616E-2</v>
      </c>
      <c r="G122">
        <f>+bma!G122/data!$K122</f>
        <v>0</v>
      </c>
      <c r="H122">
        <f>+bma!H122/data!$K122</f>
        <v>0</v>
      </c>
      <c r="I122">
        <f>+bma!I122/data!$K122</f>
        <v>0</v>
      </c>
      <c r="J122">
        <f>+bma!L122/data!$K122</f>
        <v>4.7619047619047616E-2</v>
      </c>
      <c r="K122">
        <f>+bma!M122/data!$K122</f>
        <v>0</v>
      </c>
      <c r="L122">
        <f>+bma!J122/data!$K122</f>
        <v>0</v>
      </c>
      <c r="M122">
        <f>+bma!K122/data!$K122</f>
        <v>0</v>
      </c>
      <c r="N122">
        <f>+bma!N122/data!$K122</f>
        <v>0</v>
      </c>
      <c r="O122">
        <f>+bma!O122/data!$K122</f>
        <v>4.7619047619047616E-2</v>
      </c>
      <c r="P122">
        <f>+bma!P122/data!$K122</f>
        <v>4.7619047619047616E-2</v>
      </c>
      <c r="Q122">
        <f>+bma!Q122/data!$K122</f>
        <v>0.3616611428571429</v>
      </c>
      <c r="R122">
        <f>+bma!R122/data!$K122</f>
        <v>0.17194847619047618</v>
      </c>
      <c r="S122">
        <f>+bma!S122/data!$K122</f>
        <v>4.7619047619047616E-2</v>
      </c>
    </row>
    <row r="123" spans="1:19" x14ac:dyDescent="0.25">
      <c r="A123">
        <f>+bma!A123/data!$K123</f>
        <v>2.0263269206505317E-2</v>
      </c>
      <c r="B123">
        <f>+bma!B123/data!$K123</f>
        <v>7.6177703783854508E-3</v>
      </c>
      <c r="C123">
        <f>+bma!C123/data!$K123</f>
        <v>4.7619047619047616E-2</v>
      </c>
      <c r="D123">
        <f>+bma!D123/data!$K123</f>
        <v>4.7619047619047616E-2</v>
      </c>
      <c r="E123">
        <f>+bma!E123/data!$K123</f>
        <v>0</v>
      </c>
      <c r="F123">
        <f>+bma!F123/data!$K123</f>
        <v>4.7619047619047616E-2</v>
      </c>
      <c r="G123">
        <f>+bma!G123/data!$K123</f>
        <v>0</v>
      </c>
      <c r="H123">
        <f>+bma!H123/data!$K123</f>
        <v>0</v>
      </c>
      <c r="I123">
        <f>+bma!I123/data!$K123</f>
        <v>0</v>
      </c>
      <c r="J123">
        <f>+bma!L123/data!$K123</f>
        <v>4.7619047619047616E-2</v>
      </c>
      <c r="K123">
        <f>+bma!M123/data!$K123</f>
        <v>0</v>
      </c>
      <c r="L123">
        <f>+bma!J123/data!$K123</f>
        <v>0</v>
      </c>
      <c r="M123">
        <f>+bma!K123/data!$K123</f>
        <v>0</v>
      </c>
      <c r="N123">
        <f>+bma!N123/data!$K123</f>
        <v>4.7619047619047616E-2</v>
      </c>
      <c r="O123">
        <f>+bma!O123/data!$K123</f>
        <v>0</v>
      </c>
      <c r="P123">
        <f>+bma!P123/data!$K123</f>
        <v>4.7619047619047616E-2</v>
      </c>
      <c r="Q123">
        <f>+bma!Q123/data!$K123</f>
        <v>0.3616611428571429</v>
      </c>
      <c r="R123">
        <f>+bma!R123/data!$K123</f>
        <v>0.17194847619047618</v>
      </c>
      <c r="S123">
        <f>+bma!S123/data!$K123</f>
        <v>4.7619047619047616E-2</v>
      </c>
    </row>
    <row r="124" spans="1:19" x14ac:dyDescent="0.25">
      <c r="A124">
        <f>+bma!A124/data!$K124</f>
        <v>1.8443650836956944E-2</v>
      </c>
      <c r="B124">
        <f>+bma!B124/data!$K124</f>
        <v>6.856375775820424E-3</v>
      </c>
      <c r="C124">
        <f>+bma!C124/data!$K124</f>
        <v>4.7619047619047616E-2</v>
      </c>
      <c r="D124">
        <f>+bma!D124/data!$K124</f>
        <v>4.7619047619047616E-2</v>
      </c>
      <c r="E124">
        <f>+bma!E124/data!$K124</f>
        <v>0</v>
      </c>
      <c r="F124">
        <f>+bma!F124/data!$K124</f>
        <v>4.7619047619047616E-2</v>
      </c>
      <c r="G124">
        <f>+bma!G124/data!$K124</f>
        <v>0</v>
      </c>
      <c r="H124">
        <f>+bma!H124/data!$K124</f>
        <v>0</v>
      </c>
      <c r="I124">
        <f>+bma!I124/data!$K124</f>
        <v>0</v>
      </c>
      <c r="J124">
        <f>+bma!L124/data!$K124</f>
        <v>4.7619047619047616E-2</v>
      </c>
      <c r="K124">
        <f>+bma!M124/data!$K124</f>
        <v>0</v>
      </c>
      <c r="L124">
        <f>+bma!J124/data!$K124</f>
        <v>0</v>
      </c>
      <c r="M124">
        <f>+bma!K124/data!$K124</f>
        <v>0</v>
      </c>
      <c r="N124">
        <f>+bma!N124/data!$K124</f>
        <v>4.7619047619047616E-2</v>
      </c>
      <c r="O124">
        <f>+bma!O124/data!$K124</f>
        <v>0</v>
      </c>
      <c r="P124">
        <f>+bma!P124/data!$K124</f>
        <v>4.7619047619047616E-2</v>
      </c>
      <c r="Q124">
        <f>+bma!Q124/data!$K124</f>
        <v>0.3616611428571429</v>
      </c>
      <c r="R124">
        <f>+bma!R124/data!$K124</f>
        <v>0.17194847619047618</v>
      </c>
      <c r="S124">
        <f>+bma!S124/data!$K124</f>
        <v>4.7619047619047616E-2</v>
      </c>
    </row>
    <row r="125" spans="1:19" x14ac:dyDescent="0.25">
      <c r="A125">
        <f>+bma!A125/data!$K125</f>
        <v>9.4896987356390197E-3</v>
      </c>
      <c r="B125">
        <f>+bma!B125/data!$K125</f>
        <v>7.4722037288496249E-3</v>
      </c>
      <c r="C125">
        <f>+bma!C125/data!$K125</f>
        <v>4.7619047619047616E-2</v>
      </c>
      <c r="D125">
        <f>+bma!D125/data!$K125</f>
        <v>4.7619047619047616E-2</v>
      </c>
      <c r="E125">
        <f>+bma!E125/data!$K125</f>
        <v>0</v>
      </c>
      <c r="F125">
        <f>+bma!F125/data!$K125</f>
        <v>4.7619047619047616E-2</v>
      </c>
      <c r="G125">
        <f>+bma!G125/data!$K125</f>
        <v>0</v>
      </c>
      <c r="H125">
        <f>+bma!H125/data!$K125</f>
        <v>0</v>
      </c>
      <c r="I125">
        <f>+bma!I125/data!$K125</f>
        <v>0</v>
      </c>
      <c r="J125">
        <f>+bma!L125/data!$K125</f>
        <v>4.7619047619047616E-2</v>
      </c>
      <c r="K125">
        <f>+bma!M125/data!$K125</f>
        <v>0</v>
      </c>
      <c r="L125">
        <f>+bma!J125/data!$K125</f>
        <v>0</v>
      </c>
      <c r="M125">
        <f>+bma!K125/data!$K125</f>
        <v>0</v>
      </c>
      <c r="N125">
        <f>+bma!N125/data!$K125</f>
        <v>4.7619047619047616E-2</v>
      </c>
      <c r="O125">
        <f>+bma!O125/data!$K125</f>
        <v>0</v>
      </c>
      <c r="P125">
        <f>+bma!P125/data!$K125</f>
        <v>4.7619047619047616E-2</v>
      </c>
      <c r="Q125">
        <f>+bma!Q125/data!$K125</f>
        <v>0.3616611428571429</v>
      </c>
      <c r="R125">
        <f>+bma!R125/data!$K125</f>
        <v>0.17194847619047618</v>
      </c>
      <c r="S125">
        <f>+bma!S125/data!$K125</f>
        <v>4.7619047619047616E-2</v>
      </c>
    </row>
    <row r="126" spans="1:19" x14ac:dyDescent="0.25">
      <c r="A126">
        <f>+bma!A126/data!$K126</f>
        <v>-2.4142240543839399E-2</v>
      </c>
      <c r="B126">
        <f>+bma!B126/data!$K126</f>
        <v>6.4898496085589712E-3</v>
      </c>
      <c r="C126">
        <f>+bma!C126/data!$K126</f>
        <v>4.7619047619047616E-2</v>
      </c>
      <c r="D126">
        <f>+bma!D126/data!$K126</f>
        <v>0</v>
      </c>
      <c r="E126">
        <f>+bma!E126/data!$K126</f>
        <v>4.7619047619047616E-2</v>
      </c>
      <c r="F126">
        <f>+bma!F126/data!$K126</f>
        <v>4.7619047619047616E-2</v>
      </c>
      <c r="G126">
        <f>+bma!G126/data!$K126</f>
        <v>0</v>
      </c>
      <c r="H126">
        <f>+bma!H126/data!$K126</f>
        <v>0</v>
      </c>
      <c r="I126">
        <f>+bma!I126/data!$K126</f>
        <v>0</v>
      </c>
      <c r="J126">
        <f>+bma!L126/data!$K126</f>
        <v>4.7619047619047616E-2</v>
      </c>
      <c r="K126">
        <f>+bma!M126/data!$K126</f>
        <v>0</v>
      </c>
      <c r="L126">
        <f>+bma!J126/data!$K126</f>
        <v>0</v>
      </c>
      <c r="M126">
        <f>+bma!K126/data!$K126</f>
        <v>0</v>
      </c>
      <c r="N126">
        <f>+bma!N126/data!$K126</f>
        <v>0</v>
      </c>
      <c r="O126">
        <f>+bma!O126/data!$K126</f>
        <v>0</v>
      </c>
      <c r="P126">
        <f>+bma!P126/data!$K126</f>
        <v>4.7619047619047616E-2</v>
      </c>
      <c r="Q126">
        <f>+bma!Q126/data!$K126</f>
        <v>0.3616611428571429</v>
      </c>
      <c r="R126">
        <f>+bma!R126/data!$K126</f>
        <v>0.17194847619047618</v>
      </c>
      <c r="S126">
        <f>+bma!S126/data!$K126</f>
        <v>4.7619047619047616E-2</v>
      </c>
    </row>
    <row r="127" spans="1:19" x14ac:dyDescent="0.25">
      <c r="A127">
        <f>+bma!A127/data!$K127</f>
        <v>-2.3864520949817392E-2</v>
      </c>
      <c r="B127">
        <f>+bma!B127/data!$K127</f>
        <v>6.6847397618536074E-3</v>
      </c>
      <c r="C127">
        <f>+bma!C127/data!$K127</f>
        <v>4.7619047619047616E-2</v>
      </c>
      <c r="D127">
        <f>+bma!D127/data!$K127</f>
        <v>0</v>
      </c>
      <c r="E127">
        <f>+bma!E127/data!$K127</f>
        <v>4.7619047619047616E-2</v>
      </c>
      <c r="F127">
        <f>+bma!F127/data!$K127</f>
        <v>4.7619047619047616E-2</v>
      </c>
      <c r="G127">
        <f>+bma!G127/data!$K127</f>
        <v>0</v>
      </c>
      <c r="H127">
        <f>+bma!H127/data!$K127</f>
        <v>0</v>
      </c>
      <c r="I127">
        <f>+bma!I127/data!$K127</f>
        <v>0</v>
      </c>
      <c r="J127">
        <f>+bma!L127/data!$K127</f>
        <v>4.7619047619047616E-2</v>
      </c>
      <c r="K127">
        <f>+bma!M127/data!$K127</f>
        <v>0</v>
      </c>
      <c r="L127">
        <f>+bma!J127/data!$K127</f>
        <v>0</v>
      </c>
      <c r="M127">
        <f>+bma!K127/data!$K127</f>
        <v>0</v>
      </c>
      <c r="N127">
        <f>+bma!N127/data!$K127</f>
        <v>0</v>
      </c>
      <c r="O127">
        <f>+bma!O127/data!$K127</f>
        <v>0</v>
      </c>
      <c r="P127">
        <f>+bma!P127/data!$K127</f>
        <v>4.7619047619047616E-2</v>
      </c>
      <c r="Q127">
        <f>+bma!Q127/data!$K127</f>
        <v>0.3616611428571429</v>
      </c>
      <c r="R127">
        <f>+bma!R127/data!$K127</f>
        <v>0.17194847619047618</v>
      </c>
      <c r="S127">
        <f>+bma!S127/data!$K127</f>
        <v>4.7619047619047616E-2</v>
      </c>
    </row>
    <row r="128" spans="1:19" x14ac:dyDescent="0.25">
      <c r="A128">
        <f>+bma!A128/data!$K128</f>
        <v>1.9620729180591781E-2</v>
      </c>
      <c r="B128">
        <f>+bma!B128/data!$K128</f>
        <v>6.8603948183887323E-3</v>
      </c>
      <c r="C128">
        <f>+bma!C128/data!$K128</f>
        <v>4.7619047619047616E-2</v>
      </c>
      <c r="D128">
        <f>+bma!D128/data!$K128</f>
        <v>0</v>
      </c>
      <c r="E128">
        <f>+bma!E128/data!$K128</f>
        <v>4.7619047619047616E-2</v>
      </c>
      <c r="F128">
        <f>+bma!F128/data!$K128</f>
        <v>4.7619047619047616E-2</v>
      </c>
      <c r="G128">
        <f>+bma!G128/data!$K128</f>
        <v>0</v>
      </c>
      <c r="H128">
        <f>+bma!H128/data!$K128</f>
        <v>0</v>
      </c>
      <c r="I128">
        <f>+bma!I128/data!$K128</f>
        <v>0</v>
      </c>
      <c r="J128">
        <f>+bma!L128/data!$K128</f>
        <v>4.7619047619047616E-2</v>
      </c>
      <c r="K128">
        <f>+bma!M128/data!$K128</f>
        <v>0</v>
      </c>
      <c r="L128">
        <f>+bma!J128/data!$K128</f>
        <v>0</v>
      </c>
      <c r="M128">
        <f>+bma!K128/data!$K128</f>
        <v>0</v>
      </c>
      <c r="N128">
        <f>+bma!N128/data!$K128</f>
        <v>4.7619047619047616E-2</v>
      </c>
      <c r="O128">
        <f>+bma!O128/data!$K128</f>
        <v>0</v>
      </c>
      <c r="P128">
        <f>+bma!P128/data!$K128</f>
        <v>4.7619047619047616E-2</v>
      </c>
      <c r="Q128">
        <f>+bma!Q128/data!$K128</f>
        <v>0.3616611428571429</v>
      </c>
      <c r="R128">
        <f>+bma!R128/data!$K128</f>
        <v>0.17194847619047618</v>
      </c>
      <c r="S128">
        <f>+bma!S128/data!$K128</f>
        <v>4.7619047619047616E-2</v>
      </c>
    </row>
    <row r="129" spans="1:19" x14ac:dyDescent="0.25">
      <c r="A129">
        <f>+bma!A129/data!$K129</f>
        <v>1.161203360409851E-2</v>
      </c>
      <c r="B129">
        <f>+bma!B129/data!$K129</f>
        <v>7.49163458328936E-3</v>
      </c>
      <c r="C129">
        <f>+bma!C129/data!$K129</f>
        <v>4.7619047619047616E-2</v>
      </c>
      <c r="D129">
        <f>+bma!D129/data!$K129</f>
        <v>0</v>
      </c>
      <c r="E129">
        <f>+bma!E129/data!$K129</f>
        <v>4.7619047619047616E-2</v>
      </c>
      <c r="F129">
        <f>+bma!F129/data!$K129</f>
        <v>4.7619047619047616E-2</v>
      </c>
      <c r="G129">
        <f>+bma!G129/data!$K129</f>
        <v>0</v>
      </c>
      <c r="H129">
        <f>+bma!H129/data!$K129</f>
        <v>0</v>
      </c>
      <c r="I129">
        <f>+bma!I129/data!$K129</f>
        <v>0</v>
      </c>
      <c r="J129">
        <f>+bma!L129/data!$K129</f>
        <v>4.7619047619047616E-2</v>
      </c>
      <c r="K129">
        <f>+bma!M129/data!$K129</f>
        <v>0</v>
      </c>
      <c r="L129">
        <f>+bma!J129/data!$K129</f>
        <v>0</v>
      </c>
      <c r="M129">
        <f>+bma!K129/data!$K129</f>
        <v>0</v>
      </c>
      <c r="N129">
        <f>+bma!N129/data!$K129</f>
        <v>4.7619047619047616E-2</v>
      </c>
      <c r="O129">
        <f>+bma!O129/data!$K129</f>
        <v>0</v>
      </c>
      <c r="P129">
        <f>+bma!P129/data!$K129</f>
        <v>4.7619047619047616E-2</v>
      </c>
      <c r="Q129">
        <f>+bma!Q129/data!$K129</f>
        <v>0.3616611428571429</v>
      </c>
      <c r="R129">
        <f>+bma!R129/data!$K129</f>
        <v>0.17194847619047618</v>
      </c>
      <c r="S129">
        <f>+bma!S129/data!$K129</f>
        <v>4.7619047619047616E-2</v>
      </c>
    </row>
    <row r="130" spans="1:19" x14ac:dyDescent="0.25">
      <c r="A130">
        <f>+bma!A130/data!$K130</f>
        <v>-2.4619428912714562E-2</v>
      </c>
      <c r="B130">
        <f>+bma!B130/data!$K130</f>
        <v>6.4448766787210884E-3</v>
      </c>
      <c r="C130">
        <f>+bma!C130/data!$K130</f>
        <v>4.7619047619047616E-2</v>
      </c>
      <c r="D130">
        <f>+bma!D130/data!$K130</f>
        <v>0</v>
      </c>
      <c r="E130">
        <f>+bma!E130/data!$K130</f>
        <v>4.7619047619047616E-2</v>
      </c>
      <c r="F130">
        <f>+bma!F130/data!$K130</f>
        <v>4.7619047619047616E-2</v>
      </c>
      <c r="G130">
        <f>+bma!G130/data!$K130</f>
        <v>0</v>
      </c>
      <c r="H130">
        <f>+bma!H130/data!$K130</f>
        <v>0</v>
      </c>
      <c r="I130">
        <f>+bma!I130/data!$K130</f>
        <v>0</v>
      </c>
      <c r="J130">
        <f>+bma!L130/data!$K130</f>
        <v>4.7619047619047616E-2</v>
      </c>
      <c r="K130">
        <f>+bma!M130/data!$K130</f>
        <v>0</v>
      </c>
      <c r="L130">
        <f>+bma!J130/data!$K130</f>
        <v>0</v>
      </c>
      <c r="M130">
        <f>+bma!K130/data!$K130</f>
        <v>0</v>
      </c>
      <c r="N130">
        <f>+bma!N130/data!$K130</f>
        <v>0</v>
      </c>
      <c r="O130">
        <f>+bma!O130/data!$K130</f>
        <v>0</v>
      </c>
      <c r="P130">
        <f>+bma!P130/data!$K130</f>
        <v>4.7619047619047616E-2</v>
      </c>
      <c r="Q130">
        <f>+bma!Q130/data!$K130</f>
        <v>0.3616611428571429</v>
      </c>
      <c r="R130">
        <f>+bma!R130/data!$K130</f>
        <v>0.17194847619047618</v>
      </c>
      <c r="S130">
        <f>+bma!S130/data!$K130</f>
        <v>4.7619047619047616E-2</v>
      </c>
    </row>
    <row r="131" spans="1:19" x14ac:dyDescent="0.25">
      <c r="A131">
        <f>+bma!A131/data!$K131</f>
        <v>-2.4603554290584102E-2</v>
      </c>
      <c r="B131">
        <f>+bma!B131/data!$K131</f>
        <v>6.6138586802645463E-3</v>
      </c>
      <c r="C131">
        <f>+bma!C131/data!$K131</f>
        <v>4.7619047619047616E-2</v>
      </c>
      <c r="D131">
        <f>+bma!D131/data!$K131</f>
        <v>0</v>
      </c>
      <c r="E131">
        <f>+bma!E131/data!$K131</f>
        <v>4.7619047619047616E-2</v>
      </c>
      <c r="F131">
        <f>+bma!F131/data!$K131</f>
        <v>4.7619047619047616E-2</v>
      </c>
      <c r="G131">
        <f>+bma!G131/data!$K131</f>
        <v>0</v>
      </c>
      <c r="H131">
        <f>+bma!H131/data!$K131</f>
        <v>0</v>
      </c>
      <c r="I131">
        <f>+bma!I131/data!$K131</f>
        <v>0</v>
      </c>
      <c r="J131">
        <f>+bma!L131/data!$K131</f>
        <v>4.7619047619047616E-2</v>
      </c>
      <c r="K131">
        <f>+bma!M131/data!$K131</f>
        <v>0</v>
      </c>
      <c r="L131">
        <f>+bma!J131/data!$K131</f>
        <v>0</v>
      </c>
      <c r="M131">
        <f>+bma!K131/data!$K131</f>
        <v>0</v>
      </c>
      <c r="N131">
        <f>+bma!N131/data!$K131</f>
        <v>0</v>
      </c>
      <c r="O131">
        <f>+bma!O131/data!$K131</f>
        <v>0</v>
      </c>
      <c r="P131">
        <f>+bma!P131/data!$K131</f>
        <v>4.7619047619047616E-2</v>
      </c>
      <c r="Q131">
        <f>+bma!Q131/data!$K131</f>
        <v>0.3616611428571429</v>
      </c>
      <c r="R131">
        <f>+bma!R131/data!$K131</f>
        <v>0.17194847619047618</v>
      </c>
      <c r="S131">
        <f>+bma!S131/data!$K131</f>
        <v>4.7619047619047616E-2</v>
      </c>
    </row>
    <row r="132" spans="1:19" x14ac:dyDescent="0.25">
      <c r="A132">
        <f>+bma!A132/data!$K132</f>
        <v>2.1012843874089242E-2</v>
      </c>
      <c r="B132">
        <f>+bma!B132/data!$K132</f>
        <v>6.7565414386139052E-3</v>
      </c>
      <c r="C132">
        <f>+bma!C132/data!$K132</f>
        <v>4.7619047619047616E-2</v>
      </c>
      <c r="D132">
        <f>+bma!D132/data!$K132</f>
        <v>0</v>
      </c>
      <c r="E132">
        <f>+bma!E132/data!$K132</f>
        <v>4.7619047619047616E-2</v>
      </c>
      <c r="F132">
        <f>+bma!F132/data!$K132</f>
        <v>4.7619047619047616E-2</v>
      </c>
      <c r="G132">
        <f>+bma!G132/data!$K132</f>
        <v>0</v>
      </c>
      <c r="H132">
        <f>+bma!H132/data!$K132</f>
        <v>0</v>
      </c>
      <c r="I132">
        <f>+bma!I132/data!$K132</f>
        <v>0</v>
      </c>
      <c r="J132">
        <f>+bma!L132/data!$K132</f>
        <v>4.7619047619047616E-2</v>
      </c>
      <c r="K132">
        <f>+bma!M132/data!$K132</f>
        <v>0</v>
      </c>
      <c r="L132">
        <f>+bma!J132/data!$K132</f>
        <v>0</v>
      </c>
      <c r="M132">
        <f>+bma!K132/data!$K132</f>
        <v>0</v>
      </c>
      <c r="N132">
        <f>+bma!N132/data!$K132</f>
        <v>4.7619047619047616E-2</v>
      </c>
      <c r="O132">
        <f>+bma!O132/data!$K132</f>
        <v>0</v>
      </c>
      <c r="P132">
        <f>+bma!P132/data!$K132</f>
        <v>4.7619047619047616E-2</v>
      </c>
      <c r="Q132">
        <f>+bma!Q132/data!$K132</f>
        <v>0.3616611428571429</v>
      </c>
      <c r="R132">
        <f>+bma!R132/data!$K132</f>
        <v>0.17194847619047618</v>
      </c>
      <c r="S132">
        <f>+bma!S132/data!$K132</f>
        <v>4.7619047619047616E-2</v>
      </c>
    </row>
    <row r="133" spans="1:19" x14ac:dyDescent="0.25">
      <c r="A133">
        <f>+bma!A133/data!$K133</f>
        <v>1.5092718251990061E-2</v>
      </c>
      <c r="B133">
        <f>+bma!B133/data!$K133</f>
        <v>7.3265622582476004E-3</v>
      </c>
      <c r="C133">
        <f>+bma!C133/data!$K133</f>
        <v>4.7619047619047616E-2</v>
      </c>
      <c r="D133">
        <f>+bma!D133/data!$K133</f>
        <v>0</v>
      </c>
      <c r="E133">
        <f>+bma!E133/data!$K133</f>
        <v>4.7619047619047616E-2</v>
      </c>
      <c r="F133">
        <f>+bma!F133/data!$K133</f>
        <v>4.7619047619047616E-2</v>
      </c>
      <c r="G133">
        <f>+bma!G133/data!$K133</f>
        <v>0</v>
      </c>
      <c r="H133">
        <f>+bma!H133/data!$K133</f>
        <v>0</v>
      </c>
      <c r="I133">
        <f>+bma!I133/data!$K133</f>
        <v>0</v>
      </c>
      <c r="J133">
        <f>+bma!L133/data!$K133</f>
        <v>4.7619047619047616E-2</v>
      </c>
      <c r="K133">
        <f>+bma!M133/data!$K133</f>
        <v>0</v>
      </c>
      <c r="L133">
        <f>+bma!J133/data!$K133</f>
        <v>0</v>
      </c>
      <c r="M133">
        <f>+bma!K133/data!$K133</f>
        <v>0</v>
      </c>
      <c r="N133">
        <f>+bma!N133/data!$K133</f>
        <v>4.7619047619047616E-2</v>
      </c>
      <c r="O133">
        <f>+bma!O133/data!$K133</f>
        <v>0</v>
      </c>
      <c r="P133">
        <f>+bma!P133/data!$K133</f>
        <v>4.7619047619047616E-2</v>
      </c>
      <c r="Q133">
        <f>+bma!Q133/data!$K133</f>
        <v>0.3616611428571429</v>
      </c>
      <c r="R133">
        <f>+bma!R133/data!$K133</f>
        <v>0.17194847619047618</v>
      </c>
      <c r="S133">
        <f>+bma!S133/data!$K133</f>
        <v>4.7619047619047616E-2</v>
      </c>
    </row>
    <row r="134" spans="1:19" x14ac:dyDescent="0.25">
      <c r="A134">
        <f>+bma!A134/data!$K134</f>
        <v>4.5251156488912954E-3</v>
      </c>
      <c r="B134">
        <f>+bma!B134/data!$K134</f>
        <v>8.379843794243131E-3</v>
      </c>
      <c r="C134">
        <f>+bma!C134/data!$K134</f>
        <v>4.7619047619047616E-2</v>
      </c>
      <c r="D134">
        <f>+bma!D134/data!$K134</f>
        <v>4.7619047619047616E-2</v>
      </c>
      <c r="E134">
        <f>+bma!E134/data!$K134</f>
        <v>0</v>
      </c>
      <c r="F134">
        <f>+bma!F134/data!$K134</f>
        <v>4.7619047619047616E-2</v>
      </c>
      <c r="G134">
        <f>+bma!G134/data!$K134</f>
        <v>0</v>
      </c>
      <c r="H134">
        <f>+bma!H134/data!$K134</f>
        <v>0</v>
      </c>
      <c r="I134">
        <f>+bma!I134/data!$K134</f>
        <v>0</v>
      </c>
      <c r="J134">
        <f>+bma!L134/data!$K134</f>
        <v>4.7619047619047616E-2</v>
      </c>
      <c r="K134">
        <f>+bma!M134/data!$K134</f>
        <v>0</v>
      </c>
      <c r="L134">
        <f>+bma!J134/data!$K134</f>
        <v>0</v>
      </c>
      <c r="M134">
        <f>+bma!K134/data!$K134</f>
        <v>0</v>
      </c>
      <c r="N134">
        <f>+bma!N134/data!$K134</f>
        <v>0</v>
      </c>
      <c r="O134">
        <f>+bma!O134/data!$K134</f>
        <v>0</v>
      </c>
      <c r="P134">
        <f>+bma!P134/data!$K134</f>
        <v>4.7619047619047616E-2</v>
      </c>
      <c r="Q134">
        <f>+bma!Q134/data!$K134</f>
        <v>0.3616611428571429</v>
      </c>
      <c r="R134">
        <f>+bma!R134/data!$K134</f>
        <v>0.17194847619047618</v>
      </c>
      <c r="S134">
        <f>+bma!S134/data!$K134</f>
        <v>4.7619047619047616E-2</v>
      </c>
    </row>
    <row r="135" spans="1:19" x14ac:dyDescent="0.25">
      <c r="A135">
        <f>+bma!A135/data!$K135</f>
        <v>-6.2586850619760544E-3</v>
      </c>
      <c r="B135">
        <f>+bma!B135/data!$K135</f>
        <v>8.344913415968068E-3</v>
      </c>
      <c r="C135">
        <f>+bma!C135/data!$K135</f>
        <v>4.7619047619047616E-2</v>
      </c>
      <c r="D135">
        <f>+bma!D135/data!$K135</f>
        <v>4.7619047619047616E-2</v>
      </c>
      <c r="E135">
        <f>+bma!E135/data!$K135</f>
        <v>0</v>
      </c>
      <c r="F135">
        <f>+bma!F135/data!$K135</f>
        <v>4.7619047619047616E-2</v>
      </c>
      <c r="G135">
        <f>+bma!G135/data!$K135</f>
        <v>0</v>
      </c>
      <c r="H135">
        <f>+bma!H135/data!$K135</f>
        <v>0</v>
      </c>
      <c r="I135">
        <f>+bma!I135/data!$K135</f>
        <v>0</v>
      </c>
      <c r="J135">
        <f>+bma!L135/data!$K135</f>
        <v>4.7619047619047616E-2</v>
      </c>
      <c r="K135">
        <f>+bma!M135/data!$K135</f>
        <v>0</v>
      </c>
      <c r="L135">
        <f>+bma!J135/data!$K135</f>
        <v>0</v>
      </c>
      <c r="M135">
        <f>+bma!K135/data!$K135</f>
        <v>0</v>
      </c>
      <c r="N135">
        <f>+bma!N135/data!$K135</f>
        <v>0</v>
      </c>
      <c r="O135">
        <f>+bma!O135/data!$K135</f>
        <v>4.7619047619047616E-2</v>
      </c>
      <c r="P135">
        <f>+bma!P135/data!$K135</f>
        <v>4.7619047619047616E-2</v>
      </c>
      <c r="Q135">
        <f>+bma!Q135/data!$K135</f>
        <v>0.3616611428571429</v>
      </c>
      <c r="R135">
        <f>+bma!R135/data!$K135</f>
        <v>0.17194847619047618</v>
      </c>
      <c r="S135">
        <f>+bma!S135/data!$K135</f>
        <v>4.7619047619047616E-2</v>
      </c>
    </row>
    <row r="136" spans="1:19" x14ac:dyDescent="0.25">
      <c r="A136">
        <f>+bma!A136/data!$K136</f>
        <v>1.3110057353866824E-2</v>
      </c>
      <c r="B136">
        <f>+bma!B136/data!$K136</f>
        <v>8.0926279962140676E-3</v>
      </c>
      <c r="C136">
        <f>+bma!C136/data!$K136</f>
        <v>4.7619047619047616E-2</v>
      </c>
      <c r="D136">
        <f>+bma!D136/data!$K136</f>
        <v>4.7619047619047616E-2</v>
      </c>
      <c r="E136">
        <f>+bma!E136/data!$K136</f>
        <v>0</v>
      </c>
      <c r="F136">
        <f>+bma!F136/data!$K136</f>
        <v>4.7619047619047616E-2</v>
      </c>
      <c r="G136">
        <f>+bma!G136/data!$K136</f>
        <v>0</v>
      </c>
      <c r="H136">
        <f>+bma!H136/data!$K136</f>
        <v>0</v>
      </c>
      <c r="I136">
        <f>+bma!I136/data!$K136</f>
        <v>0</v>
      </c>
      <c r="J136">
        <f>+bma!L136/data!$K136</f>
        <v>4.7619047619047616E-2</v>
      </c>
      <c r="K136">
        <f>+bma!M136/data!$K136</f>
        <v>0</v>
      </c>
      <c r="L136">
        <f>+bma!J136/data!$K136</f>
        <v>0</v>
      </c>
      <c r="M136">
        <f>+bma!K136/data!$K136</f>
        <v>0</v>
      </c>
      <c r="N136">
        <f>+bma!N136/data!$K136</f>
        <v>4.7619047619047616E-2</v>
      </c>
      <c r="O136">
        <f>+bma!O136/data!$K136</f>
        <v>0</v>
      </c>
      <c r="P136">
        <f>+bma!P136/data!$K136</f>
        <v>4.7619047619047616E-2</v>
      </c>
      <c r="Q136">
        <f>+bma!Q136/data!$K136</f>
        <v>0.3616611428571429</v>
      </c>
      <c r="R136">
        <f>+bma!R136/data!$K136</f>
        <v>0.17194847619047618</v>
      </c>
      <c r="S136">
        <f>+bma!S136/data!$K136</f>
        <v>4.7619047619047616E-2</v>
      </c>
    </row>
    <row r="137" spans="1:19" x14ac:dyDescent="0.25">
      <c r="A137">
        <f>+bma!A137/data!$K137</f>
        <v>1.4193213925162288E-2</v>
      </c>
      <c r="B137">
        <f>+bma!B137/data!$K137</f>
        <v>7.2785712436729769E-3</v>
      </c>
      <c r="C137">
        <f>+bma!C137/data!$K137</f>
        <v>4.7619047619047616E-2</v>
      </c>
      <c r="D137">
        <f>+bma!D137/data!$K137</f>
        <v>4.7619047619047616E-2</v>
      </c>
      <c r="E137">
        <f>+bma!E137/data!$K137</f>
        <v>0</v>
      </c>
      <c r="F137">
        <f>+bma!F137/data!$K137</f>
        <v>4.7619047619047616E-2</v>
      </c>
      <c r="G137">
        <f>+bma!G137/data!$K137</f>
        <v>0</v>
      </c>
      <c r="H137">
        <f>+bma!H137/data!$K137</f>
        <v>0</v>
      </c>
      <c r="I137">
        <f>+bma!I137/data!$K137</f>
        <v>0</v>
      </c>
      <c r="J137">
        <f>+bma!L137/data!$K137</f>
        <v>4.7619047619047616E-2</v>
      </c>
      <c r="K137">
        <f>+bma!M137/data!$K137</f>
        <v>0</v>
      </c>
      <c r="L137">
        <f>+bma!J137/data!$K137</f>
        <v>0</v>
      </c>
      <c r="M137">
        <f>+bma!K137/data!$K137</f>
        <v>0</v>
      </c>
      <c r="N137">
        <f>+bma!N137/data!$K137</f>
        <v>4.7619047619047616E-2</v>
      </c>
      <c r="O137">
        <f>+bma!O137/data!$K137</f>
        <v>0</v>
      </c>
      <c r="P137">
        <f>+bma!P137/data!$K137</f>
        <v>4.7619047619047616E-2</v>
      </c>
      <c r="Q137">
        <f>+bma!Q137/data!$K137</f>
        <v>0.3616611428571429</v>
      </c>
      <c r="R137">
        <f>+bma!R137/data!$K137</f>
        <v>0.17194847619047618</v>
      </c>
      <c r="S137">
        <f>+bma!S137/data!$K137</f>
        <v>4.7619047619047616E-2</v>
      </c>
    </row>
    <row r="138" spans="1:19" x14ac:dyDescent="0.25">
      <c r="A138">
        <f>+bma!A138/data!$K138</f>
        <v>7.2529645512966635E-3</v>
      </c>
      <c r="B138">
        <f>+bma!B138/data!$K138</f>
        <v>7.6346995276806639E-3</v>
      </c>
      <c r="C138">
        <f>+bma!C138/data!$K138</f>
        <v>4.7619047619047616E-2</v>
      </c>
      <c r="D138">
        <f>+bma!D138/data!$K138</f>
        <v>4.7619047619047616E-2</v>
      </c>
      <c r="E138">
        <f>+bma!E138/data!$K138</f>
        <v>0</v>
      </c>
      <c r="F138">
        <f>+bma!F138/data!$K138</f>
        <v>4.7619047619047616E-2</v>
      </c>
      <c r="G138">
        <f>+bma!G138/data!$K138</f>
        <v>0</v>
      </c>
      <c r="H138">
        <f>+bma!H138/data!$K138</f>
        <v>0</v>
      </c>
      <c r="I138">
        <f>+bma!I138/data!$K138</f>
        <v>0</v>
      </c>
      <c r="J138">
        <f>+bma!L138/data!$K138</f>
        <v>4.7619047619047616E-2</v>
      </c>
      <c r="K138">
        <f>+bma!M138/data!$K138</f>
        <v>0</v>
      </c>
      <c r="L138">
        <f>+bma!J138/data!$K138</f>
        <v>0</v>
      </c>
      <c r="M138">
        <f>+bma!K138/data!$K138</f>
        <v>0</v>
      </c>
      <c r="N138">
        <f>+bma!N138/data!$K138</f>
        <v>4.7619047619047616E-2</v>
      </c>
      <c r="O138">
        <f>+bma!O138/data!$K138</f>
        <v>0</v>
      </c>
      <c r="P138">
        <f>+bma!P138/data!$K138</f>
        <v>4.7619047619047616E-2</v>
      </c>
      <c r="Q138">
        <f>+bma!Q138/data!$K138</f>
        <v>0.3616611428571429</v>
      </c>
      <c r="R138">
        <f>+bma!R138/data!$K138</f>
        <v>0.17194847619047618</v>
      </c>
      <c r="S138">
        <f>+bma!S138/data!$K138</f>
        <v>4.7619047619047616E-2</v>
      </c>
    </row>
    <row r="139" spans="1:19" x14ac:dyDescent="0.25">
      <c r="A139">
        <f>+bma!A139/data!$K139</f>
        <v>5.44403645944397E-3</v>
      </c>
      <c r="B139">
        <f>+bma!B139/data!$K139</f>
        <v>7.7771949420628395E-3</v>
      </c>
      <c r="C139">
        <f>+bma!C139/data!$K139</f>
        <v>4.7619047619047616E-2</v>
      </c>
      <c r="D139">
        <f>+bma!D139/data!$K139</f>
        <v>4.7619047619047616E-2</v>
      </c>
      <c r="E139">
        <f>+bma!E139/data!$K139</f>
        <v>0</v>
      </c>
      <c r="F139">
        <f>+bma!F139/data!$K139</f>
        <v>4.7619047619047616E-2</v>
      </c>
      <c r="G139">
        <f>+bma!G139/data!$K139</f>
        <v>0</v>
      </c>
      <c r="H139">
        <f>+bma!H139/data!$K139</f>
        <v>0</v>
      </c>
      <c r="I139">
        <f>+bma!I139/data!$K139</f>
        <v>0</v>
      </c>
      <c r="J139">
        <f>+bma!L139/data!$K139</f>
        <v>4.7619047619047616E-2</v>
      </c>
      <c r="K139">
        <f>+bma!M139/data!$K139</f>
        <v>0</v>
      </c>
      <c r="L139">
        <f>+bma!J139/data!$K139</f>
        <v>0</v>
      </c>
      <c r="M139">
        <f>+bma!K139/data!$K139</f>
        <v>0</v>
      </c>
      <c r="N139">
        <f>+bma!N139/data!$K139</f>
        <v>4.7619047619047616E-2</v>
      </c>
      <c r="O139">
        <f>+bma!O139/data!$K139</f>
        <v>0</v>
      </c>
      <c r="P139">
        <f>+bma!P139/data!$K139</f>
        <v>4.7619047619047616E-2</v>
      </c>
      <c r="Q139">
        <f>+bma!Q139/data!$K139</f>
        <v>0.3616611428571429</v>
      </c>
      <c r="R139">
        <f>+bma!R139/data!$K139</f>
        <v>0.17194847619047618</v>
      </c>
      <c r="S139">
        <f>+bma!S139/data!$K139</f>
        <v>4.7619047619047616E-2</v>
      </c>
    </row>
    <row r="140" spans="1:19" x14ac:dyDescent="0.25">
      <c r="A140">
        <f>+bma!A140/data!$K140</f>
        <v>-3.4762785476131586E-4</v>
      </c>
      <c r="B140">
        <f>+bma!B140/data!$K140</f>
        <v>1.1321491720827822E-4</v>
      </c>
      <c r="C140">
        <f>+bma!C140/data!$K140</f>
        <v>0</v>
      </c>
      <c r="D140">
        <f>+bma!D140/data!$K140</f>
        <v>0</v>
      </c>
      <c r="E140">
        <f>+bma!E140/data!$K140</f>
        <v>0</v>
      </c>
      <c r="F140">
        <f>+bma!F140/data!$K140</f>
        <v>0</v>
      </c>
      <c r="G140">
        <f>+bma!G140/data!$K140</f>
        <v>9.5238095238095247E-3</v>
      </c>
      <c r="H140">
        <f>+bma!H140/data!$K140</f>
        <v>9.5238095238095247E-3</v>
      </c>
      <c r="I140">
        <f>+bma!I140/data!$K140</f>
        <v>9.5238095238095247E-3</v>
      </c>
      <c r="J140">
        <f>+bma!L140/data!$K140</f>
        <v>0</v>
      </c>
      <c r="K140">
        <f>+bma!M140/data!$K140</f>
        <v>9.5238095238095247E-3</v>
      </c>
      <c r="L140">
        <f>+bma!J140/data!$K140</f>
        <v>0</v>
      </c>
      <c r="M140">
        <f>+bma!K140/data!$K140</f>
        <v>0</v>
      </c>
      <c r="N140">
        <f>+bma!N140/data!$K140</f>
        <v>0</v>
      </c>
      <c r="O140">
        <f>+bma!O140/data!$K140</f>
        <v>0</v>
      </c>
      <c r="P140">
        <f>+bma!P140/data!$K140</f>
        <v>9.5238095238095247E-3</v>
      </c>
      <c r="Q140">
        <f>+bma!Q140/data!$K140</f>
        <v>7.2441790476190482E-2</v>
      </c>
      <c r="R140">
        <f>+bma!R140/data!$K140</f>
        <v>3.8993761904761899E-2</v>
      </c>
      <c r="S140">
        <f>+bma!S140/data!$K140</f>
        <v>0</v>
      </c>
    </row>
    <row r="141" spans="1:19" x14ac:dyDescent="0.25">
      <c r="A141">
        <f>+bma!A141/data!$K141</f>
        <v>3.1623836305657259E-5</v>
      </c>
      <c r="B141">
        <f>+bma!B141/data!$K141</f>
        <v>1.1328978720488203E-4</v>
      </c>
      <c r="C141">
        <f>+bma!C141/data!$K141</f>
        <v>0</v>
      </c>
      <c r="D141">
        <f>+bma!D141/data!$K141</f>
        <v>0</v>
      </c>
      <c r="E141">
        <f>+bma!E141/data!$K141</f>
        <v>0</v>
      </c>
      <c r="F141">
        <f>+bma!F141/data!$K141</f>
        <v>0</v>
      </c>
      <c r="G141">
        <f>+bma!G141/data!$K141</f>
        <v>9.5238095238095247E-3</v>
      </c>
      <c r="H141">
        <f>+bma!H141/data!$K141</f>
        <v>9.5238095238095247E-3</v>
      </c>
      <c r="I141">
        <f>+bma!I141/data!$K141</f>
        <v>9.5238095238095247E-3</v>
      </c>
      <c r="J141">
        <f>+bma!L141/data!$K141</f>
        <v>0</v>
      </c>
      <c r="K141">
        <f>+bma!M141/data!$K141</f>
        <v>9.5238095238095247E-3</v>
      </c>
      <c r="L141">
        <f>+bma!J141/data!$K141</f>
        <v>0</v>
      </c>
      <c r="M141">
        <f>+bma!K141/data!$K141</f>
        <v>0</v>
      </c>
      <c r="N141">
        <f>+bma!N141/data!$K141</f>
        <v>9.5238095238095247E-3</v>
      </c>
      <c r="O141">
        <f>+bma!O141/data!$K141</f>
        <v>0</v>
      </c>
      <c r="P141">
        <f>+bma!P141/data!$K141</f>
        <v>9.5238095238095247E-3</v>
      </c>
      <c r="Q141">
        <f>+bma!Q141/data!$K141</f>
        <v>7.2441790476190482E-2</v>
      </c>
      <c r="R141">
        <f>+bma!R141/data!$K141</f>
        <v>3.8993761904761899E-2</v>
      </c>
      <c r="S141">
        <f>+bma!S141/data!$K141</f>
        <v>0</v>
      </c>
    </row>
    <row r="142" spans="1:19" x14ac:dyDescent="0.25">
      <c r="A142">
        <f>+bma!A142/data!$K142</f>
        <v>3.7628307353673673E-5</v>
      </c>
      <c r="B142">
        <f>+bma!B142/data!$K142</f>
        <v>1.1328952751643687E-4</v>
      </c>
      <c r="C142">
        <f>+bma!C142/data!$K142</f>
        <v>0</v>
      </c>
      <c r="D142">
        <f>+bma!D142/data!$K142</f>
        <v>0</v>
      </c>
      <c r="E142">
        <f>+bma!E142/data!$K142</f>
        <v>0</v>
      </c>
      <c r="F142">
        <f>+bma!F142/data!$K142</f>
        <v>0</v>
      </c>
      <c r="G142">
        <f>+bma!G142/data!$K142</f>
        <v>9.5238095238095247E-3</v>
      </c>
      <c r="H142">
        <f>+bma!H142/data!$K142</f>
        <v>9.5238095238095247E-3</v>
      </c>
      <c r="I142">
        <f>+bma!I142/data!$K142</f>
        <v>9.5238095238095247E-3</v>
      </c>
      <c r="J142">
        <f>+bma!L142/data!$K142</f>
        <v>0</v>
      </c>
      <c r="K142">
        <f>+bma!M142/data!$K142</f>
        <v>9.5238095238095247E-3</v>
      </c>
      <c r="L142">
        <f>+bma!J142/data!$K142</f>
        <v>0</v>
      </c>
      <c r="M142">
        <f>+bma!K142/data!$K142</f>
        <v>0</v>
      </c>
      <c r="N142">
        <f>+bma!N142/data!$K142</f>
        <v>0</v>
      </c>
      <c r="O142">
        <f>+bma!O142/data!$K142</f>
        <v>9.5238095238095247E-3</v>
      </c>
      <c r="P142">
        <f>+bma!P142/data!$K142</f>
        <v>9.5238095238095247E-3</v>
      </c>
      <c r="Q142">
        <f>+bma!Q142/data!$K142</f>
        <v>7.2441790476190482E-2</v>
      </c>
      <c r="R142">
        <f>+bma!R142/data!$K142</f>
        <v>3.8993761904761899E-2</v>
      </c>
      <c r="S142">
        <f>+bma!S142/data!$K142</f>
        <v>0</v>
      </c>
    </row>
    <row r="143" spans="1:19" x14ac:dyDescent="0.25">
      <c r="A143">
        <f>+bma!A143/data!$K143</f>
        <v>-3.6079855526431062E-4</v>
      </c>
      <c r="B143">
        <f>+bma!B143/data!$K143</f>
        <v>1.1231470177649339E-4</v>
      </c>
      <c r="C143">
        <f>+bma!C143/data!$K143</f>
        <v>0</v>
      </c>
      <c r="D143">
        <f>+bma!D143/data!$K143</f>
        <v>0</v>
      </c>
      <c r="E143">
        <f>+bma!E143/data!$K143</f>
        <v>0</v>
      </c>
      <c r="F143">
        <f>+bma!F143/data!$K143</f>
        <v>0</v>
      </c>
      <c r="G143">
        <f>+bma!G143/data!$K143</f>
        <v>9.5238095238095247E-3</v>
      </c>
      <c r="H143">
        <f>+bma!H143/data!$K143</f>
        <v>9.5238095238095247E-3</v>
      </c>
      <c r="I143">
        <f>+bma!I143/data!$K143</f>
        <v>9.5238095238095247E-3</v>
      </c>
      <c r="J143">
        <f>+bma!L143/data!$K143</f>
        <v>0</v>
      </c>
      <c r="K143">
        <f>+bma!M143/data!$K143</f>
        <v>9.5238095238095247E-3</v>
      </c>
      <c r="L143">
        <f>+bma!J143/data!$K143</f>
        <v>0</v>
      </c>
      <c r="M143">
        <f>+bma!K143/data!$K143</f>
        <v>0</v>
      </c>
      <c r="N143">
        <f>+bma!N143/data!$K143</f>
        <v>0</v>
      </c>
      <c r="O143">
        <f>+bma!O143/data!$K143</f>
        <v>0</v>
      </c>
      <c r="P143">
        <f>+bma!P143/data!$K143</f>
        <v>9.5238095238095247E-3</v>
      </c>
      <c r="Q143">
        <f>+bma!Q143/data!$K143</f>
        <v>7.2441790476190482E-2</v>
      </c>
      <c r="R143">
        <f>+bma!R143/data!$K143</f>
        <v>3.8993761904761899E-2</v>
      </c>
      <c r="S143">
        <f>+bma!S143/data!$K143</f>
        <v>0</v>
      </c>
    </row>
    <row r="144" spans="1:19" x14ac:dyDescent="0.25">
      <c r="A144">
        <f>+bma!A144/data!$K144</f>
        <v>8.6157696016410463E-5</v>
      </c>
      <c r="B144">
        <f>+bma!B144/data!$K144</f>
        <v>1.1239078554976529E-4</v>
      </c>
      <c r="C144">
        <f>+bma!C144/data!$K144</f>
        <v>0</v>
      </c>
      <c r="D144">
        <f>+bma!D144/data!$K144</f>
        <v>0</v>
      </c>
      <c r="E144">
        <f>+bma!E144/data!$K144</f>
        <v>0</v>
      </c>
      <c r="F144">
        <f>+bma!F144/data!$K144</f>
        <v>0</v>
      </c>
      <c r="G144">
        <f>+bma!G144/data!$K144</f>
        <v>9.5238095238095247E-3</v>
      </c>
      <c r="H144">
        <f>+bma!H144/data!$K144</f>
        <v>9.5238095238095247E-3</v>
      </c>
      <c r="I144">
        <f>+bma!I144/data!$K144</f>
        <v>9.5238095238095247E-3</v>
      </c>
      <c r="J144">
        <f>+bma!L144/data!$K144</f>
        <v>0</v>
      </c>
      <c r="K144">
        <f>+bma!M144/data!$K144</f>
        <v>9.5238095238095247E-3</v>
      </c>
      <c r="L144">
        <f>+bma!J144/data!$K144</f>
        <v>0</v>
      </c>
      <c r="M144">
        <f>+bma!K144/data!$K144</f>
        <v>0</v>
      </c>
      <c r="N144">
        <f>+bma!N144/data!$K144</f>
        <v>9.5238095238095247E-3</v>
      </c>
      <c r="O144">
        <f>+bma!O144/data!$K144</f>
        <v>0</v>
      </c>
      <c r="P144">
        <f>+bma!P144/data!$K144</f>
        <v>9.5238095238095247E-3</v>
      </c>
      <c r="Q144">
        <f>+bma!Q144/data!$K144</f>
        <v>7.2441790476190482E-2</v>
      </c>
      <c r="R144">
        <f>+bma!R144/data!$K144</f>
        <v>3.8993761904761899E-2</v>
      </c>
      <c r="S144">
        <f>+bma!S144/data!$K144</f>
        <v>0</v>
      </c>
    </row>
    <row r="145" spans="1:19" x14ac:dyDescent="0.25">
      <c r="A145">
        <f>+bma!A145/data!$K145</f>
        <v>6.572829509200271E-7</v>
      </c>
      <c r="B145">
        <f>+bma!B145/data!$K145</f>
        <v>1.1239538460732464E-4</v>
      </c>
      <c r="C145">
        <f>+bma!C145/data!$K145</f>
        <v>0</v>
      </c>
      <c r="D145">
        <f>+bma!D145/data!$K145</f>
        <v>0</v>
      </c>
      <c r="E145">
        <f>+bma!E145/data!$K145</f>
        <v>0</v>
      </c>
      <c r="F145">
        <f>+bma!F145/data!$K145</f>
        <v>0</v>
      </c>
      <c r="G145">
        <f>+bma!G145/data!$K145</f>
        <v>9.5238095238095247E-3</v>
      </c>
      <c r="H145">
        <f>+bma!H145/data!$K145</f>
        <v>9.5238095238095247E-3</v>
      </c>
      <c r="I145">
        <f>+bma!I145/data!$K145</f>
        <v>9.5238095238095247E-3</v>
      </c>
      <c r="J145">
        <f>+bma!L145/data!$K145</f>
        <v>0</v>
      </c>
      <c r="K145">
        <f>+bma!M145/data!$K145</f>
        <v>9.5238095238095247E-3</v>
      </c>
      <c r="L145">
        <f>+bma!J145/data!$K145</f>
        <v>0</v>
      </c>
      <c r="M145">
        <f>+bma!K145/data!$K145</f>
        <v>0</v>
      </c>
      <c r="N145">
        <f>+bma!N145/data!$K145</f>
        <v>0</v>
      </c>
      <c r="O145">
        <f>+bma!O145/data!$K145</f>
        <v>9.5238095238095247E-3</v>
      </c>
      <c r="P145">
        <f>+bma!P145/data!$K145</f>
        <v>9.5238095238095247E-3</v>
      </c>
      <c r="Q145">
        <f>+bma!Q145/data!$K145</f>
        <v>7.2441790476190482E-2</v>
      </c>
      <c r="R145">
        <f>+bma!R145/data!$K145</f>
        <v>3.8993761904761899E-2</v>
      </c>
      <c r="S145">
        <f>+bma!S145/data!$K145</f>
        <v>0</v>
      </c>
    </row>
    <row r="146" spans="1:19" x14ac:dyDescent="0.25">
      <c r="A146">
        <f>+bma!A146/data!$K146</f>
        <v>-1.8323757619820343E-4</v>
      </c>
      <c r="B146">
        <f>+bma!B146/data!$K146</f>
        <v>1.5400263596780132E-4</v>
      </c>
      <c r="C146">
        <f>+bma!C146/data!$K146</f>
        <v>9.5238095238095247E-3</v>
      </c>
      <c r="D146">
        <f>+bma!D146/data!$K146</f>
        <v>0</v>
      </c>
      <c r="E146">
        <f>+bma!E146/data!$K146</f>
        <v>0</v>
      </c>
      <c r="F146">
        <f>+bma!F146/data!$K146</f>
        <v>0</v>
      </c>
      <c r="G146">
        <f>+bma!G146/data!$K146</f>
        <v>9.5238095238095247E-3</v>
      </c>
      <c r="H146">
        <f>+bma!H146/data!$K146</f>
        <v>9.5238095238095247E-3</v>
      </c>
      <c r="I146">
        <f>+bma!I146/data!$K146</f>
        <v>9.5238095238095247E-3</v>
      </c>
      <c r="J146">
        <f>+bma!L146/data!$K146</f>
        <v>0</v>
      </c>
      <c r="K146">
        <f>+bma!M146/data!$K146</f>
        <v>9.5238095238095247E-3</v>
      </c>
      <c r="L146">
        <f>+bma!J146/data!$K146</f>
        <v>0</v>
      </c>
      <c r="M146">
        <f>+bma!K146/data!$K146</f>
        <v>0</v>
      </c>
      <c r="N146">
        <f>+bma!N146/data!$K146</f>
        <v>0</v>
      </c>
      <c r="O146">
        <f>+bma!O146/data!$K146</f>
        <v>0</v>
      </c>
      <c r="P146">
        <f>+bma!P146/data!$K146</f>
        <v>9.5238095238095247E-3</v>
      </c>
      <c r="Q146">
        <f>+bma!Q146/data!$K146</f>
        <v>7.2441790476190482E-2</v>
      </c>
      <c r="R146">
        <f>+bma!R146/data!$K146</f>
        <v>3.8993761904761899E-2</v>
      </c>
      <c r="S146">
        <f>+bma!S146/data!$K146</f>
        <v>0</v>
      </c>
    </row>
    <row r="147" spans="1:19" x14ac:dyDescent="0.25">
      <c r="A147">
        <f>+bma!A147/data!$K147</f>
        <v>1.8236488806609372E-4</v>
      </c>
      <c r="B147">
        <f>+bma!B147/data!$K147</f>
        <v>1.5400290692790764E-4</v>
      </c>
      <c r="C147">
        <f>+bma!C147/data!$K147</f>
        <v>9.5238095238095247E-3</v>
      </c>
      <c r="D147">
        <f>+bma!D147/data!$K147</f>
        <v>0</v>
      </c>
      <c r="E147">
        <f>+bma!E147/data!$K147</f>
        <v>0</v>
      </c>
      <c r="F147">
        <f>+bma!F147/data!$K147</f>
        <v>0</v>
      </c>
      <c r="G147">
        <f>+bma!G147/data!$K147</f>
        <v>9.5238095238095247E-3</v>
      </c>
      <c r="H147">
        <f>+bma!H147/data!$K147</f>
        <v>9.5238095238095247E-3</v>
      </c>
      <c r="I147">
        <f>+bma!I147/data!$K147</f>
        <v>9.5238095238095247E-3</v>
      </c>
      <c r="J147">
        <f>+bma!L147/data!$K147</f>
        <v>0</v>
      </c>
      <c r="K147">
        <f>+bma!M147/data!$K147</f>
        <v>9.5238095238095247E-3</v>
      </c>
      <c r="L147">
        <f>+bma!J147/data!$K147</f>
        <v>0</v>
      </c>
      <c r="M147">
        <f>+bma!K147/data!$K147</f>
        <v>0</v>
      </c>
      <c r="N147">
        <f>+bma!N147/data!$K147</f>
        <v>9.5238095238095247E-3</v>
      </c>
      <c r="O147">
        <f>+bma!O147/data!$K147</f>
        <v>0</v>
      </c>
      <c r="P147">
        <f>+bma!P147/data!$K147</f>
        <v>9.5238095238095247E-3</v>
      </c>
      <c r="Q147">
        <f>+bma!Q147/data!$K147</f>
        <v>7.2441790476190482E-2</v>
      </c>
      <c r="R147">
        <f>+bma!R147/data!$K147</f>
        <v>3.8993761904761899E-2</v>
      </c>
      <c r="S147">
        <f>+bma!S147/data!$K147</f>
        <v>0</v>
      </c>
    </row>
    <row r="148" spans="1:19" x14ac:dyDescent="0.25">
      <c r="A148">
        <f>+bma!A148/data!$K148</f>
        <v>8.9088082560623443E-5</v>
      </c>
      <c r="B148">
        <f>+bma!B148/data!$K148</f>
        <v>1.5402440872373769E-4</v>
      </c>
      <c r="C148">
        <f>+bma!C148/data!$K148</f>
        <v>9.5238095238095247E-3</v>
      </c>
      <c r="D148">
        <f>+bma!D148/data!$K148</f>
        <v>0</v>
      </c>
      <c r="E148">
        <f>+bma!E148/data!$K148</f>
        <v>0</v>
      </c>
      <c r="F148">
        <f>+bma!F148/data!$K148</f>
        <v>0</v>
      </c>
      <c r="G148">
        <f>+bma!G148/data!$K148</f>
        <v>9.5238095238095247E-3</v>
      </c>
      <c r="H148">
        <f>+bma!H148/data!$K148</f>
        <v>9.5238095238095247E-3</v>
      </c>
      <c r="I148">
        <f>+bma!I148/data!$K148</f>
        <v>9.5238095238095247E-3</v>
      </c>
      <c r="J148">
        <f>+bma!L148/data!$K148</f>
        <v>0</v>
      </c>
      <c r="K148">
        <f>+bma!M148/data!$K148</f>
        <v>9.5238095238095247E-3</v>
      </c>
      <c r="L148">
        <f>+bma!J148/data!$K148</f>
        <v>0</v>
      </c>
      <c r="M148">
        <f>+bma!K148/data!$K148</f>
        <v>0</v>
      </c>
      <c r="N148">
        <f>+bma!N148/data!$K148</f>
        <v>0</v>
      </c>
      <c r="O148">
        <f>+bma!O148/data!$K148</f>
        <v>9.5238095238095247E-3</v>
      </c>
      <c r="P148">
        <f>+bma!P148/data!$K148</f>
        <v>9.5238095238095247E-3</v>
      </c>
      <c r="Q148">
        <f>+bma!Q148/data!$K148</f>
        <v>7.2441790476190482E-2</v>
      </c>
      <c r="R148">
        <f>+bma!R148/data!$K148</f>
        <v>3.8993761904761899E-2</v>
      </c>
      <c r="S148">
        <f>+bma!S148/data!$K148</f>
        <v>0</v>
      </c>
    </row>
    <row r="149" spans="1:19" x14ac:dyDescent="0.25">
      <c r="A149">
        <f>+bma!A149/data!$K149</f>
        <v>-8.3885097809890366E-4</v>
      </c>
      <c r="B149">
        <f>+bma!B149/data!$K149</f>
        <v>2.5964435036394636E-4</v>
      </c>
      <c r="C149">
        <f>+bma!C149/data!$K149</f>
        <v>0</v>
      </c>
      <c r="D149">
        <f>+bma!D149/data!$K149</f>
        <v>0</v>
      </c>
      <c r="E149">
        <f>+bma!E149/data!$K149</f>
        <v>0</v>
      </c>
      <c r="F149">
        <f>+bma!F149/data!$K149</f>
        <v>0</v>
      </c>
      <c r="G149">
        <f>+bma!G149/data!$K149</f>
        <v>9.5238095238095247E-3</v>
      </c>
      <c r="H149">
        <f>+bma!H149/data!$K149</f>
        <v>9.5238095238095247E-3</v>
      </c>
      <c r="I149">
        <f>+bma!I149/data!$K149</f>
        <v>9.5238095238095247E-3</v>
      </c>
      <c r="J149">
        <f>+bma!L149/data!$K149</f>
        <v>0</v>
      </c>
      <c r="K149">
        <f>+bma!M149/data!$K149</f>
        <v>9.5238095238095247E-3</v>
      </c>
      <c r="L149">
        <f>+bma!J149/data!$K149</f>
        <v>0</v>
      </c>
      <c r="M149">
        <f>+bma!K149/data!$K149</f>
        <v>0</v>
      </c>
      <c r="N149">
        <f>+bma!N149/data!$K149</f>
        <v>0</v>
      </c>
      <c r="O149">
        <f>+bma!O149/data!$K149</f>
        <v>0</v>
      </c>
      <c r="P149">
        <f>+bma!P149/data!$K149</f>
        <v>9.5238095238095247E-3</v>
      </c>
      <c r="Q149">
        <f>+bma!Q149/data!$K149</f>
        <v>7.2441790476190482E-2</v>
      </c>
      <c r="R149">
        <f>+bma!R149/data!$K149</f>
        <v>3.8993761904761899E-2</v>
      </c>
      <c r="S149">
        <f>+bma!S149/data!$K149</f>
        <v>0</v>
      </c>
    </row>
    <row r="150" spans="1:19" x14ac:dyDescent="0.25">
      <c r="A150">
        <f>+bma!A150/data!$K150</f>
        <v>6.6958337497778316E-4</v>
      </c>
      <c r="B150">
        <f>+bma!B150/data!$K150</f>
        <v>2.6001239663584001E-4</v>
      </c>
      <c r="C150">
        <f>+bma!C150/data!$K150</f>
        <v>0</v>
      </c>
      <c r="D150">
        <f>+bma!D150/data!$K150</f>
        <v>0</v>
      </c>
      <c r="E150">
        <f>+bma!E150/data!$K150</f>
        <v>0</v>
      </c>
      <c r="F150">
        <f>+bma!F150/data!$K150</f>
        <v>0</v>
      </c>
      <c r="G150">
        <f>+bma!G150/data!$K150</f>
        <v>9.5238095238095247E-3</v>
      </c>
      <c r="H150">
        <f>+bma!H150/data!$K150</f>
        <v>9.5238095238095247E-3</v>
      </c>
      <c r="I150">
        <f>+bma!I150/data!$K150</f>
        <v>9.5238095238095247E-3</v>
      </c>
      <c r="J150">
        <f>+bma!L150/data!$K150</f>
        <v>0</v>
      </c>
      <c r="K150">
        <f>+bma!M150/data!$K150</f>
        <v>9.5238095238095247E-3</v>
      </c>
      <c r="L150">
        <f>+bma!J150/data!$K150</f>
        <v>0</v>
      </c>
      <c r="M150">
        <f>+bma!K150/data!$K150</f>
        <v>0</v>
      </c>
      <c r="N150">
        <f>+bma!N150/data!$K150</f>
        <v>9.5238095238095247E-3</v>
      </c>
      <c r="O150">
        <f>+bma!O150/data!$K150</f>
        <v>0</v>
      </c>
      <c r="P150">
        <f>+bma!P150/data!$K150</f>
        <v>9.5238095238095247E-3</v>
      </c>
      <c r="Q150">
        <f>+bma!Q150/data!$K150</f>
        <v>7.2441790476190482E-2</v>
      </c>
      <c r="R150">
        <f>+bma!R150/data!$K150</f>
        <v>3.8993761904761899E-2</v>
      </c>
      <c r="S150">
        <f>+bma!S150/data!$K150</f>
        <v>0</v>
      </c>
    </row>
    <row r="151" spans="1:19" x14ac:dyDescent="0.25">
      <c r="A151">
        <f>+bma!A151/data!$K151</f>
        <v>1.8743435128558585E-4</v>
      </c>
      <c r="B151">
        <f>+bma!B151/data!$K151</f>
        <v>2.6060692085653526E-4</v>
      </c>
      <c r="C151">
        <f>+bma!C151/data!$K151</f>
        <v>0</v>
      </c>
      <c r="D151">
        <f>+bma!D151/data!$K151</f>
        <v>0</v>
      </c>
      <c r="E151">
        <f>+bma!E151/data!$K151</f>
        <v>0</v>
      </c>
      <c r="F151">
        <f>+bma!F151/data!$K151</f>
        <v>0</v>
      </c>
      <c r="G151">
        <f>+bma!G151/data!$K151</f>
        <v>9.5238095238095247E-3</v>
      </c>
      <c r="H151">
        <f>+bma!H151/data!$K151</f>
        <v>9.5238095238095247E-3</v>
      </c>
      <c r="I151">
        <f>+bma!I151/data!$K151</f>
        <v>9.5238095238095247E-3</v>
      </c>
      <c r="J151">
        <f>+bma!L151/data!$K151</f>
        <v>0</v>
      </c>
      <c r="K151">
        <f>+bma!M151/data!$K151</f>
        <v>9.5238095238095247E-3</v>
      </c>
      <c r="L151">
        <f>+bma!J151/data!$K151</f>
        <v>0</v>
      </c>
      <c r="M151">
        <f>+bma!K151/data!$K151</f>
        <v>0</v>
      </c>
      <c r="N151">
        <f>+bma!N151/data!$K151</f>
        <v>0</v>
      </c>
      <c r="O151">
        <f>+bma!O151/data!$K151</f>
        <v>9.5238095238095247E-3</v>
      </c>
      <c r="P151">
        <f>+bma!P151/data!$K151</f>
        <v>9.5238095238095247E-3</v>
      </c>
      <c r="Q151">
        <f>+bma!Q151/data!$K151</f>
        <v>7.2441790476190482E-2</v>
      </c>
      <c r="R151">
        <f>+bma!R151/data!$K151</f>
        <v>3.8993761904761899E-2</v>
      </c>
      <c r="S151">
        <f>+bma!S151/data!$K151</f>
        <v>0</v>
      </c>
    </row>
    <row r="152" spans="1:19" x14ac:dyDescent="0.25">
      <c r="A152">
        <f>+bma!A152/data!$K152</f>
        <v>-7.0763309085382852E-4</v>
      </c>
      <c r="B152">
        <f>+bma!B152/data!$K152</f>
        <v>2.5848877510485852E-4</v>
      </c>
      <c r="C152">
        <f>+bma!C152/data!$K152</f>
        <v>0</v>
      </c>
      <c r="D152">
        <f>+bma!D152/data!$K152</f>
        <v>0</v>
      </c>
      <c r="E152">
        <f>+bma!E152/data!$K152</f>
        <v>0</v>
      </c>
      <c r="F152">
        <f>+bma!F152/data!$K152</f>
        <v>0</v>
      </c>
      <c r="G152">
        <f>+bma!G152/data!$K152</f>
        <v>9.5238095238095247E-3</v>
      </c>
      <c r="H152">
        <f>+bma!H152/data!$K152</f>
        <v>9.5238095238095247E-3</v>
      </c>
      <c r="I152">
        <f>+bma!I152/data!$K152</f>
        <v>9.5238095238095247E-3</v>
      </c>
      <c r="J152">
        <f>+bma!L152/data!$K152</f>
        <v>0</v>
      </c>
      <c r="K152">
        <f>+bma!M152/data!$K152</f>
        <v>9.5238095238095247E-3</v>
      </c>
      <c r="L152">
        <f>+bma!J152/data!$K152</f>
        <v>0</v>
      </c>
      <c r="M152">
        <f>+bma!K152/data!$K152</f>
        <v>0</v>
      </c>
      <c r="N152">
        <f>+bma!N152/data!$K152</f>
        <v>0</v>
      </c>
      <c r="O152">
        <f>+bma!O152/data!$K152</f>
        <v>0</v>
      </c>
      <c r="P152">
        <f>+bma!P152/data!$K152</f>
        <v>9.5238095238095247E-3</v>
      </c>
      <c r="Q152">
        <f>+bma!Q152/data!$K152</f>
        <v>7.2441790476190482E-2</v>
      </c>
      <c r="R152">
        <f>+bma!R152/data!$K152</f>
        <v>3.8993761904761899E-2</v>
      </c>
      <c r="S152">
        <f>+bma!S152/data!$K152</f>
        <v>0</v>
      </c>
    </row>
    <row r="153" spans="1:19" x14ac:dyDescent="0.25">
      <c r="A153">
        <f>+bma!A153/data!$K153</f>
        <v>8.6786473527937367E-5</v>
      </c>
      <c r="B153">
        <f>+bma!B153/data!$K153</f>
        <v>2.5919450147605456E-4</v>
      </c>
      <c r="C153">
        <f>+bma!C153/data!$K153</f>
        <v>0</v>
      </c>
      <c r="D153">
        <f>+bma!D153/data!$K153</f>
        <v>0</v>
      </c>
      <c r="E153">
        <f>+bma!E153/data!$K153</f>
        <v>0</v>
      </c>
      <c r="F153">
        <f>+bma!F153/data!$K153</f>
        <v>0</v>
      </c>
      <c r="G153">
        <f>+bma!G153/data!$K153</f>
        <v>9.5238095238095247E-3</v>
      </c>
      <c r="H153">
        <f>+bma!H153/data!$K153</f>
        <v>9.5238095238095247E-3</v>
      </c>
      <c r="I153">
        <f>+bma!I153/data!$K153</f>
        <v>9.5238095238095247E-3</v>
      </c>
      <c r="J153">
        <f>+bma!L153/data!$K153</f>
        <v>0</v>
      </c>
      <c r="K153">
        <f>+bma!M153/data!$K153</f>
        <v>9.5238095238095247E-3</v>
      </c>
      <c r="L153">
        <f>+bma!J153/data!$K153</f>
        <v>0</v>
      </c>
      <c r="M153">
        <f>+bma!K153/data!$K153</f>
        <v>0</v>
      </c>
      <c r="N153">
        <f>+bma!N153/data!$K153</f>
        <v>9.5238095238095247E-3</v>
      </c>
      <c r="O153">
        <f>+bma!O153/data!$K153</f>
        <v>0</v>
      </c>
      <c r="P153">
        <f>+bma!P153/data!$K153</f>
        <v>9.5238095238095247E-3</v>
      </c>
      <c r="Q153">
        <f>+bma!Q153/data!$K153</f>
        <v>7.2441790476190482E-2</v>
      </c>
      <c r="R153">
        <f>+bma!R153/data!$K153</f>
        <v>3.8993761904761899E-2</v>
      </c>
      <c r="S153">
        <f>+bma!S153/data!$K153</f>
        <v>0</v>
      </c>
    </row>
    <row r="154" spans="1:19" x14ac:dyDescent="0.25">
      <c r="A154">
        <f>+bma!A154/data!$K154</f>
        <v>7.9158649672305024E-5</v>
      </c>
      <c r="B154">
        <f>+bma!B154/data!$K154</f>
        <v>2.591963102074866E-4</v>
      </c>
      <c r="C154">
        <f>+bma!C154/data!$K154</f>
        <v>0</v>
      </c>
      <c r="D154">
        <f>+bma!D154/data!$K154</f>
        <v>0</v>
      </c>
      <c r="E154">
        <f>+bma!E154/data!$K154</f>
        <v>0</v>
      </c>
      <c r="F154">
        <f>+bma!F154/data!$K154</f>
        <v>0</v>
      </c>
      <c r="G154">
        <f>+bma!G154/data!$K154</f>
        <v>9.5238095238095247E-3</v>
      </c>
      <c r="H154">
        <f>+bma!H154/data!$K154</f>
        <v>9.5238095238095247E-3</v>
      </c>
      <c r="I154">
        <f>+bma!I154/data!$K154</f>
        <v>9.5238095238095247E-3</v>
      </c>
      <c r="J154">
        <f>+bma!L154/data!$K154</f>
        <v>0</v>
      </c>
      <c r="K154">
        <f>+bma!M154/data!$K154</f>
        <v>9.5238095238095247E-3</v>
      </c>
      <c r="L154">
        <f>+bma!J154/data!$K154</f>
        <v>0</v>
      </c>
      <c r="M154">
        <f>+bma!K154/data!$K154</f>
        <v>0</v>
      </c>
      <c r="N154">
        <f>+bma!N154/data!$K154</f>
        <v>0</v>
      </c>
      <c r="O154">
        <f>+bma!O154/data!$K154</f>
        <v>9.5238095238095247E-3</v>
      </c>
      <c r="P154">
        <f>+bma!P154/data!$K154</f>
        <v>9.5238095238095247E-3</v>
      </c>
      <c r="Q154">
        <f>+bma!Q154/data!$K154</f>
        <v>7.2441790476190482E-2</v>
      </c>
      <c r="R154">
        <f>+bma!R154/data!$K154</f>
        <v>3.8993761904761899E-2</v>
      </c>
      <c r="S154">
        <f>+bma!S154/data!$K154</f>
        <v>0</v>
      </c>
    </row>
    <row r="155" spans="1:19" x14ac:dyDescent="0.25">
      <c r="A155">
        <f>+bma!A155/data!$K155</f>
        <v>-5.0285864770220406E-4</v>
      </c>
      <c r="B155">
        <f>+bma!B155/data!$K155</f>
        <v>3.5127924672020001E-4</v>
      </c>
      <c r="C155">
        <f>+bma!C155/data!$K155</f>
        <v>9.5238095238095247E-3</v>
      </c>
      <c r="D155">
        <f>+bma!D155/data!$K155</f>
        <v>0</v>
      </c>
      <c r="E155">
        <f>+bma!E155/data!$K155</f>
        <v>0</v>
      </c>
      <c r="F155">
        <f>+bma!F155/data!$K155</f>
        <v>0</v>
      </c>
      <c r="G155">
        <f>+bma!G155/data!$K155</f>
        <v>9.5238095238095247E-3</v>
      </c>
      <c r="H155">
        <f>+bma!H155/data!$K155</f>
        <v>9.5238095238095247E-3</v>
      </c>
      <c r="I155">
        <f>+bma!I155/data!$K155</f>
        <v>9.5238095238095247E-3</v>
      </c>
      <c r="J155">
        <f>+bma!L155/data!$K155</f>
        <v>0</v>
      </c>
      <c r="K155">
        <f>+bma!M155/data!$K155</f>
        <v>9.5238095238095247E-3</v>
      </c>
      <c r="L155">
        <f>+bma!J155/data!$K155</f>
        <v>0</v>
      </c>
      <c r="M155">
        <f>+bma!K155/data!$K155</f>
        <v>0</v>
      </c>
      <c r="N155">
        <f>+bma!N155/data!$K155</f>
        <v>0</v>
      </c>
      <c r="O155">
        <f>+bma!O155/data!$K155</f>
        <v>0</v>
      </c>
      <c r="P155">
        <f>+bma!P155/data!$K155</f>
        <v>9.5238095238095247E-3</v>
      </c>
      <c r="Q155">
        <f>+bma!Q155/data!$K155</f>
        <v>7.2441790476190482E-2</v>
      </c>
      <c r="R155">
        <f>+bma!R155/data!$K155</f>
        <v>3.8993761904761899E-2</v>
      </c>
      <c r="S155">
        <f>+bma!S155/data!$K155</f>
        <v>0</v>
      </c>
    </row>
    <row r="156" spans="1:19" x14ac:dyDescent="0.25">
      <c r="A156">
        <f>+bma!A156/data!$K156</f>
        <v>-8.2476645957171624E-5</v>
      </c>
      <c r="B156">
        <f>+bma!B156/data!$K156</f>
        <v>3.5175674003375812E-4</v>
      </c>
      <c r="C156">
        <f>+bma!C156/data!$K156</f>
        <v>9.5238095238095247E-3</v>
      </c>
      <c r="D156">
        <f>+bma!D156/data!$K156</f>
        <v>0</v>
      </c>
      <c r="E156">
        <f>+bma!E156/data!$K156</f>
        <v>0</v>
      </c>
      <c r="F156">
        <f>+bma!F156/data!$K156</f>
        <v>0</v>
      </c>
      <c r="G156">
        <f>+bma!G156/data!$K156</f>
        <v>9.5238095238095247E-3</v>
      </c>
      <c r="H156">
        <f>+bma!H156/data!$K156</f>
        <v>9.5238095238095247E-3</v>
      </c>
      <c r="I156">
        <f>+bma!I156/data!$K156</f>
        <v>9.5238095238095247E-3</v>
      </c>
      <c r="J156">
        <f>+bma!L156/data!$K156</f>
        <v>0</v>
      </c>
      <c r="K156">
        <f>+bma!M156/data!$K156</f>
        <v>9.5238095238095247E-3</v>
      </c>
      <c r="L156">
        <f>+bma!J156/data!$K156</f>
        <v>0</v>
      </c>
      <c r="M156">
        <f>+bma!K156/data!$K156</f>
        <v>0</v>
      </c>
      <c r="N156">
        <f>+bma!N156/data!$K156</f>
        <v>9.5238095238095247E-3</v>
      </c>
      <c r="O156">
        <f>+bma!O156/data!$K156</f>
        <v>0</v>
      </c>
      <c r="P156">
        <f>+bma!P156/data!$K156</f>
        <v>9.5238095238095247E-3</v>
      </c>
      <c r="Q156">
        <f>+bma!Q156/data!$K156</f>
        <v>7.2441790476190482E-2</v>
      </c>
      <c r="R156">
        <f>+bma!R156/data!$K156</f>
        <v>3.8993761904761899E-2</v>
      </c>
      <c r="S156">
        <f>+bma!S156/data!$K156</f>
        <v>0</v>
      </c>
    </row>
    <row r="157" spans="1:19" x14ac:dyDescent="0.25">
      <c r="A157">
        <f>+bma!A157/data!$K157</f>
        <v>-1.0151003555852261E-4</v>
      </c>
      <c r="B157">
        <f>+bma!B157/data!$K157</f>
        <v>3.5174994908711944E-4</v>
      </c>
      <c r="C157">
        <f>+bma!C157/data!$K157</f>
        <v>9.5238095238095247E-3</v>
      </c>
      <c r="D157">
        <f>+bma!D157/data!$K157</f>
        <v>0</v>
      </c>
      <c r="E157">
        <f>+bma!E157/data!$K157</f>
        <v>0</v>
      </c>
      <c r="F157">
        <f>+bma!F157/data!$K157</f>
        <v>0</v>
      </c>
      <c r="G157">
        <f>+bma!G157/data!$K157</f>
        <v>9.5238095238095247E-3</v>
      </c>
      <c r="H157">
        <f>+bma!H157/data!$K157</f>
        <v>9.5238095238095247E-3</v>
      </c>
      <c r="I157">
        <f>+bma!I157/data!$K157</f>
        <v>9.5238095238095247E-3</v>
      </c>
      <c r="J157">
        <f>+bma!L157/data!$K157</f>
        <v>0</v>
      </c>
      <c r="K157">
        <f>+bma!M157/data!$K157</f>
        <v>9.5238095238095247E-3</v>
      </c>
      <c r="L157">
        <f>+bma!J157/data!$K157</f>
        <v>0</v>
      </c>
      <c r="M157">
        <f>+bma!K157/data!$K157</f>
        <v>0</v>
      </c>
      <c r="N157">
        <f>+bma!N157/data!$K157</f>
        <v>0</v>
      </c>
      <c r="O157">
        <f>+bma!O157/data!$K157</f>
        <v>9.5238095238095247E-3</v>
      </c>
      <c r="P157">
        <f>+bma!P157/data!$K157</f>
        <v>9.5238095238095247E-3</v>
      </c>
      <c r="Q157">
        <f>+bma!Q157/data!$K157</f>
        <v>7.2441790476190482E-2</v>
      </c>
      <c r="R157">
        <f>+bma!R157/data!$K157</f>
        <v>3.8993761904761899E-2</v>
      </c>
      <c r="S157">
        <f>+bma!S157/data!$K157</f>
        <v>0</v>
      </c>
    </row>
    <row r="158" spans="1:19" x14ac:dyDescent="0.25">
      <c r="A158">
        <f>+bma!A158/data!$K158</f>
        <v>-6.6627157898453693E-4</v>
      </c>
      <c r="B158">
        <f>+bma!B158/data!$K158</f>
        <v>3.3096473800390468E-4</v>
      </c>
      <c r="C158">
        <f>+bma!C158/data!$K158</f>
        <v>0</v>
      </c>
      <c r="D158">
        <f>+bma!D158/data!$K158</f>
        <v>0</v>
      </c>
      <c r="E158">
        <f>+bma!E158/data!$K158</f>
        <v>0</v>
      </c>
      <c r="F158">
        <f>+bma!F158/data!$K158</f>
        <v>0</v>
      </c>
      <c r="G158">
        <f>+bma!G158/data!$K158</f>
        <v>9.5238095238095247E-3</v>
      </c>
      <c r="H158">
        <f>+bma!H158/data!$K158</f>
        <v>9.5238095238095247E-3</v>
      </c>
      <c r="I158">
        <f>+bma!I158/data!$K158</f>
        <v>9.5238095238095247E-3</v>
      </c>
      <c r="J158">
        <f>+bma!L158/data!$K158</f>
        <v>0</v>
      </c>
      <c r="K158">
        <f>+bma!M158/data!$K158</f>
        <v>9.5238095238095247E-3</v>
      </c>
      <c r="L158">
        <f>+bma!J158/data!$K158</f>
        <v>0</v>
      </c>
      <c r="M158">
        <f>+bma!K158/data!$K158</f>
        <v>0</v>
      </c>
      <c r="N158">
        <f>+bma!N158/data!$K158</f>
        <v>0</v>
      </c>
      <c r="O158">
        <f>+bma!O158/data!$K158</f>
        <v>0</v>
      </c>
      <c r="P158">
        <f>+bma!P158/data!$K158</f>
        <v>9.5238095238095247E-3</v>
      </c>
      <c r="Q158">
        <f>+bma!Q158/data!$K158</f>
        <v>7.2441790476190482E-2</v>
      </c>
      <c r="R158">
        <f>+bma!R158/data!$K158</f>
        <v>3.8993761904761899E-2</v>
      </c>
      <c r="S158">
        <f>+bma!S158/data!$K158</f>
        <v>0</v>
      </c>
    </row>
    <row r="159" spans="1:19" x14ac:dyDescent="0.25">
      <c r="A159">
        <f>+bma!A159/data!$K159</f>
        <v>-1.1236185718664067E-4</v>
      </c>
      <c r="B159">
        <f>+bma!B159/data!$K159</f>
        <v>3.3175453454011792E-4</v>
      </c>
      <c r="C159">
        <f>+bma!C159/data!$K159</f>
        <v>0</v>
      </c>
      <c r="D159">
        <f>+bma!D159/data!$K159</f>
        <v>0</v>
      </c>
      <c r="E159">
        <f>+bma!E159/data!$K159</f>
        <v>0</v>
      </c>
      <c r="F159">
        <f>+bma!F159/data!$K159</f>
        <v>0</v>
      </c>
      <c r="G159">
        <f>+bma!G159/data!$K159</f>
        <v>9.5238095238095247E-3</v>
      </c>
      <c r="H159">
        <f>+bma!H159/data!$K159</f>
        <v>9.5238095238095247E-3</v>
      </c>
      <c r="I159">
        <f>+bma!I159/data!$K159</f>
        <v>9.5238095238095247E-3</v>
      </c>
      <c r="J159">
        <f>+bma!L159/data!$K159</f>
        <v>0</v>
      </c>
      <c r="K159">
        <f>+bma!M159/data!$K159</f>
        <v>9.5238095238095247E-3</v>
      </c>
      <c r="L159">
        <f>+bma!J159/data!$K159</f>
        <v>0</v>
      </c>
      <c r="M159">
        <f>+bma!K159/data!$K159</f>
        <v>0</v>
      </c>
      <c r="N159">
        <f>+bma!N159/data!$K159</f>
        <v>9.5238095238095247E-3</v>
      </c>
      <c r="O159">
        <f>+bma!O159/data!$K159</f>
        <v>0</v>
      </c>
      <c r="P159">
        <f>+bma!P159/data!$K159</f>
        <v>9.5238095238095247E-3</v>
      </c>
      <c r="Q159">
        <f>+bma!Q159/data!$K159</f>
        <v>7.2441790476190482E-2</v>
      </c>
      <c r="R159">
        <f>+bma!R159/data!$K159</f>
        <v>3.8993761904761899E-2</v>
      </c>
      <c r="S159">
        <f>+bma!S159/data!$K159</f>
        <v>0</v>
      </c>
    </row>
    <row r="160" spans="1:19" x14ac:dyDescent="0.25">
      <c r="A160">
        <f>+bma!A160/data!$K160</f>
        <v>-1.6435625320901839E-4</v>
      </c>
      <c r="B160">
        <f>+bma!B160/data!$K160</f>
        <v>3.3172821748609222E-4</v>
      </c>
      <c r="C160">
        <f>+bma!C160/data!$K160</f>
        <v>0</v>
      </c>
      <c r="D160">
        <f>+bma!D160/data!$K160</f>
        <v>0</v>
      </c>
      <c r="E160">
        <f>+bma!E160/data!$K160</f>
        <v>0</v>
      </c>
      <c r="F160">
        <f>+bma!F160/data!$K160</f>
        <v>0</v>
      </c>
      <c r="G160">
        <f>+bma!G160/data!$K160</f>
        <v>9.5238095238095247E-3</v>
      </c>
      <c r="H160">
        <f>+bma!H160/data!$K160</f>
        <v>9.5238095238095247E-3</v>
      </c>
      <c r="I160">
        <f>+bma!I160/data!$K160</f>
        <v>9.5238095238095247E-3</v>
      </c>
      <c r="J160">
        <f>+bma!L160/data!$K160</f>
        <v>0</v>
      </c>
      <c r="K160">
        <f>+bma!M160/data!$K160</f>
        <v>9.5238095238095247E-3</v>
      </c>
      <c r="L160">
        <f>+bma!J160/data!$K160</f>
        <v>0</v>
      </c>
      <c r="M160">
        <f>+bma!K160/data!$K160</f>
        <v>0</v>
      </c>
      <c r="N160">
        <f>+bma!N160/data!$K160</f>
        <v>0</v>
      </c>
      <c r="O160">
        <f>+bma!O160/data!$K160</f>
        <v>9.5238095238095247E-3</v>
      </c>
      <c r="P160">
        <f>+bma!P160/data!$K160</f>
        <v>9.5238095238095247E-3</v>
      </c>
      <c r="Q160">
        <f>+bma!Q160/data!$K160</f>
        <v>7.2441790476190482E-2</v>
      </c>
      <c r="R160">
        <f>+bma!R160/data!$K160</f>
        <v>3.8993761904761899E-2</v>
      </c>
      <c r="S160">
        <f>+bma!S160/data!$K160</f>
        <v>0</v>
      </c>
    </row>
    <row r="161" spans="1:19" x14ac:dyDescent="0.25">
      <c r="A161">
        <f>+bma!A161/data!$K161</f>
        <v>-6.1903500648593038E-4</v>
      </c>
      <c r="B161">
        <f>+bma!B161/data!$K161</f>
        <v>3.2790776778610206E-4</v>
      </c>
      <c r="C161">
        <f>+bma!C161/data!$K161</f>
        <v>0</v>
      </c>
      <c r="D161">
        <f>+bma!D161/data!$K161</f>
        <v>0</v>
      </c>
      <c r="E161">
        <f>+bma!E161/data!$K161</f>
        <v>0</v>
      </c>
      <c r="F161">
        <f>+bma!F161/data!$K161</f>
        <v>0</v>
      </c>
      <c r="G161">
        <f>+bma!G161/data!$K161</f>
        <v>9.5238095238095247E-3</v>
      </c>
      <c r="H161">
        <f>+bma!H161/data!$K161</f>
        <v>9.5238095238095247E-3</v>
      </c>
      <c r="I161">
        <f>+bma!I161/data!$K161</f>
        <v>9.5238095238095247E-3</v>
      </c>
      <c r="J161">
        <f>+bma!L161/data!$K161</f>
        <v>0</v>
      </c>
      <c r="K161">
        <f>+bma!M161/data!$K161</f>
        <v>9.5238095238095247E-3</v>
      </c>
      <c r="L161">
        <f>+bma!J161/data!$K161</f>
        <v>0</v>
      </c>
      <c r="M161">
        <f>+bma!K161/data!$K161</f>
        <v>0</v>
      </c>
      <c r="N161">
        <f>+bma!N161/data!$K161</f>
        <v>0</v>
      </c>
      <c r="O161">
        <f>+bma!O161/data!$K161</f>
        <v>0</v>
      </c>
      <c r="P161">
        <f>+bma!P161/data!$K161</f>
        <v>9.5238095238095247E-3</v>
      </c>
      <c r="Q161">
        <f>+bma!Q161/data!$K161</f>
        <v>7.2441790476190482E-2</v>
      </c>
      <c r="R161">
        <f>+bma!R161/data!$K161</f>
        <v>3.8993761904761899E-2</v>
      </c>
      <c r="S161">
        <f>+bma!S161/data!$K161</f>
        <v>0</v>
      </c>
    </row>
    <row r="162" spans="1:19" x14ac:dyDescent="0.25">
      <c r="A162">
        <f>+bma!A162/data!$K162</f>
        <v>1.433840601262917E-4</v>
      </c>
      <c r="B162">
        <f>+bma!B162/data!$K162</f>
        <v>3.2856540418901213E-4</v>
      </c>
      <c r="C162">
        <f>+bma!C162/data!$K162</f>
        <v>0</v>
      </c>
      <c r="D162">
        <f>+bma!D162/data!$K162</f>
        <v>0</v>
      </c>
      <c r="E162">
        <f>+bma!E162/data!$K162</f>
        <v>0</v>
      </c>
      <c r="F162">
        <f>+bma!F162/data!$K162</f>
        <v>0</v>
      </c>
      <c r="G162">
        <f>+bma!G162/data!$K162</f>
        <v>9.5238095238095247E-3</v>
      </c>
      <c r="H162">
        <f>+bma!H162/data!$K162</f>
        <v>9.5238095238095247E-3</v>
      </c>
      <c r="I162">
        <f>+bma!I162/data!$K162</f>
        <v>9.5238095238095247E-3</v>
      </c>
      <c r="J162">
        <f>+bma!L162/data!$K162</f>
        <v>0</v>
      </c>
      <c r="K162">
        <f>+bma!M162/data!$K162</f>
        <v>9.5238095238095247E-3</v>
      </c>
      <c r="L162">
        <f>+bma!J162/data!$K162</f>
        <v>0</v>
      </c>
      <c r="M162">
        <f>+bma!K162/data!$K162</f>
        <v>0</v>
      </c>
      <c r="N162">
        <f>+bma!N162/data!$K162</f>
        <v>9.5238095238095247E-3</v>
      </c>
      <c r="O162">
        <f>+bma!O162/data!$K162</f>
        <v>0</v>
      </c>
      <c r="P162">
        <f>+bma!P162/data!$K162</f>
        <v>9.5238095238095247E-3</v>
      </c>
      <c r="Q162">
        <f>+bma!Q162/data!$K162</f>
        <v>7.2441790476190482E-2</v>
      </c>
      <c r="R162">
        <f>+bma!R162/data!$K162</f>
        <v>3.8993761904761899E-2</v>
      </c>
      <c r="S162">
        <f>+bma!S162/data!$K162</f>
        <v>0</v>
      </c>
    </row>
    <row r="163" spans="1:19" x14ac:dyDescent="0.25">
      <c r="A163">
        <f>+bma!A163/data!$K163</f>
        <v>5.2286827064644368E-6</v>
      </c>
      <c r="B163">
        <f>+bma!B163/data!$K163</f>
        <v>3.2860259778318807E-4</v>
      </c>
      <c r="C163">
        <f>+bma!C163/data!$K163</f>
        <v>0</v>
      </c>
      <c r="D163">
        <f>+bma!D163/data!$K163</f>
        <v>0</v>
      </c>
      <c r="E163">
        <f>+bma!E163/data!$K163</f>
        <v>0</v>
      </c>
      <c r="F163">
        <f>+bma!F163/data!$K163</f>
        <v>0</v>
      </c>
      <c r="G163">
        <f>+bma!G163/data!$K163</f>
        <v>9.5238095238095247E-3</v>
      </c>
      <c r="H163">
        <f>+bma!H163/data!$K163</f>
        <v>9.5238095238095247E-3</v>
      </c>
      <c r="I163">
        <f>+bma!I163/data!$K163</f>
        <v>9.5238095238095247E-3</v>
      </c>
      <c r="J163">
        <f>+bma!L163/data!$K163</f>
        <v>0</v>
      </c>
      <c r="K163">
        <f>+bma!M163/data!$K163</f>
        <v>9.5238095238095247E-3</v>
      </c>
      <c r="L163">
        <f>+bma!J163/data!$K163</f>
        <v>0</v>
      </c>
      <c r="M163">
        <f>+bma!K163/data!$K163</f>
        <v>0</v>
      </c>
      <c r="N163">
        <f>+bma!N163/data!$K163</f>
        <v>0</v>
      </c>
      <c r="O163">
        <f>+bma!O163/data!$K163</f>
        <v>9.5238095238095247E-3</v>
      </c>
      <c r="P163">
        <f>+bma!P163/data!$K163</f>
        <v>9.5238095238095247E-3</v>
      </c>
      <c r="Q163">
        <f>+bma!Q163/data!$K163</f>
        <v>7.2441790476190482E-2</v>
      </c>
      <c r="R163">
        <f>+bma!R163/data!$K163</f>
        <v>3.8993761904761899E-2</v>
      </c>
      <c r="S163">
        <f>+bma!S163/data!$K163</f>
        <v>0</v>
      </c>
    </row>
    <row r="164" spans="1:19" x14ac:dyDescent="0.25">
      <c r="A164">
        <f>+bma!A164/data!$K164</f>
        <v>-8.7612595306876535E-5</v>
      </c>
      <c r="B164">
        <f>+bma!B164/data!$K164</f>
        <v>4.4646418430353526E-4</v>
      </c>
      <c r="C164">
        <f>+bma!C164/data!$K164</f>
        <v>9.5238095238095247E-3</v>
      </c>
      <c r="D164">
        <f>+bma!D164/data!$K164</f>
        <v>0</v>
      </c>
      <c r="E164">
        <f>+bma!E164/data!$K164</f>
        <v>0</v>
      </c>
      <c r="F164">
        <f>+bma!F164/data!$K164</f>
        <v>0</v>
      </c>
      <c r="G164">
        <f>+bma!G164/data!$K164</f>
        <v>9.5238095238095247E-3</v>
      </c>
      <c r="H164">
        <f>+bma!H164/data!$K164</f>
        <v>9.5238095238095247E-3</v>
      </c>
      <c r="I164">
        <f>+bma!I164/data!$K164</f>
        <v>9.5238095238095247E-3</v>
      </c>
      <c r="J164">
        <f>+bma!L164/data!$K164</f>
        <v>0</v>
      </c>
      <c r="K164">
        <f>+bma!M164/data!$K164</f>
        <v>9.5238095238095247E-3</v>
      </c>
      <c r="L164">
        <f>+bma!J164/data!$K164</f>
        <v>0</v>
      </c>
      <c r="M164">
        <f>+bma!K164/data!$K164</f>
        <v>0</v>
      </c>
      <c r="N164">
        <f>+bma!N164/data!$K164</f>
        <v>0</v>
      </c>
      <c r="O164">
        <f>+bma!O164/data!$K164</f>
        <v>0</v>
      </c>
      <c r="P164">
        <f>+bma!P164/data!$K164</f>
        <v>9.5238095238095247E-3</v>
      </c>
      <c r="Q164">
        <f>+bma!Q164/data!$K164</f>
        <v>7.2441790476190482E-2</v>
      </c>
      <c r="R164">
        <f>+bma!R164/data!$K164</f>
        <v>3.8993761904761899E-2</v>
      </c>
      <c r="S164">
        <f>+bma!S164/data!$K164</f>
        <v>0</v>
      </c>
    </row>
    <row r="165" spans="1:19" x14ac:dyDescent="0.25">
      <c r="A165">
        <f>+bma!A165/data!$K165</f>
        <v>1.1499483321455856E-4</v>
      </c>
      <c r="B165">
        <f>+bma!B165/data!$K165</f>
        <v>4.4645052895063908E-4</v>
      </c>
      <c r="C165">
        <f>+bma!C165/data!$K165</f>
        <v>9.5238095238095247E-3</v>
      </c>
      <c r="D165">
        <f>+bma!D165/data!$K165</f>
        <v>0</v>
      </c>
      <c r="E165">
        <f>+bma!E165/data!$K165</f>
        <v>0</v>
      </c>
      <c r="F165">
        <f>+bma!F165/data!$K165</f>
        <v>0</v>
      </c>
      <c r="G165">
        <f>+bma!G165/data!$K165</f>
        <v>9.5238095238095247E-3</v>
      </c>
      <c r="H165">
        <f>+bma!H165/data!$K165</f>
        <v>9.5238095238095247E-3</v>
      </c>
      <c r="I165">
        <f>+bma!I165/data!$K165</f>
        <v>9.5238095238095247E-3</v>
      </c>
      <c r="J165">
        <f>+bma!L165/data!$K165</f>
        <v>0</v>
      </c>
      <c r="K165">
        <f>+bma!M165/data!$K165</f>
        <v>9.5238095238095247E-3</v>
      </c>
      <c r="L165">
        <f>+bma!J165/data!$K165</f>
        <v>0</v>
      </c>
      <c r="M165">
        <f>+bma!K165/data!$K165</f>
        <v>0</v>
      </c>
      <c r="N165">
        <f>+bma!N165/data!$K165</f>
        <v>9.5238095238095247E-3</v>
      </c>
      <c r="O165">
        <f>+bma!O165/data!$K165</f>
        <v>0</v>
      </c>
      <c r="P165">
        <f>+bma!P165/data!$K165</f>
        <v>9.5238095238095247E-3</v>
      </c>
      <c r="Q165">
        <f>+bma!Q165/data!$K165</f>
        <v>7.2441790476190482E-2</v>
      </c>
      <c r="R165">
        <f>+bma!R165/data!$K165</f>
        <v>3.8993761904761899E-2</v>
      </c>
      <c r="S165">
        <f>+bma!S165/data!$K165</f>
        <v>0</v>
      </c>
    </row>
    <row r="166" spans="1:19" x14ac:dyDescent="0.25">
      <c r="A166">
        <f>+bma!A166/data!$K166</f>
        <v>-1.0006371731181758E-4</v>
      </c>
      <c r="B166">
        <f>+bma!B166/data!$K166</f>
        <v>4.4645843264982455E-4</v>
      </c>
      <c r="C166">
        <f>+bma!C166/data!$K166</f>
        <v>9.5238095238095247E-3</v>
      </c>
      <c r="D166">
        <f>+bma!D166/data!$K166</f>
        <v>0</v>
      </c>
      <c r="E166">
        <f>+bma!E166/data!$K166</f>
        <v>0</v>
      </c>
      <c r="F166">
        <f>+bma!F166/data!$K166</f>
        <v>0</v>
      </c>
      <c r="G166">
        <f>+bma!G166/data!$K166</f>
        <v>9.5238095238095247E-3</v>
      </c>
      <c r="H166">
        <f>+bma!H166/data!$K166</f>
        <v>9.5238095238095247E-3</v>
      </c>
      <c r="I166">
        <f>+bma!I166/data!$K166</f>
        <v>9.5238095238095247E-3</v>
      </c>
      <c r="J166">
        <f>+bma!L166/data!$K166</f>
        <v>0</v>
      </c>
      <c r="K166">
        <f>+bma!M166/data!$K166</f>
        <v>9.5238095238095247E-3</v>
      </c>
      <c r="L166">
        <f>+bma!J166/data!$K166</f>
        <v>0</v>
      </c>
      <c r="M166">
        <f>+bma!K166/data!$K166</f>
        <v>0</v>
      </c>
      <c r="N166">
        <f>+bma!N166/data!$K166</f>
        <v>0</v>
      </c>
      <c r="O166">
        <f>+bma!O166/data!$K166</f>
        <v>9.5238095238095247E-3</v>
      </c>
      <c r="P166">
        <f>+bma!P166/data!$K166</f>
        <v>9.5238095238095247E-3</v>
      </c>
      <c r="Q166">
        <f>+bma!Q166/data!$K166</f>
        <v>7.2441790476190482E-2</v>
      </c>
      <c r="R166">
        <f>+bma!R166/data!$K166</f>
        <v>3.8993761904761899E-2</v>
      </c>
      <c r="S166">
        <f>+bma!S166/data!$K166</f>
        <v>0</v>
      </c>
    </row>
    <row r="167" spans="1:19" x14ac:dyDescent="0.25">
      <c r="A167">
        <f>+bma!A167/data!$K167</f>
        <v>-1.6068590395390097E-4</v>
      </c>
      <c r="B167">
        <f>+bma!B167/data!$K167</f>
        <v>1.6040981133542346E-4</v>
      </c>
      <c r="C167">
        <f>+bma!C167/data!$K167</f>
        <v>0</v>
      </c>
      <c r="D167">
        <f>+bma!D167/data!$K167</f>
        <v>0</v>
      </c>
      <c r="E167">
        <f>+bma!E167/data!$K167</f>
        <v>0</v>
      </c>
      <c r="F167">
        <f>+bma!F167/data!$K167</f>
        <v>0</v>
      </c>
      <c r="G167">
        <f>+bma!G167/data!$K167</f>
        <v>9.5238095238095247E-3</v>
      </c>
      <c r="H167">
        <f>+bma!H167/data!$K167</f>
        <v>9.5238095238095247E-3</v>
      </c>
      <c r="I167">
        <f>+bma!I167/data!$K167</f>
        <v>9.5238095238095247E-3</v>
      </c>
      <c r="J167">
        <f>+bma!L167/data!$K167</f>
        <v>0</v>
      </c>
      <c r="K167">
        <f>+bma!M167/data!$K167</f>
        <v>9.5238095238095247E-3</v>
      </c>
      <c r="L167">
        <f>+bma!J167/data!$K167</f>
        <v>0</v>
      </c>
      <c r="M167">
        <f>+bma!K167/data!$K167</f>
        <v>0</v>
      </c>
      <c r="N167">
        <f>+bma!N167/data!$K167</f>
        <v>0</v>
      </c>
      <c r="O167">
        <f>+bma!O167/data!$K167</f>
        <v>0</v>
      </c>
      <c r="P167">
        <f>+bma!P167/data!$K167</f>
        <v>9.5238095238095247E-3</v>
      </c>
      <c r="Q167">
        <f>+bma!Q167/data!$K167</f>
        <v>7.2441790476190482E-2</v>
      </c>
      <c r="R167">
        <f>+bma!R167/data!$K167</f>
        <v>3.8993761904761899E-2</v>
      </c>
      <c r="S167">
        <f>+bma!S167/data!$K167</f>
        <v>0</v>
      </c>
    </row>
    <row r="168" spans="1:19" x14ac:dyDescent="0.25">
      <c r="A168">
        <f>+bma!A168/data!$K168</f>
        <v>1.1458645378652218E-4</v>
      </c>
      <c r="B168">
        <f>+bma!B168/data!$K168</f>
        <v>1.6042103530113105E-4</v>
      </c>
      <c r="C168">
        <f>+bma!C168/data!$K168</f>
        <v>0</v>
      </c>
      <c r="D168">
        <f>+bma!D168/data!$K168</f>
        <v>0</v>
      </c>
      <c r="E168">
        <f>+bma!E168/data!$K168</f>
        <v>0</v>
      </c>
      <c r="F168">
        <f>+bma!F168/data!$K168</f>
        <v>0</v>
      </c>
      <c r="G168">
        <f>+bma!G168/data!$K168</f>
        <v>9.5238095238095247E-3</v>
      </c>
      <c r="H168">
        <f>+bma!H168/data!$K168</f>
        <v>9.5238095238095247E-3</v>
      </c>
      <c r="I168">
        <f>+bma!I168/data!$K168</f>
        <v>9.5238095238095247E-3</v>
      </c>
      <c r="J168">
        <f>+bma!L168/data!$K168</f>
        <v>0</v>
      </c>
      <c r="K168">
        <f>+bma!M168/data!$K168</f>
        <v>9.5238095238095247E-3</v>
      </c>
      <c r="L168">
        <f>+bma!J168/data!$K168</f>
        <v>0</v>
      </c>
      <c r="M168">
        <f>+bma!K168/data!$K168</f>
        <v>0</v>
      </c>
      <c r="N168">
        <f>+bma!N168/data!$K168</f>
        <v>9.5238095238095247E-3</v>
      </c>
      <c r="O168">
        <f>+bma!O168/data!$K168</f>
        <v>0</v>
      </c>
      <c r="P168">
        <f>+bma!P168/data!$K168</f>
        <v>9.5238095238095247E-3</v>
      </c>
      <c r="Q168">
        <f>+bma!Q168/data!$K168</f>
        <v>7.2441790476190482E-2</v>
      </c>
      <c r="R168">
        <f>+bma!R168/data!$K168</f>
        <v>3.8993761904761899E-2</v>
      </c>
      <c r="S168">
        <f>+bma!S168/data!$K168</f>
        <v>0</v>
      </c>
    </row>
    <row r="169" spans="1:19" x14ac:dyDescent="0.25">
      <c r="A169">
        <f>+bma!A169/data!$K169</f>
        <v>2.2160055452979472E-4</v>
      </c>
      <c r="B169">
        <f>+bma!B169/data!$K169</f>
        <v>1.6038921254429197E-4</v>
      </c>
      <c r="C169">
        <f>+bma!C169/data!$K169</f>
        <v>0</v>
      </c>
      <c r="D169">
        <f>+bma!D169/data!$K169</f>
        <v>0</v>
      </c>
      <c r="E169">
        <f>+bma!E169/data!$K169</f>
        <v>0</v>
      </c>
      <c r="F169">
        <f>+bma!F169/data!$K169</f>
        <v>0</v>
      </c>
      <c r="G169">
        <f>+bma!G169/data!$K169</f>
        <v>9.5238095238095247E-3</v>
      </c>
      <c r="H169">
        <f>+bma!H169/data!$K169</f>
        <v>9.5238095238095247E-3</v>
      </c>
      <c r="I169">
        <f>+bma!I169/data!$K169</f>
        <v>9.5238095238095247E-3</v>
      </c>
      <c r="J169">
        <f>+bma!L169/data!$K169</f>
        <v>0</v>
      </c>
      <c r="K169">
        <f>+bma!M169/data!$K169</f>
        <v>9.5238095238095247E-3</v>
      </c>
      <c r="L169">
        <f>+bma!J169/data!$K169</f>
        <v>0</v>
      </c>
      <c r="M169">
        <f>+bma!K169/data!$K169</f>
        <v>0</v>
      </c>
      <c r="N169">
        <f>+bma!N169/data!$K169</f>
        <v>0</v>
      </c>
      <c r="O169">
        <f>+bma!O169/data!$K169</f>
        <v>9.5238095238095247E-3</v>
      </c>
      <c r="P169">
        <f>+bma!P169/data!$K169</f>
        <v>9.5238095238095247E-3</v>
      </c>
      <c r="Q169">
        <f>+bma!Q169/data!$K169</f>
        <v>7.2441790476190482E-2</v>
      </c>
      <c r="R169">
        <f>+bma!R169/data!$K169</f>
        <v>3.8993761904761899E-2</v>
      </c>
      <c r="S169">
        <f>+bma!S169/data!$K169</f>
        <v>0</v>
      </c>
    </row>
    <row r="170" spans="1:19" x14ac:dyDescent="0.25">
      <c r="A170">
        <f>+bma!A170/data!$K170</f>
        <v>-7.2866759322841261E-5</v>
      </c>
      <c r="B170">
        <f>+bma!B170/data!$K170</f>
        <v>1.593018117609702E-4</v>
      </c>
      <c r="C170">
        <f>+bma!C170/data!$K170</f>
        <v>0</v>
      </c>
      <c r="D170">
        <f>+bma!D170/data!$K170</f>
        <v>0</v>
      </c>
      <c r="E170">
        <f>+bma!E170/data!$K170</f>
        <v>0</v>
      </c>
      <c r="F170">
        <f>+bma!F170/data!$K170</f>
        <v>0</v>
      </c>
      <c r="G170">
        <f>+bma!G170/data!$K170</f>
        <v>9.5238095238095247E-3</v>
      </c>
      <c r="H170">
        <f>+bma!H170/data!$K170</f>
        <v>9.5238095238095247E-3</v>
      </c>
      <c r="I170">
        <f>+bma!I170/data!$K170</f>
        <v>9.5238095238095247E-3</v>
      </c>
      <c r="J170">
        <f>+bma!L170/data!$K170</f>
        <v>0</v>
      </c>
      <c r="K170">
        <f>+bma!M170/data!$K170</f>
        <v>9.5238095238095247E-3</v>
      </c>
      <c r="L170">
        <f>+bma!J170/data!$K170</f>
        <v>0</v>
      </c>
      <c r="M170">
        <f>+bma!K170/data!$K170</f>
        <v>0</v>
      </c>
      <c r="N170">
        <f>+bma!N170/data!$K170</f>
        <v>0</v>
      </c>
      <c r="O170">
        <f>+bma!O170/data!$K170</f>
        <v>0</v>
      </c>
      <c r="P170">
        <f>+bma!P170/data!$K170</f>
        <v>9.5238095238095247E-3</v>
      </c>
      <c r="Q170">
        <f>+bma!Q170/data!$K170</f>
        <v>7.2441790476190482E-2</v>
      </c>
      <c r="R170">
        <f>+bma!R170/data!$K170</f>
        <v>3.8993761904761899E-2</v>
      </c>
      <c r="S170">
        <f>+bma!S170/data!$K170</f>
        <v>0</v>
      </c>
    </row>
    <row r="171" spans="1:19" x14ac:dyDescent="0.25">
      <c r="A171">
        <f>+bma!A171/data!$K171</f>
        <v>1.8991623434752217E-4</v>
      </c>
      <c r="B171">
        <f>+bma!B171/data!$K171</f>
        <v>1.5927479717643629E-4</v>
      </c>
      <c r="C171">
        <f>+bma!C171/data!$K171</f>
        <v>0</v>
      </c>
      <c r="D171">
        <f>+bma!D171/data!$K171</f>
        <v>0</v>
      </c>
      <c r="E171">
        <f>+bma!E171/data!$K171</f>
        <v>0</v>
      </c>
      <c r="F171">
        <f>+bma!F171/data!$K171</f>
        <v>0</v>
      </c>
      <c r="G171">
        <f>+bma!G171/data!$K171</f>
        <v>9.5238095238095247E-3</v>
      </c>
      <c r="H171">
        <f>+bma!H171/data!$K171</f>
        <v>9.5238095238095247E-3</v>
      </c>
      <c r="I171">
        <f>+bma!I171/data!$K171</f>
        <v>9.5238095238095247E-3</v>
      </c>
      <c r="J171">
        <f>+bma!L171/data!$K171</f>
        <v>0</v>
      </c>
      <c r="K171">
        <f>+bma!M171/data!$K171</f>
        <v>9.5238095238095247E-3</v>
      </c>
      <c r="L171">
        <f>+bma!J171/data!$K171</f>
        <v>0</v>
      </c>
      <c r="M171">
        <f>+bma!K171/data!$K171</f>
        <v>0</v>
      </c>
      <c r="N171">
        <f>+bma!N171/data!$K171</f>
        <v>9.5238095238095247E-3</v>
      </c>
      <c r="O171">
        <f>+bma!O171/data!$K171</f>
        <v>0</v>
      </c>
      <c r="P171">
        <f>+bma!P171/data!$K171</f>
        <v>9.5238095238095247E-3</v>
      </c>
      <c r="Q171">
        <f>+bma!Q171/data!$K171</f>
        <v>7.2441790476190482E-2</v>
      </c>
      <c r="R171">
        <f>+bma!R171/data!$K171</f>
        <v>3.8993761904761899E-2</v>
      </c>
      <c r="S171">
        <f>+bma!S171/data!$K171</f>
        <v>0</v>
      </c>
    </row>
    <row r="172" spans="1:19" x14ac:dyDescent="0.25">
      <c r="A172">
        <f>+bma!A172/data!$K172</f>
        <v>-6.3148498559197247E-6</v>
      </c>
      <c r="B172">
        <f>+bma!B172/data!$K172</f>
        <v>1.5930643954706577E-4</v>
      </c>
      <c r="C172">
        <f>+bma!C172/data!$K172</f>
        <v>0</v>
      </c>
      <c r="D172">
        <f>+bma!D172/data!$K172</f>
        <v>0</v>
      </c>
      <c r="E172">
        <f>+bma!E172/data!$K172</f>
        <v>0</v>
      </c>
      <c r="F172">
        <f>+bma!F172/data!$K172</f>
        <v>0</v>
      </c>
      <c r="G172">
        <f>+bma!G172/data!$K172</f>
        <v>9.5238095238095247E-3</v>
      </c>
      <c r="H172">
        <f>+bma!H172/data!$K172</f>
        <v>9.5238095238095247E-3</v>
      </c>
      <c r="I172">
        <f>+bma!I172/data!$K172</f>
        <v>9.5238095238095247E-3</v>
      </c>
      <c r="J172">
        <f>+bma!L172/data!$K172</f>
        <v>0</v>
      </c>
      <c r="K172">
        <f>+bma!M172/data!$K172</f>
        <v>9.5238095238095247E-3</v>
      </c>
      <c r="L172">
        <f>+bma!J172/data!$K172</f>
        <v>0</v>
      </c>
      <c r="M172">
        <f>+bma!K172/data!$K172</f>
        <v>0</v>
      </c>
      <c r="N172">
        <f>+bma!N172/data!$K172</f>
        <v>0</v>
      </c>
      <c r="O172">
        <f>+bma!O172/data!$K172</f>
        <v>9.5238095238095247E-3</v>
      </c>
      <c r="P172">
        <f>+bma!P172/data!$K172</f>
        <v>9.5238095238095247E-3</v>
      </c>
      <c r="Q172">
        <f>+bma!Q172/data!$K172</f>
        <v>7.2441790476190482E-2</v>
      </c>
      <c r="R172">
        <f>+bma!R172/data!$K172</f>
        <v>3.8993761904761899E-2</v>
      </c>
      <c r="S172">
        <f>+bma!S172/data!$K172</f>
        <v>0</v>
      </c>
    </row>
    <row r="173" spans="1:19" x14ac:dyDescent="0.25">
      <c r="A173">
        <f>+bma!A173/data!$K173</f>
        <v>1.1471039236899137E-4</v>
      </c>
      <c r="B173">
        <f>+bma!B173/data!$K173</f>
        <v>2.1505047184780141E-4</v>
      </c>
      <c r="C173">
        <f>+bma!C173/data!$K173</f>
        <v>9.5238095238095247E-3</v>
      </c>
      <c r="D173">
        <f>+bma!D173/data!$K173</f>
        <v>0</v>
      </c>
      <c r="E173">
        <f>+bma!E173/data!$K173</f>
        <v>0</v>
      </c>
      <c r="F173">
        <f>+bma!F173/data!$K173</f>
        <v>0</v>
      </c>
      <c r="G173">
        <f>+bma!G173/data!$K173</f>
        <v>9.5238095238095247E-3</v>
      </c>
      <c r="H173">
        <f>+bma!H173/data!$K173</f>
        <v>9.5238095238095247E-3</v>
      </c>
      <c r="I173">
        <f>+bma!I173/data!$K173</f>
        <v>9.5238095238095247E-3</v>
      </c>
      <c r="J173">
        <f>+bma!L173/data!$K173</f>
        <v>0</v>
      </c>
      <c r="K173">
        <f>+bma!M173/data!$K173</f>
        <v>9.5238095238095247E-3</v>
      </c>
      <c r="L173">
        <f>+bma!J173/data!$K173</f>
        <v>0</v>
      </c>
      <c r="M173">
        <f>+bma!K173/data!$K173</f>
        <v>0</v>
      </c>
      <c r="N173">
        <f>+bma!N173/data!$K173</f>
        <v>0</v>
      </c>
      <c r="O173">
        <f>+bma!O173/data!$K173</f>
        <v>0</v>
      </c>
      <c r="P173">
        <f>+bma!P173/data!$K173</f>
        <v>9.5238095238095247E-3</v>
      </c>
      <c r="Q173">
        <f>+bma!Q173/data!$K173</f>
        <v>7.2441790476190482E-2</v>
      </c>
      <c r="R173">
        <f>+bma!R173/data!$K173</f>
        <v>3.8993761904761899E-2</v>
      </c>
      <c r="S173">
        <f>+bma!S173/data!$K173</f>
        <v>0</v>
      </c>
    </row>
    <row r="174" spans="1:19" x14ac:dyDescent="0.25">
      <c r="A174">
        <f>+bma!A174/data!$K174</f>
        <v>2.7674861742118292E-4</v>
      </c>
      <c r="B174">
        <f>+bma!B174/data!$K174</f>
        <v>2.1497525212282705E-4</v>
      </c>
      <c r="C174">
        <f>+bma!C174/data!$K174</f>
        <v>9.5238095238095247E-3</v>
      </c>
      <c r="D174">
        <f>+bma!D174/data!$K174</f>
        <v>0</v>
      </c>
      <c r="E174">
        <f>+bma!E174/data!$K174</f>
        <v>0</v>
      </c>
      <c r="F174">
        <f>+bma!F174/data!$K174</f>
        <v>0</v>
      </c>
      <c r="G174">
        <f>+bma!G174/data!$K174</f>
        <v>9.5238095238095247E-3</v>
      </c>
      <c r="H174">
        <f>+bma!H174/data!$K174</f>
        <v>9.5238095238095247E-3</v>
      </c>
      <c r="I174">
        <f>+bma!I174/data!$K174</f>
        <v>9.5238095238095247E-3</v>
      </c>
      <c r="J174">
        <f>+bma!L174/data!$K174</f>
        <v>0</v>
      </c>
      <c r="K174">
        <f>+bma!M174/data!$K174</f>
        <v>9.5238095238095247E-3</v>
      </c>
      <c r="L174">
        <f>+bma!J174/data!$K174</f>
        <v>0</v>
      </c>
      <c r="M174">
        <f>+bma!K174/data!$K174</f>
        <v>0</v>
      </c>
      <c r="N174">
        <f>+bma!N174/data!$K174</f>
        <v>9.5238095238095247E-3</v>
      </c>
      <c r="O174">
        <f>+bma!O174/data!$K174</f>
        <v>0</v>
      </c>
      <c r="P174">
        <f>+bma!P174/data!$K174</f>
        <v>9.5238095238095247E-3</v>
      </c>
      <c r="Q174">
        <f>+bma!Q174/data!$K174</f>
        <v>7.2441790476190482E-2</v>
      </c>
      <c r="R174">
        <f>+bma!R174/data!$K174</f>
        <v>3.8993761904761899E-2</v>
      </c>
      <c r="S174">
        <f>+bma!S174/data!$K174</f>
        <v>0</v>
      </c>
    </row>
    <row r="175" spans="1:19" x14ac:dyDescent="0.25">
      <c r="A175">
        <f>+bma!A175/data!$K175</f>
        <v>1.1642134992735687E-4</v>
      </c>
      <c r="B175">
        <f>+bma!B175/data!$K175</f>
        <v>2.1505000297902338E-4</v>
      </c>
      <c r="C175">
        <f>+bma!C175/data!$K175</f>
        <v>9.5238095238095247E-3</v>
      </c>
      <c r="D175">
        <f>+bma!D175/data!$K175</f>
        <v>0</v>
      </c>
      <c r="E175">
        <f>+bma!E175/data!$K175</f>
        <v>0</v>
      </c>
      <c r="F175">
        <f>+bma!F175/data!$K175</f>
        <v>0</v>
      </c>
      <c r="G175">
        <f>+bma!G175/data!$K175</f>
        <v>9.5238095238095247E-3</v>
      </c>
      <c r="H175">
        <f>+bma!H175/data!$K175</f>
        <v>9.5238095238095247E-3</v>
      </c>
      <c r="I175">
        <f>+bma!I175/data!$K175</f>
        <v>9.5238095238095247E-3</v>
      </c>
      <c r="J175">
        <f>+bma!L175/data!$K175</f>
        <v>0</v>
      </c>
      <c r="K175">
        <f>+bma!M175/data!$K175</f>
        <v>9.5238095238095247E-3</v>
      </c>
      <c r="L175">
        <f>+bma!J175/data!$K175</f>
        <v>0</v>
      </c>
      <c r="M175">
        <f>+bma!K175/data!$K175</f>
        <v>0</v>
      </c>
      <c r="N175">
        <f>+bma!N175/data!$K175</f>
        <v>0</v>
      </c>
      <c r="O175">
        <f>+bma!O175/data!$K175</f>
        <v>9.5238095238095247E-3</v>
      </c>
      <c r="P175">
        <f>+bma!P175/data!$K175</f>
        <v>9.5238095238095247E-3</v>
      </c>
      <c r="Q175">
        <f>+bma!Q175/data!$K175</f>
        <v>7.2441790476190482E-2</v>
      </c>
      <c r="R175">
        <f>+bma!R175/data!$K175</f>
        <v>3.8993761904761899E-2</v>
      </c>
      <c r="S175">
        <f>+bma!S175/data!$K175</f>
        <v>0</v>
      </c>
    </row>
    <row r="176" spans="1:19" x14ac:dyDescent="0.25">
      <c r="A176">
        <f>+bma!A176/data!$K176</f>
        <v>-6.3086202851059394E-5</v>
      </c>
      <c r="B176">
        <f>+bma!B176/data!$K176</f>
        <v>3.2589090281091306E-4</v>
      </c>
      <c r="C176">
        <f>+bma!C176/data!$K176</f>
        <v>0</v>
      </c>
      <c r="D176">
        <f>+bma!D176/data!$K176</f>
        <v>0</v>
      </c>
      <c r="E176">
        <f>+bma!E176/data!$K176</f>
        <v>0</v>
      </c>
      <c r="F176">
        <f>+bma!F176/data!$K176</f>
        <v>0</v>
      </c>
      <c r="G176">
        <f>+bma!G176/data!$K176</f>
        <v>9.5238095238095247E-3</v>
      </c>
      <c r="H176">
        <f>+bma!H176/data!$K176</f>
        <v>9.5238095238095247E-3</v>
      </c>
      <c r="I176">
        <f>+bma!I176/data!$K176</f>
        <v>9.5238095238095247E-3</v>
      </c>
      <c r="J176">
        <f>+bma!L176/data!$K176</f>
        <v>0</v>
      </c>
      <c r="K176">
        <f>+bma!M176/data!$K176</f>
        <v>9.5238095238095247E-3</v>
      </c>
      <c r="L176">
        <f>+bma!J176/data!$K176</f>
        <v>0</v>
      </c>
      <c r="M176">
        <f>+bma!K176/data!$K176</f>
        <v>0</v>
      </c>
      <c r="N176">
        <f>+bma!N176/data!$K176</f>
        <v>0</v>
      </c>
      <c r="O176">
        <f>+bma!O176/data!$K176</f>
        <v>0</v>
      </c>
      <c r="P176">
        <f>+bma!P176/data!$K176</f>
        <v>9.5238095238095247E-3</v>
      </c>
      <c r="Q176">
        <f>+bma!Q176/data!$K176</f>
        <v>7.2441790476190482E-2</v>
      </c>
      <c r="R176">
        <f>+bma!R176/data!$K176</f>
        <v>3.8993761904761899E-2</v>
      </c>
      <c r="S176">
        <f>+bma!S176/data!$K176</f>
        <v>0</v>
      </c>
    </row>
    <row r="177" spans="1:19" x14ac:dyDescent="0.25">
      <c r="A177">
        <f>+bma!A177/data!$K177</f>
        <v>-4.6601595558047143E-5</v>
      </c>
      <c r="B177">
        <f>+bma!B177/data!$K177</f>
        <v>3.2589415124947255E-4</v>
      </c>
      <c r="C177">
        <f>+bma!C177/data!$K177</f>
        <v>0</v>
      </c>
      <c r="D177">
        <f>+bma!D177/data!$K177</f>
        <v>0</v>
      </c>
      <c r="E177">
        <f>+bma!E177/data!$K177</f>
        <v>0</v>
      </c>
      <c r="F177">
        <f>+bma!F177/data!$K177</f>
        <v>0</v>
      </c>
      <c r="G177">
        <f>+bma!G177/data!$K177</f>
        <v>9.5238095238095247E-3</v>
      </c>
      <c r="H177">
        <f>+bma!H177/data!$K177</f>
        <v>9.5238095238095247E-3</v>
      </c>
      <c r="I177">
        <f>+bma!I177/data!$K177</f>
        <v>9.5238095238095247E-3</v>
      </c>
      <c r="J177">
        <f>+bma!L177/data!$K177</f>
        <v>0</v>
      </c>
      <c r="K177">
        <f>+bma!M177/data!$K177</f>
        <v>9.5238095238095247E-3</v>
      </c>
      <c r="L177">
        <f>+bma!J177/data!$K177</f>
        <v>0</v>
      </c>
      <c r="M177">
        <f>+bma!K177/data!$K177</f>
        <v>0</v>
      </c>
      <c r="N177">
        <f>+bma!N177/data!$K177</f>
        <v>9.5238095238095247E-3</v>
      </c>
      <c r="O177">
        <f>+bma!O177/data!$K177</f>
        <v>0</v>
      </c>
      <c r="P177">
        <f>+bma!P177/data!$K177</f>
        <v>9.5238095238095247E-3</v>
      </c>
      <c r="Q177">
        <f>+bma!Q177/data!$K177</f>
        <v>7.2441790476190482E-2</v>
      </c>
      <c r="R177">
        <f>+bma!R177/data!$K177</f>
        <v>3.8993761904761899E-2</v>
      </c>
      <c r="S177">
        <f>+bma!S177/data!$K177</f>
        <v>0</v>
      </c>
    </row>
    <row r="178" spans="1:19" x14ac:dyDescent="0.25">
      <c r="A178">
        <f>+bma!A178/data!$K178</f>
        <v>-3.5128697667087994E-4</v>
      </c>
      <c r="B178">
        <f>+bma!B178/data!$K178</f>
        <v>3.2567628305069606E-4</v>
      </c>
      <c r="C178">
        <f>+bma!C178/data!$K178</f>
        <v>0</v>
      </c>
      <c r="D178">
        <f>+bma!D178/data!$K178</f>
        <v>0</v>
      </c>
      <c r="E178">
        <f>+bma!E178/data!$K178</f>
        <v>0</v>
      </c>
      <c r="F178">
        <f>+bma!F178/data!$K178</f>
        <v>0</v>
      </c>
      <c r="G178">
        <f>+bma!G178/data!$K178</f>
        <v>9.5238095238095247E-3</v>
      </c>
      <c r="H178">
        <f>+bma!H178/data!$K178</f>
        <v>9.5238095238095247E-3</v>
      </c>
      <c r="I178">
        <f>+bma!I178/data!$K178</f>
        <v>9.5238095238095247E-3</v>
      </c>
      <c r="J178">
        <f>+bma!L178/data!$K178</f>
        <v>0</v>
      </c>
      <c r="K178">
        <f>+bma!M178/data!$K178</f>
        <v>9.5238095238095247E-3</v>
      </c>
      <c r="L178">
        <f>+bma!J178/data!$K178</f>
        <v>0</v>
      </c>
      <c r="M178">
        <f>+bma!K178/data!$K178</f>
        <v>0</v>
      </c>
      <c r="N178">
        <f>+bma!N178/data!$K178</f>
        <v>0</v>
      </c>
      <c r="O178">
        <f>+bma!O178/data!$K178</f>
        <v>9.5238095238095247E-3</v>
      </c>
      <c r="P178">
        <f>+bma!P178/data!$K178</f>
        <v>9.5238095238095247E-3</v>
      </c>
      <c r="Q178">
        <f>+bma!Q178/data!$K178</f>
        <v>7.2441790476190482E-2</v>
      </c>
      <c r="R178">
        <f>+bma!R178/data!$K178</f>
        <v>3.8993761904761899E-2</v>
      </c>
      <c r="S178">
        <f>+bma!S178/data!$K178</f>
        <v>0</v>
      </c>
    </row>
    <row r="179" spans="1:19" x14ac:dyDescent="0.25">
      <c r="A179">
        <f>+bma!A179/data!$K179</f>
        <v>-4.7404890067449528E-5</v>
      </c>
      <c r="B179">
        <f>+bma!B179/data!$K179</f>
        <v>3.2122614318432581E-4</v>
      </c>
      <c r="C179">
        <f>+bma!C179/data!$K179</f>
        <v>0</v>
      </c>
      <c r="D179">
        <f>+bma!D179/data!$K179</f>
        <v>0</v>
      </c>
      <c r="E179">
        <f>+bma!E179/data!$K179</f>
        <v>0</v>
      </c>
      <c r="F179">
        <f>+bma!F179/data!$K179</f>
        <v>0</v>
      </c>
      <c r="G179">
        <f>+bma!G179/data!$K179</f>
        <v>9.5238095238095247E-3</v>
      </c>
      <c r="H179">
        <f>+bma!H179/data!$K179</f>
        <v>9.5238095238095247E-3</v>
      </c>
      <c r="I179">
        <f>+bma!I179/data!$K179</f>
        <v>9.5238095238095247E-3</v>
      </c>
      <c r="J179">
        <f>+bma!L179/data!$K179</f>
        <v>0</v>
      </c>
      <c r="K179">
        <f>+bma!M179/data!$K179</f>
        <v>9.5238095238095247E-3</v>
      </c>
      <c r="L179">
        <f>+bma!J179/data!$K179</f>
        <v>0</v>
      </c>
      <c r="M179">
        <f>+bma!K179/data!$K179</f>
        <v>0</v>
      </c>
      <c r="N179">
        <f>+bma!N179/data!$K179</f>
        <v>0</v>
      </c>
      <c r="O179">
        <f>+bma!O179/data!$K179</f>
        <v>0</v>
      </c>
      <c r="P179">
        <f>+bma!P179/data!$K179</f>
        <v>9.5238095238095247E-3</v>
      </c>
      <c r="Q179">
        <f>+bma!Q179/data!$K179</f>
        <v>7.2441790476190482E-2</v>
      </c>
      <c r="R179">
        <f>+bma!R179/data!$K179</f>
        <v>3.8993761904761899E-2</v>
      </c>
      <c r="S179">
        <f>+bma!S179/data!$K179</f>
        <v>0</v>
      </c>
    </row>
    <row r="180" spans="1:19" x14ac:dyDescent="0.25">
      <c r="A180">
        <f>+bma!A180/data!$K180</f>
        <v>4.4141433547127175E-4</v>
      </c>
      <c r="B180">
        <f>+bma!B180/data!$K180</f>
        <v>3.208849063587043E-4</v>
      </c>
      <c r="C180">
        <f>+bma!C180/data!$K180</f>
        <v>0</v>
      </c>
      <c r="D180">
        <f>+bma!D180/data!$K180</f>
        <v>0</v>
      </c>
      <c r="E180">
        <f>+bma!E180/data!$K180</f>
        <v>0</v>
      </c>
      <c r="F180">
        <f>+bma!F180/data!$K180</f>
        <v>0</v>
      </c>
      <c r="G180">
        <f>+bma!G180/data!$K180</f>
        <v>9.5238095238095247E-3</v>
      </c>
      <c r="H180">
        <f>+bma!H180/data!$K180</f>
        <v>9.5238095238095247E-3</v>
      </c>
      <c r="I180">
        <f>+bma!I180/data!$K180</f>
        <v>9.5238095238095247E-3</v>
      </c>
      <c r="J180">
        <f>+bma!L180/data!$K180</f>
        <v>0</v>
      </c>
      <c r="K180">
        <f>+bma!M180/data!$K180</f>
        <v>9.5238095238095247E-3</v>
      </c>
      <c r="L180">
        <f>+bma!J180/data!$K180</f>
        <v>0</v>
      </c>
      <c r="M180">
        <f>+bma!K180/data!$K180</f>
        <v>0</v>
      </c>
      <c r="N180">
        <f>+bma!N180/data!$K180</f>
        <v>9.5238095238095247E-3</v>
      </c>
      <c r="O180">
        <f>+bma!O180/data!$K180</f>
        <v>0</v>
      </c>
      <c r="P180">
        <f>+bma!P180/data!$K180</f>
        <v>9.5238095238095247E-3</v>
      </c>
      <c r="Q180">
        <f>+bma!Q180/data!$K180</f>
        <v>7.2441790476190482E-2</v>
      </c>
      <c r="R180">
        <f>+bma!R180/data!$K180</f>
        <v>3.8993761904761899E-2</v>
      </c>
      <c r="S180">
        <f>+bma!S180/data!$K180</f>
        <v>0</v>
      </c>
    </row>
    <row r="181" spans="1:19" x14ac:dyDescent="0.25">
      <c r="A181">
        <f>+bma!A181/data!$K181</f>
        <v>-3.9270522757430258E-4</v>
      </c>
      <c r="B181">
        <f>+bma!B181/data!$K181</f>
        <v>3.209569211309976E-4</v>
      </c>
      <c r="C181">
        <f>+bma!C181/data!$K181</f>
        <v>0</v>
      </c>
      <c r="D181">
        <f>+bma!D181/data!$K181</f>
        <v>0</v>
      </c>
      <c r="E181">
        <f>+bma!E181/data!$K181</f>
        <v>0</v>
      </c>
      <c r="F181">
        <f>+bma!F181/data!$K181</f>
        <v>0</v>
      </c>
      <c r="G181">
        <f>+bma!G181/data!$K181</f>
        <v>9.5238095238095247E-3</v>
      </c>
      <c r="H181">
        <f>+bma!H181/data!$K181</f>
        <v>9.5238095238095247E-3</v>
      </c>
      <c r="I181">
        <f>+bma!I181/data!$K181</f>
        <v>9.5238095238095247E-3</v>
      </c>
      <c r="J181">
        <f>+bma!L181/data!$K181</f>
        <v>0</v>
      </c>
      <c r="K181">
        <f>+bma!M181/data!$K181</f>
        <v>9.5238095238095247E-3</v>
      </c>
      <c r="L181">
        <f>+bma!J181/data!$K181</f>
        <v>0</v>
      </c>
      <c r="M181">
        <f>+bma!K181/data!$K181</f>
        <v>0</v>
      </c>
      <c r="N181">
        <f>+bma!N181/data!$K181</f>
        <v>0</v>
      </c>
      <c r="O181">
        <f>+bma!O181/data!$K181</f>
        <v>9.5238095238095247E-3</v>
      </c>
      <c r="P181">
        <f>+bma!P181/data!$K181</f>
        <v>9.5238095238095247E-3</v>
      </c>
      <c r="Q181">
        <f>+bma!Q181/data!$K181</f>
        <v>7.2441790476190482E-2</v>
      </c>
      <c r="R181">
        <f>+bma!R181/data!$K181</f>
        <v>3.8993761904761899E-2</v>
      </c>
      <c r="S181">
        <f>+bma!S181/data!$K181</f>
        <v>0</v>
      </c>
    </row>
    <row r="182" spans="1:19" x14ac:dyDescent="0.25">
      <c r="A182">
        <f>+bma!A182/data!$K182</f>
        <v>2.4082354875569395E-5</v>
      </c>
      <c r="B182">
        <f>+bma!B182/data!$K182</f>
        <v>4.4453193882080448E-4</v>
      </c>
      <c r="C182">
        <f>+bma!C182/data!$K182</f>
        <v>9.5238095238095247E-3</v>
      </c>
      <c r="D182">
        <f>+bma!D182/data!$K182</f>
        <v>0</v>
      </c>
      <c r="E182">
        <f>+bma!E182/data!$K182</f>
        <v>0</v>
      </c>
      <c r="F182">
        <f>+bma!F182/data!$K182</f>
        <v>0</v>
      </c>
      <c r="G182">
        <f>+bma!G182/data!$K182</f>
        <v>9.5238095238095247E-3</v>
      </c>
      <c r="H182">
        <f>+bma!H182/data!$K182</f>
        <v>9.5238095238095247E-3</v>
      </c>
      <c r="I182">
        <f>+bma!I182/data!$K182</f>
        <v>9.5238095238095247E-3</v>
      </c>
      <c r="J182">
        <f>+bma!L182/data!$K182</f>
        <v>0</v>
      </c>
      <c r="K182">
        <f>+bma!M182/data!$K182</f>
        <v>9.5238095238095247E-3</v>
      </c>
      <c r="L182">
        <f>+bma!J182/data!$K182</f>
        <v>0</v>
      </c>
      <c r="M182">
        <f>+bma!K182/data!$K182</f>
        <v>0</v>
      </c>
      <c r="N182">
        <f>+bma!N182/data!$K182</f>
        <v>0</v>
      </c>
      <c r="O182">
        <f>+bma!O182/data!$K182</f>
        <v>0</v>
      </c>
      <c r="P182">
        <f>+bma!P182/data!$K182</f>
        <v>9.5238095238095247E-3</v>
      </c>
      <c r="Q182">
        <f>+bma!Q182/data!$K182</f>
        <v>7.2441790476190482E-2</v>
      </c>
      <c r="R182">
        <f>+bma!R182/data!$K182</f>
        <v>3.8993761904761899E-2</v>
      </c>
      <c r="S182">
        <f>+bma!S182/data!$K182</f>
        <v>0</v>
      </c>
    </row>
    <row r="183" spans="1:19" x14ac:dyDescent="0.25">
      <c r="A183">
        <f>+bma!A183/data!$K183</f>
        <v>2.8422937308068727E-4</v>
      </c>
      <c r="B183">
        <f>+bma!B183/data!$K183</f>
        <v>4.4433534978699778E-4</v>
      </c>
      <c r="C183">
        <f>+bma!C183/data!$K183</f>
        <v>9.5238095238095247E-3</v>
      </c>
      <c r="D183">
        <f>+bma!D183/data!$K183</f>
        <v>0</v>
      </c>
      <c r="E183">
        <f>+bma!E183/data!$K183</f>
        <v>0</v>
      </c>
      <c r="F183">
        <f>+bma!F183/data!$K183</f>
        <v>0</v>
      </c>
      <c r="G183">
        <f>+bma!G183/data!$K183</f>
        <v>9.5238095238095247E-3</v>
      </c>
      <c r="H183">
        <f>+bma!H183/data!$K183</f>
        <v>9.5238095238095247E-3</v>
      </c>
      <c r="I183">
        <f>+bma!I183/data!$K183</f>
        <v>9.5238095238095247E-3</v>
      </c>
      <c r="J183">
        <f>+bma!L183/data!$K183</f>
        <v>0</v>
      </c>
      <c r="K183">
        <f>+bma!M183/data!$K183</f>
        <v>9.5238095238095247E-3</v>
      </c>
      <c r="L183">
        <f>+bma!J183/data!$K183</f>
        <v>0</v>
      </c>
      <c r="M183">
        <f>+bma!K183/data!$K183</f>
        <v>0</v>
      </c>
      <c r="N183">
        <f>+bma!N183/data!$K183</f>
        <v>9.5238095238095247E-3</v>
      </c>
      <c r="O183">
        <f>+bma!O183/data!$K183</f>
        <v>0</v>
      </c>
      <c r="P183">
        <f>+bma!P183/data!$K183</f>
        <v>9.5238095238095247E-3</v>
      </c>
      <c r="Q183">
        <f>+bma!Q183/data!$K183</f>
        <v>7.2441790476190482E-2</v>
      </c>
      <c r="R183">
        <f>+bma!R183/data!$K183</f>
        <v>3.8993761904761899E-2</v>
      </c>
      <c r="S183">
        <f>+bma!S183/data!$K183</f>
        <v>0</v>
      </c>
    </row>
    <row r="184" spans="1:19" x14ac:dyDescent="0.25">
      <c r="A184">
        <f>+bma!A184/data!$K184</f>
        <v>4.6917424178691925E-4</v>
      </c>
      <c r="B184">
        <f>+bma!B184/data!$K184</f>
        <v>4.4399361949685567E-4</v>
      </c>
      <c r="C184">
        <f>+bma!C184/data!$K184</f>
        <v>9.5238095238095247E-3</v>
      </c>
      <c r="D184">
        <f>+bma!D184/data!$K184</f>
        <v>0</v>
      </c>
      <c r="E184">
        <f>+bma!E184/data!$K184</f>
        <v>0</v>
      </c>
      <c r="F184">
        <f>+bma!F184/data!$K184</f>
        <v>0</v>
      </c>
      <c r="G184">
        <f>+bma!G184/data!$K184</f>
        <v>9.5238095238095247E-3</v>
      </c>
      <c r="H184">
        <f>+bma!H184/data!$K184</f>
        <v>9.5238095238095247E-3</v>
      </c>
      <c r="I184">
        <f>+bma!I184/data!$K184</f>
        <v>9.5238095238095247E-3</v>
      </c>
      <c r="J184">
        <f>+bma!L184/data!$K184</f>
        <v>0</v>
      </c>
      <c r="K184">
        <f>+bma!M184/data!$K184</f>
        <v>9.5238095238095247E-3</v>
      </c>
      <c r="L184">
        <f>+bma!J184/data!$K184</f>
        <v>0</v>
      </c>
      <c r="M184">
        <f>+bma!K184/data!$K184</f>
        <v>0</v>
      </c>
      <c r="N184">
        <f>+bma!N184/data!$K184</f>
        <v>0</v>
      </c>
      <c r="O184">
        <f>+bma!O184/data!$K184</f>
        <v>9.5238095238095247E-3</v>
      </c>
      <c r="P184">
        <f>+bma!P184/data!$K184</f>
        <v>9.5238095238095247E-3</v>
      </c>
      <c r="Q184">
        <f>+bma!Q184/data!$K184</f>
        <v>7.2441790476190482E-2</v>
      </c>
      <c r="R184">
        <f>+bma!R184/data!$K184</f>
        <v>3.8993761904761899E-2</v>
      </c>
      <c r="S184">
        <f>+bma!S184/data!$K184</f>
        <v>0</v>
      </c>
    </row>
    <row r="185" spans="1:19" x14ac:dyDescent="0.25">
      <c r="A185">
        <f>+bma!A185/data!$K185</f>
        <v>-1.2381602475435012E-3</v>
      </c>
      <c r="B185">
        <f>+bma!B185/data!$K185</f>
        <v>3.4253295470963919E-4</v>
      </c>
      <c r="C185">
        <f>+bma!C185/data!$K185</f>
        <v>0</v>
      </c>
      <c r="D185">
        <f>+bma!D185/data!$K185</f>
        <v>0</v>
      </c>
      <c r="E185">
        <f>+bma!E185/data!$K185</f>
        <v>0</v>
      </c>
      <c r="F185">
        <f>+bma!F185/data!$K185</f>
        <v>0</v>
      </c>
      <c r="G185">
        <f>+bma!G185/data!$K185</f>
        <v>9.5238095238095247E-3</v>
      </c>
      <c r="H185">
        <f>+bma!H185/data!$K185</f>
        <v>9.5238095238095247E-3</v>
      </c>
      <c r="I185">
        <f>+bma!I185/data!$K185</f>
        <v>9.5238095238095247E-3</v>
      </c>
      <c r="J185">
        <f>+bma!L185/data!$K185</f>
        <v>0</v>
      </c>
      <c r="K185">
        <f>+bma!M185/data!$K185</f>
        <v>9.5238095238095247E-3</v>
      </c>
      <c r="L185">
        <f>+bma!J185/data!$K185</f>
        <v>0</v>
      </c>
      <c r="M185">
        <f>+bma!K185/data!$K185</f>
        <v>0</v>
      </c>
      <c r="N185">
        <f>+bma!N185/data!$K185</f>
        <v>0</v>
      </c>
      <c r="O185">
        <f>+bma!O185/data!$K185</f>
        <v>0</v>
      </c>
      <c r="P185">
        <f>+bma!P185/data!$K185</f>
        <v>9.5238095238095247E-3</v>
      </c>
      <c r="Q185">
        <f>+bma!Q185/data!$K185</f>
        <v>7.2441790476190482E-2</v>
      </c>
      <c r="R185">
        <f>+bma!R185/data!$K185</f>
        <v>3.8993761904761899E-2</v>
      </c>
      <c r="S185">
        <f>+bma!S185/data!$K185</f>
        <v>0</v>
      </c>
    </row>
    <row r="186" spans="1:19" x14ac:dyDescent="0.25">
      <c r="A186">
        <f>+bma!A186/data!$K186</f>
        <v>6.3982209306346228E-4</v>
      </c>
      <c r="B186">
        <f>+bma!B186/data!$K186</f>
        <v>3.4468440090945E-4</v>
      </c>
      <c r="C186">
        <f>+bma!C186/data!$K186</f>
        <v>0</v>
      </c>
      <c r="D186">
        <f>+bma!D186/data!$K186</f>
        <v>0</v>
      </c>
      <c r="E186">
        <f>+bma!E186/data!$K186</f>
        <v>0</v>
      </c>
      <c r="F186">
        <f>+bma!F186/data!$K186</f>
        <v>0</v>
      </c>
      <c r="G186">
        <f>+bma!G186/data!$K186</f>
        <v>9.5238095238095247E-3</v>
      </c>
      <c r="H186">
        <f>+bma!H186/data!$K186</f>
        <v>9.5238095238095247E-3</v>
      </c>
      <c r="I186">
        <f>+bma!I186/data!$K186</f>
        <v>9.5238095238095247E-3</v>
      </c>
      <c r="J186">
        <f>+bma!L186/data!$K186</f>
        <v>0</v>
      </c>
      <c r="K186">
        <f>+bma!M186/data!$K186</f>
        <v>9.5238095238095247E-3</v>
      </c>
      <c r="L186">
        <f>+bma!J186/data!$K186</f>
        <v>0</v>
      </c>
      <c r="M186">
        <f>+bma!K186/data!$K186</f>
        <v>0</v>
      </c>
      <c r="N186">
        <f>+bma!N186/data!$K186</f>
        <v>9.5238095238095247E-3</v>
      </c>
      <c r="O186">
        <f>+bma!O186/data!$K186</f>
        <v>0</v>
      </c>
      <c r="P186">
        <f>+bma!P186/data!$K186</f>
        <v>9.5238095238095247E-3</v>
      </c>
      <c r="Q186">
        <f>+bma!Q186/data!$K186</f>
        <v>7.2441790476190482E-2</v>
      </c>
      <c r="R186">
        <f>+bma!R186/data!$K186</f>
        <v>3.8993761904761899E-2</v>
      </c>
      <c r="S186">
        <f>+bma!S186/data!$K186</f>
        <v>0</v>
      </c>
    </row>
    <row r="187" spans="1:19" x14ac:dyDescent="0.25">
      <c r="A187">
        <f>+bma!A187/data!$K187</f>
        <v>4.425603342183625E-4</v>
      </c>
      <c r="B187">
        <f>+bma!B187/data!$K187</f>
        <v>3.4509168918217558E-4</v>
      </c>
      <c r="C187">
        <f>+bma!C187/data!$K187</f>
        <v>0</v>
      </c>
      <c r="D187">
        <f>+bma!D187/data!$K187</f>
        <v>0</v>
      </c>
      <c r="E187">
        <f>+bma!E187/data!$K187</f>
        <v>0</v>
      </c>
      <c r="F187">
        <f>+bma!F187/data!$K187</f>
        <v>0</v>
      </c>
      <c r="G187">
        <f>+bma!G187/data!$K187</f>
        <v>9.5238095238095247E-3</v>
      </c>
      <c r="H187">
        <f>+bma!H187/data!$K187</f>
        <v>9.5238095238095247E-3</v>
      </c>
      <c r="I187">
        <f>+bma!I187/data!$K187</f>
        <v>9.5238095238095247E-3</v>
      </c>
      <c r="J187">
        <f>+bma!L187/data!$K187</f>
        <v>0</v>
      </c>
      <c r="K187">
        <f>+bma!M187/data!$K187</f>
        <v>9.5238095238095247E-3</v>
      </c>
      <c r="L187">
        <f>+bma!J187/data!$K187</f>
        <v>0</v>
      </c>
      <c r="M187">
        <f>+bma!K187/data!$K187</f>
        <v>0</v>
      </c>
      <c r="N187">
        <f>+bma!N187/data!$K187</f>
        <v>0</v>
      </c>
      <c r="O187">
        <f>+bma!O187/data!$K187</f>
        <v>9.5238095238095247E-3</v>
      </c>
      <c r="P187">
        <f>+bma!P187/data!$K187</f>
        <v>9.5238095238095247E-3</v>
      </c>
      <c r="Q187">
        <f>+bma!Q187/data!$K187</f>
        <v>7.2441790476190482E-2</v>
      </c>
      <c r="R187">
        <f>+bma!R187/data!$K187</f>
        <v>3.8993761904761899E-2</v>
      </c>
      <c r="S187">
        <f>+bma!S187/data!$K187</f>
        <v>0</v>
      </c>
    </row>
    <row r="188" spans="1:19" x14ac:dyDescent="0.25">
      <c r="A188">
        <f>+bma!A188/data!$K188</f>
        <v>-1.1518664073103032E-3</v>
      </c>
      <c r="B188">
        <f>+bma!B188/data!$K188</f>
        <v>3.4091621297974563E-4</v>
      </c>
      <c r="C188">
        <f>+bma!C188/data!$K188</f>
        <v>0</v>
      </c>
      <c r="D188">
        <f>+bma!D188/data!$K188</f>
        <v>0</v>
      </c>
      <c r="E188">
        <f>+bma!E188/data!$K188</f>
        <v>0</v>
      </c>
      <c r="F188">
        <f>+bma!F188/data!$K188</f>
        <v>0</v>
      </c>
      <c r="G188">
        <f>+bma!G188/data!$K188</f>
        <v>9.5238095238095247E-3</v>
      </c>
      <c r="H188">
        <f>+bma!H188/data!$K188</f>
        <v>9.5238095238095247E-3</v>
      </c>
      <c r="I188">
        <f>+bma!I188/data!$K188</f>
        <v>9.5238095238095247E-3</v>
      </c>
      <c r="J188">
        <f>+bma!L188/data!$K188</f>
        <v>0</v>
      </c>
      <c r="K188">
        <f>+bma!M188/data!$K188</f>
        <v>9.5238095238095247E-3</v>
      </c>
      <c r="L188">
        <f>+bma!J188/data!$K188</f>
        <v>0</v>
      </c>
      <c r="M188">
        <f>+bma!K188/data!$K188</f>
        <v>0</v>
      </c>
      <c r="N188">
        <f>+bma!N188/data!$K188</f>
        <v>0</v>
      </c>
      <c r="O188">
        <f>+bma!O188/data!$K188</f>
        <v>0</v>
      </c>
      <c r="P188">
        <f>+bma!P188/data!$K188</f>
        <v>9.5238095238095247E-3</v>
      </c>
      <c r="Q188">
        <f>+bma!Q188/data!$K188</f>
        <v>7.2441790476190482E-2</v>
      </c>
      <c r="R188">
        <f>+bma!R188/data!$K188</f>
        <v>3.8993761904761899E-2</v>
      </c>
      <c r="S188">
        <f>+bma!S188/data!$K188</f>
        <v>0</v>
      </c>
    </row>
    <row r="189" spans="1:19" x14ac:dyDescent="0.25">
      <c r="A189">
        <f>+bma!A189/data!$K189</f>
        <v>8.1016115029566382E-5</v>
      </c>
      <c r="B189">
        <f>+bma!B189/data!$K189</f>
        <v>3.4342492878341931E-4</v>
      </c>
      <c r="C189">
        <f>+bma!C189/data!$K189</f>
        <v>0</v>
      </c>
      <c r="D189">
        <f>+bma!D189/data!$K189</f>
        <v>0</v>
      </c>
      <c r="E189">
        <f>+bma!E189/data!$K189</f>
        <v>0</v>
      </c>
      <c r="F189">
        <f>+bma!F189/data!$K189</f>
        <v>0</v>
      </c>
      <c r="G189">
        <f>+bma!G189/data!$K189</f>
        <v>9.5238095238095247E-3</v>
      </c>
      <c r="H189">
        <f>+bma!H189/data!$K189</f>
        <v>9.5238095238095247E-3</v>
      </c>
      <c r="I189">
        <f>+bma!I189/data!$K189</f>
        <v>9.5238095238095247E-3</v>
      </c>
      <c r="J189">
        <f>+bma!L189/data!$K189</f>
        <v>0</v>
      </c>
      <c r="K189">
        <f>+bma!M189/data!$K189</f>
        <v>9.5238095238095247E-3</v>
      </c>
      <c r="L189">
        <f>+bma!J189/data!$K189</f>
        <v>0</v>
      </c>
      <c r="M189">
        <f>+bma!K189/data!$K189</f>
        <v>0</v>
      </c>
      <c r="N189">
        <f>+bma!N189/data!$K189</f>
        <v>9.5238095238095247E-3</v>
      </c>
      <c r="O189">
        <f>+bma!O189/data!$K189</f>
        <v>0</v>
      </c>
      <c r="P189">
        <f>+bma!P189/data!$K189</f>
        <v>9.5238095238095247E-3</v>
      </c>
      <c r="Q189">
        <f>+bma!Q189/data!$K189</f>
        <v>7.2441790476190482E-2</v>
      </c>
      <c r="R189">
        <f>+bma!R189/data!$K189</f>
        <v>3.8993761904761899E-2</v>
      </c>
      <c r="S189">
        <f>+bma!S189/data!$K189</f>
        <v>0</v>
      </c>
    </row>
    <row r="190" spans="1:19" x14ac:dyDescent="0.25">
      <c r="A190">
        <f>+bma!A190/data!$K190</f>
        <v>2.5191456152315485E-4</v>
      </c>
      <c r="B190">
        <f>+bma!B190/data!$K190</f>
        <v>3.4331719004040571E-4</v>
      </c>
      <c r="C190">
        <f>+bma!C190/data!$K190</f>
        <v>0</v>
      </c>
      <c r="D190">
        <f>+bma!D190/data!$K190</f>
        <v>0</v>
      </c>
      <c r="E190">
        <f>+bma!E190/data!$K190</f>
        <v>0</v>
      </c>
      <c r="F190">
        <f>+bma!F190/data!$K190</f>
        <v>0</v>
      </c>
      <c r="G190">
        <f>+bma!G190/data!$K190</f>
        <v>9.5238095238095247E-3</v>
      </c>
      <c r="H190">
        <f>+bma!H190/data!$K190</f>
        <v>9.5238095238095247E-3</v>
      </c>
      <c r="I190">
        <f>+bma!I190/data!$K190</f>
        <v>9.5238095238095247E-3</v>
      </c>
      <c r="J190">
        <f>+bma!L190/data!$K190</f>
        <v>0</v>
      </c>
      <c r="K190">
        <f>+bma!M190/data!$K190</f>
        <v>9.5238095238095247E-3</v>
      </c>
      <c r="L190">
        <f>+bma!J190/data!$K190</f>
        <v>0</v>
      </c>
      <c r="M190">
        <f>+bma!K190/data!$K190</f>
        <v>0</v>
      </c>
      <c r="N190">
        <f>+bma!N190/data!$K190</f>
        <v>0</v>
      </c>
      <c r="O190">
        <f>+bma!O190/data!$K190</f>
        <v>9.5238095238095247E-3</v>
      </c>
      <c r="P190">
        <f>+bma!P190/data!$K190</f>
        <v>9.5238095238095247E-3</v>
      </c>
      <c r="Q190">
        <f>+bma!Q190/data!$K190</f>
        <v>7.2441790476190482E-2</v>
      </c>
      <c r="R190">
        <f>+bma!R190/data!$K190</f>
        <v>3.8993761904761899E-2</v>
      </c>
      <c r="S190">
        <f>+bma!S190/data!$K190</f>
        <v>0</v>
      </c>
    </row>
    <row r="191" spans="1:19" x14ac:dyDescent="0.25">
      <c r="A191">
        <f>+bma!A191/data!$K191</f>
        <v>-1.6488906164590811E-3</v>
      </c>
      <c r="B191">
        <f>+bma!B191/data!$K191</f>
        <v>4.6381037874827308E-4</v>
      </c>
      <c r="C191">
        <f>+bma!C191/data!$K191</f>
        <v>9.5238095238095247E-3</v>
      </c>
      <c r="D191">
        <f>+bma!D191/data!$K191</f>
        <v>0</v>
      </c>
      <c r="E191">
        <f>+bma!E191/data!$K191</f>
        <v>0</v>
      </c>
      <c r="F191">
        <f>+bma!F191/data!$K191</f>
        <v>0</v>
      </c>
      <c r="G191">
        <f>+bma!G191/data!$K191</f>
        <v>9.5238095238095247E-3</v>
      </c>
      <c r="H191">
        <f>+bma!H191/data!$K191</f>
        <v>9.5238095238095247E-3</v>
      </c>
      <c r="I191">
        <f>+bma!I191/data!$K191</f>
        <v>9.5238095238095247E-3</v>
      </c>
      <c r="J191">
        <f>+bma!L191/data!$K191</f>
        <v>0</v>
      </c>
      <c r="K191">
        <f>+bma!M191/data!$K191</f>
        <v>9.5238095238095247E-3</v>
      </c>
      <c r="L191">
        <f>+bma!J191/data!$K191</f>
        <v>0</v>
      </c>
      <c r="M191">
        <f>+bma!K191/data!$K191</f>
        <v>0</v>
      </c>
      <c r="N191">
        <f>+bma!N191/data!$K191</f>
        <v>0</v>
      </c>
      <c r="O191">
        <f>+bma!O191/data!$K191</f>
        <v>0</v>
      </c>
      <c r="P191">
        <f>+bma!P191/data!$K191</f>
        <v>9.5238095238095247E-3</v>
      </c>
      <c r="Q191">
        <f>+bma!Q191/data!$K191</f>
        <v>7.2441790476190482E-2</v>
      </c>
      <c r="R191">
        <f>+bma!R191/data!$K191</f>
        <v>3.8993761904761899E-2</v>
      </c>
      <c r="S191">
        <f>+bma!S191/data!$K191</f>
        <v>0</v>
      </c>
    </row>
    <row r="192" spans="1:19" x14ac:dyDescent="0.25">
      <c r="A192">
        <f>+bma!A192/data!$K192</f>
        <v>7.2976317853148595E-4</v>
      </c>
      <c r="B192">
        <f>+bma!B192/data!$K192</f>
        <v>4.6953754897762271E-4</v>
      </c>
      <c r="C192">
        <f>+bma!C192/data!$K192</f>
        <v>9.5238095238095247E-3</v>
      </c>
      <c r="D192">
        <f>+bma!D192/data!$K192</f>
        <v>0</v>
      </c>
      <c r="E192">
        <f>+bma!E192/data!$K192</f>
        <v>0</v>
      </c>
      <c r="F192">
        <f>+bma!F192/data!$K192</f>
        <v>0</v>
      </c>
      <c r="G192">
        <f>+bma!G192/data!$K192</f>
        <v>9.5238095238095247E-3</v>
      </c>
      <c r="H192">
        <f>+bma!H192/data!$K192</f>
        <v>9.5238095238095247E-3</v>
      </c>
      <c r="I192">
        <f>+bma!I192/data!$K192</f>
        <v>9.5238095238095247E-3</v>
      </c>
      <c r="J192">
        <f>+bma!L192/data!$K192</f>
        <v>0</v>
      </c>
      <c r="K192">
        <f>+bma!M192/data!$K192</f>
        <v>9.5238095238095247E-3</v>
      </c>
      <c r="L192">
        <f>+bma!J192/data!$K192</f>
        <v>0</v>
      </c>
      <c r="M192">
        <f>+bma!K192/data!$K192</f>
        <v>0</v>
      </c>
      <c r="N192">
        <f>+bma!N192/data!$K192</f>
        <v>9.5238095238095247E-3</v>
      </c>
      <c r="O192">
        <f>+bma!O192/data!$K192</f>
        <v>0</v>
      </c>
      <c r="P192">
        <f>+bma!P192/data!$K192</f>
        <v>9.5238095238095247E-3</v>
      </c>
      <c r="Q192">
        <f>+bma!Q192/data!$K192</f>
        <v>7.2441790476190482E-2</v>
      </c>
      <c r="R192">
        <f>+bma!R192/data!$K192</f>
        <v>3.8993761904761899E-2</v>
      </c>
      <c r="S192">
        <f>+bma!S192/data!$K192</f>
        <v>0</v>
      </c>
    </row>
    <row r="193" spans="1:19" x14ac:dyDescent="0.25">
      <c r="A193">
        <f>+bma!A193/data!$K193</f>
        <v>9.4977301287220135E-4</v>
      </c>
      <c r="B193">
        <f>+bma!B193/data!$K193</f>
        <v>4.6857448875868574E-4</v>
      </c>
      <c r="C193">
        <f>+bma!C193/data!$K193</f>
        <v>9.5238095238095247E-3</v>
      </c>
      <c r="D193">
        <f>+bma!D193/data!$K193</f>
        <v>0</v>
      </c>
      <c r="E193">
        <f>+bma!E193/data!$K193</f>
        <v>0</v>
      </c>
      <c r="F193">
        <f>+bma!F193/data!$K193</f>
        <v>0</v>
      </c>
      <c r="G193">
        <f>+bma!G193/data!$K193</f>
        <v>9.5238095238095247E-3</v>
      </c>
      <c r="H193">
        <f>+bma!H193/data!$K193</f>
        <v>9.5238095238095247E-3</v>
      </c>
      <c r="I193">
        <f>+bma!I193/data!$K193</f>
        <v>9.5238095238095247E-3</v>
      </c>
      <c r="J193">
        <f>+bma!L193/data!$K193</f>
        <v>0</v>
      </c>
      <c r="K193">
        <f>+bma!M193/data!$K193</f>
        <v>9.5238095238095247E-3</v>
      </c>
      <c r="L193">
        <f>+bma!J193/data!$K193</f>
        <v>0</v>
      </c>
      <c r="M193">
        <f>+bma!K193/data!$K193</f>
        <v>0</v>
      </c>
      <c r="N193">
        <f>+bma!N193/data!$K193</f>
        <v>0</v>
      </c>
      <c r="O193">
        <f>+bma!O193/data!$K193</f>
        <v>9.5238095238095247E-3</v>
      </c>
      <c r="P193">
        <f>+bma!P193/data!$K193</f>
        <v>9.5238095238095247E-3</v>
      </c>
      <c r="Q193">
        <f>+bma!Q193/data!$K193</f>
        <v>7.2441790476190482E-2</v>
      </c>
      <c r="R193">
        <f>+bma!R193/data!$K193</f>
        <v>3.8993761904761899E-2</v>
      </c>
      <c r="S193">
        <f>+bma!S193/data!$K193</f>
        <v>0</v>
      </c>
    </row>
    <row r="194" spans="1:19" x14ac:dyDescent="0.25">
      <c r="A194">
        <f>+bma!A194/data!$K194</f>
        <v>-2.7819042881374188E-4</v>
      </c>
      <c r="B194">
        <f>+bma!B194/data!$K194</f>
        <v>1.1994704203397704E-4</v>
      </c>
      <c r="C194">
        <f>+bma!C194/data!$K194</f>
        <v>0</v>
      </c>
      <c r="D194">
        <f>+bma!D194/data!$K194</f>
        <v>0</v>
      </c>
      <c r="E194">
        <f>+bma!E194/data!$K194</f>
        <v>0</v>
      </c>
      <c r="F194">
        <f>+bma!F194/data!$K194</f>
        <v>0</v>
      </c>
      <c r="G194">
        <f>+bma!G194/data!$K194</f>
        <v>9.5238095238095247E-3</v>
      </c>
      <c r="H194">
        <f>+bma!H194/data!$K194</f>
        <v>9.5238095238095247E-3</v>
      </c>
      <c r="I194">
        <f>+bma!I194/data!$K194</f>
        <v>9.5238095238095247E-3</v>
      </c>
      <c r="J194">
        <f>+bma!L194/data!$K194</f>
        <v>0</v>
      </c>
      <c r="K194">
        <f>+bma!M194/data!$K194</f>
        <v>9.5238095238095247E-3</v>
      </c>
      <c r="L194">
        <f>+bma!J194/data!$K194</f>
        <v>0</v>
      </c>
      <c r="M194">
        <f>+bma!K194/data!$K194</f>
        <v>0</v>
      </c>
      <c r="N194">
        <f>+bma!N194/data!$K194</f>
        <v>0</v>
      </c>
      <c r="O194">
        <f>+bma!O194/data!$K194</f>
        <v>0</v>
      </c>
      <c r="P194">
        <f>+bma!P194/data!$K194</f>
        <v>9.5238095238095247E-3</v>
      </c>
      <c r="Q194">
        <f>+bma!Q194/data!$K194</f>
        <v>7.2441790476190482E-2</v>
      </c>
      <c r="R194">
        <f>+bma!R194/data!$K194</f>
        <v>3.8993761904761899E-2</v>
      </c>
      <c r="S194">
        <f>+bma!S194/data!$K194</f>
        <v>0</v>
      </c>
    </row>
    <row r="195" spans="1:19" x14ac:dyDescent="0.25">
      <c r="A195">
        <f>+bma!A195/data!$K195</f>
        <v>3.5397712553270939E-7</v>
      </c>
      <c r="B195">
        <f>+bma!B195/data!$K195</f>
        <v>1.1999824555558846E-4</v>
      </c>
      <c r="C195">
        <f>+bma!C195/data!$K195</f>
        <v>0</v>
      </c>
      <c r="D195">
        <f>+bma!D195/data!$K195</f>
        <v>0</v>
      </c>
      <c r="E195">
        <f>+bma!E195/data!$K195</f>
        <v>0</v>
      </c>
      <c r="F195">
        <f>+bma!F195/data!$K195</f>
        <v>0</v>
      </c>
      <c r="G195">
        <f>+bma!G195/data!$K195</f>
        <v>9.5238095238095247E-3</v>
      </c>
      <c r="H195">
        <f>+bma!H195/data!$K195</f>
        <v>9.5238095238095247E-3</v>
      </c>
      <c r="I195">
        <f>+bma!I195/data!$K195</f>
        <v>9.5238095238095247E-3</v>
      </c>
      <c r="J195">
        <f>+bma!L195/data!$K195</f>
        <v>0</v>
      </c>
      <c r="K195">
        <f>+bma!M195/data!$K195</f>
        <v>9.5238095238095247E-3</v>
      </c>
      <c r="L195">
        <f>+bma!J195/data!$K195</f>
        <v>0</v>
      </c>
      <c r="M195">
        <f>+bma!K195/data!$K195</f>
        <v>0</v>
      </c>
      <c r="N195">
        <f>+bma!N195/data!$K195</f>
        <v>9.5238095238095247E-3</v>
      </c>
      <c r="O195">
        <f>+bma!O195/data!$K195</f>
        <v>0</v>
      </c>
      <c r="P195">
        <f>+bma!P195/data!$K195</f>
        <v>9.5238095238095247E-3</v>
      </c>
      <c r="Q195">
        <f>+bma!Q195/data!$K195</f>
        <v>7.2441790476190482E-2</v>
      </c>
      <c r="R195">
        <f>+bma!R195/data!$K195</f>
        <v>3.8993761904761899E-2</v>
      </c>
      <c r="S195">
        <f>+bma!S195/data!$K195</f>
        <v>0</v>
      </c>
    </row>
    <row r="196" spans="1:19" x14ac:dyDescent="0.25">
      <c r="A196">
        <f>+bma!A196/data!$K196</f>
        <v>1.0485277244870418E-5</v>
      </c>
      <c r="B196">
        <f>+bma!B196/data!$K196</f>
        <v>1.1999817291351701E-4</v>
      </c>
      <c r="C196">
        <f>+bma!C196/data!$K196</f>
        <v>0</v>
      </c>
      <c r="D196">
        <f>+bma!D196/data!$K196</f>
        <v>0</v>
      </c>
      <c r="E196">
        <f>+bma!E196/data!$K196</f>
        <v>0</v>
      </c>
      <c r="F196">
        <f>+bma!F196/data!$K196</f>
        <v>0</v>
      </c>
      <c r="G196">
        <f>+bma!G196/data!$K196</f>
        <v>9.5238095238095247E-3</v>
      </c>
      <c r="H196">
        <f>+bma!H196/data!$K196</f>
        <v>9.5238095238095247E-3</v>
      </c>
      <c r="I196">
        <f>+bma!I196/data!$K196</f>
        <v>9.5238095238095247E-3</v>
      </c>
      <c r="J196">
        <f>+bma!L196/data!$K196</f>
        <v>0</v>
      </c>
      <c r="K196">
        <f>+bma!M196/data!$K196</f>
        <v>9.5238095238095247E-3</v>
      </c>
      <c r="L196">
        <f>+bma!J196/data!$K196</f>
        <v>0</v>
      </c>
      <c r="M196">
        <f>+bma!K196/data!$K196</f>
        <v>0</v>
      </c>
      <c r="N196">
        <f>+bma!N196/data!$K196</f>
        <v>0</v>
      </c>
      <c r="O196">
        <f>+bma!O196/data!$K196</f>
        <v>9.5238095238095247E-3</v>
      </c>
      <c r="P196">
        <f>+bma!P196/data!$K196</f>
        <v>9.5238095238095247E-3</v>
      </c>
      <c r="Q196">
        <f>+bma!Q196/data!$K196</f>
        <v>7.2441790476190482E-2</v>
      </c>
      <c r="R196">
        <f>+bma!R196/data!$K196</f>
        <v>3.8993761904761899E-2</v>
      </c>
      <c r="S196">
        <f>+bma!S196/data!$K196</f>
        <v>0</v>
      </c>
    </row>
    <row r="197" spans="1:19" x14ac:dyDescent="0.25">
      <c r="A197">
        <f>+bma!A197/data!$K197</f>
        <v>-2.7285710406400513E-4</v>
      </c>
      <c r="B197">
        <f>+bma!B197/data!$K197</f>
        <v>1.1897087001842877E-4</v>
      </c>
      <c r="C197">
        <f>+bma!C197/data!$K197</f>
        <v>0</v>
      </c>
      <c r="D197">
        <f>+bma!D197/data!$K197</f>
        <v>0</v>
      </c>
      <c r="E197">
        <f>+bma!E197/data!$K197</f>
        <v>0</v>
      </c>
      <c r="F197">
        <f>+bma!F197/data!$K197</f>
        <v>0</v>
      </c>
      <c r="G197">
        <f>+bma!G197/data!$K197</f>
        <v>9.5238095238095247E-3</v>
      </c>
      <c r="H197">
        <f>+bma!H197/data!$K197</f>
        <v>9.5238095238095247E-3</v>
      </c>
      <c r="I197">
        <f>+bma!I197/data!$K197</f>
        <v>9.5238095238095247E-3</v>
      </c>
      <c r="J197">
        <f>+bma!L197/data!$K197</f>
        <v>0</v>
      </c>
      <c r="K197">
        <f>+bma!M197/data!$K197</f>
        <v>9.5238095238095247E-3</v>
      </c>
      <c r="L197">
        <f>+bma!J197/data!$K197</f>
        <v>0</v>
      </c>
      <c r="M197">
        <f>+bma!K197/data!$K197</f>
        <v>0</v>
      </c>
      <c r="N197">
        <f>+bma!N197/data!$K197</f>
        <v>0</v>
      </c>
      <c r="O197">
        <f>+bma!O197/data!$K197</f>
        <v>0</v>
      </c>
      <c r="P197">
        <f>+bma!P197/data!$K197</f>
        <v>9.5238095238095247E-3</v>
      </c>
      <c r="Q197">
        <f>+bma!Q197/data!$K197</f>
        <v>7.2441790476190482E-2</v>
      </c>
      <c r="R197">
        <f>+bma!R197/data!$K197</f>
        <v>3.8993761904761899E-2</v>
      </c>
      <c r="S197">
        <f>+bma!S197/data!$K197</f>
        <v>0</v>
      </c>
    </row>
    <row r="198" spans="1:19" x14ac:dyDescent="0.25">
      <c r="A198">
        <f>+bma!A198/data!$K198</f>
        <v>9.1856590399292331E-5</v>
      </c>
      <c r="B198">
        <f>+bma!B198/data!$K198</f>
        <v>1.1901419103908309E-4</v>
      </c>
      <c r="C198">
        <f>+bma!C198/data!$K198</f>
        <v>0</v>
      </c>
      <c r="D198">
        <f>+bma!D198/data!$K198</f>
        <v>0</v>
      </c>
      <c r="E198">
        <f>+bma!E198/data!$K198</f>
        <v>0</v>
      </c>
      <c r="F198">
        <f>+bma!F198/data!$K198</f>
        <v>0</v>
      </c>
      <c r="G198">
        <f>+bma!G198/data!$K198</f>
        <v>9.5238095238095247E-3</v>
      </c>
      <c r="H198">
        <f>+bma!H198/data!$K198</f>
        <v>9.5238095238095247E-3</v>
      </c>
      <c r="I198">
        <f>+bma!I198/data!$K198</f>
        <v>9.5238095238095247E-3</v>
      </c>
      <c r="J198">
        <f>+bma!L198/data!$K198</f>
        <v>0</v>
      </c>
      <c r="K198">
        <f>+bma!M198/data!$K198</f>
        <v>9.5238095238095247E-3</v>
      </c>
      <c r="L198">
        <f>+bma!J198/data!$K198</f>
        <v>0</v>
      </c>
      <c r="M198">
        <f>+bma!K198/data!$K198</f>
        <v>0</v>
      </c>
      <c r="N198">
        <f>+bma!N198/data!$K198</f>
        <v>9.5238095238095247E-3</v>
      </c>
      <c r="O198">
        <f>+bma!O198/data!$K198</f>
        <v>0</v>
      </c>
      <c r="P198">
        <f>+bma!P198/data!$K198</f>
        <v>9.5238095238095247E-3</v>
      </c>
      <c r="Q198">
        <f>+bma!Q198/data!$K198</f>
        <v>7.2441790476190482E-2</v>
      </c>
      <c r="R198">
        <f>+bma!R198/data!$K198</f>
        <v>3.8993761904761899E-2</v>
      </c>
      <c r="S198">
        <f>+bma!S198/data!$K198</f>
        <v>0</v>
      </c>
    </row>
    <row r="199" spans="1:19" x14ac:dyDescent="0.25">
      <c r="A199">
        <f>+bma!A199/data!$K199</f>
        <v>-2.4244680657657668E-5</v>
      </c>
      <c r="B199">
        <f>+bma!B199/data!$K199</f>
        <v>1.1901934141031947E-4</v>
      </c>
      <c r="C199">
        <f>+bma!C199/data!$K199</f>
        <v>0</v>
      </c>
      <c r="D199">
        <f>+bma!D199/data!$K199</f>
        <v>0</v>
      </c>
      <c r="E199">
        <f>+bma!E199/data!$K199</f>
        <v>0</v>
      </c>
      <c r="F199">
        <f>+bma!F199/data!$K199</f>
        <v>0</v>
      </c>
      <c r="G199">
        <f>+bma!G199/data!$K199</f>
        <v>9.5238095238095247E-3</v>
      </c>
      <c r="H199">
        <f>+bma!H199/data!$K199</f>
        <v>9.5238095238095247E-3</v>
      </c>
      <c r="I199">
        <f>+bma!I199/data!$K199</f>
        <v>9.5238095238095247E-3</v>
      </c>
      <c r="J199">
        <f>+bma!L199/data!$K199</f>
        <v>0</v>
      </c>
      <c r="K199">
        <f>+bma!M199/data!$K199</f>
        <v>9.5238095238095247E-3</v>
      </c>
      <c r="L199">
        <f>+bma!J199/data!$K199</f>
        <v>0</v>
      </c>
      <c r="M199">
        <f>+bma!K199/data!$K199</f>
        <v>0</v>
      </c>
      <c r="N199">
        <f>+bma!N199/data!$K199</f>
        <v>0</v>
      </c>
      <c r="O199">
        <f>+bma!O199/data!$K199</f>
        <v>9.5238095238095247E-3</v>
      </c>
      <c r="P199">
        <f>+bma!P199/data!$K199</f>
        <v>9.5238095238095247E-3</v>
      </c>
      <c r="Q199">
        <f>+bma!Q199/data!$K199</f>
        <v>7.2441790476190482E-2</v>
      </c>
      <c r="R199">
        <f>+bma!R199/data!$K199</f>
        <v>3.8993761904761899E-2</v>
      </c>
      <c r="S199">
        <f>+bma!S199/data!$K199</f>
        <v>0</v>
      </c>
    </row>
    <row r="200" spans="1:19" x14ac:dyDescent="0.25">
      <c r="A200">
        <f>+bma!A200/data!$K200</f>
        <v>-1.1867301120298984E-4</v>
      </c>
      <c r="B200">
        <f>+bma!B200/data!$K200</f>
        <v>1.6317539040411105E-4</v>
      </c>
      <c r="C200">
        <f>+bma!C200/data!$K200</f>
        <v>9.5238095238095247E-3</v>
      </c>
      <c r="D200">
        <f>+bma!D200/data!$K200</f>
        <v>0</v>
      </c>
      <c r="E200">
        <f>+bma!E200/data!$K200</f>
        <v>0</v>
      </c>
      <c r="F200">
        <f>+bma!F200/data!$K200</f>
        <v>0</v>
      </c>
      <c r="G200">
        <f>+bma!G200/data!$K200</f>
        <v>9.5238095238095247E-3</v>
      </c>
      <c r="H200">
        <f>+bma!H200/data!$K200</f>
        <v>9.5238095238095247E-3</v>
      </c>
      <c r="I200">
        <f>+bma!I200/data!$K200</f>
        <v>9.5238095238095247E-3</v>
      </c>
      <c r="J200">
        <f>+bma!L200/data!$K200</f>
        <v>0</v>
      </c>
      <c r="K200">
        <f>+bma!M200/data!$K200</f>
        <v>9.5238095238095247E-3</v>
      </c>
      <c r="L200">
        <f>+bma!J200/data!$K200</f>
        <v>0</v>
      </c>
      <c r="M200">
        <f>+bma!K200/data!$K200</f>
        <v>0</v>
      </c>
      <c r="N200">
        <f>+bma!N200/data!$K200</f>
        <v>0</v>
      </c>
      <c r="O200">
        <f>+bma!O200/data!$K200</f>
        <v>0</v>
      </c>
      <c r="P200">
        <f>+bma!P200/data!$K200</f>
        <v>9.5238095238095247E-3</v>
      </c>
      <c r="Q200">
        <f>+bma!Q200/data!$K200</f>
        <v>7.2441790476190482E-2</v>
      </c>
      <c r="R200">
        <f>+bma!R200/data!$K200</f>
        <v>3.8993761904761899E-2</v>
      </c>
      <c r="S200">
        <f>+bma!S200/data!$K200</f>
        <v>0</v>
      </c>
    </row>
    <row r="201" spans="1:19" x14ac:dyDescent="0.25">
      <c r="A201">
        <f>+bma!A201/data!$K201</f>
        <v>1.7738960165760893E-4</v>
      </c>
      <c r="B201">
        <f>+bma!B201/data!$K201</f>
        <v>1.6315975043429607E-4</v>
      </c>
      <c r="C201">
        <f>+bma!C201/data!$K201</f>
        <v>9.5238095238095247E-3</v>
      </c>
      <c r="D201">
        <f>+bma!D201/data!$K201</f>
        <v>0</v>
      </c>
      <c r="E201">
        <f>+bma!E201/data!$K201</f>
        <v>0</v>
      </c>
      <c r="F201">
        <f>+bma!F201/data!$K201</f>
        <v>0</v>
      </c>
      <c r="G201">
        <f>+bma!G201/data!$K201</f>
        <v>9.5238095238095247E-3</v>
      </c>
      <c r="H201">
        <f>+bma!H201/data!$K201</f>
        <v>9.5238095238095247E-3</v>
      </c>
      <c r="I201">
        <f>+bma!I201/data!$K201</f>
        <v>9.5238095238095247E-3</v>
      </c>
      <c r="J201">
        <f>+bma!L201/data!$K201</f>
        <v>0</v>
      </c>
      <c r="K201">
        <f>+bma!M201/data!$K201</f>
        <v>9.5238095238095247E-3</v>
      </c>
      <c r="L201">
        <f>+bma!J201/data!$K201</f>
        <v>0</v>
      </c>
      <c r="M201">
        <f>+bma!K201/data!$K201</f>
        <v>0</v>
      </c>
      <c r="N201">
        <f>+bma!N201/data!$K201</f>
        <v>9.5238095238095247E-3</v>
      </c>
      <c r="O201">
        <f>+bma!O201/data!$K201</f>
        <v>0</v>
      </c>
      <c r="P201">
        <f>+bma!P201/data!$K201</f>
        <v>9.5238095238095247E-3</v>
      </c>
      <c r="Q201">
        <f>+bma!Q201/data!$K201</f>
        <v>7.2441790476190482E-2</v>
      </c>
      <c r="R201">
        <f>+bma!R201/data!$K201</f>
        <v>3.8993761904761899E-2</v>
      </c>
      <c r="S201">
        <f>+bma!S201/data!$K201</f>
        <v>0</v>
      </c>
    </row>
    <row r="202" spans="1:19" x14ac:dyDescent="0.25">
      <c r="A202">
        <f>+bma!A202/data!$K202</f>
        <v>5.8309792111417311E-5</v>
      </c>
      <c r="B202">
        <f>+bma!B202/data!$K202</f>
        <v>1.6318500124467319E-4</v>
      </c>
      <c r="C202">
        <f>+bma!C202/data!$K202</f>
        <v>9.5238095238095247E-3</v>
      </c>
      <c r="D202">
        <f>+bma!D202/data!$K202</f>
        <v>0</v>
      </c>
      <c r="E202">
        <f>+bma!E202/data!$K202</f>
        <v>0</v>
      </c>
      <c r="F202">
        <f>+bma!F202/data!$K202</f>
        <v>0</v>
      </c>
      <c r="G202">
        <f>+bma!G202/data!$K202</f>
        <v>9.5238095238095247E-3</v>
      </c>
      <c r="H202">
        <f>+bma!H202/data!$K202</f>
        <v>9.5238095238095247E-3</v>
      </c>
      <c r="I202">
        <f>+bma!I202/data!$K202</f>
        <v>9.5238095238095247E-3</v>
      </c>
      <c r="J202">
        <f>+bma!L202/data!$K202</f>
        <v>0</v>
      </c>
      <c r="K202">
        <f>+bma!M202/data!$K202</f>
        <v>9.5238095238095247E-3</v>
      </c>
      <c r="L202">
        <f>+bma!J202/data!$K202</f>
        <v>0</v>
      </c>
      <c r="M202">
        <f>+bma!K202/data!$K202</f>
        <v>0</v>
      </c>
      <c r="N202">
        <f>+bma!N202/data!$K202</f>
        <v>0</v>
      </c>
      <c r="O202">
        <f>+bma!O202/data!$K202</f>
        <v>9.5238095238095247E-3</v>
      </c>
      <c r="P202">
        <f>+bma!P202/data!$K202</f>
        <v>9.5238095238095247E-3</v>
      </c>
      <c r="Q202">
        <f>+bma!Q202/data!$K202</f>
        <v>7.2441790476190482E-2</v>
      </c>
      <c r="R202">
        <f>+bma!R202/data!$K202</f>
        <v>3.8993761904761899E-2</v>
      </c>
      <c r="S202">
        <f>+bma!S202/data!$K202</f>
        <v>0</v>
      </c>
    </row>
    <row r="203" spans="1:19" x14ac:dyDescent="0.25">
      <c r="A203">
        <f>+bma!A203/data!$K203</f>
        <v>-3.126492615342493E-4</v>
      </c>
      <c r="B203">
        <f>+bma!B203/data!$K203</f>
        <v>1.1910448058447592E-4</v>
      </c>
      <c r="C203">
        <f>+bma!C203/data!$K203</f>
        <v>0</v>
      </c>
      <c r="D203">
        <f>+bma!D203/data!$K203</f>
        <v>0</v>
      </c>
      <c r="E203">
        <f>+bma!E203/data!$K203</f>
        <v>0</v>
      </c>
      <c r="F203">
        <f>+bma!F203/data!$K203</f>
        <v>0</v>
      </c>
      <c r="G203">
        <f>+bma!G203/data!$K203</f>
        <v>9.5238095238095247E-3</v>
      </c>
      <c r="H203">
        <f>+bma!H203/data!$K203</f>
        <v>9.5238095238095247E-3</v>
      </c>
      <c r="I203">
        <f>+bma!I203/data!$K203</f>
        <v>9.5238095238095247E-3</v>
      </c>
      <c r="J203">
        <f>+bma!L203/data!$K203</f>
        <v>0</v>
      </c>
      <c r="K203">
        <f>+bma!M203/data!$K203</f>
        <v>9.5238095238095247E-3</v>
      </c>
      <c r="L203">
        <f>+bma!J203/data!$K203</f>
        <v>0</v>
      </c>
      <c r="M203">
        <f>+bma!K203/data!$K203</f>
        <v>0</v>
      </c>
      <c r="N203">
        <f>+bma!N203/data!$K203</f>
        <v>0</v>
      </c>
      <c r="O203">
        <f>+bma!O203/data!$K203</f>
        <v>0</v>
      </c>
      <c r="P203">
        <f>+bma!P203/data!$K203</f>
        <v>9.5238095238095247E-3</v>
      </c>
      <c r="Q203">
        <f>+bma!Q203/data!$K203</f>
        <v>7.2441790476190482E-2</v>
      </c>
      <c r="R203">
        <f>+bma!R203/data!$K203</f>
        <v>3.8993761904761899E-2</v>
      </c>
      <c r="S203">
        <f>+bma!S203/data!$K203</f>
        <v>0</v>
      </c>
    </row>
    <row r="204" spans="1:19" x14ac:dyDescent="0.25">
      <c r="A204">
        <f>+bma!A204/data!$K204</f>
        <v>9.2324573037134541E-5</v>
      </c>
      <c r="B204">
        <f>+bma!B204/data!$K204</f>
        <v>1.1916311171072017E-4</v>
      </c>
      <c r="C204">
        <f>+bma!C204/data!$K204</f>
        <v>0</v>
      </c>
      <c r="D204">
        <f>+bma!D204/data!$K204</f>
        <v>0</v>
      </c>
      <c r="E204">
        <f>+bma!E204/data!$K204</f>
        <v>0</v>
      </c>
      <c r="F204">
        <f>+bma!F204/data!$K204</f>
        <v>0</v>
      </c>
      <c r="G204">
        <f>+bma!G204/data!$K204</f>
        <v>9.5238095238095247E-3</v>
      </c>
      <c r="H204">
        <f>+bma!H204/data!$K204</f>
        <v>9.5238095238095247E-3</v>
      </c>
      <c r="I204">
        <f>+bma!I204/data!$K204</f>
        <v>9.5238095238095247E-3</v>
      </c>
      <c r="J204">
        <f>+bma!L204/data!$K204</f>
        <v>0</v>
      </c>
      <c r="K204">
        <f>+bma!M204/data!$K204</f>
        <v>9.5238095238095247E-3</v>
      </c>
      <c r="L204">
        <f>+bma!J204/data!$K204</f>
        <v>0</v>
      </c>
      <c r="M204">
        <f>+bma!K204/data!$K204</f>
        <v>0</v>
      </c>
      <c r="N204">
        <f>+bma!N204/data!$K204</f>
        <v>9.5238095238095247E-3</v>
      </c>
      <c r="O204">
        <f>+bma!O204/data!$K204</f>
        <v>0</v>
      </c>
      <c r="P204">
        <f>+bma!P204/data!$K204</f>
        <v>9.5238095238095247E-3</v>
      </c>
      <c r="Q204">
        <f>+bma!Q204/data!$K204</f>
        <v>7.2441790476190482E-2</v>
      </c>
      <c r="R204">
        <f>+bma!R204/data!$K204</f>
        <v>3.8993761904761899E-2</v>
      </c>
      <c r="S204">
        <f>+bma!S204/data!$K204</f>
        <v>0</v>
      </c>
    </row>
    <row r="205" spans="1:19" x14ac:dyDescent="0.25">
      <c r="A205">
        <f>+bma!A205/data!$K205</f>
        <v>2.6242829573427592E-5</v>
      </c>
      <c r="B205">
        <f>+bma!B205/data!$K205</f>
        <v>1.1916825888261381E-4</v>
      </c>
      <c r="C205">
        <f>+bma!C205/data!$K205</f>
        <v>0</v>
      </c>
      <c r="D205">
        <f>+bma!D205/data!$K205</f>
        <v>0</v>
      </c>
      <c r="E205">
        <f>+bma!E205/data!$K205</f>
        <v>0</v>
      </c>
      <c r="F205">
        <f>+bma!F205/data!$K205</f>
        <v>0</v>
      </c>
      <c r="G205">
        <f>+bma!G205/data!$K205</f>
        <v>9.5238095238095247E-3</v>
      </c>
      <c r="H205">
        <f>+bma!H205/data!$K205</f>
        <v>9.5238095238095247E-3</v>
      </c>
      <c r="I205">
        <f>+bma!I205/data!$K205</f>
        <v>9.5238095238095247E-3</v>
      </c>
      <c r="J205">
        <f>+bma!L205/data!$K205</f>
        <v>0</v>
      </c>
      <c r="K205">
        <f>+bma!M205/data!$K205</f>
        <v>9.5238095238095247E-3</v>
      </c>
      <c r="L205">
        <f>+bma!J205/data!$K205</f>
        <v>0</v>
      </c>
      <c r="M205">
        <f>+bma!K205/data!$K205</f>
        <v>0</v>
      </c>
      <c r="N205">
        <f>+bma!N205/data!$K205</f>
        <v>0</v>
      </c>
      <c r="O205">
        <f>+bma!O205/data!$K205</f>
        <v>9.5238095238095247E-3</v>
      </c>
      <c r="P205">
        <f>+bma!P205/data!$K205</f>
        <v>9.5238095238095247E-3</v>
      </c>
      <c r="Q205">
        <f>+bma!Q205/data!$K205</f>
        <v>7.2441790476190482E-2</v>
      </c>
      <c r="R205">
        <f>+bma!R205/data!$K205</f>
        <v>3.8993761904761899E-2</v>
      </c>
      <c r="S205">
        <f>+bma!S205/data!$K205</f>
        <v>0</v>
      </c>
    </row>
    <row r="206" spans="1:19" x14ac:dyDescent="0.25">
      <c r="A206">
        <f>+bma!A206/data!$K206</f>
        <v>-1.8830319098238953E-4</v>
      </c>
      <c r="B206">
        <f>+bma!B206/data!$K206</f>
        <v>1.1813249120601603E-4</v>
      </c>
      <c r="C206">
        <f>+bma!C206/data!$K206</f>
        <v>0</v>
      </c>
      <c r="D206">
        <f>+bma!D206/data!$K206</f>
        <v>0</v>
      </c>
      <c r="E206">
        <f>+bma!E206/data!$K206</f>
        <v>0</v>
      </c>
      <c r="F206">
        <f>+bma!F206/data!$K206</f>
        <v>0</v>
      </c>
      <c r="G206">
        <f>+bma!G206/data!$K206</f>
        <v>9.5238095238095247E-3</v>
      </c>
      <c r="H206">
        <f>+bma!H206/data!$K206</f>
        <v>9.5238095238095247E-3</v>
      </c>
      <c r="I206">
        <f>+bma!I206/data!$K206</f>
        <v>9.5238095238095247E-3</v>
      </c>
      <c r="J206">
        <f>+bma!L206/data!$K206</f>
        <v>0</v>
      </c>
      <c r="K206">
        <f>+bma!M206/data!$K206</f>
        <v>9.5238095238095247E-3</v>
      </c>
      <c r="L206">
        <f>+bma!J206/data!$K206</f>
        <v>0</v>
      </c>
      <c r="M206">
        <f>+bma!K206/data!$K206</f>
        <v>0</v>
      </c>
      <c r="N206">
        <f>+bma!N206/data!$K206</f>
        <v>0</v>
      </c>
      <c r="O206">
        <f>+bma!O206/data!$K206</f>
        <v>0</v>
      </c>
      <c r="P206">
        <f>+bma!P206/data!$K206</f>
        <v>9.5238095238095247E-3</v>
      </c>
      <c r="Q206">
        <f>+bma!Q206/data!$K206</f>
        <v>7.2441790476190482E-2</v>
      </c>
      <c r="R206">
        <f>+bma!R206/data!$K206</f>
        <v>3.8993761904761899E-2</v>
      </c>
      <c r="S206">
        <f>+bma!S206/data!$K206</f>
        <v>0</v>
      </c>
    </row>
    <row r="207" spans="1:19" x14ac:dyDescent="0.25">
      <c r="A207">
        <f>+bma!A207/data!$K207</f>
        <v>1.3779282124424451E-4</v>
      </c>
      <c r="B207">
        <f>+bma!B207/data!$K207</f>
        <v>1.1814322106681212E-4</v>
      </c>
      <c r="C207">
        <f>+bma!C207/data!$K207</f>
        <v>0</v>
      </c>
      <c r="D207">
        <f>+bma!D207/data!$K207</f>
        <v>0</v>
      </c>
      <c r="E207">
        <f>+bma!E207/data!$K207</f>
        <v>0</v>
      </c>
      <c r="F207">
        <f>+bma!F207/data!$K207</f>
        <v>0</v>
      </c>
      <c r="G207">
        <f>+bma!G207/data!$K207</f>
        <v>9.5238095238095247E-3</v>
      </c>
      <c r="H207">
        <f>+bma!H207/data!$K207</f>
        <v>9.5238095238095247E-3</v>
      </c>
      <c r="I207">
        <f>+bma!I207/data!$K207</f>
        <v>9.5238095238095247E-3</v>
      </c>
      <c r="J207">
        <f>+bma!L207/data!$K207</f>
        <v>0</v>
      </c>
      <c r="K207">
        <f>+bma!M207/data!$K207</f>
        <v>9.5238095238095247E-3</v>
      </c>
      <c r="L207">
        <f>+bma!J207/data!$K207</f>
        <v>0</v>
      </c>
      <c r="M207">
        <f>+bma!K207/data!$K207</f>
        <v>0</v>
      </c>
      <c r="N207">
        <f>+bma!N207/data!$K207</f>
        <v>9.5238095238095247E-3</v>
      </c>
      <c r="O207">
        <f>+bma!O207/data!$K207</f>
        <v>0</v>
      </c>
      <c r="P207">
        <f>+bma!P207/data!$K207</f>
        <v>9.5238095238095247E-3</v>
      </c>
      <c r="Q207">
        <f>+bma!Q207/data!$K207</f>
        <v>7.2441790476190482E-2</v>
      </c>
      <c r="R207">
        <f>+bma!R207/data!$K207</f>
        <v>3.8993761904761899E-2</v>
      </c>
      <c r="S207">
        <f>+bma!S207/data!$K207</f>
        <v>0</v>
      </c>
    </row>
    <row r="208" spans="1:19" x14ac:dyDescent="0.25">
      <c r="A208">
        <f>+bma!A208/data!$K208</f>
        <v>-3.0766114580949265E-5</v>
      </c>
      <c r="B208">
        <f>+bma!B208/data!$K208</f>
        <v>1.1815497195449664E-4</v>
      </c>
      <c r="C208">
        <f>+bma!C208/data!$K208</f>
        <v>0</v>
      </c>
      <c r="D208">
        <f>+bma!D208/data!$K208</f>
        <v>0</v>
      </c>
      <c r="E208">
        <f>+bma!E208/data!$K208</f>
        <v>0</v>
      </c>
      <c r="F208">
        <f>+bma!F208/data!$K208</f>
        <v>0</v>
      </c>
      <c r="G208">
        <f>+bma!G208/data!$K208</f>
        <v>9.5238095238095247E-3</v>
      </c>
      <c r="H208">
        <f>+bma!H208/data!$K208</f>
        <v>9.5238095238095247E-3</v>
      </c>
      <c r="I208">
        <f>+bma!I208/data!$K208</f>
        <v>9.5238095238095247E-3</v>
      </c>
      <c r="J208">
        <f>+bma!L208/data!$K208</f>
        <v>0</v>
      </c>
      <c r="K208">
        <f>+bma!M208/data!$K208</f>
        <v>9.5238095238095247E-3</v>
      </c>
      <c r="L208">
        <f>+bma!J208/data!$K208</f>
        <v>0</v>
      </c>
      <c r="M208">
        <f>+bma!K208/data!$K208</f>
        <v>0</v>
      </c>
      <c r="N208">
        <f>+bma!N208/data!$K208</f>
        <v>0</v>
      </c>
      <c r="O208">
        <f>+bma!O208/data!$K208</f>
        <v>9.5238095238095247E-3</v>
      </c>
      <c r="P208">
        <f>+bma!P208/data!$K208</f>
        <v>9.5238095238095247E-3</v>
      </c>
      <c r="Q208">
        <f>+bma!Q208/data!$K208</f>
        <v>7.2441790476190482E-2</v>
      </c>
      <c r="R208">
        <f>+bma!R208/data!$K208</f>
        <v>3.8993761904761899E-2</v>
      </c>
      <c r="S208">
        <f>+bma!S208/data!$K208</f>
        <v>0</v>
      </c>
    </row>
    <row r="209" spans="1:19" x14ac:dyDescent="0.25">
      <c r="A209">
        <f>+bma!A209/data!$K209</f>
        <v>-1.5422801090300429E-4</v>
      </c>
      <c r="B209">
        <f>+bma!B209/data!$K209</f>
        <v>4.9980481470285928E-4</v>
      </c>
      <c r="C209">
        <f>+bma!C209/data!$K209</f>
        <v>9.5238095238095247E-3</v>
      </c>
      <c r="D209">
        <f>+bma!D209/data!$K209</f>
        <v>0</v>
      </c>
      <c r="E209">
        <f>+bma!E209/data!$K209</f>
        <v>0</v>
      </c>
      <c r="F209">
        <f>+bma!F209/data!$K209</f>
        <v>0</v>
      </c>
      <c r="G209">
        <f>+bma!G209/data!$K209</f>
        <v>9.5238095238095247E-3</v>
      </c>
      <c r="H209">
        <f>+bma!H209/data!$K209</f>
        <v>9.5238095238095247E-3</v>
      </c>
      <c r="I209">
        <f>+bma!I209/data!$K209</f>
        <v>9.5238095238095247E-3</v>
      </c>
      <c r="J209">
        <f>+bma!L209/data!$K209</f>
        <v>0</v>
      </c>
      <c r="K209">
        <f>+bma!M209/data!$K209</f>
        <v>9.5238095238095247E-3</v>
      </c>
      <c r="L209">
        <f>+bma!J209/data!$K209</f>
        <v>0</v>
      </c>
      <c r="M209">
        <f>+bma!K209/data!$K209</f>
        <v>0</v>
      </c>
      <c r="N209">
        <f>+bma!N209/data!$K209</f>
        <v>0</v>
      </c>
      <c r="O209">
        <f>+bma!O209/data!$K209</f>
        <v>0</v>
      </c>
      <c r="P209">
        <f>+bma!P209/data!$K209</f>
        <v>9.5238095238095247E-3</v>
      </c>
      <c r="Q209">
        <f>+bma!Q209/data!$K209</f>
        <v>7.2441790476190482E-2</v>
      </c>
      <c r="R209">
        <f>+bma!R209/data!$K209</f>
        <v>3.8993761904761899E-2</v>
      </c>
      <c r="S209">
        <f>+bma!S209/data!$K209</f>
        <v>0</v>
      </c>
    </row>
    <row r="210" spans="1:19" x14ac:dyDescent="0.25">
      <c r="A210">
        <f>+bma!A210/data!$K210</f>
        <v>6.6557761949472894E-4</v>
      </c>
      <c r="B210">
        <f>+bma!B210/data!$K210</f>
        <v>4.986481843802954E-4</v>
      </c>
      <c r="C210">
        <f>+bma!C210/data!$K210</f>
        <v>9.5238095238095247E-3</v>
      </c>
      <c r="D210">
        <f>+bma!D210/data!$K210</f>
        <v>0</v>
      </c>
      <c r="E210">
        <f>+bma!E210/data!$K210</f>
        <v>0</v>
      </c>
      <c r="F210">
        <f>+bma!F210/data!$K210</f>
        <v>0</v>
      </c>
      <c r="G210">
        <f>+bma!G210/data!$K210</f>
        <v>9.5238095238095247E-3</v>
      </c>
      <c r="H210">
        <f>+bma!H210/data!$K210</f>
        <v>9.5238095238095247E-3</v>
      </c>
      <c r="I210">
        <f>+bma!I210/data!$K210</f>
        <v>9.5238095238095247E-3</v>
      </c>
      <c r="J210">
        <f>+bma!L210/data!$K210</f>
        <v>0</v>
      </c>
      <c r="K210">
        <f>+bma!M210/data!$K210</f>
        <v>9.5238095238095247E-3</v>
      </c>
      <c r="L210">
        <f>+bma!J210/data!$K210</f>
        <v>0</v>
      </c>
      <c r="M210">
        <f>+bma!K210/data!$K210</f>
        <v>0</v>
      </c>
      <c r="N210">
        <f>+bma!N210/data!$K210</f>
        <v>9.5238095238095247E-3</v>
      </c>
      <c r="O210">
        <f>+bma!O210/data!$K210</f>
        <v>0</v>
      </c>
      <c r="P210">
        <f>+bma!P210/data!$K210</f>
        <v>9.5238095238095247E-3</v>
      </c>
      <c r="Q210">
        <f>+bma!Q210/data!$K210</f>
        <v>7.2441790476190482E-2</v>
      </c>
      <c r="R210">
        <f>+bma!R210/data!$K210</f>
        <v>3.8993761904761899E-2</v>
      </c>
      <c r="S210">
        <f>+bma!S210/data!$K210</f>
        <v>0</v>
      </c>
    </row>
    <row r="211" spans="1:19" x14ac:dyDescent="0.25">
      <c r="A211">
        <f>+bma!A211/data!$K211</f>
        <v>3.7090925491374755E-4</v>
      </c>
      <c r="B211">
        <f>+bma!B211/data!$K211</f>
        <v>4.9949112995051337E-4</v>
      </c>
      <c r="C211">
        <f>+bma!C211/data!$K211</f>
        <v>9.5238095238095247E-3</v>
      </c>
      <c r="D211">
        <f>+bma!D211/data!$K211</f>
        <v>0</v>
      </c>
      <c r="E211">
        <f>+bma!E211/data!$K211</f>
        <v>0</v>
      </c>
      <c r="F211">
        <f>+bma!F211/data!$K211</f>
        <v>0</v>
      </c>
      <c r="G211">
        <f>+bma!G211/data!$K211</f>
        <v>9.5238095238095247E-3</v>
      </c>
      <c r="H211">
        <f>+bma!H211/data!$K211</f>
        <v>9.5238095238095247E-3</v>
      </c>
      <c r="I211">
        <f>+bma!I211/data!$K211</f>
        <v>9.5238095238095247E-3</v>
      </c>
      <c r="J211">
        <f>+bma!L211/data!$K211</f>
        <v>0</v>
      </c>
      <c r="K211">
        <f>+bma!M211/data!$K211</f>
        <v>9.5238095238095247E-3</v>
      </c>
      <c r="L211">
        <f>+bma!J211/data!$K211</f>
        <v>0</v>
      </c>
      <c r="M211">
        <f>+bma!K211/data!$K211</f>
        <v>0</v>
      </c>
      <c r="N211">
        <f>+bma!N211/data!$K211</f>
        <v>0</v>
      </c>
      <c r="O211">
        <f>+bma!O211/data!$K211</f>
        <v>9.5238095238095247E-3</v>
      </c>
      <c r="P211">
        <f>+bma!P211/data!$K211</f>
        <v>9.5238095238095247E-3</v>
      </c>
      <c r="Q211">
        <f>+bma!Q211/data!$K211</f>
        <v>7.2441790476190482E-2</v>
      </c>
      <c r="R211">
        <f>+bma!R211/data!$K211</f>
        <v>3.8993761904761899E-2</v>
      </c>
      <c r="S211">
        <f>+bma!S211/data!$K211</f>
        <v>0</v>
      </c>
    </row>
    <row r="212" spans="1:19" x14ac:dyDescent="0.25">
      <c r="A212">
        <f>+bma!A212/data!$K212</f>
        <v>-2.9585684313851679E-4</v>
      </c>
      <c r="B212">
        <f>+bma!B212/data!$K212</f>
        <v>1.1911119658823402E-4</v>
      </c>
      <c r="C212">
        <f>+bma!C212/data!$K212</f>
        <v>0</v>
      </c>
      <c r="D212">
        <f>+bma!D212/data!$K212</f>
        <v>0</v>
      </c>
      <c r="E212">
        <f>+bma!E212/data!$K212</f>
        <v>0</v>
      </c>
      <c r="F212">
        <f>+bma!F212/data!$K212</f>
        <v>0</v>
      </c>
      <c r="G212">
        <f>+bma!G212/data!$K212</f>
        <v>9.5238095238095247E-3</v>
      </c>
      <c r="H212">
        <f>+bma!H212/data!$K212</f>
        <v>9.5238095238095247E-3</v>
      </c>
      <c r="I212">
        <f>+bma!I212/data!$K212</f>
        <v>9.5238095238095247E-3</v>
      </c>
      <c r="J212">
        <f>+bma!L212/data!$K212</f>
        <v>0</v>
      </c>
      <c r="K212">
        <f>+bma!M212/data!$K212</f>
        <v>9.5238095238095247E-3</v>
      </c>
      <c r="L212">
        <f>+bma!J212/data!$K212</f>
        <v>0</v>
      </c>
      <c r="M212">
        <f>+bma!K212/data!$K212</f>
        <v>0</v>
      </c>
      <c r="N212">
        <f>+bma!N212/data!$K212</f>
        <v>0</v>
      </c>
      <c r="O212">
        <f>+bma!O212/data!$K212</f>
        <v>0</v>
      </c>
      <c r="P212">
        <f>+bma!P212/data!$K212</f>
        <v>9.5238095238095247E-3</v>
      </c>
      <c r="Q212">
        <f>+bma!Q212/data!$K212</f>
        <v>7.2441790476190482E-2</v>
      </c>
      <c r="R212">
        <f>+bma!R212/data!$K212</f>
        <v>3.8993761904761899E-2</v>
      </c>
      <c r="S212">
        <f>+bma!S212/data!$K212</f>
        <v>0</v>
      </c>
    </row>
    <row r="213" spans="1:19" x14ac:dyDescent="0.25">
      <c r="A213">
        <f>+bma!A213/data!$K213</f>
        <v>9.2840465007203491E-5</v>
      </c>
      <c r="B213">
        <f>+bma!B213/data!$K213</f>
        <v>1.1916304895560601E-4</v>
      </c>
      <c r="C213">
        <f>+bma!C213/data!$K213</f>
        <v>0</v>
      </c>
      <c r="D213">
        <f>+bma!D213/data!$K213</f>
        <v>0</v>
      </c>
      <c r="E213">
        <f>+bma!E213/data!$K213</f>
        <v>0</v>
      </c>
      <c r="F213">
        <f>+bma!F213/data!$K213</f>
        <v>0</v>
      </c>
      <c r="G213">
        <f>+bma!G213/data!$K213</f>
        <v>9.5238095238095247E-3</v>
      </c>
      <c r="H213">
        <f>+bma!H213/data!$K213</f>
        <v>9.5238095238095247E-3</v>
      </c>
      <c r="I213">
        <f>+bma!I213/data!$K213</f>
        <v>9.5238095238095247E-3</v>
      </c>
      <c r="J213">
        <f>+bma!L213/data!$K213</f>
        <v>0</v>
      </c>
      <c r="K213">
        <f>+bma!M213/data!$K213</f>
        <v>9.5238095238095247E-3</v>
      </c>
      <c r="L213">
        <f>+bma!J213/data!$K213</f>
        <v>0</v>
      </c>
      <c r="M213">
        <f>+bma!K213/data!$K213</f>
        <v>0</v>
      </c>
      <c r="N213">
        <f>+bma!N213/data!$K213</f>
        <v>9.5238095238095247E-3</v>
      </c>
      <c r="O213">
        <f>+bma!O213/data!$K213</f>
        <v>0</v>
      </c>
      <c r="P213">
        <f>+bma!P213/data!$K213</f>
        <v>9.5238095238095247E-3</v>
      </c>
      <c r="Q213">
        <f>+bma!Q213/data!$K213</f>
        <v>7.2441790476190482E-2</v>
      </c>
      <c r="R213">
        <f>+bma!R213/data!$K213</f>
        <v>3.8993761904761899E-2</v>
      </c>
      <c r="S213">
        <f>+bma!S213/data!$K213</f>
        <v>0</v>
      </c>
    </row>
    <row r="214" spans="1:19" x14ac:dyDescent="0.25">
      <c r="A214">
        <f>+bma!A214/data!$K214</f>
        <v>3.6098291924822158E-5</v>
      </c>
      <c r="B214">
        <f>+bma!B214/data!$K214</f>
        <v>1.1916785526989484E-4</v>
      </c>
      <c r="C214">
        <f>+bma!C214/data!$K214</f>
        <v>0</v>
      </c>
      <c r="D214">
        <f>+bma!D214/data!$K214</f>
        <v>0</v>
      </c>
      <c r="E214">
        <f>+bma!E214/data!$K214</f>
        <v>0</v>
      </c>
      <c r="F214">
        <f>+bma!F214/data!$K214</f>
        <v>0</v>
      </c>
      <c r="G214">
        <f>+bma!G214/data!$K214</f>
        <v>9.5238095238095247E-3</v>
      </c>
      <c r="H214">
        <f>+bma!H214/data!$K214</f>
        <v>9.5238095238095247E-3</v>
      </c>
      <c r="I214">
        <f>+bma!I214/data!$K214</f>
        <v>9.5238095238095247E-3</v>
      </c>
      <c r="J214">
        <f>+bma!L214/data!$K214</f>
        <v>0</v>
      </c>
      <c r="K214">
        <f>+bma!M214/data!$K214</f>
        <v>9.5238095238095247E-3</v>
      </c>
      <c r="L214">
        <f>+bma!J214/data!$K214</f>
        <v>0</v>
      </c>
      <c r="M214">
        <f>+bma!K214/data!$K214</f>
        <v>0</v>
      </c>
      <c r="N214">
        <f>+bma!N214/data!$K214</f>
        <v>0</v>
      </c>
      <c r="O214">
        <f>+bma!O214/data!$K214</f>
        <v>9.5238095238095247E-3</v>
      </c>
      <c r="P214">
        <f>+bma!P214/data!$K214</f>
        <v>9.5238095238095247E-3</v>
      </c>
      <c r="Q214">
        <f>+bma!Q214/data!$K214</f>
        <v>7.2441790476190482E-2</v>
      </c>
      <c r="R214">
        <f>+bma!R214/data!$K214</f>
        <v>3.8993761904761899E-2</v>
      </c>
      <c r="S214">
        <f>+bma!S214/data!$K214</f>
        <v>0</v>
      </c>
    </row>
    <row r="215" spans="1:19" x14ac:dyDescent="0.25">
      <c r="A215">
        <f>+bma!A215/data!$K215</f>
        <v>-1.9720718133790023E-4</v>
      </c>
      <c r="B215">
        <f>+bma!B215/data!$K215</f>
        <v>1.1813025499576556E-4</v>
      </c>
      <c r="C215">
        <f>+bma!C215/data!$K215</f>
        <v>0</v>
      </c>
      <c r="D215">
        <f>+bma!D215/data!$K215</f>
        <v>0</v>
      </c>
      <c r="E215">
        <f>+bma!E215/data!$K215</f>
        <v>0</v>
      </c>
      <c r="F215">
        <f>+bma!F215/data!$K215</f>
        <v>0</v>
      </c>
      <c r="G215">
        <f>+bma!G215/data!$K215</f>
        <v>9.5238095238095247E-3</v>
      </c>
      <c r="H215">
        <f>+bma!H215/data!$K215</f>
        <v>9.5238095238095247E-3</v>
      </c>
      <c r="I215">
        <f>+bma!I215/data!$K215</f>
        <v>9.5238095238095247E-3</v>
      </c>
      <c r="J215">
        <f>+bma!L215/data!$K215</f>
        <v>0</v>
      </c>
      <c r="K215">
        <f>+bma!M215/data!$K215</f>
        <v>9.5238095238095247E-3</v>
      </c>
      <c r="L215">
        <f>+bma!J215/data!$K215</f>
        <v>0</v>
      </c>
      <c r="M215">
        <f>+bma!K215/data!$K215</f>
        <v>0</v>
      </c>
      <c r="N215">
        <f>+bma!N215/data!$K215</f>
        <v>0</v>
      </c>
      <c r="O215">
        <f>+bma!O215/data!$K215</f>
        <v>0</v>
      </c>
      <c r="P215">
        <f>+bma!P215/data!$K215</f>
        <v>9.5238095238095247E-3</v>
      </c>
      <c r="Q215">
        <f>+bma!Q215/data!$K215</f>
        <v>7.2441790476190482E-2</v>
      </c>
      <c r="R215">
        <f>+bma!R215/data!$K215</f>
        <v>3.8993761904761899E-2</v>
      </c>
      <c r="S215">
        <f>+bma!S215/data!$K215</f>
        <v>0</v>
      </c>
    </row>
    <row r="216" spans="1:19" x14ac:dyDescent="0.25">
      <c r="A216">
        <f>+bma!A216/data!$K216</f>
        <v>1.3758766905835491E-4</v>
      </c>
      <c r="B216">
        <f>+bma!B216/data!$K216</f>
        <v>1.1814325786763928E-4</v>
      </c>
      <c r="C216">
        <f>+bma!C216/data!$K216</f>
        <v>0</v>
      </c>
      <c r="D216">
        <f>+bma!D216/data!$K216</f>
        <v>0</v>
      </c>
      <c r="E216">
        <f>+bma!E216/data!$K216</f>
        <v>0</v>
      </c>
      <c r="F216">
        <f>+bma!F216/data!$K216</f>
        <v>0</v>
      </c>
      <c r="G216">
        <f>+bma!G216/data!$K216</f>
        <v>9.5238095238095247E-3</v>
      </c>
      <c r="H216">
        <f>+bma!H216/data!$K216</f>
        <v>9.5238095238095247E-3</v>
      </c>
      <c r="I216">
        <f>+bma!I216/data!$K216</f>
        <v>9.5238095238095247E-3</v>
      </c>
      <c r="J216">
        <f>+bma!L216/data!$K216</f>
        <v>0</v>
      </c>
      <c r="K216">
        <f>+bma!M216/data!$K216</f>
        <v>9.5238095238095247E-3</v>
      </c>
      <c r="L216">
        <f>+bma!J216/data!$K216</f>
        <v>0</v>
      </c>
      <c r="M216">
        <f>+bma!K216/data!$K216</f>
        <v>0</v>
      </c>
      <c r="N216">
        <f>+bma!N216/data!$K216</f>
        <v>9.5238095238095247E-3</v>
      </c>
      <c r="O216">
        <f>+bma!O216/data!$K216</f>
        <v>0</v>
      </c>
      <c r="P216">
        <f>+bma!P216/data!$K216</f>
        <v>9.5238095238095247E-3</v>
      </c>
      <c r="Q216">
        <f>+bma!Q216/data!$K216</f>
        <v>7.2441790476190482E-2</v>
      </c>
      <c r="R216">
        <f>+bma!R216/data!$K216</f>
        <v>3.8993761904761899E-2</v>
      </c>
      <c r="S216">
        <f>+bma!S216/data!$K216</f>
        <v>0</v>
      </c>
    </row>
    <row r="217" spans="1:19" x14ac:dyDescent="0.25">
      <c r="A217">
        <f>+bma!A217/data!$K217</f>
        <v>-2.6034184936001075E-5</v>
      </c>
      <c r="B217">
        <f>+bma!B217/data!$K217</f>
        <v>1.1815514701723565E-4</v>
      </c>
      <c r="C217">
        <f>+bma!C217/data!$K217</f>
        <v>0</v>
      </c>
      <c r="D217">
        <f>+bma!D217/data!$K217</f>
        <v>0</v>
      </c>
      <c r="E217">
        <f>+bma!E217/data!$K217</f>
        <v>0</v>
      </c>
      <c r="F217">
        <f>+bma!F217/data!$K217</f>
        <v>0</v>
      </c>
      <c r="G217">
        <f>+bma!G217/data!$K217</f>
        <v>9.5238095238095247E-3</v>
      </c>
      <c r="H217">
        <f>+bma!H217/data!$K217</f>
        <v>9.5238095238095247E-3</v>
      </c>
      <c r="I217">
        <f>+bma!I217/data!$K217</f>
        <v>9.5238095238095247E-3</v>
      </c>
      <c r="J217">
        <f>+bma!L217/data!$K217</f>
        <v>0</v>
      </c>
      <c r="K217">
        <f>+bma!M217/data!$K217</f>
        <v>9.5238095238095247E-3</v>
      </c>
      <c r="L217">
        <f>+bma!J217/data!$K217</f>
        <v>0</v>
      </c>
      <c r="M217">
        <f>+bma!K217/data!$K217</f>
        <v>0</v>
      </c>
      <c r="N217">
        <f>+bma!N217/data!$K217</f>
        <v>0</v>
      </c>
      <c r="O217">
        <f>+bma!O217/data!$K217</f>
        <v>9.5238095238095247E-3</v>
      </c>
      <c r="P217">
        <f>+bma!P217/data!$K217</f>
        <v>9.5238095238095247E-3</v>
      </c>
      <c r="Q217">
        <f>+bma!Q217/data!$K217</f>
        <v>7.2441790476190482E-2</v>
      </c>
      <c r="R217">
        <f>+bma!R217/data!$K217</f>
        <v>3.8993761904761899E-2</v>
      </c>
      <c r="S217">
        <f>+bma!S217/data!$K217</f>
        <v>0</v>
      </c>
    </row>
    <row r="218" spans="1:19" x14ac:dyDescent="0.25">
      <c r="A218">
        <f>+bma!A218/data!$K218</f>
        <v>-1.5252342274754211E-4</v>
      </c>
      <c r="B218">
        <f>+bma!B218/data!$K218</f>
        <v>1.5583601833129424E-4</v>
      </c>
      <c r="C218">
        <f>+bma!C218/data!$K218</f>
        <v>9.5238095238095247E-3</v>
      </c>
      <c r="D218">
        <f>+bma!D218/data!$K218</f>
        <v>0</v>
      </c>
      <c r="E218">
        <f>+bma!E218/data!$K218</f>
        <v>0</v>
      </c>
      <c r="F218">
        <f>+bma!F218/data!$K218</f>
        <v>0</v>
      </c>
      <c r="G218">
        <f>+bma!G218/data!$K218</f>
        <v>9.5238095238095247E-3</v>
      </c>
      <c r="H218">
        <f>+bma!H218/data!$K218</f>
        <v>9.5238095238095247E-3</v>
      </c>
      <c r="I218">
        <f>+bma!I218/data!$K218</f>
        <v>9.5238095238095247E-3</v>
      </c>
      <c r="J218">
        <f>+bma!L218/data!$K218</f>
        <v>0</v>
      </c>
      <c r="K218">
        <f>+bma!M218/data!$K218</f>
        <v>9.5238095238095247E-3</v>
      </c>
      <c r="L218">
        <f>+bma!J218/data!$K218</f>
        <v>0</v>
      </c>
      <c r="M218">
        <f>+bma!K218/data!$K218</f>
        <v>0</v>
      </c>
      <c r="N218">
        <f>+bma!N218/data!$K218</f>
        <v>0</v>
      </c>
      <c r="O218">
        <f>+bma!O218/data!$K218</f>
        <v>0</v>
      </c>
      <c r="P218">
        <f>+bma!P218/data!$K218</f>
        <v>9.5238095238095247E-3</v>
      </c>
      <c r="Q218">
        <f>+bma!Q218/data!$K218</f>
        <v>7.2441790476190482E-2</v>
      </c>
      <c r="R218">
        <f>+bma!R218/data!$K218</f>
        <v>3.8993761904761899E-2</v>
      </c>
      <c r="S218">
        <f>+bma!S218/data!$K218</f>
        <v>0</v>
      </c>
    </row>
    <row r="219" spans="1:19" x14ac:dyDescent="0.25">
      <c r="A219">
        <f>+bma!A219/data!$K219</f>
        <v>2.068243523832928E-4</v>
      </c>
      <c r="B219">
        <f>+bma!B219/data!$K219</f>
        <v>1.5581925063350724E-4</v>
      </c>
      <c r="C219">
        <f>+bma!C219/data!$K219</f>
        <v>9.5238095238095247E-3</v>
      </c>
      <c r="D219">
        <f>+bma!D219/data!$K219</f>
        <v>0</v>
      </c>
      <c r="E219">
        <f>+bma!E219/data!$K219</f>
        <v>0</v>
      </c>
      <c r="F219">
        <f>+bma!F219/data!$K219</f>
        <v>0</v>
      </c>
      <c r="G219">
        <f>+bma!G219/data!$K219</f>
        <v>9.5238095238095247E-3</v>
      </c>
      <c r="H219">
        <f>+bma!H219/data!$K219</f>
        <v>9.5238095238095247E-3</v>
      </c>
      <c r="I219">
        <f>+bma!I219/data!$K219</f>
        <v>9.5238095238095247E-3</v>
      </c>
      <c r="J219">
        <f>+bma!L219/data!$K219</f>
        <v>0</v>
      </c>
      <c r="K219">
        <f>+bma!M219/data!$K219</f>
        <v>9.5238095238095247E-3</v>
      </c>
      <c r="L219">
        <f>+bma!J219/data!$K219</f>
        <v>0</v>
      </c>
      <c r="M219">
        <f>+bma!K219/data!$K219</f>
        <v>0</v>
      </c>
      <c r="N219">
        <f>+bma!N219/data!$K219</f>
        <v>9.5238095238095247E-3</v>
      </c>
      <c r="O219">
        <f>+bma!O219/data!$K219</f>
        <v>0</v>
      </c>
      <c r="P219">
        <f>+bma!P219/data!$K219</f>
        <v>9.5238095238095247E-3</v>
      </c>
      <c r="Q219">
        <f>+bma!Q219/data!$K219</f>
        <v>7.2441790476190482E-2</v>
      </c>
      <c r="R219">
        <f>+bma!R219/data!$K219</f>
        <v>3.8993761904761899E-2</v>
      </c>
      <c r="S219">
        <f>+bma!S219/data!$K219</f>
        <v>0</v>
      </c>
    </row>
    <row r="220" spans="1:19" x14ac:dyDescent="0.25">
      <c r="A220">
        <f>+bma!A220/data!$K220</f>
        <v>8.8700226314774444E-5</v>
      </c>
      <c r="B220">
        <f>+bma!B220/data!$K220</f>
        <v>1.5584924674744255E-4</v>
      </c>
      <c r="C220">
        <f>+bma!C220/data!$K220</f>
        <v>9.5238095238095247E-3</v>
      </c>
      <c r="D220">
        <f>+bma!D220/data!$K220</f>
        <v>0</v>
      </c>
      <c r="E220">
        <f>+bma!E220/data!$K220</f>
        <v>0</v>
      </c>
      <c r="F220">
        <f>+bma!F220/data!$K220</f>
        <v>0</v>
      </c>
      <c r="G220">
        <f>+bma!G220/data!$K220</f>
        <v>9.5238095238095247E-3</v>
      </c>
      <c r="H220">
        <f>+bma!H220/data!$K220</f>
        <v>9.5238095238095247E-3</v>
      </c>
      <c r="I220">
        <f>+bma!I220/data!$K220</f>
        <v>9.5238095238095247E-3</v>
      </c>
      <c r="J220">
        <f>+bma!L220/data!$K220</f>
        <v>0</v>
      </c>
      <c r="K220">
        <f>+bma!M220/data!$K220</f>
        <v>9.5238095238095247E-3</v>
      </c>
      <c r="L220">
        <f>+bma!J220/data!$K220</f>
        <v>0</v>
      </c>
      <c r="M220">
        <f>+bma!K220/data!$K220</f>
        <v>0</v>
      </c>
      <c r="N220">
        <f>+bma!N220/data!$K220</f>
        <v>0</v>
      </c>
      <c r="O220">
        <f>+bma!O220/data!$K220</f>
        <v>9.5238095238095247E-3</v>
      </c>
      <c r="P220">
        <f>+bma!P220/data!$K220</f>
        <v>9.5238095238095247E-3</v>
      </c>
      <c r="Q220">
        <f>+bma!Q220/data!$K220</f>
        <v>7.2441790476190482E-2</v>
      </c>
      <c r="R220">
        <f>+bma!R220/data!$K220</f>
        <v>3.8993761904761899E-2</v>
      </c>
      <c r="S220">
        <f>+bma!S220/data!$K220</f>
        <v>0</v>
      </c>
    </row>
    <row r="221" spans="1:19" x14ac:dyDescent="0.25">
      <c r="A221">
        <f>+bma!A221/data!$K221</f>
        <v>-8.1949438851733228E-4</v>
      </c>
      <c r="B221">
        <f>+bma!B221/data!$K221</f>
        <v>3.5094435193818119E-4</v>
      </c>
      <c r="C221">
        <f>+bma!C221/data!$K221</f>
        <v>9.5238095238095247E-3</v>
      </c>
      <c r="D221">
        <f>+bma!D221/data!$K221</f>
        <v>0</v>
      </c>
      <c r="E221">
        <f>+bma!E221/data!$K221</f>
        <v>0</v>
      </c>
      <c r="F221">
        <f>+bma!F221/data!$K221</f>
        <v>0</v>
      </c>
      <c r="G221">
        <f>+bma!G221/data!$K221</f>
        <v>9.5238095238095247E-3</v>
      </c>
      <c r="H221">
        <f>+bma!H221/data!$K221</f>
        <v>9.5238095238095247E-3</v>
      </c>
      <c r="I221">
        <f>+bma!I221/data!$K221</f>
        <v>9.5238095238095247E-3</v>
      </c>
      <c r="J221">
        <f>+bma!L221/data!$K221</f>
        <v>0</v>
      </c>
      <c r="K221">
        <f>+bma!M221/data!$K221</f>
        <v>9.5238095238095247E-3</v>
      </c>
      <c r="L221">
        <f>+bma!J221/data!$K221</f>
        <v>0</v>
      </c>
      <c r="M221">
        <f>+bma!K221/data!$K221</f>
        <v>0</v>
      </c>
      <c r="N221">
        <f>+bma!N221/data!$K221</f>
        <v>0</v>
      </c>
      <c r="O221">
        <f>+bma!O221/data!$K221</f>
        <v>0</v>
      </c>
      <c r="P221">
        <f>+bma!P221/data!$K221</f>
        <v>9.5238095238095247E-3</v>
      </c>
      <c r="Q221">
        <f>+bma!Q221/data!$K221</f>
        <v>7.2441790476190482E-2</v>
      </c>
      <c r="R221">
        <f>+bma!R221/data!$K221</f>
        <v>3.8993761904761899E-2</v>
      </c>
      <c r="S221">
        <f>+bma!S221/data!$K221</f>
        <v>0</v>
      </c>
    </row>
    <row r="222" spans="1:19" x14ac:dyDescent="0.25">
      <c r="A222">
        <f>+bma!A222/data!$K222</f>
        <v>1.5801156721339653E-4</v>
      </c>
      <c r="B222">
        <f>+bma!B222/data!$K222</f>
        <v>3.5220233464392935E-4</v>
      </c>
      <c r="C222">
        <f>+bma!C222/data!$K222</f>
        <v>9.5238095238095247E-3</v>
      </c>
      <c r="D222">
        <f>+bma!D222/data!$K222</f>
        <v>0</v>
      </c>
      <c r="E222">
        <f>+bma!E222/data!$K222</f>
        <v>0</v>
      </c>
      <c r="F222">
        <f>+bma!F222/data!$K222</f>
        <v>0</v>
      </c>
      <c r="G222">
        <f>+bma!G222/data!$K222</f>
        <v>9.5238095238095247E-3</v>
      </c>
      <c r="H222">
        <f>+bma!H222/data!$K222</f>
        <v>9.5238095238095247E-3</v>
      </c>
      <c r="I222">
        <f>+bma!I222/data!$K222</f>
        <v>9.5238095238095247E-3</v>
      </c>
      <c r="J222">
        <f>+bma!L222/data!$K222</f>
        <v>0</v>
      </c>
      <c r="K222">
        <f>+bma!M222/data!$K222</f>
        <v>9.5238095238095247E-3</v>
      </c>
      <c r="L222">
        <f>+bma!J222/data!$K222</f>
        <v>0</v>
      </c>
      <c r="M222">
        <f>+bma!K222/data!$K222</f>
        <v>0</v>
      </c>
      <c r="N222">
        <f>+bma!N222/data!$K222</f>
        <v>9.5238095238095247E-3</v>
      </c>
      <c r="O222">
        <f>+bma!O222/data!$K222</f>
        <v>0</v>
      </c>
      <c r="P222">
        <f>+bma!P222/data!$K222</f>
        <v>9.5238095238095247E-3</v>
      </c>
      <c r="Q222">
        <f>+bma!Q222/data!$K222</f>
        <v>7.2441790476190482E-2</v>
      </c>
      <c r="R222">
        <f>+bma!R222/data!$K222</f>
        <v>3.8993761904761899E-2</v>
      </c>
      <c r="S222">
        <f>+bma!S222/data!$K222</f>
        <v>0</v>
      </c>
    </row>
    <row r="223" spans="1:19" x14ac:dyDescent="0.25">
      <c r="A223">
        <f>+bma!A223/data!$K223</f>
        <v>-1.6302394551106423E-4</v>
      </c>
      <c r="B223">
        <f>+bma!B223/data!$K223</f>
        <v>3.5219920957759029E-4</v>
      </c>
      <c r="C223">
        <f>+bma!C223/data!$K223</f>
        <v>9.5238095238095247E-3</v>
      </c>
      <c r="D223">
        <f>+bma!D223/data!$K223</f>
        <v>0</v>
      </c>
      <c r="E223">
        <f>+bma!E223/data!$K223</f>
        <v>0</v>
      </c>
      <c r="F223">
        <f>+bma!F223/data!$K223</f>
        <v>0</v>
      </c>
      <c r="G223">
        <f>+bma!G223/data!$K223</f>
        <v>9.5238095238095247E-3</v>
      </c>
      <c r="H223">
        <f>+bma!H223/data!$K223</f>
        <v>9.5238095238095247E-3</v>
      </c>
      <c r="I223">
        <f>+bma!I223/data!$K223</f>
        <v>9.5238095238095247E-3</v>
      </c>
      <c r="J223">
        <f>+bma!L223/data!$K223</f>
        <v>0</v>
      </c>
      <c r="K223">
        <f>+bma!M223/data!$K223</f>
        <v>9.5238095238095247E-3</v>
      </c>
      <c r="L223">
        <f>+bma!J223/data!$K223</f>
        <v>0</v>
      </c>
      <c r="M223">
        <f>+bma!K223/data!$K223</f>
        <v>0</v>
      </c>
      <c r="N223">
        <f>+bma!N223/data!$K223</f>
        <v>0</v>
      </c>
      <c r="O223">
        <f>+bma!O223/data!$K223</f>
        <v>9.5238095238095247E-3</v>
      </c>
      <c r="P223">
        <f>+bma!P223/data!$K223</f>
        <v>9.5238095238095247E-3</v>
      </c>
      <c r="Q223">
        <f>+bma!Q223/data!$K223</f>
        <v>7.2441790476190482E-2</v>
      </c>
      <c r="R223">
        <f>+bma!R223/data!$K223</f>
        <v>3.8993761904761899E-2</v>
      </c>
      <c r="S223">
        <f>+bma!S223/data!$K223</f>
        <v>0</v>
      </c>
    </row>
    <row r="224" spans="1:19" x14ac:dyDescent="0.25">
      <c r="A224">
        <f>+bma!A224/data!$K224</f>
        <v>-8.6633897366865137E-4</v>
      </c>
      <c r="B224">
        <f>+bma!B224/data!$K224</f>
        <v>3.5055070770549705E-4</v>
      </c>
      <c r="C224">
        <f>+bma!C224/data!$K224</f>
        <v>9.5238095238095247E-3</v>
      </c>
      <c r="D224">
        <f>+bma!D224/data!$K224</f>
        <v>0</v>
      </c>
      <c r="E224">
        <f>+bma!E224/data!$K224</f>
        <v>0</v>
      </c>
      <c r="F224">
        <f>+bma!F224/data!$K224</f>
        <v>0</v>
      </c>
      <c r="G224">
        <f>+bma!G224/data!$K224</f>
        <v>9.5238095238095247E-3</v>
      </c>
      <c r="H224">
        <f>+bma!H224/data!$K224</f>
        <v>9.5238095238095247E-3</v>
      </c>
      <c r="I224">
        <f>+bma!I224/data!$K224</f>
        <v>9.5238095238095247E-3</v>
      </c>
      <c r="J224">
        <f>+bma!L224/data!$K224</f>
        <v>0</v>
      </c>
      <c r="K224">
        <f>+bma!M224/data!$K224</f>
        <v>9.5238095238095247E-3</v>
      </c>
      <c r="L224">
        <f>+bma!J224/data!$K224</f>
        <v>0</v>
      </c>
      <c r="M224">
        <f>+bma!K224/data!$K224</f>
        <v>0</v>
      </c>
      <c r="N224">
        <f>+bma!N224/data!$K224</f>
        <v>0</v>
      </c>
      <c r="O224">
        <f>+bma!O224/data!$K224</f>
        <v>0</v>
      </c>
      <c r="P224">
        <f>+bma!P224/data!$K224</f>
        <v>9.5238095238095247E-3</v>
      </c>
      <c r="Q224">
        <f>+bma!Q224/data!$K224</f>
        <v>7.2441790476190482E-2</v>
      </c>
      <c r="R224">
        <f>+bma!R224/data!$K224</f>
        <v>3.8993761904761899E-2</v>
      </c>
      <c r="S224">
        <f>+bma!S224/data!$K224</f>
        <v>0</v>
      </c>
    </row>
    <row r="225" spans="1:19" x14ac:dyDescent="0.25">
      <c r="A225">
        <f>+bma!A225/data!$K225</f>
        <v>2.5707431687210103E-4</v>
      </c>
      <c r="B225">
        <f>+bma!B225/data!$K225</f>
        <v>3.5188186635684755E-4</v>
      </c>
      <c r="C225">
        <f>+bma!C225/data!$K225</f>
        <v>9.5238095238095247E-3</v>
      </c>
      <c r="D225">
        <f>+bma!D225/data!$K225</f>
        <v>0</v>
      </c>
      <c r="E225">
        <f>+bma!E225/data!$K225</f>
        <v>0</v>
      </c>
      <c r="F225">
        <f>+bma!F225/data!$K225</f>
        <v>0</v>
      </c>
      <c r="G225">
        <f>+bma!G225/data!$K225</f>
        <v>9.5238095238095247E-3</v>
      </c>
      <c r="H225">
        <f>+bma!H225/data!$K225</f>
        <v>9.5238095238095247E-3</v>
      </c>
      <c r="I225">
        <f>+bma!I225/data!$K225</f>
        <v>9.5238095238095247E-3</v>
      </c>
      <c r="J225">
        <f>+bma!L225/data!$K225</f>
        <v>0</v>
      </c>
      <c r="K225">
        <f>+bma!M225/data!$K225</f>
        <v>9.5238095238095247E-3</v>
      </c>
      <c r="L225">
        <f>+bma!J225/data!$K225</f>
        <v>0</v>
      </c>
      <c r="M225">
        <f>+bma!K225/data!$K225</f>
        <v>0</v>
      </c>
      <c r="N225">
        <f>+bma!N225/data!$K225</f>
        <v>9.5238095238095247E-3</v>
      </c>
      <c r="O225">
        <f>+bma!O225/data!$K225</f>
        <v>0</v>
      </c>
      <c r="P225">
        <f>+bma!P225/data!$K225</f>
        <v>9.5238095238095247E-3</v>
      </c>
      <c r="Q225">
        <f>+bma!Q225/data!$K225</f>
        <v>7.2441790476190482E-2</v>
      </c>
      <c r="R225">
        <f>+bma!R225/data!$K225</f>
        <v>3.8993761904761899E-2</v>
      </c>
      <c r="S225">
        <f>+bma!S225/data!$K225</f>
        <v>0</v>
      </c>
    </row>
    <row r="226" spans="1:19" x14ac:dyDescent="0.25">
      <c r="A226">
        <f>+bma!A226/data!$K226</f>
        <v>1.2573196342984975E-4</v>
      </c>
      <c r="B226">
        <f>+bma!B226/data!$K226</f>
        <v>3.5197945194150146E-4</v>
      </c>
      <c r="C226">
        <f>+bma!C226/data!$K226</f>
        <v>9.5238095238095247E-3</v>
      </c>
      <c r="D226">
        <f>+bma!D226/data!$K226</f>
        <v>0</v>
      </c>
      <c r="E226">
        <f>+bma!E226/data!$K226</f>
        <v>0</v>
      </c>
      <c r="F226">
        <f>+bma!F226/data!$K226</f>
        <v>0</v>
      </c>
      <c r="G226">
        <f>+bma!G226/data!$K226</f>
        <v>9.5238095238095247E-3</v>
      </c>
      <c r="H226">
        <f>+bma!H226/data!$K226</f>
        <v>9.5238095238095247E-3</v>
      </c>
      <c r="I226">
        <f>+bma!I226/data!$K226</f>
        <v>9.5238095238095247E-3</v>
      </c>
      <c r="J226">
        <f>+bma!L226/data!$K226</f>
        <v>0</v>
      </c>
      <c r="K226">
        <f>+bma!M226/data!$K226</f>
        <v>9.5238095238095247E-3</v>
      </c>
      <c r="L226">
        <f>+bma!J226/data!$K226</f>
        <v>0</v>
      </c>
      <c r="M226">
        <f>+bma!K226/data!$K226</f>
        <v>0</v>
      </c>
      <c r="N226">
        <f>+bma!N226/data!$K226</f>
        <v>0</v>
      </c>
      <c r="O226">
        <f>+bma!O226/data!$K226</f>
        <v>9.5238095238095247E-3</v>
      </c>
      <c r="P226">
        <f>+bma!P226/data!$K226</f>
        <v>9.5238095238095247E-3</v>
      </c>
      <c r="Q226">
        <f>+bma!Q226/data!$K226</f>
        <v>7.2441790476190482E-2</v>
      </c>
      <c r="R226">
        <f>+bma!R226/data!$K226</f>
        <v>3.8993761904761899E-2</v>
      </c>
      <c r="S226">
        <f>+bma!S226/data!$K226</f>
        <v>0</v>
      </c>
    </row>
    <row r="227" spans="1:19" x14ac:dyDescent="0.25">
      <c r="A227">
        <f>+bma!A227/data!$K227</f>
        <v>-2.2370862649359526E-4</v>
      </c>
      <c r="B227">
        <f>+bma!B227/data!$K227</f>
        <v>4.463598860827643E-4</v>
      </c>
      <c r="C227">
        <f>+bma!C227/data!$K227</f>
        <v>9.5238095238095247E-3</v>
      </c>
      <c r="D227">
        <f>+bma!D227/data!$K227</f>
        <v>0</v>
      </c>
      <c r="E227">
        <f>+bma!E227/data!$K227</f>
        <v>0</v>
      </c>
      <c r="F227">
        <f>+bma!F227/data!$K227</f>
        <v>0</v>
      </c>
      <c r="G227">
        <f>+bma!G227/data!$K227</f>
        <v>9.5238095238095247E-3</v>
      </c>
      <c r="H227">
        <f>+bma!H227/data!$K227</f>
        <v>9.5238095238095247E-3</v>
      </c>
      <c r="I227">
        <f>+bma!I227/data!$K227</f>
        <v>9.5238095238095247E-3</v>
      </c>
      <c r="J227">
        <f>+bma!L227/data!$K227</f>
        <v>0</v>
      </c>
      <c r="K227">
        <f>+bma!M227/data!$K227</f>
        <v>9.5238095238095247E-3</v>
      </c>
      <c r="L227">
        <f>+bma!J227/data!$K227</f>
        <v>0</v>
      </c>
      <c r="M227">
        <f>+bma!K227/data!$K227</f>
        <v>0</v>
      </c>
      <c r="N227">
        <f>+bma!N227/data!$K227</f>
        <v>0</v>
      </c>
      <c r="O227">
        <f>+bma!O227/data!$K227</f>
        <v>0</v>
      </c>
      <c r="P227">
        <f>+bma!P227/data!$K227</f>
        <v>9.5238095238095247E-3</v>
      </c>
      <c r="Q227">
        <f>+bma!Q227/data!$K227</f>
        <v>7.2441790476190482E-2</v>
      </c>
      <c r="R227">
        <f>+bma!R227/data!$K227</f>
        <v>3.8993761904761899E-2</v>
      </c>
      <c r="S227">
        <f>+bma!S227/data!$K227</f>
        <v>0</v>
      </c>
    </row>
    <row r="228" spans="1:19" x14ac:dyDescent="0.25">
      <c r="A228">
        <f>+bma!A228/data!$K228</f>
        <v>2.4747329072198477E-6</v>
      </c>
      <c r="B228">
        <f>+bma!B228/data!$K228</f>
        <v>4.4648306201091416E-4</v>
      </c>
      <c r="C228">
        <f>+bma!C228/data!$K228</f>
        <v>9.5238095238095247E-3</v>
      </c>
      <c r="D228">
        <f>+bma!D228/data!$K228</f>
        <v>0</v>
      </c>
      <c r="E228">
        <f>+bma!E228/data!$K228</f>
        <v>0</v>
      </c>
      <c r="F228">
        <f>+bma!F228/data!$K228</f>
        <v>0</v>
      </c>
      <c r="G228">
        <f>+bma!G228/data!$K228</f>
        <v>9.5238095238095247E-3</v>
      </c>
      <c r="H228">
        <f>+bma!H228/data!$K228</f>
        <v>9.5238095238095247E-3</v>
      </c>
      <c r="I228">
        <f>+bma!I228/data!$K228</f>
        <v>9.5238095238095247E-3</v>
      </c>
      <c r="J228">
        <f>+bma!L228/data!$K228</f>
        <v>0</v>
      </c>
      <c r="K228">
        <f>+bma!M228/data!$K228</f>
        <v>9.5238095238095247E-3</v>
      </c>
      <c r="L228">
        <f>+bma!J228/data!$K228</f>
        <v>0</v>
      </c>
      <c r="M228">
        <f>+bma!K228/data!$K228</f>
        <v>0</v>
      </c>
      <c r="N228">
        <f>+bma!N228/data!$K228</f>
        <v>9.5238095238095247E-3</v>
      </c>
      <c r="O228">
        <f>+bma!O228/data!$K228</f>
        <v>0</v>
      </c>
      <c r="P228">
        <f>+bma!P228/data!$K228</f>
        <v>9.5238095238095247E-3</v>
      </c>
      <c r="Q228">
        <f>+bma!Q228/data!$K228</f>
        <v>7.2441790476190482E-2</v>
      </c>
      <c r="R228">
        <f>+bma!R228/data!$K228</f>
        <v>3.8993761904761899E-2</v>
      </c>
      <c r="S228">
        <f>+bma!S228/data!$K228</f>
        <v>0</v>
      </c>
    </row>
    <row r="229" spans="1:19" x14ac:dyDescent="0.25">
      <c r="A229">
        <f>+bma!A229/data!$K229</f>
        <v>-9.3437674265601476E-5</v>
      </c>
      <c r="B229">
        <f>+bma!B229/data!$K229</f>
        <v>4.4646158848554837E-4</v>
      </c>
      <c r="C229">
        <f>+bma!C229/data!$K229</f>
        <v>9.5238095238095247E-3</v>
      </c>
      <c r="D229">
        <f>+bma!D229/data!$K229</f>
        <v>0</v>
      </c>
      <c r="E229">
        <f>+bma!E229/data!$K229</f>
        <v>0</v>
      </c>
      <c r="F229">
        <f>+bma!F229/data!$K229</f>
        <v>0</v>
      </c>
      <c r="G229">
        <f>+bma!G229/data!$K229</f>
        <v>9.5238095238095247E-3</v>
      </c>
      <c r="H229">
        <f>+bma!H229/data!$K229</f>
        <v>9.5238095238095247E-3</v>
      </c>
      <c r="I229">
        <f>+bma!I229/data!$K229</f>
        <v>9.5238095238095247E-3</v>
      </c>
      <c r="J229">
        <f>+bma!L229/data!$K229</f>
        <v>0</v>
      </c>
      <c r="K229">
        <f>+bma!M229/data!$K229</f>
        <v>9.5238095238095247E-3</v>
      </c>
      <c r="L229">
        <f>+bma!J229/data!$K229</f>
        <v>0</v>
      </c>
      <c r="M229">
        <f>+bma!K229/data!$K229</f>
        <v>0</v>
      </c>
      <c r="N229">
        <f>+bma!N229/data!$K229</f>
        <v>0</v>
      </c>
      <c r="O229">
        <f>+bma!O229/data!$K229</f>
        <v>9.5238095238095247E-3</v>
      </c>
      <c r="P229">
        <f>+bma!P229/data!$K229</f>
        <v>9.5238095238095247E-3</v>
      </c>
      <c r="Q229">
        <f>+bma!Q229/data!$K229</f>
        <v>7.2441790476190482E-2</v>
      </c>
      <c r="R229">
        <f>+bma!R229/data!$K229</f>
        <v>3.8993761904761899E-2</v>
      </c>
      <c r="S229">
        <f>+bma!S229/data!$K229</f>
        <v>0</v>
      </c>
    </row>
    <row r="230" spans="1:19" x14ac:dyDescent="0.25">
      <c r="A230">
        <f>+bma!A230/data!$K230</f>
        <v>-2.4595814969075715E-5</v>
      </c>
      <c r="B230">
        <f>+bma!B230/data!$K230</f>
        <v>4.4697303748347594E-4</v>
      </c>
      <c r="C230">
        <f>+bma!C230/data!$K230</f>
        <v>9.5238095238095247E-3</v>
      </c>
      <c r="D230">
        <f>+bma!D230/data!$K230</f>
        <v>0</v>
      </c>
      <c r="E230">
        <f>+bma!E230/data!$K230</f>
        <v>0</v>
      </c>
      <c r="F230">
        <f>+bma!F230/data!$K230</f>
        <v>0</v>
      </c>
      <c r="G230">
        <f>+bma!G230/data!$K230</f>
        <v>9.5238095238095247E-3</v>
      </c>
      <c r="H230">
        <f>+bma!H230/data!$K230</f>
        <v>9.5238095238095247E-3</v>
      </c>
      <c r="I230">
        <f>+bma!I230/data!$K230</f>
        <v>9.5238095238095247E-3</v>
      </c>
      <c r="J230">
        <f>+bma!L230/data!$K230</f>
        <v>0</v>
      </c>
      <c r="K230">
        <f>+bma!M230/data!$K230</f>
        <v>9.5238095238095247E-3</v>
      </c>
      <c r="L230">
        <f>+bma!J230/data!$K230</f>
        <v>0</v>
      </c>
      <c r="M230">
        <f>+bma!K230/data!$K230</f>
        <v>0</v>
      </c>
      <c r="N230">
        <f>+bma!N230/data!$K230</f>
        <v>0</v>
      </c>
      <c r="O230">
        <f>+bma!O230/data!$K230</f>
        <v>0</v>
      </c>
      <c r="P230">
        <f>+bma!P230/data!$K230</f>
        <v>9.5238095238095247E-3</v>
      </c>
      <c r="Q230">
        <f>+bma!Q230/data!$K230</f>
        <v>7.2441790476190482E-2</v>
      </c>
      <c r="R230">
        <f>+bma!R230/data!$K230</f>
        <v>3.8993761904761899E-2</v>
      </c>
      <c r="S230">
        <f>+bma!S230/data!$K230</f>
        <v>0</v>
      </c>
    </row>
    <row r="231" spans="1:19" x14ac:dyDescent="0.25">
      <c r="A231">
        <f>+bma!A231/data!$K231</f>
        <v>3.5079983928422977E-5</v>
      </c>
      <c r="B231">
        <f>+bma!B231/data!$K231</f>
        <v>4.4697149590432818E-4</v>
      </c>
      <c r="C231">
        <f>+bma!C231/data!$K231</f>
        <v>9.5238095238095247E-3</v>
      </c>
      <c r="D231">
        <f>+bma!D231/data!$K231</f>
        <v>0</v>
      </c>
      <c r="E231">
        <f>+bma!E231/data!$K231</f>
        <v>0</v>
      </c>
      <c r="F231">
        <f>+bma!F231/data!$K231</f>
        <v>0</v>
      </c>
      <c r="G231">
        <f>+bma!G231/data!$K231</f>
        <v>9.5238095238095247E-3</v>
      </c>
      <c r="H231">
        <f>+bma!H231/data!$K231</f>
        <v>9.5238095238095247E-3</v>
      </c>
      <c r="I231">
        <f>+bma!I231/data!$K231</f>
        <v>9.5238095238095247E-3</v>
      </c>
      <c r="J231">
        <f>+bma!L231/data!$K231</f>
        <v>0</v>
      </c>
      <c r="K231">
        <f>+bma!M231/data!$K231</f>
        <v>9.5238095238095247E-3</v>
      </c>
      <c r="L231">
        <f>+bma!J231/data!$K231</f>
        <v>0</v>
      </c>
      <c r="M231">
        <f>+bma!K231/data!$K231</f>
        <v>0</v>
      </c>
      <c r="N231">
        <f>+bma!N231/data!$K231</f>
        <v>9.5238095238095247E-3</v>
      </c>
      <c r="O231">
        <f>+bma!O231/data!$K231</f>
        <v>0</v>
      </c>
      <c r="P231">
        <f>+bma!P231/data!$K231</f>
        <v>9.5238095238095247E-3</v>
      </c>
      <c r="Q231">
        <f>+bma!Q231/data!$K231</f>
        <v>7.2441790476190482E-2</v>
      </c>
      <c r="R231">
        <f>+bma!R231/data!$K231</f>
        <v>3.8993761904761899E-2</v>
      </c>
      <c r="S231">
        <f>+bma!S231/data!$K231</f>
        <v>0</v>
      </c>
    </row>
    <row r="232" spans="1:19" x14ac:dyDescent="0.25">
      <c r="A232">
        <f>+bma!A232/data!$K232</f>
        <v>1.1959309467326102E-4</v>
      </c>
      <c r="B232">
        <f>+bma!B232/data!$K232</f>
        <v>4.4693928604791586E-4</v>
      </c>
      <c r="C232">
        <f>+bma!C232/data!$K232</f>
        <v>9.5238095238095247E-3</v>
      </c>
      <c r="D232">
        <f>+bma!D232/data!$K232</f>
        <v>0</v>
      </c>
      <c r="E232">
        <f>+bma!E232/data!$K232</f>
        <v>0</v>
      </c>
      <c r="F232">
        <f>+bma!F232/data!$K232</f>
        <v>0</v>
      </c>
      <c r="G232">
        <f>+bma!G232/data!$K232</f>
        <v>9.5238095238095247E-3</v>
      </c>
      <c r="H232">
        <f>+bma!H232/data!$K232</f>
        <v>9.5238095238095247E-3</v>
      </c>
      <c r="I232">
        <f>+bma!I232/data!$K232</f>
        <v>9.5238095238095247E-3</v>
      </c>
      <c r="J232">
        <f>+bma!L232/data!$K232</f>
        <v>0</v>
      </c>
      <c r="K232">
        <f>+bma!M232/data!$K232</f>
        <v>9.5238095238095247E-3</v>
      </c>
      <c r="L232">
        <f>+bma!J232/data!$K232</f>
        <v>0</v>
      </c>
      <c r="M232">
        <f>+bma!K232/data!$K232</f>
        <v>0</v>
      </c>
      <c r="N232">
        <f>+bma!N232/data!$K232</f>
        <v>0</v>
      </c>
      <c r="O232">
        <f>+bma!O232/data!$K232</f>
        <v>9.5238095238095247E-3</v>
      </c>
      <c r="P232">
        <f>+bma!P232/data!$K232</f>
        <v>9.5238095238095247E-3</v>
      </c>
      <c r="Q232">
        <f>+bma!Q232/data!$K232</f>
        <v>7.2441790476190482E-2</v>
      </c>
      <c r="R232">
        <f>+bma!R232/data!$K232</f>
        <v>3.8993761904761899E-2</v>
      </c>
      <c r="S232">
        <f>+bma!S232/data!$K232</f>
        <v>0</v>
      </c>
    </row>
    <row r="233" spans="1:19" x14ac:dyDescent="0.25">
      <c r="A233">
        <f>+bma!A233/data!$K233</f>
        <v>-2.9577380225307939E-4</v>
      </c>
      <c r="B233">
        <f>+bma!B233/data!$K233</f>
        <v>2.1578922010784309E-4</v>
      </c>
      <c r="C233">
        <f>+bma!C233/data!$K233</f>
        <v>9.5238095238095247E-3</v>
      </c>
      <c r="D233">
        <f>+bma!D233/data!$K233</f>
        <v>0</v>
      </c>
      <c r="E233">
        <f>+bma!E233/data!$K233</f>
        <v>0</v>
      </c>
      <c r="F233">
        <f>+bma!F233/data!$K233</f>
        <v>0</v>
      </c>
      <c r="G233">
        <f>+bma!G233/data!$K233</f>
        <v>9.5238095238095247E-3</v>
      </c>
      <c r="H233">
        <f>+bma!H233/data!$K233</f>
        <v>9.5238095238095247E-3</v>
      </c>
      <c r="I233">
        <f>+bma!I233/data!$K233</f>
        <v>9.5238095238095247E-3</v>
      </c>
      <c r="J233">
        <f>+bma!L233/data!$K233</f>
        <v>0</v>
      </c>
      <c r="K233">
        <f>+bma!M233/data!$K233</f>
        <v>9.5238095238095247E-3</v>
      </c>
      <c r="L233">
        <f>+bma!J233/data!$K233</f>
        <v>0</v>
      </c>
      <c r="M233">
        <f>+bma!K233/data!$K233</f>
        <v>0</v>
      </c>
      <c r="N233">
        <f>+bma!N233/data!$K233</f>
        <v>0</v>
      </c>
      <c r="O233">
        <f>+bma!O233/data!$K233</f>
        <v>0</v>
      </c>
      <c r="P233">
        <f>+bma!P233/data!$K233</f>
        <v>9.5238095238095247E-3</v>
      </c>
      <c r="Q233">
        <f>+bma!Q233/data!$K233</f>
        <v>7.2441790476190482E-2</v>
      </c>
      <c r="R233">
        <f>+bma!R233/data!$K233</f>
        <v>3.8993761904761899E-2</v>
      </c>
      <c r="S233">
        <f>+bma!S233/data!$K233</f>
        <v>0</v>
      </c>
    </row>
    <row r="234" spans="1:19" x14ac:dyDescent="0.25">
      <c r="A234">
        <f>+bma!A234/data!$K234</f>
        <v>2.7136761614583298E-4</v>
      </c>
      <c r="B234">
        <f>+bma!B234/data!$K234</f>
        <v>2.1580570067383754E-4</v>
      </c>
      <c r="C234">
        <f>+bma!C234/data!$K234</f>
        <v>9.5238095238095247E-3</v>
      </c>
      <c r="D234">
        <f>+bma!D234/data!$K234</f>
        <v>0</v>
      </c>
      <c r="E234">
        <f>+bma!E234/data!$K234</f>
        <v>0</v>
      </c>
      <c r="F234">
        <f>+bma!F234/data!$K234</f>
        <v>0</v>
      </c>
      <c r="G234">
        <f>+bma!G234/data!$K234</f>
        <v>9.5238095238095247E-3</v>
      </c>
      <c r="H234">
        <f>+bma!H234/data!$K234</f>
        <v>9.5238095238095247E-3</v>
      </c>
      <c r="I234">
        <f>+bma!I234/data!$K234</f>
        <v>9.5238095238095247E-3</v>
      </c>
      <c r="J234">
        <f>+bma!L234/data!$K234</f>
        <v>0</v>
      </c>
      <c r="K234">
        <f>+bma!M234/data!$K234</f>
        <v>9.5238095238095247E-3</v>
      </c>
      <c r="L234">
        <f>+bma!J234/data!$K234</f>
        <v>0</v>
      </c>
      <c r="M234">
        <f>+bma!K234/data!$K234</f>
        <v>0</v>
      </c>
      <c r="N234">
        <f>+bma!N234/data!$K234</f>
        <v>9.5238095238095247E-3</v>
      </c>
      <c r="O234">
        <f>+bma!O234/data!$K234</f>
        <v>0</v>
      </c>
      <c r="P234">
        <f>+bma!P234/data!$K234</f>
        <v>9.5238095238095247E-3</v>
      </c>
      <c r="Q234">
        <f>+bma!Q234/data!$K234</f>
        <v>7.2441790476190482E-2</v>
      </c>
      <c r="R234">
        <f>+bma!R234/data!$K234</f>
        <v>3.8993761904761899E-2</v>
      </c>
      <c r="S234">
        <f>+bma!S234/data!$K234</f>
        <v>0</v>
      </c>
    </row>
    <row r="235" spans="1:19" x14ac:dyDescent="0.25">
      <c r="A235">
        <f>+bma!A235/data!$K235</f>
        <v>-5.3717033317385154E-5</v>
      </c>
      <c r="B235">
        <f>+bma!B235/data!$K235</f>
        <v>2.1588992466416477E-4</v>
      </c>
      <c r="C235">
        <f>+bma!C235/data!$K235</f>
        <v>9.5238095238095247E-3</v>
      </c>
      <c r="D235">
        <f>+bma!D235/data!$K235</f>
        <v>0</v>
      </c>
      <c r="E235">
        <f>+bma!E235/data!$K235</f>
        <v>0</v>
      </c>
      <c r="F235">
        <f>+bma!F235/data!$K235</f>
        <v>0</v>
      </c>
      <c r="G235">
        <f>+bma!G235/data!$K235</f>
        <v>9.5238095238095247E-3</v>
      </c>
      <c r="H235">
        <f>+bma!H235/data!$K235</f>
        <v>9.5238095238095247E-3</v>
      </c>
      <c r="I235">
        <f>+bma!I235/data!$K235</f>
        <v>9.5238095238095247E-3</v>
      </c>
      <c r="J235">
        <f>+bma!L235/data!$K235</f>
        <v>0</v>
      </c>
      <c r="K235">
        <f>+bma!M235/data!$K235</f>
        <v>9.5238095238095247E-3</v>
      </c>
      <c r="L235">
        <f>+bma!J235/data!$K235</f>
        <v>0</v>
      </c>
      <c r="M235">
        <f>+bma!K235/data!$K235</f>
        <v>0</v>
      </c>
      <c r="N235">
        <f>+bma!N235/data!$K235</f>
        <v>0</v>
      </c>
      <c r="O235">
        <f>+bma!O235/data!$K235</f>
        <v>9.5238095238095247E-3</v>
      </c>
      <c r="P235">
        <f>+bma!P235/data!$K235</f>
        <v>9.5238095238095247E-3</v>
      </c>
      <c r="Q235">
        <f>+bma!Q235/data!$K235</f>
        <v>7.2441790476190482E-2</v>
      </c>
      <c r="R235">
        <f>+bma!R235/data!$K235</f>
        <v>3.8993761904761899E-2</v>
      </c>
      <c r="S235">
        <f>+bma!S235/data!$K235</f>
        <v>0</v>
      </c>
    </row>
    <row r="236" spans="1:19" x14ac:dyDescent="0.25">
      <c r="A236">
        <f>+bma!A236/data!$K236</f>
        <v>-2.9246377231410077E-4</v>
      </c>
      <c r="B236">
        <f>+bma!B236/data!$K236</f>
        <v>2.1551484705638484E-4</v>
      </c>
      <c r="C236">
        <f>+bma!C236/data!$K236</f>
        <v>9.5238095238095247E-3</v>
      </c>
      <c r="D236">
        <f>+bma!D236/data!$K236</f>
        <v>0</v>
      </c>
      <c r="E236">
        <f>+bma!E236/data!$K236</f>
        <v>0</v>
      </c>
      <c r="F236">
        <f>+bma!F236/data!$K236</f>
        <v>0</v>
      </c>
      <c r="G236">
        <f>+bma!G236/data!$K236</f>
        <v>9.5238095238095247E-3</v>
      </c>
      <c r="H236">
        <f>+bma!H236/data!$K236</f>
        <v>9.5238095238095247E-3</v>
      </c>
      <c r="I236">
        <f>+bma!I236/data!$K236</f>
        <v>9.5238095238095247E-3</v>
      </c>
      <c r="J236">
        <f>+bma!L236/data!$K236</f>
        <v>0</v>
      </c>
      <c r="K236">
        <f>+bma!M236/data!$K236</f>
        <v>9.5238095238095247E-3</v>
      </c>
      <c r="L236">
        <f>+bma!J236/data!$K236</f>
        <v>0</v>
      </c>
      <c r="M236">
        <f>+bma!K236/data!$K236</f>
        <v>0</v>
      </c>
      <c r="N236">
        <f>+bma!N236/data!$K236</f>
        <v>0</v>
      </c>
      <c r="O236">
        <f>+bma!O236/data!$K236</f>
        <v>0</v>
      </c>
      <c r="P236">
        <f>+bma!P236/data!$K236</f>
        <v>9.5238095238095247E-3</v>
      </c>
      <c r="Q236">
        <f>+bma!Q236/data!$K236</f>
        <v>7.2441790476190482E-2</v>
      </c>
      <c r="R236">
        <f>+bma!R236/data!$K236</f>
        <v>3.8993761904761899E-2</v>
      </c>
      <c r="S236">
        <f>+bma!S236/data!$K236</f>
        <v>0</v>
      </c>
    </row>
    <row r="237" spans="1:19" x14ac:dyDescent="0.25">
      <c r="A237">
        <f>+bma!A237/data!$K237</f>
        <v>3.3556146145220539E-4</v>
      </c>
      <c r="B237">
        <f>+bma!B237/data!$K237</f>
        <v>2.1548265868141355E-4</v>
      </c>
      <c r="C237">
        <f>+bma!C237/data!$K237</f>
        <v>9.5238095238095247E-3</v>
      </c>
      <c r="D237">
        <f>+bma!D237/data!$K237</f>
        <v>0</v>
      </c>
      <c r="E237">
        <f>+bma!E237/data!$K237</f>
        <v>0</v>
      </c>
      <c r="F237">
        <f>+bma!F237/data!$K237</f>
        <v>0</v>
      </c>
      <c r="G237">
        <f>+bma!G237/data!$K237</f>
        <v>9.5238095238095247E-3</v>
      </c>
      <c r="H237">
        <f>+bma!H237/data!$K237</f>
        <v>9.5238095238095247E-3</v>
      </c>
      <c r="I237">
        <f>+bma!I237/data!$K237</f>
        <v>9.5238095238095247E-3</v>
      </c>
      <c r="J237">
        <f>+bma!L237/data!$K237</f>
        <v>0</v>
      </c>
      <c r="K237">
        <f>+bma!M237/data!$K237</f>
        <v>9.5238095238095247E-3</v>
      </c>
      <c r="L237">
        <f>+bma!J237/data!$K237</f>
        <v>0</v>
      </c>
      <c r="M237">
        <f>+bma!K237/data!$K237</f>
        <v>0</v>
      </c>
      <c r="N237">
        <f>+bma!N237/data!$K237</f>
        <v>9.5238095238095247E-3</v>
      </c>
      <c r="O237">
        <f>+bma!O237/data!$K237</f>
        <v>0</v>
      </c>
      <c r="P237">
        <f>+bma!P237/data!$K237</f>
        <v>9.5238095238095247E-3</v>
      </c>
      <c r="Q237">
        <f>+bma!Q237/data!$K237</f>
        <v>7.2441790476190482E-2</v>
      </c>
      <c r="R237">
        <f>+bma!R237/data!$K237</f>
        <v>3.8993761904761899E-2</v>
      </c>
      <c r="S237">
        <f>+bma!S237/data!$K237</f>
        <v>0</v>
      </c>
    </row>
    <row r="238" spans="1:19" x14ac:dyDescent="0.25">
      <c r="A238">
        <f>+bma!A238/data!$K238</f>
        <v>4.3395501595103838E-5</v>
      </c>
      <c r="B238">
        <f>+bma!B238/data!$K238</f>
        <v>2.1561429850132746E-4</v>
      </c>
      <c r="C238">
        <f>+bma!C238/data!$K238</f>
        <v>9.5238095238095247E-3</v>
      </c>
      <c r="D238">
        <f>+bma!D238/data!$K238</f>
        <v>0</v>
      </c>
      <c r="E238">
        <f>+bma!E238/data!$K238</f>
        <v>0</v>
      </c>
      <c r="F238">
        <f>+bma!F238/data!$K238</f>
        <v>0</v>
      </c>
      <c r="G238">
        <f>+bma!G238/data!$K238</f>
        <v>9.5238095238095247E-3</v>
      </c>
      <c r="H238">
        <f>+bma!H238/data!$K238</f>
        <v>9.5238095238095247E-3</v>
      </c>
      <c r="I238">
        <f>+bma!I238/data!$K238</f>
        <v>9.5238095238095247E-3</v>
      </c>
      <c r="J238">
        <f>+bma!L238/data!$K238</f>
        <v>0</v>
      </c>
      <c r="K238">
        <f>+bma!M238/data!$K238</f>
        <v>9.5238095238095247E-3</v>
      </c>
      <c r="L238">
        <f>+bma!J238/data!$K238</f>
        <v>0</v>
      </c>
      <c r="M238">
        <f>+bma!K238/data!$K238</f>
        <v>0</v>
      </c>
      <c r="N238">
        <f>+bma!N238/data!$K238</f>
        <v>0</v>
      </c>
      <c r="O238">
        <f>+bma!O238/data!$K238</f>
        <v>9.5238095238095247E-3</v>
      </c>
      <c r="P238">
        <f>+bma!P238/data!$K238</f>
        <v>9.5238095238095247E-3</v>
      </c>
      <c r="Q238">
        <f>+bma!Q238/data!$K238</f>
        <v>7.2441790476190482E-2</v>
      </c>
      <c r="R238">
        <f>+bma!R238/data!$K238</f>
        <v>3.8993761904761899E-2</v>
      </c>
      <c r="S238">
        <f>+bma!S238/data!$K238</f>
        <v>0</v>
      </c>
    </row>
    <row r="239" spans="1:19" x14ac:dyDescent="0.25">
      <c r="A239">
        <f>+bma!A239/data!$K239</f>
        <v>-2.0576843377075927E-4</v>
      </c>
      <c r="B239">
        <f>+bma!B239/data!$K239</f>
        <v>4.483539918300632E-4</v>
      </c>
      <c r="C239">
        <f>+bma!C239/data!$K239</f>
        <v>9.5238095238095247E-3</v>
      </c>
      <c r="D239">
        <f>+bma!D239/data!$K239</f>
        <v>0</v>
      </c>
      <c r="E239">
        <f>+bma!E239/data!$K239</f>
        <v>0</v>
      </c>
      <c r="F239">
        <f>+bma!F239/data!$K239</f>
        <v>0</v>
      </c>
      <c r="G239">
        <f>+bma!G239/data!$K239</f>
        <v>9.5238095238095247E-3</v>
      </c>
      <c r="H239">
        <f>+bma!H239/data!$K239</f>
        <v>9.5238095238095247E-3</v>
      </c>
      <c r="I239">
        <f>+bma!I239/data!$K239</f>
        <v>9.5238095238095247E-3</v>
      </c>
      <c r="J239">
        <f>+bma!L239/data!$K239</f>
        <v>0</v>
      </c>
      <c r="K239">
        <f>+bma!M239/data!$K239</f>
        <v>9.5238095238095247E-3</v>
      </c>
      <c r="L239">
        <f>+bma!J239/data!$K239</f>
        <v>0</v>
      </c>
      <c r="M239">
        <f>+bma!K239/data!$K239</f>
        <v>0</v>
      </c>
      <c r="N239">
        <f>+bma!N239/data!$K239</f>
        <v>0</v>
      </c>
      <c r="O239">
        <f>+bma!O239/data!$K239</f>
        <v>0</v>
      </c>
      <c r="P239">
        <f>+bma!P239/data!$K239</f>
        <v>9.5238095238095247E-3</v>
      </c>
      <c r="Q239">
        <f>+bma!Q239/data!$K239</f>
        <v>7.2441790476190482E-2</v>
      </c>
      <c r="R239">
        <f>+bma!R239/data!$K239</f>
        <v>3.8993761904761899E-2</v>
      </c>
      <c r="S239">
        <f>+bma!S239/data!$K239</f>
        <v>0</v>
      </c>
    </row>
    <row r="240" spans="1:19" x14ac:dyDescent="0.25">
      <c r="A240">
        <f>+bma!A240/data!$K240</f>
        <v>3.4069504037571527E-4</v>
      </c>
      <c r="B240">
        <f>+bma!B240/data!$K240</f>
        <v>4.4817163606986017E-4</v>
      </c>
      <c r="C240">
        <f>+bma!C240/data!$K240</f>
        <v>9.5238095238095247E-3</v>
      </c>
      <c r="D240">
        <f>+bma!D240/data!$K240</f>
        <v>0</v>
      </c>
      <c r="E240">
        <f>+bma!E240/data!$K240</f>
        <v>0</v>
      </c>
      <c r="F240">
        <f>+bma!F240/data!$K240</f>
        <v>0</v>
      </c>
      <c r="G240">
        <f>+bma!G240/data!$K240</f>
        <v>9.5238095238095247E-3</v>
      </c>
      <c r="H240">
        <f>+bma!H240/data!$K240</f>
        <v>9.5238095238095247E-3</v>
      </c>
      <c r="I240">
        <f>+bma!I240/data!$K240</f>
        <v>9.5238095238095247E-3</v>
      </c>
      <c r="J240">
        <f>+bma!L240/data!$K240</f>
        <v>0</v>
      </c>
      <c r="K240">
        <f>+bma!M240/data!$K240</f>
        <v>9.5238095238095247E-3</v>
      </c>
      <c r="L240">
        <f>+bma!J240/data!$K240</f>
        <v>0</v>
      </c>
      <c r="M240">
        <f>+bma!K240/data!$K240</f>
        <v>0</v>
      </c>
      <c r="N240">
        <f>+bma!N240/data!$K240</f>
        <v>9.5238095238095247E-3</v>
      </c>
      <c r="O240">
        <f>+bma!O240/data!$K240</f>
        <v>0</v>
      </c>
      <c r="P240">
        <f>+bma!P240/data!$K240</f>
        <v>9.5238095238095247E-3</v>
      </c>
      <c r="Q240">
        <f>+bma!Q240/data!$K240</f>
        <v>7.2441790476190482E-2</v>
      </c>
      <c r="R240">
        <f>+bma!R240/data!$K240</f>
        <v>3.8993761904761899E-2</v>
      </c>
      <c r="S240">
        <f>+bma!S240/data!$K240</f>
        <v>0</v>
      </c>
    </row>
    <row r="241" spans="1:19" x14ac:dyDescent="0.25">
      <c r="A241">
        <f>+bma!A241/data!$K241</f>
        <v>4.6870784692377992E-4</v>
      </c>
      <c r="B241">
        <f>+bma!B241/data!$K241</f>
        <v>4.479152517244249E-4</v>
      </c>
      <c r="C241">
        <f>+bma!C241/data!$K241</f>
        <v>9.5238095238095247E-3</v>
      </c>
      <c r="D241">
        <f>+bma!D241/data!$K241</f>
        <v>0</v>
      </c>
      <c r="E241">
        <f>+bma!E241/data!$K241</f>
        <v>0</v>
      </c>
      <c r="F241">
        <f>+bma!F241/data!$K241</f>
        <v>0</v>
      </c>
      <c r="G241">
        <f>+bma!G241/data!$K241</f>
        <v>9.5238095238095247E-3</v>
      </c>
      <c r="H241">
        <f>+bma!H241/data!$K241</f>
        <v>9.5238095238095247E-3</v>
      </c>
      <c r="I241">
        <f>+bma!I241/data!$K241</f>
        <v>9.5238095238095247E-3</v>
      </c>
      <c r="J241">
        <f>+bma!L241/data!$K241</f>
        <v>0</v>
      </c>
      <c r="K241">
        <f>+bma!M241/data!$K241</f>
        <v>9.5238095238095247E-3</v>
      </c>
      <c r="L241">
        <f>+bma!J241/data!$K241</f>
        <v>0</v>
      </c>
      <c r="M241">
        <f>+bma!K241/data!$K241</f>
        <v>0</v>
      </c>
      <c r="N241">
        <f>+bma!N241/data!$K241</f>
        <v>0</v>
      </c>
      <c r="O241">
        <f>+bma!O241/data!$K241</f>
        <v>9.5238095238095247E-3</v>
      </c>
      <c r="P241">
        <f>+bma!P241/data!$K241</f>
        <v>9.5238095238095247E-3</v>
      </c>
      <c r="Q241">
        <f>+bma!Q241/data!$K241</f>
        <v>7.2441790476190482E-2</v>
      </c>
      <c r="R241">
        <f>+bma!R241/data!$K241</f>
        <v>3.8993761904761899E-2</v>
      </c>
      <c r="S241">
        <f>+bma!S241/data!$K241</f>
        <v>0</v>
      </c>
    </row>
    <row r="242" spans="1:19" x14ac:dyDescent="0.25">
      <c r="A242">
        <f>+bma!A242/data!$K242</f>
        <v>-6.9977376666641297E-4</v>
      </c>
      <c r="B242">
        <f>+bma!B242/data!$K242</f>
        <v>4.4430080423264317E-4</v>
      </c>
      <c r="C242">
        <f>+bma!C242/data!$K242</f>
        <v>9.5238095238095247E-3</v>
      </c>
      <c r="D242">
        <f>+bma!D242/data!$K242</f>
        <v>0</v>
      </c>
      <c r="E242">
        <f>+bma!E242/data!$K242</f>
        <v>0</v>
      </c>
      <c r="F242">
        <f>+bma!F242/data!$K242</f>
        <v>0</v>
      </c>
      <c r="G242">
        <f>+bma!G242/data!$K242</f>
        <v>9.5238095238095247E-3</v>
      </c>
      <c r="H242">
        <f>+bma!H242/data!$K242</f>
        <v>9.5238095238095247E-3</v>
      </c>
      <c r="I242">
        <f>+bma!I242/data!$K242</f>
        <v>9.5238095238095247E-3</v>
      </c>
      <c r="J242">
        <f>+bma!L242/data!$K242</f>
        <v>0</v>
      </c>
      <c r="K242">
        <f>+bma!M242/data!$K242</f>
        <v>9.5238095238095247E-3</v>
      </c>
      <c r="L242">
        <f>+bma!J242/data!$K242</f>
        <v>0</v>
      </c>
      <c r="M242">
        <f>+bma!K242/data!$K242</f>
        <v>0</v>
      </c>
      <c r="N242">
        <f>+bma!N242/data!$K242</f>
        <v>0</v>
      </c>
      <c r="O242">
        <f>+bma!O242/data!$K242</f>
        <v>0</v>
      </c>
      <c r="P242">
        <f>+bma!P242/data!$K242</f>
        <v>9.5238095238095247E-3</v>
      </c>
      <c r="Q242">
        <f>+bma!Q242/data!$K242</f>
        <v>7.2441790476190482E-2</v>
      </c>
      <c r="R242">
        <f>+bma!R242/data!$K242</f>
        <v>3.8993761904761899E-2</v>
      </c>
      <c r="S242">
        <f>+bma!S242/data!$K242</f>
        <v>0</v>
      </c>
    </row>
    <row r="243" spans="1:19" x14ac:dyDescent="0.25">
      <c r="A243">
        <f>+bma!A243/data!$K243</f>
        <v>1.2155072237641759E-4</v>
      </c>
      <c r="B243">
        <f>+bma!B243/data!$K243</f>
        <v>4.454687332133052E-4</v>
      </c>
      <c r="C243">
        <f>+bma!C243/data!$K243</f>
        <v>9.5238095238095247E-3</v>
      </c>
      <c r="D243">
        <f>+bma!D243/data!$K243</f>
        <v>0</v>
      </c>
      <c r="E243">
        <f>+bma!E243/data!$K243</f>
        <v>0</v>
      </c>
      <c r="F243">
        <f>+bma!F243/data!$K243</f>
        <v>0</v>
      </c>
      <c r="G243">
        <f>+bma!G243/data!$K243</f>
        <v>9.5238095238095247E-3</v>
      </c>
      <c r="H243">
        <f>+bma!H243/data!$K243</f>
        <v>9.5238095238095247E-3</v>
      </c>
      <c r="I243">
        <f>+bma!I243/data!$K243</f>
        <v>9.5238095238095247E-3</v>
      </c>
      <c r="J243">
        <f>+bma!L243/data!$K243</f>
        <v>0</v>
      </c>
      <c r="K243">
        <f>+bma!M243/data!$K243</f>
        <v>9.5238095238095247E-3</v>
      </c>
      <c r="L243">
        <f>+bma!J243/data!$K243</f>
        <v>0</v>
      </c>
      <c r="M243">
        <f>+bma!K243/data!$K243</f>
        <v>0</v>
      </c>
      <c r="N243">
        <f>+bma!N243/data!$K243</f>
        <v>9.5238095238095247E-3</v>
      </c>
      <c r="O243">
        <f>+bma!O243/data!$K243</f>
        <v>0</v>
      </c>
      <c r="P243">
        <f>+bma!P243/data!$K243</f>
        <v>9.5238095238095247E-3</v>
      </c>
      <c r="Q243">
        <f>+bma!Q243/data!$K243</f>
        <v>7.2441790476190482E-2</v>
      </c>
      <c r="R243">
        <f>+bma!R243/data!$K243</f>
        <v>3.8993761904761899E-2</v>
      </c>
      <c r="S243">
        <f>+bma!S243/data!$K243</f>
        <v>0</v>
      </c>
    </row>
    <row r="244" spans="1:19" x14ac:dyDescent="0.25">
      <c r="A244">
        <f>+bma!A244/data!$K244</f>
        <v>5.47647867703381E-4</v>
      </c>
      <c r="B244">
        <f>+bma!B244/data!$K244</f>
        <v>4.4476785590114216E-4</v>
      </c>
      <c r="C244">
        <f>+bma!C244/data!$K244</f>
        <v>9.5238095238095247E-3</v>
      </c>
      <c r="D244">
        <f>+bma!D244/data!$K244</f>
        <v>0</v>
      </c>
      <c r="E244">
        <f>+bma!E244/data!$K244</f>
        <v>0</v>
      </c>
      <c r="F244">
        <f>+bma!F244/data!$K244</f>
        <v>0</v>
      </c>
      <c r="G244">
        <f>+bma!G244/data!$K244</f>
        <v>9.5238095238095247E-3</v>
      </c>
      <c r="H244">
        <f>+bma!H244/data!$K244</f>
        <v>9.5238095238095247E-3</v>
      </c>
      <c r="I244">
        <f>+bma!I244/data!$K244</f>
        <v>9.5238095238095247E-3</v>
      </c>
      <c r="J244">
        <f>+bma!L244/data!$K244</f>
        <v>0</v>
      </c>
      <c r="K244">
        <f>+bma!M244/data!$K244</f>
        <v>9.5238095238095247E-3</v>
      </c>
      <c r="L244">
        <f>+bma!J244/data!$K244</f>
        <v>0</v>
      </c>
      <c r="M244">
        <f>+bma!K244/data!$K244</f>
        <v>0</v>
      </c>
      <c r="N244">
        <f>+bma!N244/data!$K244</f>
        <v>0</v>
      </c>
      <c r="O244">
        <f>+bma!O244/data!$K244</f>
        <v>9.5238095238095247E-3</v>
      </c>
      <c r="P244">
        <f>+bma!P244/data!$K244</f>
        <v>9.5238095238095247E-3</v>
      </c>
      <c r="Q244">
        <f>+bma!Q244/data!$K244</f>
        <v>7.2441790476190482E-2</v>
      </c>
      <c r="R244">
        <f>+bma!R244/data!$K244</f>
        <v>3.8993761904761899E-2</v>
      </c>
      <c r="S244">
        <f>+bma!S244/data!$K244</f>
        <v>0</v>
      </c>
    </row>
    <row r="245" spans="1:19" x14ac:dyDescent="0.25">
      <c r="A245">
        <f>+bma!A245/data!$K245</f>
        <v>-0.34330285152586015</v>
      </c>
      <c r="B245">
        <f>+bma!B245/data!$K245</f>
        <v>8.5681306185646539E-2</v>
      </c>
      <c r="C245">
        <f>+bma!C245/data!$K245</f>
        <v>0</v>
      </c>
      <c r="D245">
        <f>+bma!D245/data!$K245</f>
        <v>0.5</v>
      </c>
      <c r="E245">
        <f>+bma!E245/data!$K245</f>
        <v>0</v>
      </c>
      <c r="F245">
        <f>+bma!F245/data!$K245</f>
        <v>0</v>
      </c>
      <c r="G245">
        <f>+bma!G245/data!$K245</f>
        <v>0.5</v>
      </c>
      <c r="H245">
        <f>+bma!H245/data!$K245</f>
        <v>0</v>
      </c>
      <c r="I245">
        <f>+bma!I245/data!$K245</f>
        <v>0.5</v>
      </c>
      <c r="J245">
        <f>+bma!L245/data!$K245</f>
        <v>0</v>
      </c>
      <c r="K245">
        <f>+bma!M245/data!$K245</f>
        <v>0</v>
      </c>
      <c r="L245">
        <f>+bma!J245/data!$K245</f>
        <v>0</v>
      </c>
      <c r="M245">
        <f>+bma!K245/data!$K245</f>
        <v>0</v>
      </c>
      <c r="N245">
        <f>+bma!N245/data!$K245</f>
        <v>0.5</v>
      </c>
      <c r="O245">
        <f>+bma!O245/data!$K245</f>
        <v>0</v>
      </c>
      <c r="P245">
        <f>+bma!P245/data!$K245</f>
        <v>0.5</v>
      </c>
      <c r="Q245">
        <f>+bma!Q245/data!$K245</f>
        <v>3.794162</v>
      </c>
      <c r="R245">
        <f>+bma!R245/data!$K245</f>
        <v>2.0302215000000001</v>
      </c>
      <c r="S245">
        <f>+bma!S245/data!$K245</f>
        <v>0.5</v>
      </c>
    </row>
    <row r="246" spans="1:19" x14ac:dyDescent="0.25">
      <c r="A246">
        <f>+bma!A246/data!$K246</f>
        <v>-0.14901964352749478</v>
      </c>
      <c r="B246">
        <f>+bma!B246/data!$K246</f>
        <v>0.11249522109428529</v>
      </c>
      <c r="C246">
        <f>+bma!C246/data!$K246</f>
        <v>0</v>
      </c>
      <c r="D246">
        <f>+bma!D246/data!$K246</f>
        <v>0.5</v>
      </c>
      <c r="E246">
        <f>+bma!E246/data!$K246</f>
        <v>0</v>
      </c>
      <c r="F246">
        <f>+bma!F246/data!$K246</f>
        <v>0</v>
      </c>
      <c r="G246">
        <f>+bma!G246/data!$K246</f>
        <v>0.5</v>
      </c>
      <c r="H246">
        <f>+bma!H246/data!$K246</f>
        <v>0</v>
      </c>
      <c r="I246">
        <f>+bma!I246/data!$K246</f>
        <v>0.5</v>
      </c>
      <c r="J246">
        <f>+bma!L246/data!$K246</f>
        <v>0</v>
      </c>
      <c r="K246">
        <f>+bma!M246/data!$K246</f>
        <v>0</v>
      </c>
      <c r="L246">
        <f>+bma!J246/data!$K246</f>
        <v>0</v>
      </c>
      <c r="M246">
        <f>+bma!K246/data!$K246</f>
        <v>0</v>
      </c>
      <c r="N246">
        <f>+bma!N246/data!$K246</f>
        <v>0</v>
      </c>
      <c r="O246">
        <f>+bma!O246/data!$K246</f>
        <v>0.5</v>
      </c>
      <c r="P246">
        <f>+bma!P246/data!$K246</f>
        <v>0.5</v>
      </c>
      <c r="Q246">
        <f>+bma!Q246/data!$K246</f>
        <v>3.794162</v>
      </c>
      <c r="R246">
        <f>+bma!R246/data!$K246</f>
        <v>2.0302215000000001</v>
      </c>
      <c r="S246">
        <f>+bma!S246/data!$K246</f>
        <v>0.5</v>
      </c>
    </row>
    <row r="247" spans="1:19" x14ac:dyDescent="0.25">
      <c r="A247">
        <f>+bma!A247/data!$K247</f>
        <v>0.20637673654795466</v>
      </c>
      <c r="B247">
        <f>+bma!B247/data!$K247</f>
        <v>5.133590500993928E-2</v>
      </c>
      <c r="C247">
        <f>+bma!C247/data!$K247</f>
        <v>0</v>
      </c>
      <c r="D247">
        <f>+bma!D247/data!$K247</f>
        <v>0</v>
      </c>
      <c r="E247">
        <f>+bma!E247/data!$K247</f>
        <v>0.33333333333333331</v>
      </c>
      <c r="F247">
        <f>+bma!F247/data!$K247</f>
        <v>0</v>
      </c>
      <c r="G247">
        <f>+bma!G247/data!$K247</f>
        <v>0.33333333333333331</v>
      </c>
      <c r="H247">
        <f>+bma!H247/data!$K247</f>
        <v>0.33333333333333331</v>
      </c>
      <c r="I247">
        <f>+bma!I247/data!$K247</f>
        <v>0</v>
      </c>
      <c r="J247">
        <f>+bma!L247/data!$K247</f>
        <v>0</v>
      </c>
      <c r="K247">
        <f>+bma!M247/data!$K247</f>
        <v>0</v>
      </c>
      <c r="L247">
        <f>+bma!J247/data!$K247</f>
        <v>0</v>
      </c>
      <c r="M247">
        <f>+bma!K247/data!$K247</f>
        <v>0</v>
      </c>
      <c r="N247">
        <f>+bma!N247/data!$K247</f>
        <v>0</v>
      </c>
      <c r="O247">
        <f>+bma!O247/data!$K247</f>
        <v>0.33333333333333331</v>
      </c>
      <c r="P247">
        <f>+bma!P247/data!$K247</f>
        <v>0.33333333333333331</v>
      </c>
      <c r="Q247">
        <f>+bma!Q247/data!$K247</f>
        <v>2.5319633333333331</v>
      </c>
      <c r="R247">
        <f>+bma!R247/data!$K247</f>
        <v>1.4648163333333333</v>
      </c>
      <c r="S247">
        <f>+bma!S247/data!$K247</f>
        <v>0.33333333333333331</v>
      </c>
    </row>
    <row r="248" spans="1:19" x14ac:dyDescent="0.25">
      <c r="A248">
        <f>+bma!A248/data!$K248</f>
        <v>0.14295883767202508</v>
      </c>
      <c r="B248">
        <f>+bma!B248/data!$K248</f>
        <v>5.9054694935671122E-2</v>
      </c>
      <c r="C248">
        <f>+bma!C248/data!$K248</f>
        <v>0</v>
      </c>
      <c r="D248">
        <f>+bma!D248/data!$K248</f>
        <v>0</v>
      </c>
      <c r="E248">
        <f>+bma!E248/data!$K248</f>
        <v>0.33333333333333331</v>
      </c>
      <c r="F248">
        <f>+bma!F248/data!$K248</f>
        <v>0</v>
      </c>
      <c r="G248">
        <f>+bma!G248/data!$K248</f>
        <v>0.33333333333333331</v>
      </c>
      <c r="H248">
        <f>+bma!H248/data!$K248</f>
        <v>0.33333333333333331</v>
      </c>
      <c r="I248">
        <f>+bma!I248/data!$K248</f>
        <v>0</v>
      </c>
      <c r="J248">
        <f>+bma!L248/data!$K248</f>
        <v>0</v>
      </c>
      <c r="K248">
        <f>+bma!M248/data!$K248</f>
        <v>0</v>
      </c>
      <c r="L248">
        <f>+bma!J248/data!$K248</f>
        <v>0</v>
      </c>
      <c r="M248">
        <f>+bma!K248/data!$K248</f>
        <v>0</v>
      </c>
      <c r="N248">
        <f>+bma!N248/data!$K248</f>
        <v>0</v>
      </c>
      <c r="O248">
        <f>+bma!O248/data!$K248</f>
        <v>0.33333333333333331</v>
      </c>
      <c r="P248">
        <f>+bma!P248/data!$K248</f>
        <v>0.33333333333333331</v>
      </c>
      <c r="Q248">
        <f>+bma!Q248/data!$K248</f>
        <v>2.5319633333333331</v>
      </c>
      <c r="R248">
        <f>+bma!R248/data!$K248</f>
        <v>1.4648163333333333</v>
      </c>
      <c r="S248">
        <f>+bma!S248/data!$K248</f>
        <v>0.33333333333333331</v>
      </c>
    </row>
    <row r="249" spans="1:19" x14ac:dyDescent="0.25">
      <c r="A249">
        <f>+bma!A249/data!$K249</f>
        <v>0.14924347368606647</v>
      </c>
      <c r="B249">
        <f>+bma!B249/data!$K249</f>
        <v>5.8453629443552396E-2</v>
      </c>
      <c r="C249">
        <f>+bma!C249/data!$K249</f>
        <v>0</v>
      </c>
      <c r="D249">
        <f>+bma!D249/data!$K249</f>
        <v>0</v>
      </c>
      <c r="E249">
        <f>+bma!E249/data!$K249</f>
        <v>0.33333333333333331</v>
      </c>
      <c r="F249">
        <f>+bma!F249/data!$K249</f>
        <v>0</v>
      </c>
      <c r="G249">
        <f>+bma!G249/data!$K249</f>
        <v>0.33333333333333331</v>
      </c>
      <c r="H249">
        <f>+bma!H249/data!$K249</f>
        <v>0.33333333333333331</v>
      </c>
      <c r="I249">
        <f>+bma!I249/data!$K249</f>
        <v>0</v>
      </c>
      <c r="J249">
        <f>+bma!L249/data!$K249</f>
        <v>0</v>
      </c>
      <c r="K249">
        <f>+bma!M249/data!$K249</f>
        <v>0</v>
      </c>
      <c r="L249">
        <f>+bma!J249/data!$K249</f>
        <v>0</v>
      </c>
      <c r="M249">
        <f>+bma!K249/data!$K249</f>
        <v>0</v>
      </c>
      <c r="N249">
        <f>+bma!N249/data!$K249</f>
        <v>0</v>
      </c>
      <c r="O249">
        <f>+bma!O249/data!$K249</f>
        <v>0.33333333333333331</v>
      </c>
      <c r="P249">
        <f>+bma!P249/data!$K249</f>
        <v>0.33333333333333331</v>
      </c>
      <c r="Q249">
        <f>+bma!Q249/data!$K249</f>
        <v>2.5319633333333331</v>
      </c>
      <c r="R249">
        <f>+bma!R249/data!$K249</f>
        <v>1.4648163333333333</v>
      </c>
      <c r="S249">
        <f>+bma!S249/data!$K249</f>
        <v>0.33333333333333331</v>
      </c>
    </row>
    <row r="250" spans="1:19" x14ac:dyDescent="0.25">
      <c r="A250">
        <f>+bma!A250/data!$K250</f>
        <v>-8.2961722414523348E-2</v>
      </c>
      <c r="B250">
        <f>+bma!B250/data!$K250</f>
        <v>5.0279831766377792E-2</v>
      </c>
      <c r="C250">
        <f>+bma!C250/data!$K250</f>
        <v>0</v>
      </c>
      <c r="D250">
        <f>+bma!D250/data!$K250</f>
        <v>0.25</v>
      </c>
      <c r="E250">
        <f>+bma!E250/data!$K250</f>
        <v>0</v>
      </c>
      <c r="F250">
        <f>+bma!F250/data!$K250</f>
        <v>0</v>
      </c>
      <c r="G250">
        <f>+bma!G250/data!$K250</f>
        <v>0</v>
      </c>
      <c r="H250">
        <f>+bma!H250/data!$K250</f>
        <v>0</v>
      </c>
      <c r="I250">
        <f>+bma!I250/data!$K250</f>
        <v>0.25</v>
      </c>
      <c r="J250">
        <f>+bma!L250/data!$K250</f>
        <v>0</v>
      </c>
      <c r="K250">
        <f>+bma!M250/data!$K250</f>
        <v>0</v>
      </c>
      <c r="L250">
        <f>+bma!J250/data!$K250</f>
        <v>0</v>
      </c>
      <c r="M250">
        <f>+bma!K250/data!$K250</f>
        <v>0</v>
      </c>
      <c r="N250">
        <f>+bma!N250/data!$K250</f>
        <v>0</v>
      </c>
      <c r="O250">
        <f>+bma!O250/data!$K250</f>
        <v>0.25</v>
      </c>
      <c r="P250">
        <f>+bma!P250/data!$K250</f>
        <v>0.25</v>
      </c>
      <c r="Q250">
        <f>+bma!Q250/data!$K250</f>
        <v>1.8968275000000001</v>
      </c>
      <c r="R250">
        <f>+bma!R250/data!$K250</f>
        <v>0.34657349999999998</v>
      </c>
      <c r="S250">
        <f>+bma!S250/data!$K250</f>
        <v>0.25</v>
      </c>
    </row>
    <row r="251" spans="1:19" x14ac:dyDescent="0.25">
      <c r="A251">
        <f>+bma!A251/data!$K251</f>
        <v>-0.15162634777439565</v>
      </c>
      <c r="B251">
        <f>+bma!B251/data!$K251</f>
        <v>5.9931362756678132E-2</v>
      </c>
      <c r="C251">
        <f>+bma!C251/data!$K251</f>
        <v>0</v>
      </c>
      <c r="D251">
        <f>+bma!D251/data!$K251</f>
        <v>0.25</v>
      </c>
      <c r="E251">
        <f>+bma!E251/data!$K251</f>
        <v>0</v>
      </c>
      <c r="F251">
        <f>+bma!F251/data!$K251</f>
        <v>0</v>
      </c>
      <c r="G251">
        <f>+bma!G251/data!$K251</f>
        <v>0</v>
      </c>
      <c r="H251">
        <f>+bma!H251/data!$K251</f>
        <v>0</v>
      </c>
      <c r="I251">
        <f>+bma!I251/data!$K251</f>
        <v>0.25</v>
      </c>
      <c r="J251">
        <f>+bma!L251/data!$K251</f>
        <v>0</v>
      </c>
      <c r="K251">
        <f>+bma!M251/data!$K251</f>
        <v>0</v>
      </c>
      <c r="L251">
        <f>+bma!J251/data!$K251</f>
        <v>0</v>
      </c>
      <c r="M251">
        <f>+bma!K251/data!$K251</f>
        <v>0</v>
      </c>
      <c r="N251">
        <f>+bma!N251/data!$K251</f>
        <v>0</v>
      </c>
      <c r="O251">
        <f>+bma!O251/data!$K251</f>
        <v>0.25</v>
      </c>
      <c r="P251">
        <f>+bma!P251/data!$K251</f>
        <v>0.25</v>
      </c>
      <c r="Q251">
        <f>+bma!Q251/data!$K251</f>
        <v>1.8968275000000001</v>
      </c>
      <c r="R251">
        <f>+bma!R251/data!$K251</f>
        <v>0.34657349999999998</v>
      </c>
      <c r="S251">
        <f>+bma!S251/data!$K251</f>
        <v>0.25</v>
      </c>
    </row>
    <row r="252" spans="1:19" x14ac:dyDescent="0.25">
      <c r="A252">
        <f>+bma!A252/data!$K252</f>
        <v>-3.3684498013700846E-2</v>
      </c>
      <c r="B252">
        <f>+bma!B252/data!$K252</f>
        <v>7.8336041892327554E-2</v>
      </c>
      <c r="C252">
        <f>+bma!C252/data!$K252</f>
        <v>0</v>
      </c>
      <c r="D252">
        <f>+bma!D252/data!$K252</f>
        <v>0.25</v>
      </c>
      <c r="E252">
        <f>+bma!E252/data!$K252</f>
        <v>0</v>
      </c>
      <c r="F252">
        <f>+bma!F252/data!$K252</f>
        <v>0</v>
      </c>
      <c r="G252">
        <f>+bma!G252/data!$K252</f>
        <v>0</v>
      </c>
      <c r="H252">
        <f>+bma!H252/data!$K252</f>
        <v>0</v>
      </c>
      <c r="I252">
        <f>+bma!I252/data!$K252</f>
        <v>0.25</v>
      </c>
      <c r="J252">
        <f>+bma!L252/data!$K252</f>
        <v>0</v>
      </c>
      <c r="K252">
        <f>+bma!M252/data!$K252</f>
        <v>0</v>
      </c>
      <c r="L252">
        <f>+bma!J252/data!$K252</f>
        <v>0</v>
      </c>
      <c r="M252">
        <f>+bma!K252/data!$K252</f>
        <v>0</v>
      </c>
      <c r="N252">
        <f>+bma!N252/data!$K252</f>
        <v>0</v>
      </c>
      <c r="O252">
        <f>+bma!O252/data!$K252</f>
        <v>0.25</v>
      </c>
      <c r="P252">
        <f>+bma!P252/data!$K252</f>
        <v>0.25</v>
      </c>
      <c r="Q252">
        <f>+bma!Q252/data!$K252</f>
        <v>1.8968275000000001</v>
      </c>
      <c r="R252">
        <f>+bma!R252/data!$K252</f>
        <v>0.34657349999999998</v>
      </c>
      <c r="S252">
        <f>+bma!S252/data!$K252</f>
        <v>0.25</v>
      </c>
    </row>
    <row r="253" spans="1:19" x14ac:dyDescent="0.25">
      <c r="A253">
        <f>+bma!A253/data!$K253</f>
        <v>-8.2591359866392225E-2</v>
      </c>
      <c r="B253">
        <f>+bma!B253/data!$K253</f>
        <v>8.3425616026658808E-2</v>
      </c>
      <c r="C253">
        <f>+bma!C253/data!$K253</f>
        <v>0</v>
      </c>
      <c r="D253">
        <f>+bma!D253/data!$K253</f>
        <v>0.25</v>
      </c>
      <c r="E253">
        <f>+bma!E253/data!$K253</f>
        <v>0</v>
      </c>
      <c r="F253">
        <f>+bma!F253/data!$K253</f>
        <v>0</v>
      </c>
      <c r="G253">
        <f>+bma!G253/data!$K253</f>
        <v>0</v>
      </c>
      <c r="H253">
        <f>+bma!H253/data!$K253</f>
        <v>0</v>
      </c>
      <c r="I253">
        <f>+bma!I253/data!$K253</f>
        <v>0.25</v>
      </c>
      <c r="J253">
        <f>+bma!L253/data!$K253</f>
        <v>0</v>
      </c>
      <c r="K253">
        <f>+bma!M253/data!$K253</f>
        <v>0</v>
      </c>
      <c r="L253">
        <f>+bma!J253/data!$K253</f>
        <v>0</v>
      </c>
      <c r="M253">
        <f>+bma!K253/data!$K253</f>
        <v>0</v>
      </c>
      <c r="N253">
        <f>+bma!N253/data!$K253</f>
        <v>0</v>
      </c>
      <c r="O253">
        <f>+bma!O253/data!$K253</f>
        <v>0.25</v>
      </c>
      <c r="P253">
        <f>+bma!P253/data!$K253</f>
        <v>0.25</v>
      </c>
      <c r="Q253">
        <f>+bma!Q253/data!$K253</f>
        <v>1.8968275000000001</v>
      </c>
      <c r="R253">
        <f>+bma!R253/data!$K253</f>
        <v>0.34657349999999998</v>
      </c>
      <c r="S253">
        <f>+bma!S253/data!$K253</f>
        <v>0.25</v>
      </c>
    </row>
    <row r="254" spans="1:19" x14ac:dyDescent="0.25">
      <c r="A254">
        <f>+bma!A254/data!$K254</f>
        <v>-0.12047502381905327</v>
      </c>
      <c r="B254">
        <f>+bma!B254/data!$K254</f>
        <v>6.480636031148608E-2</v>
      </c>
      <c r="C254">
        <f>+bma!C254/data!$K254</f>
        <v>0</v>
      </c>
      <c r="D254">
        <f>+bma!D254/data!$K254</f>
        <v>0.33333333333333331</v>
      </c>
      <c r="E254">
        <f>+bma!E254/data!$K254</f>
        <v>0</v>
      </c>
      <c r="F254">
        <f>+bma!F254/data!$K254</f>
        <v>0</v>
      </c>
      <c r="G254">
        <f>+bma!G254/data!$K254</f>
        <v>0.33333333333333331</v>
      </c>
      <c r="H254">
        <f>+bma!H254/data!$K254</f>
        <v>0.33333333333333331</v>
      </c>
      <c r="I254">
        <f>+bma!I254/data!$K254</f>
        <v>0.33333333333333331</v>
      </c>
      <c r="J254">
        <f>+bma!L254/data!$K254</f>
        <v>0</v>
      </c>
      <c r="K254">
        <f>+bma!M254/data!$K254</f>
        <v>0</v>
      </c>
      <c r="L254">
        <f>+bma!J254/data!$K254</f>
        <v>0</v>
      </c>
      <c r="M254">
        <f>+bma!K254/data!$K254</f>
        <v>0</v>
      </c>
      <c r="N254">
        <f>+bma!N254/data!$K254</f>
        <v>0.33333333333333331</v>
      </c>
      <c r="O254">
        <f>+bma!O254/data!$K254</f>
        <v>0</v>
      </c>
      <c r="P254">
        <f>+bma!P254/data!$K254</f>
        <v>0.33333333333333331</v>
      </c>
      <c r="Q254">
        <f>+bma!Q254/data!$K254</f>
        <v>2.5329666666666668</v>
      </c>
      <c r="R254">
        <f>+bma!R254/data!$K254</f>
        <v>1.110735</v>
      </c>
      <c r="S254">
        <f>+bma!S254/data!$K254</f>
        <v>0.33333333333333331</v>
      </c>
    </row>
    <row r="255" spans="1:19" x14ac:dyDescent="0.25">
      <c r="A255">
        <f>+bma!A255/data!$K255</f>
        <v>-0.13047618146717285</v>
      </c>
      <c r="B255">
        <f>+bma!B255/data!$K255</f>
        <v>6.3958912483907948E-2</v>
      </c>
      <c r="C255">
        <f>+bma!C255/data!$K255</f>
        <v>0</v>
      </c>
      <c r="D255">
        <f>+bma!D255/data!$K255</f>
        <v>0.33333333333333331</v>
      </c>
      <c r="E255">
        <f>+bma!E255/data!$K255</f>
        <v>0</v>
      </c>
      <c r="F255">
        <f>+bma!F255/data!$K255</f>
        <v>0.33333333333333331</v>
      </c>
      <c r="G255">
        <f>+bma!G255/data!$K255</f>
        <v>0</v>
      </c>
      <c r="H255">
        <f>+bma!H255/data!$K255</f>
        <v>0.33333333333333331</v>
      </c>
      <c r="I255">
        <f>+bma!I255/data!$K255</f>
        <v>0.33333333333333331</v>
      </c>
      <c r="J255">
        <f>+bma!L255/data!$K255</f>
        <v>0</v>
      </c>
      <c r="K255">
        <f>+bma!M255/data!$K255</f>
        <v>0</v>
      </c>
      <c r="L255">
        <f>+bma!J255/data!$K255</f>
        <v>0</v>
      </c>
      <c r="M255">
        <f>+bma!K255/data!$K255</f>
        <v>0</v>
      </c>
      <c r="N255">
        <f>+bma!N255/data!$K255</f>
        <v>0.33333333333333331</v>
      </c>
      <c r="O255">
        <f>+bma!O255/data!$K255</f>
        <v>0</v>
      </c>
      <c r="P255">
        <f>+bma!P255/data!$K255</f>
        <v>0.33333333333333331</v>
      </c>
      <c r="Q255">
        <f>+bma!Q255/data!$K255</f>
        <v>2.5329666666666668</v>
      </c>
      <c r="R255">
        <f>+bma!R255/data!$K255</f>
        <v>1.110735</v>
      </c>
      <c r="S255">
        <f>+bma!S255/data!$K255</f>
        <v>0.33333333333333331</v>
      </c>
    </row>
    <row r="256" spans="1:19" x14ac:dyDescent="0.25">
      <c r="A256">
        <f>+bma!A256/data!$K256</f>
        <v>-0.16329818077303329</v>
      </c>
      <c r="B256">
        <f>+bma!B256/data!$K256</f>
        <v>6.05930169844279E-2</v>
      </c>
      <c r="C256">
        <f>+bma!C256/data!$K256</f>
        <v>0</v>
      </c>
      <c r="D256">
        <f>+bma!D256/data!$K256</f>
        <v>0.33333333333333331</v>
      </c>
      <c r="E256">
        <f>+bma!E256/data!$K256</f>
        <v>0</v>
      </c>
      <c r="F256">
        <f>+bma!F256/data!$K256</f>
        <v>0</v>
      </c>
      <c r="G256">
        <f>+bma!G256/data!$K256</f>
        <v>0</v>
      </c>
      <c r="H256">
        <f>+bma!H256/data!$K256</f>
        <v>0.33333333333333331</v>
      </c>
      <c r="I256">
        <f>+bma!I256/data!$K256</f>
        <v>0.33333333333333331</v>
      </c>
      <c r="J256">
        <f>+bma!L256/data!$K256</f>
        <v>0</v>
      </c>
      <c r="K256">
        <f>+bma!M256/data!$K256</f>
        <v>0</v>
      </c>
      <c r="L256">
        <f>+bma!J256/data!$K256</f>
        <v>0</v>
      </c>
      <c r="M256">
        <f>+bma!K256/data!$K256</f>
        <v>0</v>
      </c>
      <c r="N256">
        <f>+bma!N256/data!$K256</f>
        <v>0.33333333333333331</v>
      </c>
      <c r="O256">
        <f>+bma!O256/data!$K256</f>
        <v>0</v>
      </c>
      <c r="P256">
        <f>+bma!P256/data!$K256</f>
        <v>0.33333333333333331</v>
      </c>
      <c r="Q256">
        <f>+bma!Q256/data!$K256</f>
        <v>2.5329666666666668</v>
      </c>
      <c r="R256">
        <f>+bma!R256/data!$K256</f>
        <v>1.110735</v>
      </c>
      <c r="S256">
        <f>+bma!S256/data!$K256</f>
        <v>0.33333333333333331</v>
      </c>
    </row>
    <row r="257" spans="1:19" x14ac:dyDescent="0.25">
      <c r="A257">
        <f>+bma!A257/data!$K257</f>
        <v>-3.665779655305474E-3</v>
      </c>
      <c r="B257">
        <f>+bma!B257/data!$K257</f>
        <v>3.3325269593686126E-2</v>
      </c>
      <c r="C257">
        <f>+bma!C257/data!$K257</f>
        <v>0.16666666666666666</v>
      </c>
      <c r="D257">
        <f>+bma!D257/data!$K257</f>
        <v>0</v>
      </c>
      <c r="E257">
        <f>+bma!E257/data!$K257</f>
        <v>0</v>
      </c>
      <c r="F257">
        <f>+bma!F257/data!$K257</f>
        <v>0</v>
      </c>
      <c r="G257">
        <f>+bma!G257/data!$K257</f>
        <v>0.16666666666666666</v>
      </c>
      <c r="H257">
        <f>+bma!H257/data!$K257</f>
        <v>0</v>
      </c>
      <c r="I257">
        <f>+bma!I257/data!$K257</f>
        <v>0.16666666666666666</v>
      </c>
      <c r="J257">
        <f>+bma!L257/data!$K257</f>
        <v>0</v>
      </c>
      <c r="K257">
        <f>+bma!M257/data!$K257</f>
        <v>0</v>
      </c>
      <c r="L257">
        <f>+bma!J257/data!$K257</f>
        <v>0.16666666666666666</v>
      </c>
      <c r="M257">
        <f>+bma!K257/data!$K257</f>
        <v>0</v>
      </c>
      <c r="N257">
        <f>+bma!N257/data!$K257</f>
        <v>0</v>
      </c>
      <c r="O257">
        <f>+bma!O257/data!$K257</f>
        <v>0</v>
      </c>
      <c r="P257">
        <f>+bma!P257/data!$K257</f>
        <v>0</v>
      </c>
      <c r="Q257">
        <f>+bma!Q257/data!$K257</f>
        <v>1.2656463333333334</v>
      </c>
      <c r="R257">
        <f>+bma!R257/data!$K257</f>
        <v>0.53647933333333331</v>
      </c>
      <c r="S257">
        <f>+bma!S257/data!$K257</f>
        <v>0.16666666666666666</v>
      </c>
    </row>
    <row r="258" spans="1:19" x14ac:dyDescent="0.25">
      <c r="A258">
        <f>+bma!A258/data!$K258</f>
        <v>-5.330604762030699E-3</v>
      </c>
      <c r="B258">
        <f>+bma!B258/data!$K258</f>
        <v>3.3316279762691872E-2</v>
      </c>
      <c r="C258">
        <f>+bma!C258/data!$K258</f>
        <v>0.16666666666666666</v>
      </c>
      <c r="D258">
        <f>+bma!D258/data!$K258</f>
        <v>0</v>
      </c>
      <c r="E258">
        <f>+bma!E258/data!$K258</f>
        <v>0</v>
      </c>
      <c r="F258">
        <f>+bma!F258/data!$K258</f>
        <v>0.16666666666666666</v>
      </c>
      <c r="G258">
        <f>+bma!G258/data!$K258</f>
        <v>0</v>
      </c>
      <c r="H258">
        <f>+bma!H258/data!$K258</f>
        <v>0</v>
      </c>
      <c r="I258">
        <f>+bma!I258/data!$K258</f>
        <v>0.16666666666666666</v>
      </c>
      <c r="J258">
        <f>+bma!L258/data!$K258</f>
        <v>0</v>
      </c>
      <c r="K258">
        <f>+bma!M258/data!$K258</f>
        <v>0</v>
      </c>
      <c r="L258">
        <f>+bma!J258/data!$K258</f>
        <v>0.16666666666666666</v>
      </c>
      <c r="M258">
        <f>+bma!K258/data!$K258</f>
        <v>0</v>
      </c>
      <c r="N258">
        <f>+bma!N258/data!$K258</f>
        <v>0</v>
      </c>
      <c r="O258">
        <f>+bma!O258/data!$K258</f>
        <v>0</v>
      </c>
      <c r="P258">
        <f>+bma!P258/data!$K258</f>
        <v>0</v>
      </c>
      <c r="Q258">
        <f>+bma!Q258/data!$K258</f>
        <v>1.2656463333333334</v>
      </c>
      <c r="R258">
        <f>+bma!R258/data!$K258</f>
        <v>0.53647933333333331</v>
      </c>
      <c r="S258">
        <f>+bma!S258/data!$K258</f>
        <v>0.16666666666666666</v>
      </c>
    </row>
    <row r="259" spans="1:19" x14ac:dyDescent="0.25">
      <c r="A259">
        <f>+bma!A259/data!$K259</f>
        <v>-8.3229361573153721E-3</v>
      </c>
      <c r="B259">
        <f>+bma!B259/data!$K259</f>
        <v>3.3291744629261488E-2</v>
      </c>
      <c r="C259">
        <f>+bma!C259/data!$K259</f>
        <v>0.16666666666666666</v>
      </c>
      <c r="D259">
        <f>+bma!D259/data!$K259</f>
        <v>0</v>
      </c>
      <c r="E259">
        <f>+bma!E259/data!$K259</f>
        <v>0</v>
      </c>
      <c r="F259">
        <f>+bma!F259/data!$K259</f>
        <v>0</v>
      </c>
      <c r="G259">
        <f>+bma!G259/data!$K259</f>
        <v>0</v>
      </c>
      <c r="H259">
        <f>+bma!H259/data!$K259</f>
        <v>0</v>
      </c>
      <c r="I259">
        <f>+bma!I259/data!$K259</f>
        <v>0.16666666666666666</v>
      </c>
      <c r="J259">
        <f>+bma!L259/data!$K259</f>
        <v>0</v>
      </c>
      <c r="K259">
        <f>+bma!M259/data!$K259</f>
        <v>0</v>
      </c>
      <c r="L259">
        <f>+bma!J259/data!$K259</f>
        <v>0.16666666666666666</v>
      </c>
      <c r="M259">
        <f>+bma!K259/data!$K259</f>
        <v>0</v>
      </c>
      <c r="N259">
        <f>+bma!N259/data!$K259</f>
        <v>0</v>
      </c>
      <c r="O259">
        <f>+bma!O259/data!$K259</f>
        <v>0</v>
      </c>
      <c r="P259">
        <f>+bma!P259/data!$K259</f>
        <v>0</v>
      </c>
      <c r="Q259">
        <f>+bma!Q259/data!$K259</f>
        <v>1.2656463333333334</v>
      </c>
      <c r="R259">
        <f>+bma!R259/data!$K259</f>
        <v>0.53647933333333331</v>
      </c>
      <c r="S259">
        <f>+bma!S259/data!$K259</f>
        <v>0.16666666666666666</v>
      </c>
    </row>
    <row r="260" spans="1:19" x14ac:dyDescent="0.25">
      <c r="A260">
        <f>+bma!A260/data!$K260</f>
        <v>1.999856015550134E-3</v>
      </c>
      <c r="B260">
        <f>+bma!B260/data!$K260</f>
        <v>3.3330933592502235E-2</v>
      </c>
      <c r="C260">
        <f>+bma!C260/data!$K260</f>
        <v>0.16666666666666666</v>
      </c>
      <c r="D260">
        <f>+bma!D260/data!$K260</f>
        <v>0</v>
      </c>
      <c r="E260">
        <f>+bma!E260/data!$K260</f>
        <v>0</v>
      </c>
      <c r="F260">
        <f>+bma!F260/data!$K260</f>
        <v>0</v>
      </c>
      <c r="G260">
        <f>+bma!G260/data!$K260</f>
        <v>0.16666666666666666</v>
      </c>
      <c r="H260">
        <f>+bma!H260/data!$K260</f>
        <v>0</v>
      </c>
      <c r="I260">
        <f>+bma!I260/data!$K260</f>
        <v>0.16666666666666666</v>
      </c>
      <c r="J260">
        <f>+bma!L260/data!$K260</f>
        <v>0</v>
      </c>
      <c r="K260">
        <f>+bma!M260/data!$K260</f>
        <v>0</v>
      </c>
      <c r="L260">
        <f>+bma!J260/data!$K260</f>
        <v>0</v>
      </c>
      <c r="M260">
        <f>+bma!K260/data!$K260</f>
        <v>0.16666666666666666</v>
      </c>
      <c r="N260">
        <f>+bma!N260/data!$K260</f>
        <v>0</v>
      </c>
      <c r="O260">
        <f>+bma!O260/data!$K260</f>
        <v>0</v>
      </c>
      <c r="P260">
        <f>+bma!P260/data!$K260</f>
        <v>0</v>
      </c>
      <c r="Q260">
        <f>+bma!Q260/data!$K260</f>
        <v>1.2656463333333334</v>
      </c>
      <c r="R260">
        <f>+bma!R260/data!$K260</f>
        <v>0.53647933333333331</v>
      </c>
      <c r="S260">
        <f>+bma!S260/data!$K260</f>
        <v>0.16666666666666666</v>
      </c>
    </row>
    <row r="261" spans="1:19" x14ac:dyDescent="0.25">
      <c r="A261">
        <f>+bma!A261/data!$K261</f>
        <v>8.3229361573153721E-3</v>
      </c>
      <c r="B261">
        <f>+bma!B261/data!$K261</f>
        <v>3.3291744629261488E-2</v>
      </c>
      <c r="C261">
        <f>+bma!C261/data!$K261</f>
        <v>0.16666666666666666</v>
      </c>
      <c r="D261">
        <f>+bma!D261/data!$K261</f>
        <v>0</v>
      </c>
      <c r="E261">
        <f>+bma!E261/data!$K261</f>
        <v>0</v>
      </c>
      <c r="F261">
        <f>+bma!F261/data!$K261</f>
        <v>0.16666666666666666</v>
      </c>
      <c r="G261">
        <f>+bma!G261/data!$K261</f>
        <v>0</v>
      </c>
      <c r="H261">
        <f>+bma!H261/data!$K261</f>
        <v>0</v>
      </c>
      <c r="I261">
        <f>+bma!I261/data!$K261</f>
        <v>0.16666666666666666</v>
      </c>
      <c r="J261">
        <f>+bma!L261/data!$K261</f>
        <v>0</v>
      </c>
      <c r="K261">
        <f>+bma!M261/data!$K261</f>
        <v>0</v>
      </c>
      <c r="L261">
        <f>+bma!J261/data!$K261</f>
        <v>0</v>
      </c>
      <c r="M261">
        <f>+bma!K261/data!$K261</f>
        <v>0.16666666666666666</v>
      </c>
      <c r="N261">
        <f>+bma!N261/data!$K261</f>
        <v>0</v>
      </c>
      <c r="O261">
        <f>+bma!O261/data!$K261</f>
        <v>0</v>
      </c>
      <c r="P261">
        <f>+bma!P261/data!$K261</f>
        <v>0</v>
      </c>
      <c r="Q261">
        <f>+bma!Q261/data!$K261</f>
        <v>1.2656463333333334</v>
      </c>
      <c r="R261">
        <f>+bma!R261/data!$K261</f>
        <v>0.53647933333333331</v>
      </c>
      <c r="S261">
        <f>+bma!S261/data!$K261</f>
        <v>0.16666666666666666</v>
      </c>
    </row>
    <row r="262" spans="1:19" x14ac:dyDescent="0.25">
      <c r="A262">
        <f>+bma!A262/data!$K262</f>
        <v>-5.9961157750591564E-3</v>
      </c>
      <c r="B262">
        <f>+bma!B262/data!$K262</f>
        <v>3.3311754305884206E-2</v>
      </c>
      <c r="C262">
        <f>+bma!C262/data!$K262</f>
        <v>0.16666666666666666</v>
      </c>
      <c r="D262">
        <f>+bma!D262/data!$K262</f>
        <v>0</v>
      </c>
      <c r="E262">
        <f>+bma!E262/data!$K262</f>
        <v>0</v>
      </c>
      <c r="F262">
        <f>+bma!F262/data!$K262</f>
        <v>0</v>
      </c>
      <c r="G262">
        <f>+bma!G262/data!$K262</f>
        <v>0</v>
      </c>
      <c r="H262">
        <f>+bma!H262/data!$K262</f>
        <v>0</v>
      </c>
      <c r="I262">
        <f>+bma!I262/data!$K262</f>
        <v>0.16666666666666666</v>
      </c>
      <c r="J262">
        <f>+bma!L262/data!$K262</f>
        <v>0</v>
      </c>
      <c r="K262">
        <f>+bma!M262/data!$K262</f>
        <v>0</v>
      </c>
      <c r="L262">
        <f>+bma!J262/data!$K262</f>
        <v>0</v>
      </c>
      <c r="M262">
        <f>+bma!K262/data!$K262</f>
        <v>0.16666666666666666</v>
      </c>
      <c r="N262">
        <f>+bma!N262/data!$K262</f>
        <v>0</v>
      </c>
      <c r="O262">
        <f>+bma!O262/data!$K262</f>
        <v>0</v>
      </c>
      <c r="P262">
        <f>+bma!P262/data!$K262</f>
        <v>0</v>
      </c>
      <c r="Q262">
        <f>+bma!Q262/data!$K262</f>
        <v>1.2656463333333334</v>
      </c>
      <c r="R262">
        <f>+bma!R262/data!$K262</f>
        <v>0.53647933333333331</v>
      </c>
      <c r="S262">
        <f>+bma!S262/data!$K262</f>
        <v>0.16666666666666666</v>
      </c>
    </row>
    <row r="263" spans="1:19" x14ac:dyDescent="0.25">
      <c r="A263">
        <f>+bma!A263/data!$K263</f>
        <v>-2.3561677528770421E-3</v>
      </c>
      <c r="B263">
        <f>+bma!B263/data!$K263</f>
        <v>1.0052982412275379E-3</v>
      </c>
      <c r="C263">
        <f>+bma!C263/data!$K263</f>
        <v>2.7777777777777776E-2</v>
      </c>
      <c r="D263">
        <f>+bma!D263/data!$K263</f>
        <v>0</v>
      </c>
      <c r="E263">
        <f>+bma!E263/data!$K263</f>
        <v>0</v>
      </c>
      <c r="F263">
        <f>+bma!F263/data!$K263</f>
        <v>0</v>
      </c>
      <c r="G263">
        <f>+bma!G263/data!$K263</f>
        <v>0</v>
      </c>
      <c r="H263">
        <f>+bma!H263/data!$K263</f>
        <v>0</v>
      </c>
      <c r="I263">
        <f>+bma!I263/data!$K263</f>
        <v>0</v>
      </c>
      <c r="J263">
        <f>+bma!L263/data!$K263</f>
        <v>0</v>
      </c>
      <c r="K263">
        <f>+bma!M263/data!$K263</f>
        <v>2.7777777777777776E-2</v>
      </c>
      <c r="L263">
        <f>+bma!J263/data!$K263</f>
        <v>0</v>
      </c>
      <c r="M263">
        <f>+bma!K263/data!$K263</f>
        <v>0</v>
      </c>
      <c r="N263">
        <f>+bma!N263/data!$K263</f>
        <v>2.7777777777777776E-2</v>
      </c>
      <c r="O263">
        <f>+bma!O263/data!$K263</f>
        <v>0</v>
      </c>
      <c r="P263">
        <f>+bma!P263/data!$K263</f>
        <v>2.7777777777777776E-2</v>
      </c>
      <c r="Q263">
        <f>+bma!Q263/data!$K263</f>
        <v>0.21123322222222224</v>
      </c>
      <c r="R263">
        <f>+bma!R263/data!$K263</f>
        <v>0.13031522222222222</v>
      </c>
      <c r="S263">
        <f>+bma!S263/data!$K263</f>
        <v>2.7777777777777776E-2</v>
      </c>
    </row>
    <row r="264" spans="1:19" x14ac:dyDescent="0.25">
      <c r="A264">
        <f>+bma!A264/data!$K264</f>
        <v>-2.8312427465740004E-3</v>
      </c>
      <c r="B264">
        <f>+bma!B264/data!$K264</f>
        <v>9.8004556612176939E-4</v>
      </c>
      <c r="C264">
        <f>+bma!C264/data!$K264</f>
        <v>2.7777777777777776E-2</v>
      </c>
      <c r="D264">
        <f>+bma!D264/data!$K264</f>
        <v>0</v>
      </c>
      <c r="E264">
        <f>+bma!E264/data!$K264</f>
        <v>0</v>
      </c>
      <c r="F264">
        <f>+bma!F264/data!$K264</f>
        <v>0</v>
      </c>
      <c r="G264">
        <f>+bma!G264/data!$K264</f>
        <v>0</v>
      </c>
      <c r="H264">
        <f>+bma!H264/data!$K264</f>
        <v>0</v>
      </c>
      <c r="I264">
        <f>+bma!I264/data!$K264</f>
        <v>0</v>
      </c>
      <c r="J264">
        <f>+bma!L264/data!$K264</f>
        <v>0</v>
      </c>
      <c r="K264">
        <f>+bma!M264/data!$K264</f>
        <v>2.7777777777777776E-2</v>
      </c>
      <c r="L264">
        <f>+bma!J264/data!$K264</f>
        <v>0</v>
      </c>
      <c r="M264">
        <f>+bma!K264/data!$K264</f>
        <v>0</v>
      </c>
      <c r="N264">
        <f>+bma!N264/data!$K264</f>
        <v>0</v>
      </c>
      <c r="O264">
        <f>+bma!O264/data!$K264</f>
        <v>0</v>
      </c>
      <c r="P264">
        <f>+bma!P264/data!$K264</f>
        <v>2.7777777777777776E-2</v>
      </c>
      <c r="Q264">
        <f>+bma!Q264/data!$K264</f>
        <v>0.21123322222222224</v>
      </c>
      <c r="R264">
        <f>+bma!R264/data!$K264</f>
        <v>0.13031522222222222</v>
      </c>
      <c r="S264">
        <f>+bma!S264/data!$K264</f>
        <v>2.7777777777777776E-2</v>
      </c>
    </row>
    <row r="265" spans="1:19" x14ac:dyDescent="0.25">
      <c r="A265">
        <f>+bma!A265/data!$K265</f>
        <v>-3.6095673485350838E-3</v>
      </c>
      <c r="B265">
        <f>+bma!B265/data!$K265</f>
        <v>8.0212607745224081E-4</v>
      </c>
      <c r="C265">
        <f>+bma!C265/data!$K265</f>
        <v>2.7777777777777776E-2</v>
      </c>
      <c r="D265">
        <f>+bma!D265/data!$K265</f>
        <v>0</v>
      </c>
      <c r="E265">
        <f>+bma!E265/data!$K265</f>
        <v>0</v>
      </c>
      <c r="F265">
        <f>+bma!F265/data!$K265</f>
        <v>0</v>
      </c>
      <c r="G265">
        <f>+bma!G265/data!$K265</f>
        <v>0</v>
      </c>
      <c r="H265">
        <f>+bma!H265/data!$K265</f>
        <v>0</v>
      </c>
      <c r="I265">
        <f>+bma!I265/data!$K265</f>
        <v>0</v>
      </c>
      <c r="J265">
        <f>+bma!L265/data!$K265</f>
        <v>0</v>
      </c>
      <c r="K265">
        <f>+bma!M265/data!$K265</f>
        <v>2.7777777777777776E-2</v>
      </c>
      <c r="L265">
        <f>+bma!J265/data!$K265</f>
        <v>0</v>
      </c>
      <c r="M265">
        <f>+bma!K265/data!$K265</f>
        <v>0</v>
      </c>
      <c r="N265">
        <f>+bma!N265/data!$K265</f>
        <v>0</v>
      </c>
      <c r="O265">
        <f>+bma!O265/data!$K265</f>
        <v>0</v>
      </c>
      <c r="P265">
        <f>+bma!P265/data!$K265</f>
        <v>2.7777777777777776E-2</v>
      </c>
      <c r="Q265">
        <f>+bma!Q265/data!$K265</f>
        <v>0.21123322222222224</v>
      </c>
      <c r="R265">
        <f>+bma!R265/data!$K265</f>
        <v>0.13031522222222222</v>
      </c>
      <c r="S265">
        <f>+bma!S265/data!$K265</f>
        <v>2.7777777777777776E-2</v>
      </c>
    </row>
    <row r="266" spans="1:19" x14ac:dyDescent="0.25">
      <c r="A266">
        <f>+bma!A266/data!$K266</f>
        <v>-4.3849088166929675E-3</v>
      </c>
      <c r="B266">
        <f>+bma!B266/data!$K266</f>
        <v>2.8597231413215003E-3</v>
      </c>
      <c r="C266">
        <f>+bma!C266/data!$K266</f>
        <v>2.7777777777777776E-2</v>
      </c>
      <c r="D266">
        <f>+bma!D266/data!$K266</f>
        <v>0</v>
      </c>
      <c r="E266">
        <f>+bma!E266/data!$K266</f>
        <v>0</v>
      </c>
      <c r="F266">
        <f>+bma!F266/data!$K266</f>
        <v>0</v>
      </c>
      <c r="G266">
        <f>+bma!G266/data!$K266</f>
        <v>0</v>
      </c>
      <c r="H266">
        <f>+bma!H266/data!$K266</f>
        <v>0</v>
      </c>
      <c r="I266">
        <f>+bma!I266/data!$K266</f>
        <v>0</v>
      </c>
      <c r="J266">
        <f>+bma!L266/data!$K266</f>
        <v>0</v>
      </c>
      <c r="K266">
        <f>+bma!M266/data!$K266</f>
        <v>2.7777777777777776E-2</v>
      </c>
      <c r="L266">
        <f>+bma!J266/data!$K266</f>
        <v>0</v>
      </c>
      <c r="M266">
        <f>+bma!K266/data!$K266</f>
        <v>0</v>
      </c>
      <c r="N266">
        <f>+bma!N266/data!$K266</f>
        <v>2.7777777777777776E-2</v>
      </c>
      <c r="O266">
        <f>+bma!O266/data!$K266</f>
        <v>0</v>
      </c>
      <c r="P266">
        <f>+bma!P266/data!$K266</f>
        <v>2.7777777777777776E-2</v>
      </c>
      <c r="Q266">
        <f>+bma!Q266/data!$K266</f>
        <v>0.21123322222222224</v>
      </c>
      <c r="R266">
        <f>+bma!R266/data!$K266</f>
        <v>0.13031522222222222</v>
      </c>
      <c r="S266">
        <f>+bma!S266/data!$K266</f>
        <v>2.7777777777777776E-2</v>
      </c>
    </row>
    <row r="267" spans="1:19" x14ac:dyDescent="0.25">
      <c r="A267">
        <f>+bma!A267/data!$K267</f>
        <v>-9.3878662419357578E-3</v>
      </c>
      <c r="B267">
        <f>+bma!B267/data!$K267</f>
        <v>2.6822474976959305E-3</v>
      </c>
      <c r="C267">
        <f>+bma!C267/data!$K267</f>
        <v>2.7777777777777776E-2</v>
      </c>
      <c r="D267">
        <f>+bma!D267/data!$K267</f>
        <v>0</v>
      </c>
      <c r="E267">
        <f>+bma!E267/data!$K267</f>
        <v>0</v>
      </c>
      <c r="F267">
        <f>+bma!F267/data!$K267</f>
        <v>0</v>
      </c>
      <c r="G267">
        <f>+bma!G267/data!$K267</f>
        <v>0</v>
      </c>
      <c r="H267">
        <f>+bma!H267/data!$K267</f>
        <v>0</v>
      </c>
      <c r="I267">
        <f>+bma!I267/data!$K267</f>
        <v>0</v>
      </c>
      <c r="J267">
        <f>+bma!L267/data!$K267</f>
        <v>0</v>
      </c>
      <c r="K267">
        <f>+bma!M267/data!$K267</f>
        <v>2.7777777777777776E-2</v>
      </c>
      <c r="L267">
        <f>+bma!J267/data!$K267</f>
        <v>0</v>
      </c>
      <c r="M267">
        <f>+bma!K267/data!$K267</f>
        <v>0</v>
      </c>
      <c r="N267">
        <f>+bma!N267/data!$K267</f>
        <v>0</v>
      </c>
      <c r="O267">
        <f>+bma!O267/data!$K267</f>
        <v>0</v>
      </c>
      <c r="P267">
        <f>+bma!P267/data!$K267</f>
        <v>2.7777777777777776E-2</v>
      </c>
      <c r="Q267">
        <f>+bma!Q267/data!$K267</f>
        <v>0.21123322222222224</v>
      </c>
      <c r="R267">
        <f>+bma!R267/data!$K267</f>
        <v>0.13031522222222222</v>
      </c>
      <c r="S267">
        <f>+bma!S267/data!$K267</f>
        <v>2.7777777777777776E-2</v>
      </c>
    </row>
    <row r="268" spans="1:19" x14ac:dyDescent="0.25">
      <c r="A268">
        <f>+bma!A268/data!$K268</f>
        <v>-6.9127995471772383E-3</v>
      </c>
      <c r="B268">
        <f>+bma!B268/data!$K268</f>
        <v>2.2419890423277535E-3</v>
      </c>
      <c r="C268">
        <f>+bma!C268/data!$K268</f>
        <v>2.7777777777777776E-2</v>
      </c>
      <c r="D268">
        <f>+bma!D268/data!$K268</f>
        <v>0</v>
      </c>
      <c r="E268">
        <f>+bma!E268/data!$K268</f>
        <v>0</v>
      </c>
      <c r="F268">
        <f>+bma!F268/data!$K268</f>
        <v>0</v>
      </c>
      <c r="G268">
        <f>+bma!G268/data!$K268</f>
        <v>0</v>
      </c>
      <c r="H268">
        <f>+bma!H268/data!$K268</f>
        <v>0</v>
      </c>
      <c r="I268">
        <f>+bma!I268/data!$K268</f>
        <v>0</v>
      </c>
      <c r="J268">
        <f>+bma!L268/data!$K268</f>
        <v>0</v>
      </c>
      <c r="K268">
        <f>+bma!M268/data!$K268</f>
        <v>2.7777777777777776E-2</v>
      </c>
      <c r="L268">
        <f>+bma!J268/data!$K268</f>
        <v>0</v>
      </c>
      <c r="M268">
        <f>+bma!K268/data!$K268</f>
        <v>0</v>
      </c>
      <c r="N268">
        <f>+bma!N268/data!$K268</f>
        <v>0</v>
      </c>
      <c r="O268">
        <f>+bma!O268/data!$K268</f>
        <v>0</v>
      </c>
      <c r="P268">
        <f>+bma!P268/data!$K268</f>
        <v>2.7777777777777776E-2</v>
      </c>
      <c r="Q268">
        <f>+bma!Q268/data!$K268</f>
        <v>0.21123322222222224</v>
      </c>
      <c r="R268">
        <f>+bma!R268/data!$K268</f>
        <v>0.13031522222222222</v>
      </c>
      <c r="S268">
        <f>+bma!S268/data!$K268</f>
        <v>2.7777777777777776E-2</v>
      </c>
    </row>
    <row r="269" spans="1:19" x14ac:dyDescent="0.25">
      <c r="A269">
        <f>+bma!A269/data!$K269</f>
        <v>-3.2602014365563938E-3</v>
      </c>
      <c r="B269">
        <f>+bma!B269/data!$K269</f>
        <v>1.0981731154716273E-3</v>
      </c>
      <c r="C269">
        <f>+bma!C269/data!$K269</f>
        <v>2.7777777777777776E-2</v>
      </c>
      <c r="D269">
        <f>+bma!D269/data!$K269</f>
        <v>0</v>
      </c>
      <c r="E269">
        <f>+bma!E269/data!$K269</f>
        <v>0</v>
      </c>
      <c r="F269">
        <f>+bma!F269/data!$K269</f>
        <v>0</v>
      </c>
      <c r="G269">
        <f>+bma!G269/data!$K269</f>
        <v>0</v>
      </c>
      <c r="H269">
        <f>+bma!H269/data!$K269</f>
        <v>0</v>
      </c>
      <c r="I269">
        <f>+bma!I269/data!$K269</f>
        <v>0</v>
      </c>
      <c r="J269">
        <f>+bma!L269/data!$K269</f>
        <v>0</v>
      </c>
      <c r="K269">
        <f>+bma!M269/data!$K269</f>
        <v>2.7777777777777776E-2</v>
      </c>
      <c r="L269">
        <f>+bma!J269/data!$K269</f>
        <v>0</v>
      </c>
      <c r="M269">
        <f>+bma!K269/data!$K269</f>
        <v>0</v>
      </c>
      <c r="N269">
        <f>+bma!N269/data!$K269</f>
        <v>2.7777777777777776E-2</v>
      </c>
      <c r="O269">
        <f>+bma!O269/data!$K269</f>
        <v>0</v>
      </c>
      <c r="P269">
        <f>+bma!P269/data!$K269</f>
        <v>2.7777777777777776E-2</v>
      </c>
      <c r="Q269">
        <f>+bma!Q269/data!$K269</f>
        <v>0.21123322222222224</v>
      </c>
      <c r="R269">
        <f>+bma!R269/data!$K269</f>
        <v>0.13031522222222222</v>
      </c>
      <c r="S269">
        <f>+bma!S269/data!$K269</f>
        <v>2.7777777777777776E-2</v>
      </c>
    </row>
    <row r="270" spans="1:19" x14ac:dyDescent="0.25">
      <c r="A270">
        <f>+bma!A270/data!$K270</f>
        <v>-3.3427410305569773E-3</v>
      </c>
      <c r="B270">
        <f>+bma!B270/data!$K270</f>
        <v>1.0783035582441862E-3</v>
      </c>
      <c r="C270">
        <f>+bma!C270/data!$K270</f>
        <v>2.7777777777777776E-2</v>
      </c>
      <c r="D270">
        <f>+bma!D270/data!$K270</f>
        <v>0</v>
      </c>
      <c r="E270">
        <f>+bma!E270/data!$K270</f>
        <v>0</v>
      </c>
      <c r="F270">
        <f>+bma!F270/data!$K270</f>
        <v>0</v>
      </c>
      <c r="G270">
        <f>+bma!G270/data!$K270</f>
        <v>0</v>
      </c>
      <c r="H270">
        <f>+bma!H270/data!$K270</f>
        <v>0</v>
      </c>
      <c r="I270">
        <f>+bma!I270/data!$K270</f>
        <v>0</v>
      </c>
      <c r="J270">
        <f>+bma!L270/data!$K270</f>
        <v>0</v>
      </c>
      <c r="K270">
        <f>+bma!M270/data!$K270</f>
        <v>2.7777777777777776E-2</v>
      </c>
      <c r="L270">
        <f>+bma!J270/data!$K270</f>
        <v>0</v>
      </c>
      <c r="M270">
        <f>+bma!K270/data!$K270</f>
        <v>0</v>
      </c>
      <c r="N270">
        <f>+bma!N270/data!$K270</f>
        <v>0</v>
      </c>
      <c r="O270">
        <f>+bma!O270/data!$K270</f>
        <v>0</v>
      </c>
      <c r="P270">
        <f>+bma!P270/data!$K270</f>
        <v>2.7777777777777776E-2</v>
      </c>
      <c r="Q270">
        <f>+bma!Q270/data!$K270</f>
        <v>0.21123322222222224</v>
      </c>
      <c r="R270">
        <f>+bma!R270/data!$K270</f>
        <v>0.13031522222222222</v>
      </c>
      <c r="S270">
        <f>+bma!S270/data!$K270</f>
        <v>2.7777777777777776E-2</v>
      </c>
    </row>
    <row r="271" spans="1:19" x14ac:dyDescent="0.25">
      <c r="A271">
        <f>+bma!A271/data!$K271</f>
        <v>-3.9945073342657266E-3</v>
      </c>
      <c r="B271">
        <f>+bma!B271/data!$K271</f>
        <v>8.8766829650349481E-4</v>
      </c>
      <c r="C271">
        <f>+bma!C271/data!$K271</f>
        <v>2.7777777777777776E-2</v>
      </c>
      <c r="D271">
        <f>+bma!D271/data!$K271</f>
        <v>0</v>
      </c>
      <c r="E271">
        <f>+bma!E271/data!$K271</f>
        <v>0</v>
      </c>
      <c r="F271">
        <f>+bma!F271/data!$K271</f>
        <v>0</v>
      </c>
      <c r="G271">
        <f>+bma!G271/data!$K271</f>
        <v>0</v>
      </c>
      <c r="H271">
        <f>+bma!H271/data!$K271</f>
        <v>0</v>
      </c>
      <c r="I271">
        <f>+bma!I271/data!$K271</f>
        <v>0</v>
      </c>
      <c r="J271">
        <f>+bma!L271/data!$K271</f>
        <v>0</v>
      </c>
      <c r="K271">
        <f>+bma!M271/data!$K271</f>
        <v>2.7777777777777776E-2</v>
      </c>
      <c r="L271">
        <f>+bma!J271/data!$K271</f>
        <v>0</v>
      </c>
      <c r="M271">
        <f>+bma!K271/data!$K271</f>
        <v>0</v>
      </c>
      <c r="N271">
        <f>+bma!N271/data!$K271</f>
        <v>0</v>
      </c>
      <c r="O271">
        <f>+bma!O271/data!$K271</f>
        <v>0</v>
      </c>
      <c r="P271">
        <f>+bma!P271/data!$K271</f>
        <v>2.7777777777777776E-2</v>
      </c>
      <c r="Q271">
        <f>+bma!Q271/data!$K271</f>
        <v>0.21123322222222224</v>
      </c>
      <c r="R271">
        <f>+bma!R271/data!$K271</f>
        <v>0.13031522222222222</v>
      </c>
      <c r="S271">
        <f>+bma!S271/data!$K271</f>
        <v>2.7777777777777776E-2</v>
      </c>
    </row>
    <row r="272" spans="1:19" x14ac:dyDescent="0.25">
      <c r="A272">
        <f>+bma!A272/data!$K272</f>
        <v>-3.9044964207803831E-3</v>
      </c>
      <c r="B272">
        <f>+bma!B272/data!$K272</f>
        <v>3.1756570889013781E-3</v>
      </c>
      <c r="C272">
        <f>+bma!C272/data!$K272</f>
        <v>2.7777777777777776E-2</v>
      </c>
      <c r="D272">
        <f>+bma!D272/data!$K272</f>
        <v>0</v>
      </c>
      <c r="E272">
        <f>+bma!E272/data!$K272</f>
        <v>0</v>
      </c>
      <c r="F272">
        <f>+bma!F272/data!$K272</f>
        <v>0</v>
      </c>
      <c r="G272">
        <f>+bma!G272/data!$K272</f>
        <v>0</v>
      </c>
      <c r="H272">
        <f>+bma!H272/data!$K272</f>
        <v>0</v>
      </c>
      <c r="I272">
        <f>+bma!I272/data!$K272</f>
        <v>0</v>
      </c>
      <c r="J272">
        <f>+bma!L272/data!$K272</f>
        <v>0</v>
      </c>
      <c r="K272">
        <f>+bma!M272/data!$K272</f>
        <v>2.7777777777777776E-2</v>
      </c>
      <c r="L272">
        <f>+bma!J272/data!$K272</f>
        <v>0</v>
      </c>
      <c r="M272">
        <f>+bma!K272/data!$K272</f>
        <v>0</v>
      </c>
      <c r="N272">
        <f>+bma!N272/data!$K272</f>
        <v>2.7777777777777776E-2</v>
      </c>
      <c r="O272">
        <f>+bma!O272/data!$K272</f>
        <v>0</v>
      </c>
      <c r="P272">
        <f>+bma!P272/data!$K272</f>
        <v>2.7777777777777776E-2</v>
      </c>
      <c r="Q272">
        <f>+bma!Q272/data!$K272</f>
        <v>0.21123322222222224</v>
      </c>
      <c r="R272">
        <f>+bma!R272/data!$K272</f>
        <v>0.13031522222222222</v>
      </c>
      <c r="S272">
        <f>+bma!S272/data!$K272</f>
        <v>2.7777777777777776E-2</v>
      </c>
    </row>
    <row r="273" spans="1:19" x14ac:dyDescent="0.25">
      <c r="A273">
        <f>+bma!A273/data!$K273</f>
        <v>-6.4718209098592171E-3</v>
      </c>
      <c r="B273">
        <f>+bma!B273/data!$K273</f>
        <v>3.020183091267635E-3</v>
      </c>
      <c r="C273">
        <f>+bma!C273/data!$K273</f>
        <v>2.7777777777777776E-2</v>
      </c>
      <c r="D273">
        <f>+bma!D273/data!$K273</f>
        <v>0</v>
      </c>
      <c r="E273">
        <f>+bma!E273/data!$K273</f>
        <v>0</v>
      </c>
      <c r="F273">
        <f>+bma!F273/data!$K273</f>
        <v>0</v>
      </c>
      <c r="G273">
        <f>+bma!G273/data!$K273</f>
        <v>0</v>
      </c>
      <c r="H273">
        <f>+bma!H273/data!$K273</f>
        <v>0</v>
      </c>
      <c r="I273">
        <f>+bma!I273/data!$K273</f>
        <v>0</v>
      </c>
      <c r="J273">
        <f>+bma!L273/data!$K273</f>
        <v>0</v>
      </c>
      <c r="K273">
        <f>+bma!M273/data!$K273</f>
        <v>2.7777777777777776E-2</v>
      </c>
      <c r="L273">
        <f>+bma!J273/data!$K273</f>
        <v>0</v>
      </c>
      <c r="M273">
        <f>+bma!K273/data!$K273</f>
        <v>0</v>
      </c>
      <c r="N273">
        <f>+bma!N273/data!$K273</f>
        <v>0</v>
      </c>
      <c r="O273">
        <f>+bma!O273/data!$K273</f>
        <v>0</v>
      </c>
      <c r="P273">
        <f>+bma!P273/data!$K273</f>
        <v>2.7777777777777776E-2</v>
      </c>
      <c r="Q273">
        <f>+bma!Q273/data!$K273</f>
        <v>0.21123322222222224</v>
      </c>
      <c r="R273">
        <f>+bma!R273/data!$K273</f>
        <v>0.13031522222222222</v>
      </c>
      <c r="S273">
        <f>+bma!S273/data!$K273</f>
        <v>2.7777777777777776E-2</v>
      </c>
    </row>
    <row r="274" spans="1:19" x14ac:dyDescent="0.25">
      <c r="A274">
        <f>+bma!A274/data!$K274</f>
        <v>-5.7430199555320617E-3</v>
      </c>
      <c r="B274">
        <f>+bma!B274/data!$K274</f>
        <v>2.5125712305452772E-3</v>
      </c>
      <c r="C274">
        <f>+bma!C274/data!$K274</f>
        <v>2.7777777777777776E-2</v>
      </c>
      <c r="D274">
        <f>+bma!D274/data!$K274</f>
        <v>0</v>
      </c>
      <c r="E274">
        <f>+bma!E274/data!$K274</f>
        <v>0</v>
      </c>
      <c r="F274">
        <f>+bma!F274/data!$K274</f>
        <v>0</v>
      </c>
      <c r="G274">
        <f>+bma!G274/data!$K274</f>
        <v>0</v>
      </c>
      <c r="H274">
        <f>+bma!H274/data!$K274</f>
        <v>0</v>
      </c>
      <c r="I274">
        <f>+bma!I274/data!$K274</f>
        <v>0</v>
      </c>
      <c r="J274">
        <f>+bma!L274/data!$K274</f>
        <v>0</v>
      </c>
      <c r="K274">
        <f>+bma!M274/data!$K274</f>
        <v>2.7777777777777776E-2</v>
      </c>
      <c r="L274">
        <f>+bma!J274/data!$K274</f>
        <v>0</v>
      </c>
      <c r="M274">
        <f>+bma!K274/data!$K274</f>
        <v>0</v>
      </c>
      <c r="N274">
        <f>+bma!N274/data!$K274</f>
        <v>0</v>
      </c>
      <c r="O274">
        <f>+bma!O274/data!$K274</f>
        <v>0</v>
      </c>
      <c r="P274">
        <f>+bma!P274/data!$K274</f>
        <v>2.7777777777777776E-2</v>
      </c>
      <c r="Q274">
        <f>+bma!Q274/data!$K274</f>
        <v>0.21123322222222224</v>
      </c>
      <c r="R274">
        <f>+bma!R274/data!$K274</f>
        <v>0.13031522222222222</v>
      </c>
      <c r="S274">
        <f>+bma!S274/data!$K274</f>
        <v>2.7777777777777776E-2</v>
      </c>
    </row>
    <row r="275" spans="1:19" x14ac:dyDescent="0.25">
      <c r="A275">
        <f>+bma!A275/data!$K275</f>
        <v>-4.6912687953419539E-3</v>
      </c>
      <c r="B275">
        <f>+bma!B275/data!$K275</f>
        <v>1.516369711625682E-3</v>
      </c>
      <c r="C275">
        <f>+bma!C275/data!$K275</f>
        <v>2.7777777777777776E-2</v>
      </c>
      <c r="D275">
        <f>+bma!D275/data!$K275</f>
        <v>0</v>
      </c>
      <c r="E275">
        <f>+bma!E275/data!$K275</f>
        <v>0</v>
      </c>
      <c r="F275">
        <f>+bma!F275/data!$K275</f>
        <v>0</v>
      </c>
      <c r="G275">
        <f>+bma!G275/data!$K275</f>
        <v>0</v>
      </c>
      <c r="H275">
        <f>+bma!H275/data!$K275</f>
        <v>0</v>
      </c>
      <c r="I275">
        <f>+bma!I275/data!$K275</f>
        <v>0</v>
      </c>
      <c r="J275">
        <f>+bma!L275/data!$K275</f>
        <v>0</v>
      </c>
      <c r="K275">
        <f>+bma!M275/data!$K275</f>
        <v>2.7777777777777776E-2</v>
      </c>
      <c r="L275">
        <f>+bma!J275/data!$K275</f>
        <v>0</v>
      </c>
      <c r="M275">
        <f>+bma!K275/data!$K275</f>
        <v>0</v>
      </c>
      <c r="N275">
        <f>+bma!N275/data!$K275</f>
        <v>2.7777777777777776E-2</v>
      </c>
      <c r="O275">
        <f>+bma!O275/data!$K275</f>
        <v>0</v>
      </c>
      <c r="P275">
        <f>+bma!P275/data!$K275</f>
        <v>2.7777777777777776E-2</v>
      </c>
      <c r="Q275">
        <f>+bma!Q275/data!$K275</f>
        <v>0.21123322222222224</v>
      </c>
      <c r="R275">
        <f>+bma!R275/data!$K275</f>
        <v>0.13031522222222222</v>
      </c>
      <c r="S275">
        <f>+bma!S275/data!$K275</f>
        <v>2.7777777777777776E-2</v>
      </c>
    </row>
    <row r="276" spans="1:19" x14ac:dyDescent="0.25">
      <c r="A276">
        <f>+bma!A276/data!$K276</f>
        <v>-4.5669689718738681E-3</v>
      </c>
      <c r="B276">
        <f>+bma!B276/data!$K276</f>
        <v>1.5037580761048102E-3</v>
      </c>
      <c r="C276">
        <f>+bma!C276/data!$K276</f>
        <v>2.7777777777777776E-2</v>
      </c>
      <c r="D276">
        <f>+bma!D276/data!$K276</f>
        <v>0</v>
      </c>
      <c r="E276">
        <f>+bma!E276/data!$K276</f>
        <v>0</v>
      </c>
      <c r="F276">
        <f>+bma!F276/data!$K276</f>
        <v>0</v>
      </c>
      <c r="G276">
        <f>+bma!G276/data!$K276</f>
        <v>0</v>
      </c>
      <c r="H276">
        <f>+bma!H276/data!$K276</f>
        <v>0</v>
      </c>
      <c r="I276">
        <f>+bma!I276/data!$K276</f>
        <v>0</v>
      </c>
      <c r="J276">
        <f>+bma!L276/data!$K276</f>
        <v>0</v>
      </c>
      <c r="K276">
        <f>+bma!M276/data!$K276</f>
        <v>2.7777777777777776E-2</v>
      </c>
      <c r="L276">
        <f>+bma!J276/data!$K276</f>
        <v>0</v>
      </c>
      <c r="M276">
        <f>+bma!K276/data!$K276</f>
        <v>0</v>
      </c>
      <c r="N276">
        <f>+bma!N276/data!$K276</f>
        <v>0</v>
      </c>
      <c r="O276">
        <f>+bma!O276/data!$K276</f>
        <v>0</v>
      </c>
      <c r="P276">
        <f>+bma!P276/data!$K276</f>
        <v>2.7777777777777776E-2</v>
      </c>
      <c r="Q276">
        <f>+bma!Q276/data!$K276</f>
        <v>0.21123322222222224</v>
      </c>
      <c r="R276">
        <f>+bma!R276/data!$K276</f>
        <v>0.13031522222222222</v>
      </c>
      <c r="S276">
        <f>+bma!S276/data!$K276</f>
        <v>2.7777777777777776E-2</v>
      </c>
    </row>
    <row r="277" spans="1:19" x14ac:dyDescent="0.25">
      <c r="A277">
        <f>+bma!A277/data!$K277</f>
        <v>-5.3260298932852621E-3</v>
      </c>
      <c r="B277">
        <f>+bma!B277/data!$K277</f>
        <v>1.229083821527368E-3</v>
      </c>
      <c r="C277">
        <f>+bma!C277/data!$K277</f>
        <v>2.7777777777777776E-2</v>
      </c>
      <c r="D277">
        <f>+bma!D277/data!$K277</f>
        <v>0</v>
      </c>
      <c r="E277">
        <f>+bma!E277/data!$K277</f>
        <v>0</v>
      </c>
      <c r="F277">
        <f>+bma!F277/data!$K277</f>
        <v>0</v>
      </c>
      <c r="G277">
        <f>+bma!G277/data!$K277</f>
        <v>0</v>
      </c>
      <c r="H277">
        <f>+bma!H277/data!$K277</f>
        <v>0</v>
      </c>
      <c r="I277">
        <f>+bma!I277/data!$K277</f>
        <v>0</v>
      </c>
      <c r="J277">
        <f>+bma!L277/data!$K277</f>
        <v>0</v>
      </c>
      <c r="K277">
        <f>+bma!M277/data!$K277</f>
        <v>2.7777777777777776E-2</v>
      </c>
      <c r="L277">
        <f>+bma!J277/data!$K277</f>
        <v>0</v>
      </c>
      <c r="M277">
        <f>+bma!K277/data!$K277</f>
        <v>0</v>
      </c>
      <c r="N277">
        <f>+bma!N277/data!$K277</f>
        <v>0</v>
      </c>
      <c r="O277">
        <f>+bma!O277/data!$K277</f>
        <v>0</v>
      </c>
      <c r="P277">
        <f>+bma!P277/data!$K277</f>
        <v>2.7777777777777776E-2</v>
      </c>
      <c r="Q277">
        <f>+bma!Q277/data!$K277</f>
        <v>0.21123322222222224</v>
      </c>
      <c r="R277">
        <f>+bma!R277/data!$K277</f>
        <v>0.13031522222222222</v>
      </c>
      <c r="S277">
        <f>+bma!S277/data!$K277</f>
        <v>2.7777777777777776E-2</v>
      </c>
    </row>
    <row r="278" spans="1:19" x14ac:dyDescent="0.25">
      <c r="A278">
        <f>+bma!A278/data!$K278</f>
        <v>-3.2701129311574813E-3</v>
      </c>
      <c r="B278">
        <f>+bma!B278/data!$K278</f>
        <v>1.1252001483552626E-3</v>
      </c>
      <c r="C278">
        <f>+bma!C278/data!$K278</f>
        <v>2.7777777777777776E-2</v>
      </c>
      <c r="D278">
        <f>+bma!D278/data!$K278</f>
        <v>0</v>
      </c>
      <c r="E278">
        <f>+bma!E278/data!$K278</f>
        <v>0</v>
      </c>
      <c r="F278">
        <f>+bma!F278/data!$K278</f>
        <v>0</v>
      </c>
      <c r="G278">
        <f>+bma!G278/data!$K278</f>
        <v>0</v>
      </c>
      <c r="H278">
        <f>+bma!H278/data!$K278</f>
        <v>0</v>
      </c>
      <c r="I278">
        <f>+bma!I278/data!$K278</f>
        <v>0</v>
      </c>
      <c r="J278">
        <f>+bma!L278/data!$K278</f>
        <v>0</v>
      </c>
      <c r="K278">
        <f>+bma!M278/data!$K278</f>
        <v>2.7777777777777776E-2</v>
      </c>
      <c r="L278">
        <f>+bma!J278/data!$K278</f>
        <v>0</v>
      </c>
      <c r="M278">
        <f>+bma!K278/data!$K278</f>
        <v>0</v>
      </c>
      <c r="N278">
        <f>+bma!N278/data!$K278</f>
        <v>2.7777777777777776E-2</v>
      </c>
      <c r="O278">
        <f>+bma!O278/data!$K278</f>
        <v>0</v>
      </c>
      <c r="P278">
        <f>+bma!P278/data!$K278</f>
        <v>2.7777777777777776E-2</v>
      </c>
      <c r="Q278">
        <f>+bma!Q278/data!$K278</f>
        <v>0.21123322222222224</v>
      </c>
      <c r="R278">
        <f>+bma!R278/data!$K278</f>
        <v>0.13031522222222222</v>
      </c>
      <c r="S278">
        <f>+bma!S278/data!$K278</f>
        <v>2.7777777777777776E-2</v>
      </c>
    </row>
    <row r="279" spans="1:19" x14ac:dyDescent="0.25">
      <c r="A279">
        <f>+bma!A279/data!$K279</f>
        <v>-3.6037482923417527E-3</v>
      </c>
      <c r="B279">
        <f>+bma!B279/data!$K279</f>
        <v>1.1043744766853758E-3</v>
      </c>
      <c r="C279">
        <f>+bma!C279/data!$K279</f>
        <v>2.7777777777777776E-2</v>
      </c>
      <c r="D279">
        <f>+bma!D279/data!$K279</f>
        <v>0</v>
      </c>
      <c r="E279">
        <f>+bma!E279/data!$K279</f>
        <v>0</v>
      </c>
      <c r="F279">
        <f>+bma!F279/data!$K279</f>
        <v>0</v>
      </c>
      <c r="G279">
        <f>+bma!G279/data!$K279</f>
        <v>0</v>
      </c>
      <c r="H279">
        <f>+bma!H279/data!$K279</f>
        <v>0</v>
      </c>
      <c r="I279">
        <f>+bma!I279/data!$K279</f>
        <v>0</v>
      </c>
      <c r="J279">
        <f>+bma!L279/data!$K279</f>
        <v>0</v>
      </c>
      <c r="K279">
        <f>+bma!M279/data!$K279</f>
        <v>2.7777777777777776E-2</v>
      </c>
      <c r="L279">
        <f>+bma!J279/data!$K279</f>
        <v>0</v>
      </c>
      <c r="M279">
        <f>+bma!K279/data!$K279</f>
        <v>0</v>
      </c>
      <c r="N279">
        <f>+bma!N279/data!$K279</f>
        <v>0</v>
      </c>
      <c r="O279">
        <f>+bma!O279/data!$K279</f>
        <v>0</v>
      </c>
      <c r="P279">
        <f>+bma!P279/data!$K279</f>
        <v>2.7777777777777776E-2</v>
      </c>
      <c r="Q279">
        <f>+bma!Q279/data!$K279</f>
        <v>0.21123322222222224</v>
      </c>
      <c r="R279">
        <f>+bma!R279/data!$K279</f>
        <v>0.13031522222222222</v>
      </c>
      <c r="S279">
        <f>+bma!S279/data!$K279</f>
        <v>2.7777777777777776E-2</v>
      </c>
    </row>
    <row r="280" spans="1:19" x14ac:dyDescent="0.25">
      <c r="A280">
        <f>+bma!A280/data!$K280</f>
        <v>-4.0195851899861223E-3</v>
      </c>
      <c r="B280">
        <f>+bma!B280/data!$K280</f>
        <v>9.0764826870654383E-4</v>
      </c>
      <c r="C280">
        <f>+bma!C280/data!$K280</f>
        <v>2.7777777777777776E-2</v>
      </c>
      <c r="D280">
        <f>+bma!D280/data!$K280</f>
        <v>0</v>
      </c>
      <c r="E280">
        <f>+bma!E280/data!$K280</f>
        <v>0</v>
      </c>
      <c r="F280">
        <f>+bma!F280/data!$K280</f>
        <v>0</v>
      </c>
      <c r="G280">
        <f>+bma!G280/data!$K280</f>
        <v>0</v>
      </c>
      <c r="H280">
        <f>+bma!H280/data!$K280</f>
        <v>0</v>
      </c>
      <c r="I280">
        <f>+bma!I280/data!$K280</f>
        <v>0</v>
      </c>
      <c r="J280">
        <f>+bma!L280/data!$K280</f>
        <v>0</v>
      </c>
      <c r="K280">
        <f>+bma!M280/data!$K280</f>
        <v>2.7777777777777776E-2</v>
      </c>
      <c r="L280">
        <f>+bma!J280/data!$K280</f>
        <v>0</v>
      </c>
      <c r="M280">
        <f>+bma!K280/data!$K280</f>
        <v>0</v>
      </c>
      <c r="N280">
        <f>+bma!N280/data!$K280</f>
        <v>0</v>
      </c>
      <c r="O280">
        <f>+bma!O280/data!$K280</f>
        <v>0</v>
      </c>
      <c r="P280">
        <f>+bma!P280/data!$K280</f>
        <v>2.7777777777777776E-2</v>
      </c>
      <c r="Q280">
        <f>+bma!Q280/data!$K280</f>
        <v>0.21123322222222224</v>
      </c>
      <c r="R280">
        <f>+bma!R280/data!$K280</f>
        <v>0.13031522222222222</v>
      </c>
      <c r="S280">
        <f>+bma!S280/data!$K280</f>
        <v>2.7777777777777776E-2</v>
      </c>
    </row>
    <row r="281" spans="1:19" x14ac:dyDescent="0.25">
      <c r="A281">
        <f>+bma!A281/data!$K281</f>
        <v>-8.2609722084175958E-3</v>
      </c>
      <c r="B281">
        <f>+bma!B281/data!$K281</f>
        <v>2.8936738809146384E-3</v>
      </c>
      <c r="C281">
        <f>+bma!C281/data!$K281</f>
        <v>2.7777777777777776E-2</v>
      </c>
      <c r="D281">
        <f>+bma!D281/data!$K281</f>
        <v>0</v>
      </c>
      <c r="E281">
        <f>+bma!E281/data!$K281</f>
        <v>0</v>
      </c>
      <c r="F281">
        <f>+bma!F281/data!$K281</f>
        <v>0</v>
      </c>
      <c r="G281">
        <f>+bma!G281/data!$K281</f>
        <v>0</v>
      </c>
      <c r="H281">
        <f>+bma!H281/data!$K281</f>
        <v>0</v>
      </c>
      <c r="I281">
        <f>+bma!I281/data!$K281</f>
        <v>0</v>
      </c>
      <c r="J281">
        <f>+bma!L281/data!$K281</f>
        <v>0</v>
      </c>
      <c r="K281">
        <f>+bma!M281/data!$K281</f>
        <v>2.7777777777777776E-2</v>
      </c>
      <c r="L281">
        <f>+bma!J281/data!$K281</f>
        <v>0</v>
      </c>
      <c r="M281">
        <f>+bma!K281/data!$K281</f>
        <v>0</v>
      </c>
      <c r="N281">
        <f>+bma!N281/data!$K281</f>
        <v>2.7777777777777776E-2</v>
      </c>
      <c r="O281">
        <f>+bma!O281/data!$K281</f>
        <v>0</v>
      </c>
      <c r="P281">
        <f>+bma!P281/data!$K281</f>
        <v>2.7777777777777776E-2</v>
      </c>
      <c r="Q281">
        <f>+bma!Q281/data!$K281</f>
        <v>0.21123322222222224</v>
      </c>
      <c r="R281">
        <f>+bma!R281/data!$K281</f>
        <v>0.13031522222222222</v>
      </c>
      <c r="S281">
        <f>+bma!S281/data!$K281</f>
        <v>2.7777777777777776E-2</v>
      </c>
    </row>
    <row r="282" spans="1:19" x14ac:dyDescent="0.25">
      <c r="A282">
        <f>+bma!A282/data!$K282</f>
        <v>-6.2337015713644708E-3</v>
      </c>
      <c r="B282">
        <f>+bma!B282/data!$K282</f>
        <v>2.918955497702411E-3</v>
      </c>
      <c r="C282">
        <f>+bma!C282/data!$K282</f>
        <v>2.7777777777777776E-2</v>
      </c>
      <c r="D282">
        <f>+bma!D282/data!$K282</f>
        <v>0</v>
      </c>
      <c r="E282">
        <f>+bma!E282/data!$K282</f>
        <v>0</v>
      </c>
      <c r="F282">
        <f>+bma!F282/data!$K282</f>
        <v>0</v>
      </c>
      <c r="G282">
        <f>+bma!G282/data!$K282</f>
        <v>0</v>
      </c>
      <c r="H282">
        <f>+bma!H282/data!$K282</f>
        <v>0</v>
      </c>
      <c r="I282">
        <f>+bma!I282/data!$K282</f>
        <v>0</v>
      </c>
      <c r="J282">
        <f>+bma!L282/data!$K282</f>
        <v>0</v>
      </c>
      <c r="K282">
        <f>+bma!M282/data!$K282</f>
        <v>2.7777777777777776E-2</v>
      </c>
      <c r="L282">
        <f>+bma!J282/data!$K282</f>
        <v>0</v>
      </c>
      <c r="M282">
        <f>+bma!K282/data!$K282</f>
        <v>0</v>
      </c>
      <c r="N282">
        <f>+bma!N282/data!$K282</f>
        <v>0</v>
      </c>
      <c r="O282">
        <f>+bma!O282/data!$K282</f>
        <v>0</v>
      </c>
      <c r="P282">
        <f>+bma!P282/data!$K282</f>
        <v>2.7777777777777776E-2</v>
      </c>
      <c r="Q282">
        <f>+bma!Q282/data!$K282</f>
        <v>0.21123322222222224</v>
      </c>
      <c r="R282">
        <f>+bma!R282/data!$K282</f>
        <v>0.13031522222222222</v>
      </c>
      <c r="S282">
        <f>+bma!S282/data!$K282</f>
        <v>2.7777777777777776E-2</v>
      </c>
    </row>
    <row r="283" spans="1:19" x14ac:dyDescent="0.25">
      <c r="A283">
        <f>+bma!A283/data!$K283</f>
        <v>-7.6285593869773781E-3</v>
      </c>
      <c r="B283">
        <f>+bma!B283/data!$K283</f>
        <v>2.3516611644065601E-3</v>
      </c>
      <c r="C283">
        <f>+bma!C283/data!$K283</f>
        <v>2.7777777777777776E-2</v>
      </c>
      <c r="D283">
        <f>+bma!D283/data!$K283</f>
        <v>0</v>
      </c>
      <c r="E283">
        <f>+bma!E283/data!$K283</f>
        <v>0</v>
      </c>
      <c r="F283">
        <f>+bma!F283/data!$K283</f>
        <v>0</v>
      </c>
      <c r="G283">
        <f>+bma!G283/data!$K283</f>
        <v>0</v>
      </c>
      <c r="H283">
        <f>+bma!H283/data!$K283</f>
        <v>0</v>
      </c>
      <c r="I283">
        <f>+bma!I283/data!$K283</f>
        <v>0</v>
      </c>
      <c r="J283">
        <f>+bma!L283/data!$K283</f>
        <v>0</v>
      </c>
      <c r="K283">
        <f>+bma!M283/data!$K283</f>
        <v>2.7777777777777776E-2</v>
      </c>
      <c r="L283">
        <f>+bma!J283/data!$K283</f>
        <v>0</v>
      </c>
      <c r="M283">
        <f>+bma!K283/data!$K283</f>
        <v>0</v>
      </c>
      <c r="N283">
        <f>+bma!N283/data!$K283</f>
        <v>0</v>
      </c>
      <c r="O283">
        <f>+bma!O283/data!$K283</f>
        <v>0</v>
      </c>
      <c r="P283">
        <f>+bma!P283/data!$K283</f>
        <v>2.7777777777777776E-2</v>
      </c>
      <c r="Q283">
        <f>+bma!Q283/data!$K283</f>
        <v>0.21123322222222224</v>
      </c>
      <c r="R283">
        <f>+bma!R283/data!$K283</f>
        <v>0.13031522222222222</v>
      </c>
      <c r="S283">
        <f>+bma!S283/data!$K283</f>
        <v>2.7777777777777776E-2</v>
      </c>
    </row>
    <row r="284" spans="1:19" x14ac:dyDescent="0.25">
      <c r="A284">
        <f>+bma!A284/data!$K284</f>
        <v>-5.5321666747985953E-3</v>
      </c>
      <c r="B284">
        <f>+bma!B284/data!$K284</f>
        <v>1.5411035736938943E-3</v>
      </c>
      <c r="C284">
        <f>+bma!C284/data!$K284</f>
        <v>2.7777777777777776E-2</v>
      </c>
      <c r="D284">
        <f>+bma!D284/data!$K284</f>
        <v>0</v>
      </c>
      <c r="E284">
        <f>+bma!E284/data!$K284</f>
        <v>0</v>
      </c>
      <c r="F284">
        <f>+bma!F284/data!$K284</f>
        <v>0</v>
      </c>
      <c r="G284">
        <f>+bma!G284/data!$K284</f>
        <v>0</v>
      </c>
      <c r="H284">
        <f>+bma!H284/data!$K284</f>
        <v>0</v>
      </c>
      <c r="I284">
        <f>+bma!I284/data!$K284</f>
        <v>0</v>
      </c>
      <c r="J284">
        <f>+bma!L284/data!$K284</f>
        <v>0</v>
      </c>
      <c r="K284">
        <f>+bma!M284/data!$K284</f>
        <v>2.7777777777777776E-2</v>
      </c>
      <c r="L284">
        <f>+bma!J284/data!$K284</f>
        <v>0</v>
      </c>
      <c r="M284">
        <f>+bma!K284/data!$K284</f>
        <v>0</v>
      </c>
      <c r="N284">
        <f>+bma!N284/data!$K284</f>
        <v>2.7777777777777776E-2</v>
      </c>
      <c r="O284">
        <f>+bma!O284/data!$K284</f>
        <v>0</v>
      </c>
      <c r="P284">
        <f>+bma!P284/data!$K284</f>
        <v>2.7777777777777776E-2</v>
      </c>
      <c r="Q284">
        <f>+bma!Q284/data!$K284</f>
        <v>0.21123322222222224</v>
      </c>
      <c r="R284">
        <f>+bma!R284/data!$K284</f>
        <v>0.13031522222222222</v>
      </c>
      <c r="S284">
        <f>+bma!S284/data!$K284</f>
        <v>2.7777777777777776E-2</v>
      </c>
    </row>
    <row r="285" spans="1:19" x14ac:dyDescent="0.25">
      <c r="A285">
        <f>+bma!A285/data!$K285</f>
        <v>-3.4191433268700526E-3</v>
      </c>
      <c r="B285">
        <f>+bma!B285/data!$K285</f>
        <v>1.5386144970915235E-3</v>
      </c>
      <c r="C285">
        <f>+bma!C285/data!$K285</f>
        <v>2.7777777777777776E-2</v>
      </c>
      <c r="D285">
        <f>+bma!D285/data!$K285</f>
        <v>0</v>
      </c>
      <c r="E285">
        <f>+bma!E285/data!$K285</f>
        <v>0</v>
      </c>
      <c r="F285">
        <f>+bma!F285/data!$K285</f>
        <v>0</v>
      </c>
      <c r="G285">
        <f>+bma!G285/data!$K285</f>
        <v>0</v>
      </c>
      <c r="H285">
        <f>+bma!H285/data!$K285</f>
        <v>0</v>
      </c>
      <c r="I285">
        <f>+bma!I285/data!$K285</f>
        <v>0</v>
      </c>
      <c r="J285">
        <f>+bma!L285/data!$K285</f>
        <v>0</v>
      </c>
      <c r="K285">
        <f>+bma!M285/data!$K285</f>
        <v>2.7777777777777776E-2</v>
      </c>
      <c r="L285">
        <f>+bma!J285/data!$K285</f>
        <v>0</v>
      </c>
      <c r="M285">
        <f>+bma!K285/data!$K285</f>
        <v>0</v>
      </c>
      <c r="N285">
        <f>+bma!N285/data!$K285</f>
        <v>0</v>
      </c>
      <c r="O285">
        <f>+bma!O285/data!$K285</f>
        <v>0</v>
      </c>
      <c r="P285">
        <f>+bma!P285/data!$K285</f>
        <v>2.7777777777777776E-2</v>
      </c>
      <c r="Q285">
        <f>+bma!Q285/data!$K285</f>
        <v>0.21123322222222224</v>
      </c>
      <c r="R285">
        <f>+bma!R285/data!$K285</f>
        <v>0.13031522222222222</v>
      </c>
      <c r="S285">
        <f>+bma!S285/data!$K285</f>
        <v>2.7777777777777776E-2</v>
      </c>
    </row>
    <row r="286" spans="1:19" x14ac:dyDescent="0.25">
      <c r="A286">
        <f>+bma!A286/data!$K286</f>
        <v>-5.8853607335049391E-3</v>
      </c>
      <c r="B286">
        <f>+bma!B286/data!$K286</f>
        <v>1.2522044113840295E-3</v>
      </c>
      <c r="C286">
        <f>+bma!C286/data!$K286</f>
        <v>2.7777777777777776E-2</v>
      </c>
      <c r="D286">
        <f>+bma!D286/data!$K286</f>
        <v>0</v>
      </c>
      <c r="E286">
        <f>+bma!E286/data!$K286</f>
        <v>0</v>
      </c>
      <c r="F286">
        <f>+bma!F286/data!$K286</f>
        <v>0</v>
      </c>
      <c r="G286">
        <f>+bma!G286/data!$K286</f>
        <v>0</v>
      </c>
      <c r="H286">
        <f>+bma!H286/data!$K286</f>
        <v>0</v>
      </c>
      <c r="I286">
        <f>+bma!I286/data!$K286</f>
        <v>0</v>
      </c>
      <c r="J286">
        <f>+bma!L286/data!$K286</f>
        <v>0</v>
      </c>
      <c r="K286">
        <f>+bma!M286/data!$K286</f>
        <v>2.7777777777777776E-2</v>
      </c>
      <c r="L286">
        <f>+bma!J286/data!$K286</f>
        <v>0</v>
      </c>
      <c r="M286">
        <f>+bma!K286/data!$K286</f>
        <v>0</v>
      </c>
      <c r="N286">
        <f>+bma!N286/data!$K286</f>
        <v>0</v>
      </c>
      <c r="O286">
        <f>+bma!O286/data!$K286</f>
        <v>0</v>
      </c>
      <c r="P286">
        <f>+bma!P286/data!$K286</f>
        <v>2.7777777777777776E-2</v>
      </c>
      <c r="Q286">
        <f>+bma!Q286/data!$K286</f>
        <v>0.21123322222222224</v>
      </c>
      <c r="R286">
        <f>+bma!R286/data!$K286</f>
        <v>0.13031522222222222</v>
      </c>
      <c r="S286">
        <f>+bma!S286/data!$K286</f>
        <v>2.7777777777777776E-2</v>
      </c>
    </row>
    <row r="287" spans="1:19" x14ac:dyDescent="0.25">
      <c r="A287">
        <f>+bma!A287/data!$K287</f>
        <v>1.0570951563536159E-3</v>
      </c>
      <c r="B287">
        <f>+bma!B287/data!$K287</f>
        <v>1.5920107776409877E-3</v>
      </c>
      <c r="C287">
        <f>+bma!C287/data!$K287</f>
        <v>2.7777777777777776E-2</v>
      </c>
      <c r="D287">
        <f>+bma!D287/data!$K287</f>
        <v>0</v>
      </c>
      <c r="E287">
        <f>+bma!E287/data!$K287</f>
        <v>0</v>
      </c>
      <c r="F287">
        <f>+bma!F287/data!$K287</f>
        <v>0</v>
      </c>
      <c r="G287">
        <f>+bma!G287/data!$K287</f>
        <v>0</v>
      </c>
      <c r="H287">
        <f>+bma!H287/data!$K287</f>
        <v>0</v>
      </c>
      <c r="I287">
        <f>+bma!I287/data!$K287</f>
        <v>0</v>
      </c>
      <c r="J287">
        <f>+bma!L287/data!$K287</f>
        <v>0</v>
      </c>
      <c r="K287">
        <f>+bma!M287/data!$K287</f>
        <v>2.7777777777777776E-2</v>
      </c>
      <c r="L287">
        <f>+bma!J287/data!$K287</f>
        <v>0</v>
      </c>
      <c r="M287">
        <f>+bma!K287/data!$K287</f>
        <v>0</v>
      </c>
      <c r="N287">
        <f>+bma!N287/data!$K287</f>
        <v>2.7777777777777776E-2</v>
      </c>
      <c r="O287">
        <f>+bma!O287/data!$K287</f>
        <v>0</v>
      </c>
      <c r="P287">
        <f>+bma!P287/data!$K287</f>
        <v>2.7777777777777776E-2</v>
      </c>
      <c r="Q287">
        <f>+bma!Q287/data!$K287</f>
        <v>0.21123322222222224</v>
      </c>
      <c r="R287">
        <f>+bma!R287/data!$K287</f>
        <v>0.13031522222222222</v>
      </c>
      <c r="S287">
        <f>+bma!S287/data!$K287</f>
        <v>2.7777777777777776E-2</v>
      </c>
    </row>
    <row r="288" spans="1:19" x14ac:dyDescent="0.25">
      <c r="A288">
        <f>+bma!A288/data!$K288</f>
        <v>-2.9124007053305365E-3</v>
      </c>
      <c r="B288">
        <f>+bma!B288/data!$K288</f>
        <v>1.5418591969396959E-3</v>
      </c>
      <c r="C288">
        <f>+bma!C288/data!$K288</f>
        <v>2.7777777777777776E-2</v>
      </c>
      <c r="D288">
        <f>+bma!D288/data!$K288</f>
        <v>0</v>
      </c>
      <c r="E288">
        <f>+bma!E288/data!$K288</f>
        <v>0</v>
      </c>
      <c r="F288">
        <f>+bma!F288/data!$K288</f>
        <v>0</v>
      </c>
      <c r="G288">
        <f>+bma!G288/data!$K288</f>
        <v>0</v>
      </c>
      <c r="H288">
        <f>+bma!H288/data!$K288</f>
        <v>0</v>
      </c>
      <c r="I288">
        <f>+bma!I288/data!$K288</f>
        <v>0</v>
      </c>
      <c r="J288">
        <f>+bma!L288/data!$K288</f>
        <v>0</v>
      </c>
      <c r="K288">
        <f>+bma!M288/data!$K288</f>
        <v>2.7777777777777776E-2</v>
      </c>
      <c r="L288">
        <f>+bma!J288/data!$K288</f>
        <v>0</v>
      </c>
      <c r="M288">
        <f>+bma!K288/data!$K288</f>
        <v>0</v>
      </c>
      <c r="N288">
        <f>+bma!N288/data!$K288</f>
        <v>0</v>
      </c>
      <c r="O288">
        <f>+bma!O288/data!$K288</f>
        <v>0</v>
      </c>
      <c r="P288">
        <f>+bma!P288/data!$K288</f>
        <v>2.7777777777777776E-2</v>
      </c>
      <c r="Q288">
        <f>+bma!Q288/data!$K288</f>
        <v>0.21123322222222224</v>
      </c>
      <c r="R288">
        <f>+bma!R288/data!$K288</f>
        <v>0.13031522222222222</v>
      </c>
      <c r="S288">
        <f>+bma!S288/data!$K288</f>
        <v>2.7777777777777776E-2</v>
      </c>
    </row>
    <row r="289" spans="1:19" x14ac:dyDescent="0.25">
      <c r="A289">
        <f>+bma!A289/data!$K289</f>
        <v>-2.6895431805201014E-3</v>
      </c>
      <c r="B289">
        <f>+bma!B289/data!$K289</f>
        <v>1.2807348478667149E-3</v>
      </c>
      <c r="C289">
        <f>+bma!C289/data!$K289</f>
        <v>2.7777777777777776E-2</v>
      </c>
      <c r="D289">
        <f>+bma!D289/data!$K289</f>
        <v>0</v>
      </c>
      <c r="E289">
        <f>+bma!E289/data!$K289</f>
        <v>0</v>
      </c>
      <c r="F289">
        <f>+bma!F289/data!$K289</f>
        <v>0</v>
      </c>
      <c r="G289">
        <f>+bma!G289/data!$K289</f>
        <v>0</v>
      </c>
      <c r="H289">
        <f>+bma!H289/data!$K289</f>
        <v>0</v>
      </c>
      <c r="I289">
        <f>+bma!I289/data!$K289</f>
        <v>0</v>
      </c>
      <c r="J289">
        <f>+bma!L289/data!$K289</f>
        <v>0</v>
      </c>
      <c r="K289">
        <f>+bma!M289/data!$K289</f>
        <v>2.7777777777777776E-2</v>
      </c>
      <c r="L289">
        <f>+bma!J289/data!$K289</f>
        <v>0</v>
      </c>
      <c r="M289">
        <f>+bma!K289/data!$K289</f>
        <v>0</v>
      </c>
      <c r="N289">
        <f>+bma!N289/data!$K289</f>
        <v>0</v>
      </c>
      <c r="O289">
        <f>+bma!O289/data!$K289</f>
        <v>0</v>
      </c>
      <c r="P289">
        <f>+bma!P289/data!$K289</f>
        <v>2.7777777777777776E-2</v>
      </c>
      <c r="Q289">
        <f>+bma!Q289/data!$K289</f>
        <v>0.21123322222222224</v>
      </c>
      <c r="R289">
        <f>+bma!R289/data!$K289</f>
        <v>0.13031522222222222</v>
      </c>
      <c r="S289">
        <f>+bma!S289/data!$K289</f>
        <v>2.7777777777777776E-2</v>
      </c>
    </row>
    <row r="290" spans="1:19" x14ac:dyDescent="0.25">
      <c r="A290">
        <f>+bma!A290/data!$K290</f>
        <v>1.699272872837722E-3</v>
      </c>
      <c r="B290">
        <f>+bma!B290/data!$K290</f>
        <v>5.1485431818814563E-3</v>
      </c>
      <c r="C290">
        <f>+bma!C290/data!$K290</f>
        <v>2.7777777777777776E-2</v>
      </c>
      <c r="D290">
        <f>+bma!D290/data!$K290</f>
        <v>0</v>
      </c>
      <c r="E290">
        <f>+bma!E290/data!$K290</f>
        <v>0</v>
      </c>
      <c r="F290">
        <f>+bma!F290/data!$K290</f>
        <v>0</v>
      </c>
      <c r="G290">
        <f>+bma!G290/data!$K290</f>
        <v>0</v>
      </c>
      <c r="H290">
        <f>+bma!H290/data!$K290</f>
        <v>0</v>
      </c>
      <c r="I290">
        <f>+bma!I290/data!$K290</f>
        <v>0</v>
      </c>
      <c r="J290">
        <f>+bma!L290/data!$K290</f>
        <v>0</v>
      </c>
      <c r="K290">
        <f>+bma!M290/data!$K290</f>
        <v>2.7777777777777776E-2</v>
      </c>
      <c r="L290">
        <f>+bma!J290/data!$K290</f>
        <v>0</v>
      </c>
      <c r="M290">
        <f>+bma!K290/data!$K290</f>
        <v>0</v>
      </c>
      <c r="N290">
        <f>+bma!N290/data!$K290</f>
        <v>2.7777777777777776E-2</v>
      </c>
      <c r="O290">
        <f>+bma!O290/data!$K290</f>
        <v>0</v>
      </c>
      <c r="P290">
        <f>+bma!P290/data!$K290</f>
        <v>2.7777777777777776E-2</v>
      </c>
      <c r="Q290">
        <f>+bma!Q290/data!$K290</f>
        <v>0.21123322222222224</v>
      </c>
      <c r="R290">
        <f>+bma!R290/data!$K290</f>
        <v>0.13031522222222222</v>
      </c>
      <c r="S290">
        <f>+bma!S290/data!$K290</f>
        <v>2.7777777777777776E-2</v>
      </c>
    </row>
    <row r="291" spans="1:19" x14ac:dyDescent="0.25">
      <c r="A291">
        <f>+bma!A291/data!$K291</f>
        <v>-2.3385278280581208E-4</v>
      </c>
      <c r="B291">
        <f>+bma!B291/data!$K291</f>
        <v>4.9888593665239908E-3</v>
      </c>
      <c r="C291">
        <f>+bma!C291/data!$K291</f>
        <v>2.7777777777777776E-2</v>
      </c>
      <c r="D291">
        <f>+bma!D291/data!$K291</f>
        <v>0</v>
      </c>
      <c r="E291">
        <f>+bma!E291/data!$K291</f>
        <v>0</v>
      </c>
      <c r="F291">
        <f>+bma!F291/data!$K291</f>
        <v>0</v>
      </c>
      <c r="G291">
        <f>+bma!G291/data!$K291</f>
        <v>0</v>
      </c>
      <c r="H291">
        <f>+bma!H291/data!$K291</f>
        <v>0</v>
      </c>
      <c r="I291">
        <f>+bma!I291/data!$K291</f>
        <v>0</v>
      </c>
      <c r="J291">
        <f>+bma!L291/data!$K291</f>
        <v>0</v>
      </c>
      <c r="K291">
        <f>+bma!M291/data!$K291</f>
        <v>2.7777777777777776E-2</v>
      </c>
      <c r="L291">
        <f>+bma!J291/data!$K291</f>
        <v>0</v>
      </c>
      <c r="M291">
        <f>+bma!K291/data!$K291</f>
        <v>0</v>
      </c>
      <c r="N291">
        <f>+bma!N291/data!$K291</f>
        <v>0</v>
      </c>
      <c r="O291">
        <f>+bma!O291/data!$K291</f>
        <v>0</v>
      </c>
      <c r="P291">
        <f>+bma!P291/data!$K291</f>
        <v>2.7777777777777776E-2</v>
      </c>
      <c r="Q291">
        <f>+bma!Q291/data!$K291</f>
        <v>0.21123322222222224</v>
      </c>
      <c r="R291">
        <f>+bma!R291/data!$K291</f>
        <v>0.13031522222222222</v>
      </c>
      <c r="S291">
        <f>+bma!S291/data!$K291</f>
        <v>2.7777777777777776E-2</v>
      </c>
    </row>
    <row r="292" spans="1:19" x14ac:dyDescent="0.25">
      <c r="A292">
        <f>+bma!A292/data!$K292</f>
        <v>-1.1067358557573725E-3</v>
      </c>
      <c r="B292">
        <f>+bma!B292/data!$K292</f>
        <v>4.3347154350497092E-3</v>
      </c>
      <c r="C292">
        <f>+bma!C292/data!$K292</f>
        <v>2.7777777777777776E-2</v>
      </c>
      <c r="D292">
        <f>+bma!D292/data!$K292</f>
        <v>0</v>
      </c>
      <c r="E292">
        <f>+bma!E292/data!$K292</f>
        <v>0</v>
      </c>
      <c r="F292">
        <f>+bma!F292/data!$K292</f>
        <v>0</v>
      </c>
      <c r="G292">
        <f>+bma!G292/data!$K292</f>
        <v>0</v>
      </c>
      <c r="H292">
        <f>+bma!H292/data!$K292</f>
        <v>0</v>
      </c>
      <c r="I292">
        <f>+bma!I292/data!$K292</f>
        <v>0</v>
      </c>
      <c r="J292">
        <f>+bma!L292/data!$K292</f>
        <v>0</v>
      </c>
      <c r="K292">
        <f>+bma!M292/data!$K292</f>
        <v>2.7777777777777776E-2</v>
      </c>
      <c r="L292">
        <f>+bma!J292/data!$K292</f>
        <v>0</v>
      </c>
      <c r="M292">
        <f>+bma!K292/data!$K292</f>
        <v>0</v>
      </c>
      <c r="N292">
        <f>+bma!N292/data!$K292</f>
        <v>0</v>
      </c>
      <c r="O292">
        <f>+bma!O292/data!$K292</f>
        <v>0</v>
      </c>
      <c r="P292">
        <f>+bma!P292/data!$K292</f>
        <v>2.7777777777777776E-2</v>
      </c>
      <c r="Q292">
        <f>+bma!Q292/data!$K292</f>
        <v>0.21123322222222224</v>
      </c>
      <c r="R292">
        <f>+bma!R292/data!$K292</f>
        <v>0.13031522222222222</v>
      </c>
      <c r="S292">
        <f>+bma!S292/data!$K292</f>
        <v>2.7777777777777776E-2</v>
      </c>
    </row>
    <row r="293" spans="1:19" x14ac:dyDescent="0.25">
      <c r="A293">
        <f>+bma!A293/data!$K293</f>
        <v>-2.585273835642788E-3</v>
      </c>
      <c r="B293">
        <f>+bma!B293/data!$K293</f>
        <v>1.1836193464388666E-3</v>
      </c>
      <c r="C293">
        <f>+bma!C293/data!$K293</f>
        <v>2.7777777777777776E-2</v>
      </c>
      <c r="D293">
        <f>+bma!D293/data!$K293</f>
        <v>0</v>
      </c>
      <c r="E293">
        <f>+bma!E293/data!$K293</f>
        <v>0</v>
      </c>
      <c r="F293">
        <f>+bma!F293/data!$K293</f>
        <v>0</v>
      </c>
      <c r="G293">
        <f>+bma!G293/data!$K293</f>
        <v>0</v>
      </c>
      <c r="H293">
        <f>+bma!H293/data!$K293</f>
        <v>0</v>
      </c>
      <c r="I293">
        <f>+bma!I293/data!$K293</f>
        <v>0</v>
      </c>
      <c r="J293">
        <f>+bma!L293/data!$K293</f>
        <v>0</v>
      </c>
      <c r="K293">
        <f>+bma!M293/data!$K293</f>
        <v>2.7777777777777776E-2</v>
      </c>
      <c r="L293">
        <f>+bma!J293/data!$K293</f>
        <v>0</v>
      </c>
      <c r="M293">
        <f>+bma!K293/data!$K293</f>
        <v>0</v>
      </c>
      <c r="N293">
        <f>+bma!N293/data!$K293</f>
        <v>2.7777777777777776E-2</v>
      </c>
      <c r="O293">
        <f>+bma!O293/data!$K293</f>
        <v>0</v>
      </c>
      <c r="P293">
        <f>+bma!P293/data!$K293</f>
        <v>2.7777777777777776E-2</v>
      </c>
      <c r="Q293">
        <f>+bma!Q293/data!$K293</f>
        <v>0.21123322222222224</v>
      </c>
      <c r="R293">
        <f>+bma!R293/data!$K293</f>
        <v>0.13031522222222222</v>
      </c>
      <c r="S293">
        <f>+bma!S293/data!$K293</f>
        <v>2.7777777777777776E-2</v>
      </c>
    </row>
    <row r="294" spans="1:19" x14ac:dyDescent="0.25">
      <c r="A294">
        <f>+bma!A294/data!$K294</f>
        <v>-2.74623106444165E-3</v>
      </c>
      <c r="B294">
        <f>+bma!B294/data!$K294</f>
        <v>1.1618669888022364E-3</v>
      </c>
      <c r="C294">
        <f>+bma!C294/data!$K294</f>
        <v>2.7777777777777776E-2</v>
      </c>
      <c r="D294">
        <f>+bma!D294/data!$K294</f>
        <v>0</v>
      </c>
      <c r="E294">
        <f>+bma!E294/data!$K294</f>
        <v>0</v>
      </c>
      <c r="F294">
        <f>+bma!F294/data!$K294</f>
        <v>0</v>
      </c>
      <c r="G294">
        <f>+bma!G294/data!$K294</f>
        <v>0</v>
      </c>
      <c r="H294">
        <f>+bma!H294/data!$K294</f>
        <v>0</v>
      </c>
      <c r="I294">
        <f>+bma!I294/data!$K294</f>
        <v>0</v>
      </c>
      <c r="J294">
        <f>+bma!L294/data!$K294</f>
        <v>0</v>
      </c>
      <c r="K294">
        <f>+bma!M294/data!$K294</f>
        <v>2.7777777777777776E-2</v>
      </c>
      <c r="L294">
        <f>+bma!J294/data!$K294</f>
        <v>0</v>
      </c>
      <c r="M294">
        <f>+bma!K294/data!$K294</f>
        <v>0</v>
      </c>
      <c r="N294">
        <f>+bma!N294/data!$K294</f>
        <v>0</v>
      </c>
      <c r="O294">
        <f>+bma!O294/data!$K294</f>
        <v>0</v>
      </c>
      <c r="P294">
        <f>+bma!P294/data!$K294</f>
        <v>2.7777777777777776E-2</v>
      </c>
      <c r="Q294">
        <f>+bma!Q294/data!$K294</f>
        <v>0.21123322222222224</v>
      </c>
      <c r="R294">
        <f>+bma!R294/data!$K294</f>
        <v>0.13031522222222222</v>
      </c>
      <c r="S294">
        <f>+bma!S294/data!$K294</f>
        <v>2.7777777777777776E-2</v>
      </c>
    </row>
    <row r="295" spans="1:19" x14ac:dyDescent="0.25">
      <c r="A295">
        <f>+bma!A295/data!$K295</f>
        <v>-3.5739977009499862E-3</v>
      </c>
      <c r="B295">
        <f>+bma!B295/data!$K295</f>
        <v>9.5732081275446074E-4</v>
      </c>
      <c r="C295">
        <f>+bma!C295/data!$K295</f>
        <v>2.7777777777777776E-2</v>
      </c>
      <c r="D295">
        <f>+bma!D295/data!$K295</f>
        <v>0</v>
      </c>
      <c r="E295">
        <f>+bma!E295/data!$K295</f>
        <v>0</v>
      </c>
      <c r="F295">
        <f>+bma!F295/data!$K295</f>
        <v>0</v>
      </c>
      <c r="G295">
        <f>+bma!G295/data!$K295</f>
        <v>0</v>
      </c>
      <c r="H295">
        <f>+bma!H295/data!$K295</f>
        <v>0</v>
      </c>
      <c r="I295">
        <f>+bma!I295/data!$K295</f>
        <v>0</v>
      </c>
      <c r="J295">
        <f>+bma!L295/data!$K295</f>
        <v>0</v>
      </c>
      <c r="K295">
        <f>+bma!M295/data!$K295</f>
        <v>2.7777777777777776E-2</v>
      </c>
      <c r="L295">
        <f>+bma!J295/data!$K295</f>
        <v>0</v>
      </c>
      <c r="M295">
        <f>+bma!K295/data!$K295</f>
        <v>0</v>
      </c>
      <c r="N295">
        <f>+bma!N295/data!$K295</f>
        <v>0</v>
      </c>
      <c r="O295">
        <f>+bma!O295/data!$K295</f>
        <v>0</v>
      </c>
      <c r="P295">
        <f>+bma!P295/data!$K295</f>
        <v>2.7777777777777776E-2</v>
      </c>
      <c r="Q295">
        <f>+bma!Q295/data!$K295</f>
        <v>0.21123322222222224</v>
      </c>
      <c r="R295">
        <f>+bma!R295/data!$K295</f>
        <v>0.13031522222222222</v>
      </c>
      <c r="S295">
        <f>+bma!S295/data!$K295</f>
        <v>2.7777777777777776E-2</v>
      </c>
    </row>
    <row r="296" spans="1:19" x14ac:dyDescent="0.25">
      <c r="A296">
        <f>+bma!A296/data!$K296</f>
        <v>-1.398039003815891E-3</v>
      </c>
      <c r="B296">
        <f>+bma!B296/data!$K296</f>
        <v>1.9866870054225817E-3</v>
      </c>
      <c r="C296">
        <f>+bma!C296/data!$K296</f>
        <v>2.7777777777777776E-2</v>
      </c>
      <c r="D296">
        <f>+bma!D296/data!$K296</f>
        <v>0</v>
      </c>
      <c r="E296">
        <f>+bma!E296/data!$K296</f>
        <v>0</v>
      </c>
      <c r="F296">
        <f>+bma!F296/data!$K296</f>
        <v>0</v>
      </c>
      <c r="G296">
        <f>+bma!G296/data!$K296</f>
        <v>0</v>
      </c>
      <c r="H296">
        <f>+bma!H296/data!$K296</f>
        <v>0</v>
      </c>
      <c r="I296">
        <f>+bma!I296/data!$K296</f>
        <v>0</v>
      </c>
      <c r="J296">
        <f>+bma!L296/data!$K296</f>
        <v>0</v>
      </c>
      <c r="K296">
        <f>+bma!M296/data!$K296</f>
        <v>2.7777777777777776E-2</v>
      </c>
      <c r="L296">
        <f>+bma!J296/data!$K296</f>
        <v>0</v>
      </c>
      <c r="M296">
        <f>+bma!K296/data!$K296</f>
        <v>0</v>
      </c>
      <c r="N296">
        <f>+bma!N296/data!$K296</f>
        <v>2.7777777777777776E-2</v>
      </c>
      <c r="O296">
        <f>+bma!O296/data!$K296</f>
        <v>0</v>
      </c>
      <c r="P296">
        <f>+bma!P296/data!$K296</f>
        <v>2.7777777777777776E-2</v>
      </c>
      <c r="Q296">
        <f>+bma!Q296/data!$K296</f>
        <v>0.21123322222222224</v>
      </c>
      <c r="R296">
        <f>+bma!R296/data!$K296</f>
        <v>0.13031522222222222</v>
      </c>
      <c r="S296">
        <f>+bma!S296/data!$K296</f>
        <v>2.7777777777777776E-2</v>
      </c>
    </row>
    <row r="297" spans="1:19" x14ac:dyDescent="0.25">
      <c r="A297">
        <f>+bma!A297/data!$K297</f>
        <v>-3.2040856249916094E-3</v>
      </c>
      <c r="B297">
        <f>+bma!B297/data!$K297</f>
        <v>1.9224513749949658E-3</v>
      </c>
      <c r="C297">
        <f>+bma!C297/data!$K297</f>
        <v>2.7777777777777776E-2</v>
      </c>
      <c r="D297">
        <f>+bma!D297/data!$K297</f>
        <v>0</v>
      </c>
      <c r="E297">
        <f>+bma!E297/data!$K297</f>
        <v>0</v>
      </c>
      <c r="F297">
        <f>+bma!F297/data!$K297</f>
        <v>0</v>
      </c>
      <c r="G297">
        <f>+bma!G297/data!$K297</f>
        <v>0</v>
      </c>
      <c r="H297">
        <f>+bma!H297/data!$K297</f>
        <v>0</v>
      </c>
      <c r="I297">
        <f>+bma!I297/data!$K297</f>
        <v>0</v>
      </c>
      <c r="J297">
        <f>+bma!L297/data!$K297</f>
        <v>0</v>
      </c>
      <c r="K297">
        <f>+bma!M297/data!$K297</f>
        <v>2.7777777777777776E-2</v>
      </c>
      <c r="L297">
        <f>+bma!J297/data!$K297</f>
        <v>0</v>
      </c>
      <c r="M297">
        <f>+bma!K297/data!$K297</f>
        <v>0</v>
      </c>
      <c r="N297">
        <f>+bma!N297/data!$K297</f>
        <v>0</v>
      </c>
      <c r="O297">
        <f>+bma!O297/data!$K297</f>
        <v>0</v>
      </c>
      <c r="P297">
        <f>+bma!P297/data!$K297</f>
        <v>2.7777777777777776E-2</v>
      </c>
      <c r="Q297">
        <f>+bma!Q297/data!$K297</f>
        <v>0.21123322222222224</v>
      </c>
      <c r="R297">
        <f>+bma!R297/data!$K297</f>
        <v>0.13031522222222222</v>
      </c>
      <c r="S297">
        <f>+bma!S297/data!$K297</f>
        <v>2.7777777777777776E-2</v>
      </c>
    </row>
    <row r="298" spans="1:19" x14ac:dyDescent="0.25">
      <c r="A298">
        <f>+bma!A298/data!$K298</f>
        <v>-2.1489982019535368E-3</v>
      </c>
      <c r="B298">
        <f>+bma!B298/data!$K298</f>
        <v>1.588389975356962E-3</v>
      </c>
      <c r="C298">
        <f>+bma!C298/data!$K298</f>
        <v>2.7777777777777776E-2</v>
      </c>
      <c r="D298">
        <f>+bma!D298/data!$K298</f>
        <v>0</v>
      </c>
      <c r="E298">
        <f>+bma!E298/data!$K298</f>
        <v>0</v>
      </c>
      <c r="F298">
        <f>+bma!F298/data!$K298</f>
        <v>0</v>
      </c>
      <c r="G298">
        <f>+bma!G298/data!$K298</f>
        <v>0</v>
      </c>
      <c r="H298">
        <f>+bma!H298/data!$K298</f>
        <v>0</v>
      </c>
      <c r="I298">
        <f>+bma!I298/data!$K298</f>
        <v>0</v>
      </c>
      <c r="J298">
        <f>+bma!L298/data!$K298</f>
        <v>0</v>
      </c>
      <c r="K298">
        <f>+bma!M298/data!$K298</f>
        <v>2.7777777777777776E-2</v>
      </c>
      <c r="L298">
        <f>+bma!J298/data!$K298</f>
        <v>0</v>
      </c>
      <c r="M298">
        <f>+bma!K298/data!$K298</f>
        <v>0</v>
      </c>
      <c r="N298">
        <f>+bma!N298/data!$K298</f>
        <v>0</v>
      </c>
      <c r="O298">
        <f>+bma!O298/data!$K298</f>
        <v>0</v>
      </c>
      <c r="P298">
        <f>+bma!P298/data!$K298</f>
        <v>2.7777777777777776E-2</v>
      </c>
      <c r="Q298">
        <f>+bma!Q298/data!$K298</f>
        <v>0.21123322222222224</v>
      </c>
      <c r="R298">
        <f>+bma!R298/data!$K298</f>
        <v>0.13031522222222222</v>
      </c>
      <c r="S298">
        <f>+bma!S298/data!$K298</f>
        <v>2.7777777777777776E-2</v>
      </c>
    </row>
    <row r="299" spans="1:19" x14ac:dyDescent="0.25">
      <c r="A299">
        <f>+bma!A299/data!$K299</f>
        <v>-0.11136831310134959</v>
      </c>
      <c r="B299">
        <f>+bma!B299/data!$K299</f>
        <v>6.551077241255851E-2</v>
      </c>
      <c r="C299">
        <f>+bma!C299/data!$K299</f>
        <v>0</v>
      </c>
      <c r="D299">
        <f>+bma!D299/data!$K299</f>
        <v>0.33333333333333331</v>
      </c>
      <c r="E299">
        <f>+bma!E299/data!$K299</f>
        <v>0</v>
      </c>
      <c r="F299">
        <f>+bma!F299/data!$K299</f>
        <v>0</v>
      </c>
      <c r="G299">
        <f>+bma!G299/data!$K299</f>
        <v>0.33333333333333331</v>
      </c>
      <c r="H299">
        <f>+bma!H299/data!$K299</f>
        <v>0</v>
      </c>
      <c r="I299">
        <f>+bma!I299/data!$K299</f>
        <v>0</v>
      </c>
      <c r="J299">
        <f>+bma!L299/data!$K299</f>
        <v>0</v>
      </c>
      <c r="K299">
        <f>+bma!M299/data!$K299</f>
        <v>0</v>
      </c>
      <c r="L299">
        <f>+bma!J299/data!$K299</f>
        <v>0</v>
      </c>
      <c r="M299">
        <f>+bma!K299/data!$K299</f>
        <v>0</v>
      </c>
      <c r="N299">
        <f>+bma!N299/data!$K299</f>
        <v>0.33333333333333331</v>
      </c>
      <c r="O299">
        <f>+bma!O299/data!$K299</f>
        <v>0</v>
      </c>
      <c r="P299">
        <f>+bma!P299/data!$K299</f>
        <v>0.33333333333333331</v>
      </c>
      <c r="Q299">
        <f>+bma!Q299/data!$K299</f>
        <v>2.5324653333333331</v>
      </c>
      <c r="R299">
        <f>+bma!R299/data!$K299</f>
        <v>0.85498299999999994</v>
      </c>
      <c r="S299">
        <f>+bma!S299/data!$K299</f>
        <v>0.33333333333333331</v>
      </c>
    </row>
    <row r="300" spans="1:19" x14ac:dyDescent="0.25">
      <c r="A300">
        <f>+bma!A300/data!$K300</f>
        <v>-0.22968797785176312</v>
      </c>
      <c r="B300">
        <f>+bma!B300/data!$K300</f>
        <v>5.0370170581527068E-2</v>
      </c>
      <c r="C300">
        <f>+bma!C300/data!$K300</f>
        <v>0</v>
      </c>
      <c r="D300">
        <f>+bma!D300/data!$K300</f>
        <v>0.33333333333333331</v>
      </c>
      <c r="E300">
        <f>+bma!E300/data!$K300</f>
        <v>0</v>
      </c>
      <c r="F300">
        <f>+bma!F300/data!$K300</f>
        <v>0</v>
      </c>
      <c r="G300">
        <f>+bma!G300/data!$K300</f>
        <v>0.33333333333333331</v>
      </c>
      <c r="H300">
        <f>+bma!H300/data!$K300</f>
        <v>0</v>
      </c>
      <c r="I300">
        <f>+bma!I300/data!$K300</f>
        <v>0</v>
      </c>
      <c r="J300">
        <f>+bma!L300/data!$K300</f>
        <v>0</v>
      </c>
      <c r="K300">
        <f>+bma!M300/data!$K300</f>
        <v>0</v>
      </c>
      <c r="L300">
        <f>+bma!J300/data!$K300</f>
        <v>0</v>
      </c>
      <c r="M300">
        <f>+bma!K300/data!$K300</f>
        <v>0</v>
      </c>
      <c r="N300">
        <f>+bma!N300/data!$K300</f>
        <v>0</v>
      </c>
      <c r="O300">
        <f>+bma!O300/data!$K300</f>
        <v>0.33333333333333331</v>
      </c>
      <c r="P300">
        <f>+bma!P300/data!$K300</f>
        <v>0.33333333333333331</v>
      </c>
      <c r="Q300">
        <f>+bma!Q300/data!$K300</f>
        <v>2.5324653333333331</v>
      </c>
      <c r="R300">
        <f>+bma!R300/data!$K300</f>
        <v>0.85498299999999994</v>
      </c>
      <c r="S300">
        <f>+bma!S300/data!$K300</f>
        <v>0.33333333333333331</v>
      </c>
    </row>
    <row r="301" spans="1:19" x14ac:dyDescent="0.25">
      <c r="A301">
        <f>+bma!A301/data!$K301</f>
        <v>1.388888888888889E-2</v>
      </c>
      <c r="B301">
        <f>+bma!B301/data!$K301</f>
        <v>6.9444444444444448E-2</v>
      </c>
      <c r="C301">
        <f>+bma!C301/data!$K301</f>
        <v>0</v>
      </c>
      <c r="D301">
        <f>+bma!D301/data!$K301</f>
        <v>0.33333333333333331</v>
      </c>
      <c r="E301">
        <f>+bma!E301/data!$K301</f>
        <v>0</v>
      </c>
      <c r="F301">
        <f>+bma!F301/data!$K301</f>
        <v>0</v>
      </c>
      <c r="G301">
        <f>+bma!G301/data!$K301</f>
        <v>0.33333333333333331</v>
      </c>
      <c r="H301">
        <f>+bma!H301/data!$K301</f>
        <v>0</v>
      </c>
      <c r="I301">
        <f>+bma!I301/data!$K301</f>
        <v>0</v>
      </c>
      <c r="J301">
        <f>+bma!L301/data!$K301</f>
        <v>0</v>
      </c>
      <c r="K301">
        <f>+bma!M301/data!$K301</f>
        <v>0</v>
      </c>
      <c r="L301">
        <f>+bma!J301/data!$K301</f>
        <v>0</v>
      </c>
      <c r="M301">
        <f>+bma!K301/data!$K301</f>
        <v>0</v>
      </c>
      <c r="N301">
        <f>+bma!N301/data!$K301</f>
        <v>0.33333333333333331</v>
      </c>
      <c r="O301">
        <f>+bma!O301/data!$K301</f>
        <v>0</v>
      </c>
      <c r="P301">
        <f>+bma!P301/data!$K301</f>
        <v>0.33333333333333331</v>
      </c>
      <c r="Q301">
        <f>+bma!Q301/data!$K301</f>
        <v>2.5324653333333331</v>
      </c>
      <c r="R301">
        <f>+bma!R301/data!$K301</f>
        <v>0.85498299999999994</v>
      </c>
      <c r="S301">
        <f>+bma!S301/data!$K301</f>
        <v>0.33333333333333331</v>
      </c>
    </row>
    <row r="302" spans="1:19" x14ac:dyDescent="0.25">
      <c r="A302">
        <f>+bma!A302/data!$K302</f>
        <v>-2.7154147989670734E-2</v>
      </c>
      <c r="B302">
        <f>+bma!B302/data!$K302</f>
        <v>1.2125437152620265E-2</v>
      </c>
      <c r="C302">
        <f>+bma!C302/data!$K302</f>
        <v>0.1</v>
      </c>
      <c r="D302">
        <f>+bma!D302/data!$K302</f>
        <v>0.1</v>
      </c>
      <c r="E302">
        <f>+bma!E302/data!$K302</f>
        <v>0</v>
      </c>
      <c r="F302">
        <f>+bma!F302/data!$K302</f>
        <v>0.1</v>
      </c>
      <c r="G302">
        <f>+bma!G302/data!$K302</f>
        <v>0</v>
      </c>
      <c r="H302">
        <f>+bma!H302/data!$K302</f>
        <v>0</v>
      </c>
      <c r="I302">
        <f>+bma!I302/data!$K302</f>
        <v>0.1</v>
      </c>
      <c r="J302">
        <f>+bma!L302/data!$K302</f>
        <v>0.1</v>
      </c>
      <c r="K302">
        <f>+bma!M302/data!$K302</f>
        <v>0</v>
      </c>
      <c r="L302">
        <f>+bma!J302/data!$K302</f>
        <v>0</v>
      </c>
      <c r="M302">
        <f>+bma!K302/data!$K302</f>
        <v>0</v>
      </c>
      <c r="N302">
        <f>+bma!N302/data!$K302</f>
        <v>0.1</v>
      </c>
      <c r="O302">
        <f>+bma!O302/data!$K302</f>
        <v>0</v>
      </c>
      <c r="P302">
        <f>+bma!P302/data!$K302</f>
        <v>0.1</v>
      </c>
      <c r="Q302">
        <f>+bma!Q302/data!$K302</f>
        <v>0.75898409999999994</v>
      </c>
      <c r="R302">
        <f>+bma!R302/data!$K302</f>
        <v>0.3091043</v>
      </c>
      <c r="S302">
        <f>+bma!S302/data!$K302</f>
        <v>0.1</v>
      </c>
    </row>
    <row r="303" spans="1:19" x14ac:dyDescent="0.25">
      <c r="A303">
        <f>+bma!A303/data!$K303</f>
        <v>-5.70446537127383E-2</v>
      </c>
      <c r="B303">
        <f>+bma!B303/data!$K303</f>
        <v>1.935904537762612E-2</v>
      </c>
      <c r="C303">
        <f>+bma!C303/data!$K303</f>
        <v>0.1</v>
      </c>
      <c r="D303">
        <f>+bma!D303/data!$K303</f>
        <v>0.1</v>
      </c>
      <c r="E303">
        <f>+bma!E303/data!$K303</f>
        <v>0</v>
      </c>
      <c r="F303">
        <f>+bma!F303/data!$K303</f>
        <v>0.1</v>
      </c>
      <c r="G303">
        <f>+bma!G303/data!$K303</f>
        <v>0</v>
      </c>
      <c r="H303">
        <f>+bma!H303/data!$K303</f>
        <v>0</v>
      </c>
      <c r="I303">
        <f>+bma!I303/data!$K303</f>
        <v>0.1</v>
      </c>
      <c r="J303">
        <f>+bma!L303/data!$K303</f>
        <v>0.1</v>
      </c>
      <c r="K303">
        <f>+bma!M303/data!$K303</f>
        <v>0</v>
      </c>
      <c r="L303">
        <f>+bma!J303/data!$K303</f>
        <v>0</v>
      </c>
      <c r="M303">
        <f>+bma!K303/data!$K303</f>
        <v>0</v>
      </c>
      <c r="N303">
        <f>+bma!N303/data!$K303</f>
        <v>0.1</v>
      </c>
      <c r="O303">
        <f>+bma!O303/data!$K303</f>
        <v>0</v>
      </c>
      <c r="P303">
        <f>+bma!P303/data!$K303</f>
        <v>0.1</v>
      </c>
      <c r="Q303">
        <f>+bma!Q303/data!$K303</f>
        <v>0.75898409999999994</v>
      </c>
      <c r="R303">
        <f>+bma!R303/data!$K303</f>
        <v>0.3091043</v>
      </c>
      <c r="S303">
        <f>+bma!S303/data!$K303</f>
        <v>0.1</v>
      </c>
    </row>
    <row r="304" spans="1:19" x14ac:dyDescent="0.25">
      <c r="A304">
        <f>+bma!A304/data!$K304</f>
        <v>-2.2178001004366347E-2</v>
      </c>
      <c r="B304">
        <f>+bma!B304/data!$K304</f>
        <v>1.7802749105545773E-2</v>
      </c>
      <c r="C304">
        <f>+bma!C304/data!$K304</f>
        <v>0.1</v>
      </c>
      <c r="D304">
        <f>+bma!D304/data!$K304</f>
        <v>0.1</v>
      </c>
      <c r="E304">
        <f>+bma!E304/data!$K304</f>
        <v>0</v>
      </c>
      <c r="F304">
        <f>+bma!F304/data!$K304</f>
        <v>0.1</v>
      </c>
      <c r="G304">
        <f>+bma!G304/data!$K304</f>
        <v>0</v>
      </c>
      <c r="H304">
        <f>+bma!H304/data!$K304</f>
        <v>0</v>
      </c>
      <c r="I304">
        <f>+bma!I304/data!$K304</f>
        <v>0.1</v>
      </c>
      <c r="J304">
        <f>+bma!L304/data!$K304</f>
        <v>0.1</v>
      </c>
      <c r="K304">
        <f>+bma!M304/data!$K304</f>
        <v>0</v>
      </c>
      <c r="L304">
        <f>+bma!J304/data!$K304</f>
        <v>0</v>
      </c>
      <c r="M304">
        <f>+bma!K304/data!$K304</f>
        <v>0</v>
      </c>
      <c r="N304">
        <f>+bma!N304/data!$K304</f>
        <v>0.1</v>
      </c>
      <c r="O304">
        <f>+bma!O304/data!$K304</f>
        <v>0</v>
      </c>
      <c r="P304">
        <f>+bma!P304/data!$K304</f>
        <v>0.1</v>
      </c>
      <c r="Q304">
        <f>+bma!Q304/data!$K304</f>
        <v>0.75898409999999994</v>
      </c>
      <c r="R304">
        <f>+bma!R304/data!$K304</f>
        <v>0.3091043</v>
      </c>
      <c r="S304">
        <f>+bma!S304/data!$K304</f>
        <v>0.1</v>
      </c>
    </row>
    <row r="305" spans="1:19" x14ac:dyDescent="0.25">
      <c r="A305">
        <f>+bma!A305/data!$K305</f>
        <v>-2.2227543908740943E-2</v>
      </c>
      <c r="B305">
        <f>+bma!B305/data!$K305</f>
        <v>1.228364268640947E-2</v>
      </c>
      <c r="C305">
        <f>+bma!C305/data!$K305</f>
        <v>0.1</v>
      </c>
      <c r="D305">
        <f>+bma!D305/data!$K305</f>
        <v>0.1</v>
      </c>
      <c r="E305">
        <f>+bma!E305/data!$K305</f>
        <v>0</v>
      </c>
      <c r="F305">
        <f>+bma!F305/data!$K305</f>
        <v>0.1</v>
      </c>
      <c r="G305">
        <f>+bma!G305/data!$K305</f>
        <v>0</v>
      </c>
      <c r="H305">
        <f>+bma!H305/data!$K305</f>
        <v>0</v>
      </c>
      <c r="I305">
        <f>+bma!I305/data!$K305</f>
        <v>0.1</v>
      </c>
      <c r="J305">
        <f>+bma!L305/data!$K305</f>
        <v>0.1</v>
      </c>
      <c r="K305">
        <f>+bma!M305/data!$K305</f>
        <v>0</v>
      </c>
      <c r="L305">
        <f>+bma!J305/data!$K305</f>
        <v>0</v>
      </c>
      <c r="M305">
        <f>+bma!K305/data!$K305</f>
        <v>0</v>
      </c>
      <c r="N305">
        <f>+bma!N305/data!$K305</f>
        <v>0</v>
      </c>
      <c r="O305">
        <f>+bma!O305/data!$K305</f>
        <v>0</v>
      </c>
      <c r="P305">
        <f>+bma!P305/data!$K305</f>
        <v>0.1</v>
      </c>
      <c r="Q305">
        <f>+bma!Q305/data!$K305</f>
        <v>0.75898409999999994</v>
      </c>
      <c r="R305">
        <f>+bma!R305/data!$K305</f>
        <v>0.3091043</v>
      </c>
      <c r="S305">
        <f>+bma!S305/data!$K305</f>
        <v>0.1</v>
      </c>
    </row>
    <row r="306" spans="1:19" x14ac:dyDescent="0.25">
      <c r="A306">
        <f>+bma!A306/data!$K306</f>
        <v>-2.5480835272226214E-2</v>
      </c>
      <c r="B306">
        <f>+bma!B306/data!$K306</f>
        <v>2.2792209967722733E-2</v>
      </c>
      <c r="C306">
        <f>+bma!C306/data!$K306</f>
        <v>0.1</v>
      </c>
      <c r="D306">
        <f>+bma!D306/data!$K306</f>
        <v>0.1</v>
      </c>
      <c r="E306">
        <f>+bma!E306/data!$K306</f>
        <v>0</v>
      </c>
      <c r="F306">
        <f>+bma!F306/data!$K306</f>
        <v>0.1</v>
      </c>
      <c r="G306">
        <f>+bma!G306/data!$K306</f>
        <v>0</v>
      </c>
      <c r="H306">
        <f>+bma!H306/data!$K306</f>
        <v>0</v>
      </c>
      <c r="I306">
        <f>+bma!I306/data!$K306</f>
        <v>0.1</v>
      </c>
      <c r="J306">
        <f>+bma!L306/data!$K306</f>
        <v>0.1</v>
      </c>
      <c r="K306">
        <f>+bma!M306/data!$K306</f>
        <v>0</v>
      </c>
      <c r="L306">
        <f>+bma!J306/data!$K306</f>
        <v>0</v>
      </c>
      <c r="M306">
        <f>+bma!K306/data!$K306</f>
        <v>0</v>
      </c>
      <c r="N306">
        <f>+bma!N306/data!$K306</f>
        <v>0</v>
      </c>
      <c r="O306">
        <f>+bma!O306/data!$K306</f>
        <v>0</v>
      </c>
      <c r="P306">
        <f>+bma!P306/data!$K306</f>
        <v>0.1</v>
      </c>
      <c r="Q306">
        <f>+bma!Q306/data!$K306</f>
        <v>0.75898409999999994</v>
      </c>
      <c r="R306">
        <f>+bma!R306/data!$K306</f>
        <v>0.3091043</v>
      </c>
      <c r="S306">
        <f>+bma!S306/data!$K306</f>
        <v>0.1</v>
      </c>
    </row>
    <row r="307" spans="1:19" x14ac:dyDescent="0.25">
      <c r="A307">
        <f>+bma!A307/data!$K307</f>
        <v>-1.760056210968924E-2</v>
      </c>
      <c r="B307">
        <f>+bma!B307/data!$K307</f>
        <v>1.7972404971161548E-2</v>
      </c>
      <c r="C307">
        <f>+bma!C307/data!$K307</f>
        <v>0.1</v>
      </c>
      <c r="D307">
        <f>+bma!D307/data!$K307</f>
        <v>0.1</v>
      </c>
      <c r="E307">
        <f>+bma!E307/data!$K307</f>
        <v>0</v>
      </c>
      <c r="F307">
        <f>+bma!F307/data!$K307</f>
        <v>0.1</v>
      </c>
      <c r="G307">
        <f>+bma!G307/data!$K307</f>
        <v>0</v>
      </c>
      <c r="H307">
        <f>+bma!H307/data!$K307</f>
        <v>0</v>
      </c>
      <c r="I307">
        <f>+bma!I307/data!$K307</f>
        <v>0.1</v>
      </c>
      <c r="J307">
        <f>+bma!L307/data!$K307</f>
        <v>0.1</v>
      </c>
      <c r="K307">
        <f>+bma!M307/data!$K307</f>
        <v>0</v>
      </c>
      <c r="L307">
        <f>+bma!J307/data!$K307</f>
        <v>0</v>
      </c>
      <c r="M307">
        <f>+bma!K307/data!$K307</f>
        <v>0</v>
      </c>
      <c r="N307">
        <f>+bma!N307/data!$K307</f>
        <v>0</v>
      </c>
      <c r="O307">
        <f>+bma!O307/data!$K307</f>
        <v>0</v>
      </c>
      <c r="P307">
        <f>+bma!P307/data!$K307</f>
        <v>0.1</v>
      </c>
      <c r="Q307">
        <f>+bma!Q307/data!$K307</f>
        <v>0.75898409999999994</v>
      </c>
      <c r="R307">
        <f>+bma!R307/data!$K307</f>
        <v>0.3091043</v>
      </c>
      <c r="S307">
        <f>+bma!S307/data!$K307</f>
        <v>0.1</v>
      </c>
    </row>
    <row r="308" spans="1:19" x14ac:dyDescent="0.25">
      <c r="A308">
        <f>+bma!A308/data!$K308</f>
        <v>1.3045796904827081E-2</v>
      </c>
      <c r="B308">
        <f>+bma!B308/data!$K308</f>
        <v>1.7807036651114334E-2</v>
      </c>
      <c r="C308">
        <f>+bma!C308/data!$K308</f>
        <v>0.1</v>
      </c>
      <c r="D308">
        <f>+bma!D308/data!$K308</f>
        <v>0.1</v>
      </c>
      <c r="E308">
        <f>+bma!E308/data!$K308</f>
        <v>0</v>
      </c>
      <c r="F308">
        <f>+bma!F308/data!$K308</f>
        <v>0.1</v>
      </c>
      <c r="G308">
        <f>+bma!G308/data!$K308</f>
        <v>0</v>
      </c>
      <c r="H308">
        <f>+bma!H308/data!$K308</f>
        <v>0</v>
      </c>
      <c r="I308">
        <f>+bma!I308/data!$K308</f>
        <v>0.1</v>
      </c>
      <c r="J308">
        <f>+bma!L308/data!$K308</f>
        <v>0.1</v>
      </c>
      <c r="K308">
        <f>+bma!M308/data!$K308</f>
        <v>0</v>
      </c>
      <c r="L308">
        <f>+bma!J308/data!$K308</f>
        <v>0</v>
      </c>
      <c r="M308">
        <f>+bma!K308/data!$K308</f>
        <v>0</v>
      </c>
      <c r="N308">
        <f>+bma!N308/data!$K308</f>
        <v>0</v>
      </c>
      <c r="O308">
        <f>+bma!O308/data!$K308</f>
        <v>0</v>
      </c>
      <c r="P308">
        <f>+bma!P308/data!$K308</f>
        <v>0.1</v>
      </c>
      <c r="Q308">
        <f>+bma!Q308/data!$K308</f>
        <v>0.75898409999999994</v>
      </c>
      <c r="R308">
        <f>+bma!R308/data!$K308</f>
        <v>0.3091043</v>
      </c>
      <c r="S308">
        <f>+bma!S308/data!$K308</f>
        <v>0.1</v>
      </c>
    </row>
    <row r="309" spans="1:19" x14ac:dyDescent="0.25">
      <c r="A309">
        <f>+bma!A309/data!$K309</f>
        <v>1.4969801635816104E-2</v>
      </c>
      <c r="B309">
        <f>+bma!B309/data!$K309</f>
        <v>1.2556905977411537E-2</v>
      </c>
      <c r="C309">
        <f>+bma!C309/data!$K309</f>
        <v>0.1</v>
      </c>
      <c r="D309">
        <f>+bma!D309/data!$K309</f>
        <v>0.1</v>
      </c>
      <c r="E309">
        <f>+bma!E309/data!$K309</f>
        <v>0</v>
      </c>
      <c r="F309">
        <f>+bma!F309/data!$K309</f>
        <v>0.1</v>
      </c>
      <c r="G309">
        <f>+bma!G309/data!$K309</f>
        <v>0</v>
      </c>
      <c r="H309">
        <f>+bma!H309/data!$K309</f>
        <v>0</v>
      </c>
      <c r="I309">
        <f>+bma!I309/data!$K309</f>
        <v>0.1</v>
      </c>
      <c r="J309">
        <f>+bma!L309/data!$K309</f>
        <v>0.1</v>
      </c>
      <c r="K309">
        <f>+bma!M309/data!$K309</f>
        <v>0</v>
      </c>
      <c r="L309">
        <f>+bma!J309/data!$K309</f>
        <v>0</v>
      </c>
      <c r="M309">
        <f>+bma!K309/data!$K309</f>
        <v>0</v>
      </c>
      <c r="N309">
        <f>+bma!N309/data!$K309</f>
        <v>0</v>
      </c>
      <c r="O309">
        <f>+bma!O309/data!$K309</f>
        <v>0</v>
      </c>
      <c r="P309">
        <f>+bma!P309/data!$K309</f>
        <v>0.1</v>
      </c>
      <c r="Q309">
        <f>+bma!Q309/data!$K309</f>
        <v>0.75898409999999994</v>
      </c>
      <c r="R309">
        <f>+bma!R309/data!$K309</f>
        <v>0.3091043</v>
      </c>
      <c r="S309">
        <f>+bma!S309/data!$K309</f>
        <v>0.1</v>
      </c>
    </row>
    <row r="310" spans="1:19" x14ac:dyDescent="0.25">
      <c r="A310">
        <f>+bma!A310/data!$K310</f>
        <v>-2.0572826446882053E-3</v>
      </c>
      <c r="B310">
        <f>+bma!B310/data!$K310</f>
        <v>2.3565237566428532E-2</v>
      </c>
      <c r="C310">
        <f>+bma!C310/data!$K310</f>
        <v>0.1</v>
      </c>
      <c r="D310">
        <f>+bma!D310/data!$K310</f>
        <v>0.1</v>
      </c>
      <c r="E310">
        <f>+bma!E310/data!$K310</f>
        <v>0</v>
      </c>
      <c r="F310">
        <f>+bma!F310/data!$K310</f>
        <v>0.1</v>
      </c>
      <c r="G310">
        <f>+bma!G310/data!$K310</f>
        <v>0</v>
      </c>
      <c r="H310">
        <f>+bma!H310/data!$K310</f>
        <v>0</v>
      </c>
      <c r="I310">
        <f>+bma!I310/data!$K310</f>
        <v>0.1</v>
      </c>
      <c r="J310">
        <f>+bma!L310/data!$K310</f>
        <v>0.1</v>
      </c>
      <c r="K310">
        <f>+bma!M310/data!$K310</f>
        <v>0</v>
      </c>
      <c r="L310">
        <f>+bma!J310/data!$K310</f>
        <v>0</v>
      </c>
      <c r="M310">
        <f>+bma!K310/data!$K310</f>
        <v>0</v>
      </c>
      <c r="N310">
        <f>+bma!N310/data!$K310</f>
        <v>0.1</v>
      </c>
      <c r="O310">
        <f>+bma!O310/data!$K310</f>
        <v>0</v>
      </c>
      <c r="P310">
        <f>+bma!P310/data!$K310</f>
        <v>0.1</v>
      </c>
      <c r="Q310">
        <f>+bma!Q310/data!$K310</f>
        <v>0.75898409999999994</v>
      </c>
      <c r="R310">
        <f>+bma!R310/data!$K310</f>
        <v>0.3091043</v>
      </c>
      <c r="S310">
        <f>+bma!S310/data!$K310</f>
        <v>0.1</v>
      </c>
    </row>
    <row r="311" spans="1:19" x14ac:dyDescent="0.25">
      <c r="A311">
        <f>+bma!A311/data!$K311</f>
        <v>-3.5893090131086532E-3</v>
      </c>
      <c r="B311">
        <f>+bma!B311/data!$K311</f>
        <v>1.8245654149968989E-2</v>
      </c>
      <c r="C311">
        <f>+bma!C311/data!$K311</f>
        <v>0.1</v>
      </c>
      <c r="D311">
        <f>+bma!D311/data!$K311</f>
        <v>0.1</v>
      </c>
      <c r="E311">
        <f>+bma!E311/data!$K311</f>
        <v>0</v>
      </c>
      <c r="F311">
        <f>+bma!F311/data!$K311</f>
        <v>0.1</v>
      </c>
      <c r="G311">
        <f>+bma!G311/data!$K311</f>
        <v>0</v>
      </c>
      <c r="H311">
        <f>+bma!H311/data!$K311</f>
        <v>0</v>
      </c>
      <c r="I311">
        <f>+bma!I311/data!$K311</f>
        <v>0.1</v>
      </c>
      <c r="J311">
        <f>+bma!L311/data!$K311</f>
        <v>0.1</v>
      </c>
      <c r="K311">
        <f>+bma!M311/data!$K311</f>
        <v>0</v>
      </c>
      <c r="L311">
        <f>+bma!J311/data!$K311</f>
        <v>0</v>
      </c>
      <c r="M311">
        <f>+bma!K311/data!$K311</f>
        <v>0</v>
      </c>
      <c r="N311">
        <f>+bma!N311/data!$K311</f>
        <v>0.1</v>
      </c>
      <c r="O311">
        <f>+bma!O311/data!$K311</f>
        <v>0</v>
      </c>
      <c r="P311">
        <f>+bma!P311/data!$K311</f>
        <v>0.1</v>
      </c>
      <c r="Q311">
        <f>+bma!Q311/data!$K311</f>
        <v>0.75898409999999994</v>
      </c>
      <c r="R311">
        <f>+bma!R311/data!$K311</f>
        <v>0.3091043</v>
      </c>
      <c r="S311">
        <f>+bma!S311/data!$K311</f>
        <v>0.1</v>
      </c>
    </row>
    <row r="312" spans="1:19" x14ac:dyDescent="0.25">
      <c r="A312">
        <f>+bma!A312/data!$K312</f>
        <v>-9.3626266118216617E-3</v>
      </c>
      <c r="B312">
        <f>+bma!B312/data!$K312</f>
        <v>4.8260961916606676E-3</v>
      </c>
      <c r="C312">
        <f>+bma!C312/data!$K312</f>
        <v>3.5714285714285712E-2</v>
      </c>
      <c r="D312">
        <f>+bma!D312/data!$K312</f>
        <v>3.5714285714285712E-2</v>
      </c>
      <c r="E312">
        <f>+bma!E312/data!$K312</f>
        <v>0</v>
      </c>
      <c r="F312">
        <f>+bma!F312/data!$K312</f>
        <v>3.5714285714285712E-2</v>
      </c>
      <c r="G312">
        <f>+bma!G312/data!$K312</f>
        <v>0</v>
      </c>
      <c r="H312">
        <f>+bma!H312/data!$K312</f>
        <v>0</v>
      </c>
      <c r="I312">
        <f>+bma!I312/data!$K312</f>
        <v>3.5714285714285712E-2</v>
      </c>
      <c r="J312">
        <f>+bma!L312/data!$K312</f>
        <v>3.5714285714285712E-2</v>
      </c>
      <c r="K312">
        <f>+bma!M312/data!$K312</f>
        <v>0</v>
      </c>
      <c r="L312">
        <f>+bma!J312/data!$K312</f>
        <v>3.5714285714285712E-2</v>
      </c>
      <c r="M312">
        <f>+bma!K312/data!$K312</f>
        <v>0</v>
      </c>
      <c r="N312">
        <f>+bma!N312/data!$K312</f>
        <v>0</v>
      </c>
      <c r="O312">
        <f>+bma!O312/data!$K312</f>
        <v>3.5714285714285712E-2</v>
      </c>
      <c r="P312">
        <f>+bma!P312/data!$K312</f>
        <v>3.5714285714285712E-2</v>
      </c>
      <c r="Q312">
        <f>+bma!Q312/data!$K312</f>
        <v>0.27102964285714287</v>
      </c>
      <c r="R312">
        <f>+bma!R312/data!$K312</f>
        <v>7.8472321428571426E-2</v>
      </c>
      <c r="S312">
        <f>+bma!S312/data!$K312</f>
        <v>0</v>
      </c>
    </row>
    <row r="313" spans="1:19" x14ac:dyDescent="0.25">
      <c r="A313">
        <f>+bma!A313/data!$K313</f>
        <v>-8.9480895926844599E-3</v>
      </c>
      <c r="B313">
        <f>+bma!B313/data!$K313</f>
        <v>4.8896664440898725E-3</v>
      </c>
      <c r="C313">
        <f>+bma!C313/data!$K313</f>
        <v>3.5714285714285712E-2</v>
      </c>
      <c r="D313">
        <f>+bma!D313/data!$K313</f>
        <v>3.5714285714285712E-2</v>
      </c>
      <c r="E313">
        <f>+bma!E313/data!$K313</f>
        <v>0</v>
      </c>
      <c r="F313">
        <f>+bma!F313/data!$K313</f>
        <v>3.5714285714285712E-2</v>
      </c>
      <c r="G313">
        <f>+bma!G313/data!$K313</f>
        <v>0</v>
      </c>
      <c r="H313">
        <f>+bma!H313/data!$K313</f>
        <v>0</v>
      </c>
      <c r="I313">
        <f>+bma!I313/data!$K313</f>
        <v>3.5714285714285712E-2</v>
      </c>
      <c r="J313">
        <f>+bma!L313/data!$K313</f>
        <v>3.5714285714285712E-2</v>
      </c>
      <c r="K313">
        <f>+bma!M313/data!$K313</f>
        <v>0</v>
      </c>
      <c r="L313">
        <f>+bma!J313/data!$K313</f>
        <v>3.5714285714285712E-2</v>
      </c>
      <c r="M313">
        <f>+bma!K313/data!$K313</f>
        <v>0</v>
      </c>
      <c r="N313">
        <f>+bma!N313/data!$K313</f>
        <v>0</v>
      </c>
      <c r="O313">
        <f>+bma!O313/data!$K313</f>
        <v>3.5714285714285712E-2</v>
      </c>
      <c r="P313">
        <f>+bma!P313/data!$K313</f>
        <v>3.5714285714285712E-2</v>
      </c>
      <c r="Q313">
        <f>+bma!Q313/data!$K313</f>
        <v>0.27102964285714287</v>
      </c>
      <c r="R313">
        <f>+bma!R313/data!$K313</f>
        <v>7.8472321428571426E-2</v>
      </c>
      <c r="S313">
        <f>+bma!S313/data!$K313</f>
        <v>0</v>
      </c>
    </row>
    <row r="314" spans="1:19" x14ac:dyDescent="0.25">
      <c r="A314">
        <f>+bma!A314/data!$K314</f>
        <v>-9.3553797026633256E-3</v>
      </c>
      <c r="B314">
        <f>+bma!B314/data!$K314</f>
        <v>4.9238840540333428E-3</v>
      </c>
      <c r="C314">
        <f>+bma!C314/data!$K314</f>
        <v>3.5714285714285712E-2</v>
      </c>
      <c r="D314">
        <f>+bma!D314/data!$K314</f>
        <v>3.5714285714285712E-2</v>
      </c>
      <c r="E314">
        <f>+bma!E314/data!$K314</f>
        <v>0</v>
      </c>
      <c r="F314">
        <f>+bma!F314/data!$K314</f>
        <v>3.5714285714285712E-2</v>
      </c>
      <c r="G314">
        <f>+bma!G314/data!$K314</f>
        <v>0</v>
      </c>
      <c r="H314">
        <f>+bma!H314/data!$K314</f>
        <v>0</v>
      </c>
      <c r="I314">
        <f>+bma!I314/data!$K314</f>
        <v>3.5714285714285712E-2</v>
      </c>
      <c r="J314">
        <f>+bma!L314/data!$K314</f>
        <v>3.5714285714285712E-2</v>
      </c>
      <c r="K314">
        <f>+bma!M314/data!$K314</f>
        <v>0</v>
      </c>
      <c r="L314">
        <f>+bma!J314/data!$K314</f>
        <v>3.5714285714285712E-2</v>
      </c>
      <c r="M314">
        <f>+bma!K314/data!$K314</f>
        <v>0</v>
      </c>
      <c r="N314">
        <f>+bma!N314/data!$K314</f>
        <v>0</v>
      </c>
      <c r="O314">
        <f>+bma!O314/data!$K314</f>
        <v>3.5714285714285712E-2</v>
      </c>
      <c r="P314">
        <f>+bma!P314/data!$K314</f>
        <v>3.5714285714285712E-2</v>
      </c>
      <c r="Q314">
        <f>+bma!Q314/data!$K314</f>
        <v>0.27102964285714287</v>
      </c>
      <c r="R314">
        <f>+bma!R314/data!$K314</f>
        <v>7.8472321428571426E-2</v>
      </c>
      <c r="S314">
        <f>+bma!S314/data!$K314</f>
        <v>0</v>
      </c>
    </row>
    <row r="315" spans="1:19" x14ac:dyDescent="0.25">
      <c r="A315">
        <f>+bma!A315/data!$K315</f>
        <v>-1.4031573168951646E-2</v>
      </c>
      <c r="B315">
        <f>+bma!B315/data!$K315</f>
        <v>4.7403963408620279E-3</v>
      </c>
      <c r="C315">
        <f>+bma!C315/data!$K315</f>
        <v>3.5714285714285712E-2</v>
      </c>
      <c r="D315">
        <f>+bma!D315/data!$K315</f>
        <v>3.5714285714285712E-2</v>
      </c>
      <c r="E315">
        <f>+bma!E315/data!$K315</f>
        <v>0</v>
      </c>
      <c r="F315">
        <f>+bma!F315/data!$K315</f>
        <v>3.5714285714285712E-2</v>
      </c>
      <c r="G315">
        <f>+bma!G315/data!$K315</f>
        <v>0</v>
      </c>
      <c r="H315">
        <f>+bma!H315/data!$K315</f>
        <v>0</v>
      </c>
      <c r="I315">
        <f>+bma!I315/data!$K315</f>
        <v>3.5714285714285712E-2</v>
      </c>
      <c r="J315">
        <f>+bma!L315/data!$K315</f>
        <v>3.5714285714285712E-2</v>
      </c>
      <c r="K315">
        <f>+bma!M315/data!$K315</f>
        <v>0</v>
      </c>
      <c r="L315">
        <f>+bma!J315/data!$K315</f>
        <v>3.5714285714285712E-2</v>
      </c>
      <c r="M315">
        <f>+bma!K315/data!$K315</f>
        <v>0</v>
      </c>
      <c r="N315">
        <f>+bma!N315/data!$K315</f>
        <v>0</v>
      </c>
      <c r="O315">
        <f>+bma!O315/data!$K315</f>
        <v>3.5714285714285712E-2</v>
      </c>
      <c r="P315">
        <f>+bma!P315/data!$K315</f>
        <v>3.5714285714285712E-2</v>
      </c>
      <c r="Q315">
        <f>+bma!Q315/data!$K315</f>
        <v>0.27102964285714287</v>
      </c>
      <c r="R315">
        <f>+bma!R315/data!$K315</f>
        <v>7.8472321428571426E-2</v>
      </c>
      <c r="S315">
        <f>+bma!S315/data!$K315</f>
        <v>0</v>
      </c>
    </row>
    <row r="316" spans="1:19" x14ac:dyDescent="0.25">
      <c r="A316">
        <f>+bma!A316/data!$K316</f>
        <v>-1.4950182307385927E-2</v>
      </c>
      <c r="B316">
        <f>+bma!B316/data!$K316</f>
        <v>4.7310703504385865E-3</v>
      </c>
      <c r="C316">
        <f>+bma!C316/data!$K316</f>
        <v>3.5714285714285712E-2</v>
      </c>
      <c r="D316">
        <f>+bma!D316/data!$K316</f>
        <v>3.5714285714285712E-2</v>
      </c>
      <c r="E316">
        <f>+bma!E316/data!$K316</f>
        <v>0</v>
      </c>
      <c r="F316">
        <f>+bma!F316/data!$K316</f>
        <v>3.5714285714285712E-2</v>
      </c>
      <c r="G316">
        <f>+bma!G316/data!$K316</f>
        <v>0</v>
      </c>
      <c r="H316">
        <f>+bma!H316/data!$K316</f>
        <v>0</v>
      </c>
      <c r="I316">
        <f>+bma!I316/data!$K316</f>
        <v>3.5714285714285712E-2</v>
      </c>
      <c r="J316">
        <f>+bma!L316/data!$K316</f>
        <v>3.5714285714285712E-2</v>
      </c>
      <c r="K316">
        <f>+bma!M316/data!$K316</f>
        <v>0</v>
      </c>
      <c r="L316">
        <f>+bma!J316/data!$K316</f>
        <v>3.5714285714285712E-2</v>
      </c>
      <c r="M316">
        <f>+bma!K316/data!$K316</f>
        <v>0</v>
      </c>
      <c r="N316">
        <f>+bma!N316/data!$K316</f>
        <v>0</v>
      </c>
      <c r="O316">
        <f>+bma!O316/data!$K316</f>
        <v>3.5714285714285712E-2</v>
      </c>
      <c r="P316">
        <f>+bma!P316/data!$K316</f>
        <v>3.5714285714285712E-2</v>
      </c>
      <c r="Q316">
        <f>+bma!Q316/data!$K316</f>
        <v>0.27102964285714287</v>
      </c>
      <c r="R316">
        <f>+bma!R316/data!$K316</f>
        <v>7.8472321428571426E-2</v>
      </c>
      <c r="S316">
        <f>+bma!S316/data!$K316</f>
        <v>0</v>
      </c>
    </row>
    <row r="317" spans="1:19" x14ac:dyDescent="0.25">
      <c r="A317">
        <f>+bma!A317/data!$K317</f>
        <v>-1.6744251248698595E-2</v>
      </c>
      <c r="B317">
        <f>+bma!B317/data!$K317</f>
        <v>4.6511809024162793E-3</v>
      </c>
      <c r="C317">
        <f>+bma!C317/data!$K317</f>
        <v>3.5714285714285712E-2</v>
      </c>
      <c r="D317">
        <f>+bma!D317/data!$K317</f>
        <v>3.5714285714285712E-2</v>
      </c>
      <c r="E317">
        <f>+bma!E317/data!$K317</f>
        <v>0</v>
      </c>
      <c r="F317">
        <f>+bma!F317/data!$K317</f>
        <v>3.5714285714285712E-2</v>
      </c>
      <c r="G317">
        <f>+bma!G317/data!$K317</f>
        <v>0</v>
      </c>
      <c r="H317">
        <f>+bma!H317/data!$K317</f>
        <v>0</v>
      </c>
      <c r="I317">
        <f>+bma!I317/data!$K317</f>
        <v>3.5714285714285712E-2</v>
      </c>
      <c r="J317">
        <f>+bma!L317/data!$K317</f>
        <v>3.5714285714285712E-2</v>
      </c>
      <c r="K317">
        <f>+bma!M317/data!$K317</f>
        <v>0</v>
      </c>
      <c r="L317">
        <f>+bma!J317/data!$K317</f>
        <v>3.5714285714285712E-2</v>
      </c>
      <c r="M317">
        <f>+bma!K317/data!$K317</f>
        <v>0</v>
      </c>
      <c r="N317">
        <f>+bma!N317/data!$K317</f>
        <v>0</v>
      </c>
      <c r="O317">
        <f>+bma!O317/data!$K317</f>
        <v>3.5714285714285712E-2</v>
      </c>
      <c r="P317">
        <f>+bma!P317/data!$K317</f>
        <v>3.5714285714285712E-2</v>
      </c>
      <c r="Q317">
        <f>+bma!Q317/data!$K317</f>
        <v>0.27102964285714287</v>
      </c>
      <c r="R317">
        <f>+bma!R317/data!$K317</f>
        <v>7.8472321428571426E-2</v>
      </c>
      <c r="S317">
        <f>+bma!S317/data!$K317</f>
        <v>0</v>
      </c>
    </row>
    <row r="318" spans="1:19" x14ac:dyDescent="0.25">
      <c r="A318">
        <f>+bma!A318/data!$K318</f>
        <v>-1.3129103112132933E-2</v>
      </c>
      <c r="B318">
        <f>+bma!B318/data!$K318</f>
        <v>4.8446874952520272E-3</v>
      </c>
      <c r="C318">
        <f>+bma!C318/data!$K318</f>
        <v>3.5714285714285712E-2</v>
      </c>
      <c r="D318">
        <f>+bma!D318/data!$K318</f>
        <v>3.5714285714285712E-2</v>
      </c>
      <c r="E318">
        <f>+bma!E318/data!$K318</f>
        <v>0</v>
      </c>
      <c r="F318">
        <f>+bma!F318/data!$K318</f>
        <v>3.5714285714285712E-2</v>
      </c>
      <c r="G318">
        <f>+bma!G318/data!$K318</f>
        <v>0</v>
      </c>
      <c r="H318">
        <f>+bma!H318/data!$K318</f>
        <v>0</v>
      </c>
      <c r="I318">
        <f>+bma!I318/data!$K318</f>
        <v>3.5714285714285712E-2</v>
      </c>
      <c r="J318">
        <f>+bma!L318/data!$K318</f>
        <v>3.5714285714285712E-2</v>
      </c>
      <c r="K318">
        <f>+bma!M318/data!$K318</f>
        <v>0</v>
      </c>
      <c r="L318">
        <f>+bma!J318/data!$K318</f>
        <v>3.5714285714285712E-2</v>
      </c>
      <c r="M318">
        <f>+bma!K318/data!$K318</f>
        <v>0</v>
      </c>
      <c r="N318">
        <f>+bma!N318/data!$K318</f>
        <v>0</v>
      </c>
      <c r="O318">
        <f>+bma!O318/data!$K318</f>
        <v>3.5714285714285712E-2</v>
      </c>
      <c r="P318">
        <f>+bma!P318/data!$K318</f>
        <v>3.5714285714285712E-2</v>
      </c>
      <c r="Q318">
        <f>+bma!Q318/data!$K318</f>
        <v>0.27102964285714287</v>
      </c>
      <c r="R318">
        <f>+bma!R318/data!$K318</f>
        <v>7.8472321428571426E-2</v>
      </c>
      <c r="S318">
        <f>+bma!S318/data!$K318</f>
        <v>0</v>
      </c>
    </row>
    <row r="319" spans="1:19" x14ac:dyDescent="0.25">
      <c r="A319">
        <f>+bma!A319/data!$K319</f>
        <v>-8.4085235448149147E-3</v>
      </c>
      <c r="B319">
        <f>+bma!B319/data!$K319</f>
        <v>4.8604182339970587E-3</v>
      </c>
      <c r="C319">
        <f>+bma!C319/data!$K319</f>
        <v>3.5714285714285712E-2</v>
      </c>
      <c r="D319">
        <f>+bma!D319/data!$K319</f>
        <v>3.5714285714285712E-2</v>
      </c>
      <c r="E319">
        <f>+bma!E319/data!$K319</f>
        <v>0</v>
      </c>
      <c r="F319">
        <f>+bma!F319/data!$K319</f>
        <v>3.5714285714285712E-2</v>
      </c>
      <c r="G319">
        <f>+bma!G319/data!$K319</f>
        <v>0</v>
      </c>
      <c r="H319">
        <f>+bma!H319/data!$K319</f>
        <v>0</v>
      </c>
      <c r="I319">
        <f>+bma!I319/data!$K319</f>
        <v>3.5714285714285712E-2</v>
      </c>
      <c r="J319">
        <f>+bma!L319/data!$K319</f>
        <v>3.5714285714285712E-2</v>
      </c>
      <c r="K319">
        <f>+bma!M319/data!$K319</f>
        <v>0</v>
      </c>
      <c r="L319">
        <f>+bma!J319/data!$K319</f>
        <v>0</v>
      </c>
      <c r="M319">
        <f>+bma!K319/data!$K319</f>
        <v>3.5714285714285712E-2</v>
      </c>
      <c r="N319">
        <f>+bma!N319/data!$K319</f>
        <v>0</v>
      </c>
      <c r="O319">
        <f>+bma!O319/data!$K319</f>
        <v>3.5714285714285712E-2</v>
      </c>
      <c r="P319">
        <f>+bma!P319/data!$K319</f>
        <v>3.5714285714285712E-2</v>
      </c>
      <c r="Q319">
        <f>+bma!Q319/data!$K319</f>
        <v>0.27102964285714287</v>
      </c>
      <c r="R319">
        <f>+bma!R319/data!$K319</f>
        <v>7.8472321428571426E-2</v>
      </c>
      <c r="S319">
        <f>+bma!S319/data!$K319</f>
        <v>0</v>
      </c>
    </row>
    <row r="320" spans="1:19" x14ac:dyDescent="0.25">
      <c r="A320">
        <f>+bma!A320/data!$K320</f>
        <v>-7.5057057774340352E-3</v>
      </c>
      <c r="B320">
        <f>+bma!B320/data!$K320</f>
        <v>4.9379643272592115E-3</v>
      </c>
      <c r="C320">
        <f>+bma!C320/data!$K320</f>
        <v>3.5714285714285712E-2</v>
      </c>
      <c r="D320">
        <f>+bma!D320/data!$K320</f>
        <v>3.5714285714285712E-2</v>
      </c>
      <c r="E320">
        <f>+bma!E320/data!$K320</f>
        <v>0</v>
      </c>
      <c r="F320">
        <f>+bma!F320/data!$K320</f>
        <v>3.5714285714285712E-2</v>
      </c>
      <c r="G320">
        <f>+bma!G320/data!$K320</f>
        <v>0</v>
      </c>
      <c r="H320">
        <f>+bma!H320/data!$K320</f>
        <v>0</v>
      </c>
      <c r="I320">
        <f>+bma!I320/data!$K320</f>
        <v>3.5714285714285712E-2</v>
      </c>
      <c r="J320">
        <f>+bma!L320/data!$K320</f>
        <v>3.5714285714285712E-2</v>
      </c>
      <c r="K320">
        <f>+bma!M320/data!$K320</f>
        <v>0</v>
      </c>
      <c r="L320">
        <f>+bma!J320/data!$K320</f>
        <v>0</v>
      </c>
      <c r="M320">
        <f>+bma!K320/data!$K320</f>
        <v>3.5714285714285712E-2</v>
      </c>
      <c r="N320">
        <f>+bma!N320/data!$K320</f>
        <v>0</v>
      </c>
      <c r="O320">
        <f>+bma!O320/data!$K320</f>
        <v>3.5714285714285712E-2</v>
      </c>
      <c r="P320">
        <f>+bma!P320/data!$K320</f>
        <v>3.5714285714285712E-2</v>
      </c>
      <c r="Q320">
        <f>+bma!Q320/data!$K320</f>
        <v>0.27102964285714287</v>
      </c>
      <c r="R320">
        <f>+bma!R320/data!$K320</f>
        <v>7.8472321428571426E-2</v>
      </c>
      <c r="S320">
        <f>+bma!S320/data!$K320</f>
        <v>0</v>
      </c>
    </row>
    <row r="321" spans="1:19" x14ac:dyDescent="0.25">
      <c r="A321">
        <f>+bma!A321/data!$K321</f>
        <v>-7.6260853356904064E-3</v>
      </c>
      <c r="B321">
        <f>+bma!B321/data!$K321</f>
        <v>4.9843695004512436E-3</v>
      </c>
      <c r="C321">
        <f>+bma!C321/data!$K321</f>
        <v>3.5714285714285712E-2</v>
      </c>
      <c r="D321">
        <f>+bma!D321/data!$K321</f>
        <v>3.5714285714285712E-2</v>
      </c>
      <c r="E321">
        <f>+bma!E321/data!$K321</f>
        <v>0</v>
      </c>
      <c r="F321">
        <f>+bma!F321/data!$K321</f>
        <v>3.5714285714285712E-2</v>
      </c>
      <c r="G321">
        <f>+bma!G321/data!$K321</f>
        <v>0</v>
      </c>
      <c r="H321">
        <f>+bma!H321/data!$K321</f>
        <v>0</v>
      </c>
      <c r="I321">
        <f>+bma!I321/data!$K321</f>
        <v>3.5714285714285712E-2</v>
      </c>
      <c r="J321">
        <f>+bma!L321/data!$K321</f>
        <v>3.5714285714285712E-2</v>
      </c>
      <c r="K321">
        <f>+bma!M321/data!$K321</f>
        <v>0</v>
      </c>
      <c r="L321">
        <f>+bma!J321/data!$K321</f>
        <v>0</v>
      </c>
      <c r="M321">
        <f>+bma!K321/data!$K321</f>
        <v>3.5714285714285712E-2</v>
      </c>
      <c r="N321">
        <f>+bma!N321/data!$K321</f>
        <v>0</v>
      </c>
      <c r="O321">
        <f>+bma!O321/data!$K321</f>
        <v>3.5714285714285712E-2</v>
      </c>
      <c r="P321">
        <f>+bma!P321/data!$K321</f>
        <v>3.5714285714285712E-2</v>
      </c>
      <c r="Q321">
        <f>+bma!Q321/data!$K321</f>
        <v>0.27102964285714287</v>
      </c>
      <c r="R321">
        <f>+bma!R321/data!$K321</f>
        <v>7.8472321428571426E-2</v>
      </c>
      <c r="S321">
        <f>+bma!S321/data!$K321</f>
        <v>0</v>
      </c>
    </row>
    <row r="322" spans="1:19" x14ac:dyDescent="0.25">
      <c r="A322">
        <f>+bma!A322/data!$K322</f>
        <v>-1.2207904889860366E-2</v>
      </c>
      <c r="B322">
        <f>+bma!B322/data!$K322</f>
        <v>4.8444067023255379E-3</v>
      </c>
      <c r="C322">
        <f>+bma!C322/data!$K322</f>
        <v>3.5714285714285712E-2</v>
      </c>
      <c r="D322">
        <f>+bma!D322/data!$K322</f>
        <v>3.5714285714285712E-2</v>
      </c>
      <c r="E322">
        <f>+bma!E322/data!$K322</f>
        <v>0</v>
      </c>
      <c r="F322">
        <f>+bma!F322/data!$K322</f>
        <v>3.5714285714285712E-2</v>
      </c>
      <c r="G322">
        <f>+bma!G322/data!$K322</f>
        <v>0</v>
      </c>
      <c r="H322">
        <f>+bma!H322/data!$K322</f>
        <v>0</v>
      </c>
      <c r="I322">
        <f>+bma!I322/data!$K322</f>
        <v>3.5714285714285712E-2</v>
      </c>
      <c r="J322">
        <f>+bma!L322/data!$K322</f>
        <v>3.5714285714285712E-2</v>
      </c>
      <c r="K322">
        <f>+bma!M322/data!$K322</f>
        <v>0</v>
      </c>
      <c r="L322">
        <f>+bma!J322/data!$K322</f>
        <v>0</v>
      </c>
      <c r="M322">
        <f>+bma!K322/data!$K322</f>
        <v>3.5714285714285712E-2</v>
      </c>
      <c r="N322">
        <f>+bma!N322/data!$K322</f>
        <v>0</v>
      </c>
      <c r="O322">
        <f>+bma!O322/data!$K322</f>
        <v>3.5714285714285712E-2</v>
      </c>
      <c r="P322">
        <f>+bma!P322/data!$K322</f>
        <v>3.5714285714285712E-2</v>
      </c>
      <c r="Q322">
        <f>+bma!Q322/data!$K322</f>
        <v>0.27102964285714287</v>
      </c>
      <c r="R322">
        <f>+bma!R322/data!$K322</f>
        <v>7.8472321428571426E-2</v>
      </c>
      <c r="S322">
        <f>+bma!S322/data!$K322</f>
        <v>0</v>
      </c>
    </row>
    <row r="323" spans="1:19" x14ac:dyDescent="0.25">
      <c r="A323">
        <f>+bma!A323/data!$K323</f>
        <v>-1.291882251849061E-2</v>
      </c>
      <c r="B323">
        <f>+bma!B323/data!$K323</f>
        <v>4.8567001949212747E-3</v>
      </c>
      <c r="C323">
        <f>+bma!C323/data!$K323</f>
        <v>3.5714285714285712E-2</v>
      </c>
      <c r="D323">
        <f>+bma!D323/data!$K323</f>
        <v>3.5714285714285712E-2</v>
      </c>
      <c r="E323">
        <f>+bma!E323/data!$K323</f>
        <v>0</v>
      </c>
      <c r="F323">
        <f>+bma!F323/data!$K323</f>
        <v>3.5714285714285712E-2</v>
      </c>
      <c r="G323">
        <f>+bma!G323/data!$K323</f>
        <v>0</v>
      </c>
      <c r="H323">
        <f>+bma!H323/data!$K323</f>
        <v>0</v>
      </c>
      <c r="I323">
        <f>+bma!I323/data!$K323</f>
        <v>3.5714285714285712E-2</v>
      </c>
      <c r="J323">
        <f>+bma!L323/data!$K323</f>
        <v>3.5714285714285712E-2</v>
      </c>
      <c r="K323">
        <f>+bma!M323/data!$K323</f>
        <v>0</v>
      </c>
      <c r="L323">
        <f>+bma!J323/data!$K323</f>
        <v>0</v>
      </c>
      <c r="M323">
        <f>+bma!K323/data!$K323</f>
        <v>3.5714285714285712E-2</v>
      </c>
      <c r="N323">
        <f>+bma!N323/data!$K323</f>
        <v>0</v>
      </c>
      <c r="O323">
        <f>+bma!O323/data!$K323</f>
        <v>3.5714285714285712E-2</v>
      </c>
      <c r="P323">
        <f>+bma!P323/data!$K323</f>
        <v>3.5714285714285712E-2</v>
      </c>
      <c r="Q323">
        <f>+bma!Q323/data!$K323</f>
        <v>0.27102964285714287</v>
      </c>
      <c r="R323">
        <f>+bma!R323/data!$K323</f>
        <v>7.8472321428571426E-2</v>
      </c>
      <c r="S323">
        <f>+bma!S323/data!$K323</f>
        <v>0</v>
      </c>
    </row>
    <row r="324" spans="1:19" x14ac:dyDescent="0.25">
      <c r="A324">
        <f>+bma!A324/data!$K324</f>
        <v>-1.4244932551472954E-2</v>
      </c>
      <c r="B324">
        <f>+bma!B324/data!$K324</f>
        <v>4.8287906954145518E-3</v>
      </c>
      <c r="C324">
        <f>+bma!C324/data!$K324</f>
        <v>3.5714285714285712E-2</v>
      </c>
      <c r="D324">
        <f>+bma!D324/data!$K324</f>
        <v>3.5714285714285712E-2</v>
      </c>
      <c r="E324">
        <f>+bma!E324/data!$K324</f>
        <v>0</v>
      </c>
      <c r="F324">
        <f>+bma!F324/data!$K324</f>
        <v>3.5714285714285712E-2</v>
      </c>
      <c r="G324">
        <f>+bma!G324/data!$K324</f>
        <v>0</v>
      </c>
      <c r="H324">
        <f>+bma!H324/data!$K324</f>
        <v>0</v>
      </c>
      <c r="I324">
        <f>+bma!I324/data!$K324</f>
        <v>3.5714285714285712E-2</v>
      </c>
      <c r="J324">
        <f>+bma!L324/data!$K324</f>
        <v>3.5714285714285712E-2</v>
      </c>
      <c r="K324">
        <f>+bma!M324/data!$K324</f>
        <v>0</v>
      </c>
      <c r="L324">
        <f>+bma!J324/data!$K324</f>
        <v>0</v>
      </c>
      <c r="M324">
        <f>+bma!K324/data!$K324</f>
        <v>3.5714285714285712E-2</v>
      </c>
      <c r="N324">
        <f>+bma!N324/data!$K324</f>
        <v>0</v>
      </c>
      <c r="O324">
        <f>+bma!O324/data!$K324</f>
        <v>3.5714285714285712E-2</v>
      </c>
      <c r="P324">
        <f>+bma!P324/data!$K324</f>
        <v>3.5714285714285712E-2</v>
      </c>
      <c r="Q324">
        <f>+bma!Q324/data!$K324</f>
        <v>0.27102964285714287</v>
      </c>
      <c r="R324">
        <f>+bma!R324/data!$K324</f>
        <v>7.8472321428571426E-2</v>
      </c>
      <c r="S324">
        <f>+bma!S324/data!$K324</f>
        <v>0</v>
      </c>
    </row>
    <row r="325" spans="1:19" x14ac:dyDescent="0.25">
      <c r="A325">
        <f>+bma!A325/data!$K325</f>
        <v>-1.3750507517002823E-2</v>
      </c>
      <c r="B325">
        <f>+bma!B325/data!$K325</f>
        <v>4.8078697611898188E-3</v>
      </c>
      <c r="C325">
        <f>+bma!C325/data!$K325</f>
        <v>3.5714285714285712E-2</v>
      </c>
      <c r="D325">
        <f>+bma!D325/data!$K325</f>
        <v>3.5714285714285712E-2</v>
      </c>
      <c r="E325">
        <f>+bma!E325/data!$K325</f>
        <v>0</v>
      </c>
      <c r="F325">
        <f>+bma!F325/data!$K325</f>
        <v>3.5714285714285712E-2</v>
      </c>
      <c r="G325">
        <f>+bma!G325/data!$K325</f>
        <v>0</v>
      </c>
      <c r="H325">
        <f>+bma!H325/data!$K325</f>
        <v>0</v>
      </c>
      <c r="I325">
        <f>+bma!I325/data!$K325</f>
        <v>3.5714285714285712E-2</v>
      </c>
      <c r="J325">
        <f>+bma!L325/data!$K325</f>
        <v>3.5714285714285712E-2</v>
      </c>
      <c r="K325">
        <f>+bma!M325/data!$K325</f>
        <v>0</v>
      </c>
      <c r="L325">
        <f>+bma!J325/data!$K325</f>
        <v>0</v>
      </c>
      <c r="M325">
        <f>+bma!K325/data!$K325</f>
        <v>3.5714285714285712E-2</v>
      </c>
      <c r="N325">
        <f>+bma!N325/data!$K325</f>
        <v>0</v>
      </c>
      <c r="O325">
        <f>+bma!O325/data!$K325</f>
        <v>3.5714285714285712E-2</v>
      </c>
      <c r="P325">
        <f>+bma!P325/data!$K325</f>
        <v>3.5714285714285712E-2</v>
      </c>
      <c r="Q325">
        <f>+bma!Q325/data!$K325</f>
        <v>0.27102964285714287</v>
      </c>
      <c r="R325">
        <f>+bma!R325/data!$K325</f>
        <v>7.8472321428571426E-2</v>
      </c>
      <c r="S325">
        <f>+bma!S325/data!$K325</f>
        <v>0</v>
      </c>
    </row>
    <row r="326" spans="1:19" x14ac:dyDescent="0.25">
      <c r="A326">
        <f>+bma!A326/data!$K326</f>
        <v>-1.3873075835928571E-2</v>
      </c>
      <c r="B326">
        <f>+bma!B326/data!$K326</f>
        <v>4.8003722615669537E-3</v>
      </c>
      <c r="C326">
        <f>+bma!C326/data!$K326</f>
        <v>3.5714285714285712E-2</v>
      </c>
      <c r="D326">
        <f>+bma!D326/data!$K326</f>
        <v>3.5714285714285712E-2</v>
      </c>
      <c r="E326">
        <f>+bma!E326/data!$K326</f>
        <v>0</v>
      </c>
      <c r="F326">
        <f>+bma!F326/data!$K326</f>
        <v>3.5714285714285712E-2</v>
      </c>
      <c r="G326">
        <f>+bma!G326/data!$K326</f>
        <v>0</v>
      </c>
      <c r="H326">
        <f>+bma!H326/data!$K326</f>
        <v>0</v>
      </c>
      <c r="I326">
        <f>+bma!I326/data!$K326</f>
        <v>3.5714285714285712E-2</v>
      </c>
      <c r="J326">
        <f>+bma!L326/data!$K326</f>
        <v>3.5714285714285712E-2</v>
      </c>
      <c r="K326">
        <f>+bma!M326/data!$K326</f>
        <v>0</v>
      </c>
      <c r="L326">
        <f>+bma!J326/data!$K326</f>
        <v>0</v>
      </c>
      <c r="M326">
        <f>+bma!K326/data!$K326</f>
        <v>0</v>
      </c>
      <c r="N326">
        <f>+bma!N326/data!$K326</f>
        <v>0</v>
      </c>
      <c r="O326">
        <f>+bma!O326/data!$K326</f>
        <v>3.5714285714285712E-2</v>
      </c>
      <c r="P326">
        <f>+bma!P326/data!$K326</f>
        <v>3.5714285714285712E-2</v>
      </c>
      <c r="Q326">
        <f>+bma!Q326/data!$K326</f>
        <v>0.27102964285714287</v>
      </c>
      <c r="R326">
        <f>+bma!R326/data!$K326</f>
        <v>7.8472321428571426E-2</v>
      </c>
      <c r="S326">
        <f>+bma!S326/data!$K326</f>
        <v>0</v>
      </c>
    </row>
    <row r="327" spans="1:19" x14ac:dyDescent="0.25">
      <c r="A327">
        <f>+bma!A327/data!$K327</f>
        <v>1.2619022381028095E-3</v>
      </c>
      <c r="B327">
        <f>+bma!B327/data!$K327</f>
        <v>5.0476089524112379E-3</v>
      </c>
      <c r="C327">
        <f>+bma!C327/data!$K327</f>
        <v>3.5714285714285712E-2</v>
      </c>
      <c r="D327">
        <f>+bma!D327/data!$K327</f>
        <v>3.5714285714285712E-2</v>
      </c>
      <c r="E327">
        <f>+bma!E327/data!$K327</f>
        <v>0</v>
      </c>
      <c r="F327">
        <f>+bma!F327/data!$K327</f>
        <v>3.5714285714285712E-2</v>
      </c>
      <c r="G327">
        <f>+bma!G327/data!$K327</f>
        <v>0</v>
      </c>
      <c r="H327">
        <f>+bma!H327/data!$K327</f>
        <v>0</v>
      </c>
      <c r="I327">
        <f>+bma!I327/data!$K327</f>
        <v>3.5714285714285712E-2</v>
      </c>
      <c r="J327">
        <f>+bma!L327/data!$K327</f>
        <v>3.5714285714285712E-2</v>
      </c>
      <c r="K327">
        <f>+bma!M327/data!$K327</f>
        <v>0</v>
      </c>
      <c r="L327">
        <f>+bma!J327/data!$K327</f>
        <v>3.5714285714285712E-2</v>
      </c>
      <c r="M327">
        <f>+bma!K327/data!$K327</f>
        <v>0</v>
      </c>
      <c r="N327">
        <f>+bma!N327/data!$K327</f>
        <v>3.5714285714285712E-2</v>
      </c>
      <c r="O327">
        <f>+bma!O327/data!$K327</f>
        <v>0</v>
      </c>
      <c r="P327">
        <f>+bma!P327/data!$K327</f>
        <v>3.5714285714285712E-2</v>
      </c>
      <c r="Q327">
        <f>+bma!Q327/data!$K327</f>
        <v>0.27102964285714287</v>
      </c>
      <c r="R327">
        <f>+bma!R327/data!$K327</f>
        <v>7.8472321428571426E-2</v>
      </c>
      <c r="S327">
        <f>+bma!S327/data!$K327</f>
        <v>0</v>
      </c>
    </row>
    <row r="328" spans="1:19" x14ac:dyDescent="0.25">
      <c r="A328">
        <f>+bma!A328/data!$K328</f>
        <v>6.6315095627563132E-4</v>
      </c>
      <c r="B328">
        <f>+bma!B328/data!$K328</f>
        <v>5.1011612021202388E-3</v>
      </c>
      <c r="C328">
        <f>+bma!C328/data!$K328</f>
        <v>3.5714285714285712E-2</v>
      </c>
      <c r="D328">
        <f>+bma!D328/data!$K328</f>
        <v>3.5714285714285712E-2</v>
      </c>
      <c r="E328">
        <f>+bma!E328/data!$K328</f>
        <v>0</v>
      </c>
      <c r="F328">
        <f>+bma!F328/data!$K328</f>
        <v>3.5714285714285712E-2</v>
      </c>
      <c r="G328">
        <f>+bma!G328/data!$K328</f>
        <v>0</v>
      </c>
      <c r="H328">
        <f>+bma!H328/data!$K328</f>
        <v>0</v>
      </c>
      <c r="I328">
        <f>+bma!I328/data!$K328</f>
        <v>3.5714285714285712E-2</v>
      </c>
      <c r="J328">
        <f>+bma!L328/data!$K328</f>
        <v>3.5714285714285712E-2</v>
      </c>
      <c r="K328">
        <f>+bma!M328/data!$K328</f>
        <v>0</v>
      </c>
      <c r="L328">
        <f>+bma!J328/data!$K328</f>
        <v>3.5714285714285712E-2</v>
      </c>
      <c r="M328">
        <f>+bma!K328/data!$K328</f>
        <v>0</v>
      </c>
      <c r="N328">
        <f>+bma!N328/data!$K328</f>
        <v>3.5714285714285712E-2</v>
      </c>
      <c r="O328">
        <f>+bma!O328/data!$K328</f>
        <v>0</v>
      </c>
      <c r="P328">
        <f>+bma!P328/data!$K328</f>
        <v>3.5714285714285712E-2</v>
      </c>
      <c r="Q328">
        <f>+bma!Q328/data!$K328</f>
        <v>0.27102964285714287</v>
      </c>
      <c r="R328">
        <f>+bma!R328/data!$K328</f>
        <v>7.8472321428571426E-2</v>
      </c>
      <c r="S328">
        <f>+bma!S328/data!$K328</f>
        <v>0</v>
      </c>
    </row>
    <row r="329" spans="1:19" x14ac:dyDescent="0.25">
      <c r="A329">
        <f>+bma!A329/data!$K329</f>
        <v>-2.6730363425266301E-3</v>
      </c>
      <c r="B329">
        <f>+bma!B329/data!$K329</f>
        <v>5.140454504858909E-3</v>
      </c>
      <c r="C329">
        <f>+bma!C329/data!$K329</f>
        <v>3.5714285714285712E-2</v>
      </c>
      <c r="D329">
        <f>+bma!D329/data!$K329</f>
        <v>3.5714285714285712E-2</v>
      </c>
      <c r="E329">
        <f>+bma!E329/data!$K329</f>
        <v>0</v>
      </c>
      <c r="F329">
        <f>+bma!F329/data!$K329</f>
        <v>3.5714285714285712E-2</v>
      </c>
      <c r="G329">
        <f>+bma!G329/data!$K329</f>
        <v>0</v>
      </c>
      <c r="H329">
        <f>+bma!H329/data!$K329</f>
        <v>0</v>
      </c>
      <c r="I329">
        <f>+bma!I329/data!$K329</f>
        <v>3.5714285714285712E-2</v>
      </c>
      <c r="J329">
        <f>+bma!L329/data!$K329</f>
        <v>3.5714285714285712E-2</v>
      </c>
      <c r="K329">
        <f>+bma!M329/data!$K329</f>
        <v>0</v>
      </c>
      <c r="L329">
        <f>+bma!J329/data!$K329</f>
        <v>3.5714285714285712E-2</v>
      </c>
      <c r="M329">
        <f>+bma!K329/data!$K329</f>
        <v>0</v>
      </c>
      <c r="N329">
        <f>+bma!N329/data!$K329</f>
        <v>3.5714285714285712E-2</v>
      </c>
      <c r="O329">
        <f>+bma!O329/data!$K329</f>
        <v>0</v>
      </c>
      <c r="P329">
        <f>+bma!P329/data!$K329</f>
        <v>3.5714285714285712E-2</v>
      </c>
      <c r="Q329">
        <f>+bma!Q329/data!$K329</f>
        <v>0.27102964285714287</v>
      </c>
      <c r="R329">
        <f>+bma!R329/data!$K329</f>
        <v>7.8472321428571426E-2</v>
      </c>
      <c r="S329">
        <f>+bma!S329/data!$K329</f>
        <v>0</v>
      </c>
    </row>
    <row r="330" spans="1:19" x14ac:dyDescent="0.25">
      <c r="A330">
        <f>+bma!A330/data!$K330</f>
        <v>-3.8327402554327486E-3</v>
      </c>
      <c r="B330">
        <f>+bma!B330/data!$K330</f>
        <v>5.1793787235577728E-3</v>
      </c>
      <c r="C330">
        <f>+bma!C330/data!$K330</f>
        <v>3.5714285714285712E-2</v>
      </c>
      <c r="D330">
        <f>+bma!D330/data!$K330</f>
        <v>3.5714285714285712E-2</v>
      </c>
      <c r="E330">
        <f>+bma!E330/data!$K330</f>
        <v>0</v>
      </c>
      <c r="F330">
        <f>+bma!F330/data!$K330</f>
        <v>3.5714285714285712E-2</v>
      </c>
      <c r="G330">
        <f>+bma!G330/data!$K330</f>
        <v>0</v>
      </c>
      <c r="H330">
        <f>+bma!H330/data!$K330</f>
        <v>0</v>
      </c>
      <c r="I330">
        <f>+bma!I330/data!$K330</f>
        <v>3.5714285714285712E-2</v>
      </c>
      <c r="J330">
        <f>+bma!L330/data!$K330</f>
        <v>3.5714285714285712E-2</v>
      </c>
      <c r="K330">
        <f>+bma!M330/data!$K330</f>
        <v>0</v>
      </c>
      <c r="L330">
        <f>+bma!J330/data!$K330</f>
        <v>3.5714285714285712E-2</v>
      </c>
      <c r="M330">
        <f>+bma!K330/data!$K330</f>
        <v>0</v>
      </c>
      <c r="N330">
        <f>+bma!N330/data!$K330</f>
        <v>3.5714285714285712E-2</v>
      </c>
      <c r="O330">
        <f>+bma!O330/data!$K330</f>
        <v>0</v>
      </c>
      <c r="P330">
        <f>+bma!P330/data!$K330</f>
        <v>3.5714285714285712E-2</v>
      </c>
      <c r="Q330">
        <f>+bma!Q330/data!$K330</f>
        <v>0.27102964285714287</v>
      </c>
      <c r="R330">
        <f>+bma!R330/data!$K330</f>
        <v>7.8472321428571426E-2</v>
      </c>
      <c r="S330">
        <f>+bma!S330/data!$K330</f>
        <v>0</v>
      </c>
    </row>
    <row r="331" spans="1:19" x14ac:dyDescent="0.25">
      <c r="A331">
        <f>+bma!A331/data!$K331</f>
        <v>-4.9029712457303873E-3</v>
      </c>
      <c r="B331">
        <f>+bma!B331/data!$K331</f>
        <v>5.2159268571599915E-3</v>
      </c>
      <c r="C331">
        <f>+bma!C331/data!$K331</f>
        <v>3.5714285714285712E-2</v>
      </c>
      <c r="D331">
        <f>+bma!D331/data!$K331</f>
        <v>3.5714285714285712E-2</v>
      </c>
      <c r="E331">
        <f>+bma!E331/data!$K331</f>
        <v>0</v>
      </c>
      <c r="F331">
        <f>+bma!F331/data!$K331</f>
        <v>3.5714285714285712E-2</v>
      </c>
      <c r="G331">
        <f>+bma!G331/data!$K331</f>
        <v>0</v>
      </c>
      <c r="H331">
        <f>+bma!H331/data!$K331</f>
        <v>0</v>
      </c>
      <c r="I331">
        <f>+bma!I331/data!$K331</f>
        <v>3.5714285714285712E-2</v>
      </c>
      <c r="J331">
        <f>+bma!L331/data!$K331</f>
        <v>3.5714285714285712E-2</v>
      </c>
      <c r="K331">
        <f>+bma!M331/data!$K331</f>
        <v>0</v>
      </c>
      <c r="L331">
        <f>+bma!J331/data!$K331</f>
        <v>3.5714285714285712E-2</v>
      </c>
      <c r="M331">
        <f>+bma!K331/data!$K331</f>
        <v>0</v>
      </c>
      <c r="N331">
        <f>+bma!N331/data!$K331</f>
        <v>3.5714285714285712E-2</v>
      </c>
      <c r="O331">
        <f>+bma!O331/data!$K331</f>
        <v>0</v>
      </c>
      <c r="P331">
        <f>+bma!P331/data!$K331</f>
        <v>3.5714285714285712E-2</v>
      </c>
      <c r="Q331">
        <f>+bma!Q331/data!$K331</f>
        <v>0.27102964285714287</v>
      </c>
      <c r="R331">
        <f>+bma!R331/data!$K331</f>
        <v>7.8472321428571426E-2</v>
      </c>
      <c r="S331">
        <f>+bma!S331/data!$K331</f>
        <v>0</v>
      </c>
    </row>
    <row r="332" spans="1:19" x14ac:dyDescent="0.25">
      <c r="A332">
        <f>+bma!A332/data!$K332</f>
        <v>-1.6962314997336133E-2</v>
      </c>
      <c r="B332">
        <f>+bma!B332/data!$K332</f>
        <v>4.5844094587392881E-3</v>
      </c>
      <c r="C332">
        <f>+bma!C332/data!$K332</f>
        <v>3.5714285714285712E-2</v>
      </c>
      <c r="D332">
        <f>+bma!D332/data!$K332</f>
        <v>3.5714285714285712E-2</v>
      </c>
      <c r="E332">
        <f>+bma!E332/data!$K332</f>
        <v>0</v>
      </c>
      <c r="F332">
        <f>+bma!F332/data!$K332</f>
        <v>3.5714285714285712E-2</v>
      </c>
      <c r="G332">
        <f>+bma!G332/data!$K332</f>
        <v>0</v>
      </c>
      <c r="H332">
        <f>+bma!H332/data!$K332</f>
        <v>0</v>
      </c>
      <c r="I332">
        <f>+bma!I332/data!$K332</f>
        <v>3.5714285714285712E-2</v>
      </c>
      <c r="J332">
        <f>+bma!L332/data!$K332</f>
        <v>3.5714285714285712E-2</v>
      </c>
      <c r="K332">
        <f>+bma!M332/data!$K332</f>
        <v>0</v>
      </c>
      <c r="L332">
        <f>+bma!J332/data!$K332</f>
        <v>3.5714285714285712E-2</v>
      </c>
      <c r="M332">
        <f>+bma!K332/data!$K332</f>
        <v>0</v>
      </c>
      <c r="N332">
        <f>+bma!N332/data!$K332</f>
        <v>3.5714285714285712E-2</v>
      </c>
      <c r="O332">
        <f>+bma!O332/data!$K332</f>
        <v>0</v>
      </c>
      <c r="P332">
        <f>+bma!P332/data!$K332</f>
        <v>3.5714285714285712E-2</v>
      </c>
      <c r="Q332">
        <f>+bma!Q332/data!$K332</f>
        <v>0.27102964285714287</v>
      </c>
      <c r="R332">
        <f>+bma!R332/data!$K332</f>
        <v>7.8472321428571426E-2</v>
      </c>
      <c r="S332">
        <f>+bma!S332/data!$K332</f>
        <v>0</v>
      </c>
    </row>
    <row r="333" spans="1:19" x14ac:dyDescent="0.25">
      <c r="A333">
        <f>+bma!A333/data!$K333</f>
        <v>-5.0507576720059068E-5</v>
      </c>
      <c r="B333">
        <f>+bma!B333/data!$K333</f>
        <v>5.050757672005907E-3</v>
      </c>
      <c r="C333">
        <f>+bma!C333/data!$K333</f>
        <v>3.5714285714285712E-2</v>
      </c>
      <c r="D333">
        <f>+bma!D333/data!$K333</f>
        <v>3.5714285714285712E-2</v>
      </c>
      <c r="E333">
        <f>+bma!E333/data!$K333</f>
        <v>0</v>
      </c>
      <c r="F333">
        <f>+bma!F333/data!$K333</f>
        <v>3.5714285714285712E-2</v>
      </c>
      <c r="G333">
        <f>+bma!G333/data!$K333</f>
        <v>0</v>
      </c>
      <c r="H333">
        <f>+bma!H333/data!$K333</f>
        <v>0</v>
      </c>
      <c r="I333">
        <f>+bma!I333/data!$K333</f>
        <v>3.5714285714285712E-2</v>
      </c>
      <c r="J333">
        <f>+bma!L333/data!$K333</f>
        <v>3.5714285714285712E-2</v>
      </c>
      <c r="K333">
        <f>+bma!M333/data!$K333</f>
        <v>0</v>
      </c>
      <c r="L333">
        <f>+bma!J333/data!$K333</f>
        <v>0</v>
      </c>
      <c r="M333">
        <f>+bma!K333/data!$K333</f>
        <v>3.5714285714285712E-2</v>
      </c>
      <c r="N333">
        <f>+bma!N333/data!$K333</f>
        <v>3.5714285714285712E-2</v>
      </c>
      <c r="O333">
        <f>+bma!O333/data!$K333</f>
        <v>0</v>
      </c>
      <c r="P333">
        <f>+bma!P333/data!$K333</f>
        <v>3.5714285714285712E-2</v>
      </c>
      <c r="Q333">
        <f>+bma!Q333/data!$K333</f>
        <v>0.27102964285714287</v>
      </c>
      <c r="R333">
        <f>+bma!R333/data!$K333</f>
        <v>7.8472321428571426E-2</v>
      </c>
      <c r="S333">
        <f>+bma!S333/data!$K333</f>
        <v>0</v>
      </c>
    </row>
    <row r="334" spans="1:19" x14ac:dyDescent="0.25">
      <c r="A334">
        <f>+bma!A334/data!$K334</f>
        <v>-7.141428999857196E-4</v>
      </c>
      <c r="B334">
        <f>+bma!B334/data!$K334</f>
        <v>5.1010207141837091E-3</v>
      </c>
      <c r="C334">
        <f>+bma!C334/data!$K334</f>
        <v>3.5714285714285712E-2</v>
      </c>
      <c r="D334">
        <f>+bma!D334/data!$K334</f>
        <v>3.5714285714285712E-2</v>
      </c>
      <c r="E334">
        <f>+bma!E334/data!$K334</f>
        <v>0</v>
      </c>
      <c r="F334">
        <f>+bma!F334/data!$K334</f>
        <v>3.5714285714285712E-2</v>
      </c>
      <c r="G334">
        <f>+bma!G334/data!$K334</f>
        <v>0</v>
      </c>
      <c r="H334">
        <f>+bma!H334/data!$K334</f>
        <v>0</v>
      </c>
      <c r="I334">
        <f>+bma!I334/data!$K334</f>
        <v>3.5714285714285712E-2</v>
      </c>
      <c r="J334">
        <f>+bma!L334/data!$K334</f>
        <v>3.5714285714285712E-2</v>
      </c>
      <c r="K334">
        <f>+bma!M334/data!$K334</f>
        <v>0</v>
      </c>
      <c r="L334">
        <f>+bma!J334/data!$K334</f>
        <v>0</v>
      </c>
      <c r="M334">
        <f>+bma!K334/data!$K334</f>
        <v>3.5714285714285712E-2</v>
      </c>
      <c r="N334">
        <f>+bma!N334/data!$K334</f>
        <v>3.5714285714285712E-2</v>
      </c>
      <c r="O334">
        <f>+bma!O334/data!$K334</f>
        <v>0</v>
      </c>
      <c r="P334">
        <f>+bma!P334/data!$K334</f>
        <v>3.5714285714285712E-2</v>
      </c>
      <c r="Q334">
        <f>+bma!Q334/data!$K334</f>
        <v>0.27102964285714287</v>
      </c>
      <c r="R334">
        <f>+bma!R334/data!$K334</f>
        <v>7.8472321428571426E-2</v>
      </c>
      <c r="S334">
        <f>+bma!S334/data!$K334</f>
        <v>0</v>
      </c>
    </row>
    <row r="335" spans="1:19" x14ac:dyDescent="0.25">
      <c r="A335">
        <f>+bma!A335/data!$K335</f>
        <v>-3.7930608149664021E-3</v>
      </c>
      <c r="B335">
        <f>+bma!B335/data!$K335</f>
        <v>5.1257578580627128E-3</v>
      </c>
      <c r="C335">
        <f>+bma!C335/data!$K335</f>
        <v>3.5714285714285712E-2</v>
      </c>
      <c r="D335">
        <f>+bma!D335/data!$K335</f>
        <v>3.5714285714285712E-2</v>
      </c>
      <c r="E335">
        <f>+bma!E335/data!$K335</f>
        <v>0</v>
      </c>
      <c r="F335">
        <f>+bma!F335/data!$K335</f>
        <v>3.5714285714285712E-2</v>
      </c>
      <c r="G335">
        <f>+bma!G335/data!$K335</f>
        <v>0</v>
      </c>
      <c r="H335">
        <f>+bma!H335/data!$K335</f>
        <v>0</v>
      </c>
      <c r="I335">
        <f>+bma!I335/data!$K335</f>
        <v>3.5714285714285712E-2</v>
      </c>
      <c r="J335">
        <f>+bma!L335/data!$K335</f>
        <v>3.5714285714285712E-2</v>
      </c>
      <c r="K335">
        <f>+bma!M335/data!$K335</f>
        <v>0</v>
      </c>
      <c r="L335">
        <f>+bma!J335/data!$K335</f>
        <v>0</v>
      </c>
      <c r="M335">
        <f>+bma!K335/data!$K335</f>
        <v>3.5714285714285712E-2</v>
      </c>
      <c r="N335">
        <f>+bma!N335/data!$K335</f>
        <v>3.5714285714285712E-2</v>
      </c>
      <c r="O335">
        <f>+bma!O335/data!$K335</f>
        <v>0</v>
      </c>
      <c r="P335">
        <f>+bma!P335/data!$K335</f>
        <v>3.5714285714285712E-2</v>
      </c>
      <c r="Q335">
        <f>+bma!Q335/data!$K335</f>
        <v>0.27102964285714287</v>
      </c>
      <c r="R335">
        <f>+bma!R335/data!$K335</f>
        <v>7.8472321428571426E-2</v>
      </c>
      <c r="S335">
        <f>+bma!S335/data!$K335</f>
        <v>0</v>
      </c>
    </row>
    <row r="336" spans="1:19" x14ac:dyDescent="0.25">
      <c r="A336">
        <f>+bma!A336/data!$K336</f>
        <v>-4.699393335799786E-3</v>
      </c>
      <c r="B336">
        <f>+bma!B336/data!$K336</f>
        <v>5.1641685008788829E-3</v>
      </c>
      <c r="C336">
        <f>+bma!C336/data!$K336</f>
        <v>3.5714285714285712E-2</v>
      </c>
      <c r="D336">
        <f>+bma!D336/data!$K336</f>
        <v>3.5714285714285712E-2</v>
      </c>
      <c r="E336">
        <f>+bma!E336/data!$K336</f>
        <v>0</v>
      </c>
      <c r="F336">
        <f>+bma!F336/data!$K336</f>
        <v>3.5714285714285712E-2</v>
      </c>
      <c r="G336">
        <f>+bma!G336/data!$K336</f>
        <v>0</v>
      </c>
      <c r="H336">
        <f>+bma!H336/data!$K336</f>
        <v>0</v>
      </c>
      <c r="I336">
        <f>+bma!I336/data!$K336</f>
        <v>3.5714285714285712E-2</v>
      </c>
      <c r="J336">
        <f>+bma!L336/data!$K336</f>
        <v>3.5714285714285712E-2</v>
      </c>
      <c r="K336">
        <f>+bma!M336/data!$K336</f>
        <v>0</v>
      </c>
      <c r="L336">
        <f>+bma!J336/data!$K336</f>
        <v>0</v>
      </c>
      <c r="M336">
        <f>+bma!K336/data!$K336</f>
        <v>3.5714285714285712E-2</v>
      </c>
      <c r="N336">
        <f>+bma!N336/data!$K336</f>
        <v>3.5714285714285712E-2</v>
      </c>
      <c r="O336">
        <f>+bma!O336/data!$K336</f>
        <v>0</v>
      </c>
      <c r="P336">
        <f>+bma!P336/data!$K336</f>
        <v>3.5714285714285712E-2</v>
      </c>
      <c r="Q336">
        <f>+bma!Q336/data!$K336</f>
        <v>0.27102964285714287</v>
      </c>
      <c r="R336">
        <f>+bma!R336/data!$K336</f>
        <v>7.8472321428571426E-2</v>
      </c>
      <c r="S336">
        <f>+bma!S336/data!$K336</f>
        <v>0</v>
      </c>
    </row>
    <row r="337" spans="1:19" x14ac:dyDescent="0.25">
      <c r="A337">
        <f>+bma!A337/data!$K337</f>
        <v>-5.6162878603716248E-3</v>
      </c>
      <c r="B337">
        <f>+bma!B337/data!$K337</f>
        <v>5.2002665373811346E-3</v>
      </c>
      <c r="C337">
        <f>+bma!C337/data!$K337</f>
        <v>3.5714285714285712E-2</v>
      </c>
      <c r="D337">
        <f>+bma!D337/data!$K337</f>
        <v>3.5714285714285712E-2</v>
      </c>
      <c r="E337">
        <f>+bma!E337/data!$K337</f>
        <v>0</v>
      </c>
      <c r="F337">
        <f>+bma!F337/data!$K337</f>
        <v>3.5714285714285712E-2</v>
      </c>
      <c r="G337">
        <f>+bma!G337/data!$K337</f>
        <v>0</v>
      </c>
      <c r="H337">
        <f>+bma!H337/data!$K337</f>
        <v>0</v>
      </c>
      <c r="I337">
        <f>+bma!I337/data!$K337</f>
        <v>3.5714285714285712E-2</v>
      </c>
      <c r="J337">
        <f>+bma!L337/data!$K337</f>
        <v>3.5714285714285712E-2</v>
      </c>
      <c r="K337">
        <f>+bma!M337/data!$K337</f>
        <v>0</v>
      </c>
      <c r="L337">
        <f>+bma!J337/data!$K337</f>
        <v>0</v>
      </c>
      <c r="M337">
        <f>+bma!K337/data!$K337</f>
        <v>3.5714285714285712E-2</v>
      </c>
      <c r="N337">
        <f>+bma!N337/data!$K337</f>
        <v>3.5714285714285712E-2</v>
      </c>
      <c r="O337">
        <f>+bma!O337/data!$K337</f>
        <v>0</v>
      </c>
      <c r="P337">
        <f>+bma!P337/data!$K337</f>
        <v>3.5714285714285712E-2</v>
      </c>
      <c r="Q337">
        <f>+bma!Q337/data!$K337</f>
        <v>0.27102964285714287</v>
      </c>
      <c r="R337">
        <f>+bma!R337/data!$K337</f>
        <v>7.8472321428571426E-2</v>
      </c>
      <c r="S337">
        <f>+bma!S337/data!$K337</f>
        <v>0</v>
      </c>
    </row>
    <row r="338" spans="1:19" x14ac:dyDescent="0.25">
      <c r="A338">
        <f>+bma!A338/data!$K338</f>
        <v>-9.5850361886397201E-3</v>
      </c>
      <c r="B338">
        <f>+bma!B338/data!$K338</f>
        <v>5.0183435542614924E-3</v>
      </c>
      <c r="C338">
        <f>+bma!C338/data!$K338</f>
        <v>3.5714285714285712E-2</v>
      </c>
      <c r="D338">
        <f>+bma!D338/data!$K338</f>
        <v>3.5714285714285712E-2</v>
      </c>
      <c r="E338">
        <f>+bma!E338/data!$K338</f>
        <v>0</v>
      </c>
      <c r="F338">
        <f>+bma!F338/data!$K338</f>
        <v>3.5714285714285712E-2</v>
      </c>
      <c r="G338">
        <f>+bma!G338/data!$K338</f>
        <v>0</v>
      </c>
      <c r="H338">
        <f>+bma!H338/data!$K338</f>
        <v>0</v>
      </c>
      <c r="I338">
        <f>+bma!I338/data!$K338</f>
        <v>3.5714285714285712E-2</v>
      </c>
      <c r="J338">
        <f>+bma!L338/data!$K338</f>
        <v>3.5714285714285712E-2</v>
      </c>
      <c r="K338">
        <f>+bma!M338/data!$K338</f>
        <v>0</v>
      </c>
      <c r="L338">
        <f>+bma!J338/data!$K338</f>
        <v>0</v>
      </c>
      <c r="M338">
        <f>+bma!K338/data!$K338</f>
        <v>3.5714285714285712E-2</v>
      </c>
      <c r="N338">
        <f>+bma!N338/data!$K338</f>
        <v>3.5714285714285712E-2</v>
      </c>
      <c r="O338">
        <f>+bma!O338/data!$K338</f>
        <v>0</v>
      </c>
      <c r="P338">
        <f>+bma!P338/data!$K338</f>
        <v>3.5714285714285712E-2</v>
      </c>
      <c r="Q338">
        <f>+bma!Q338/data!$K338</f>
        <v>0.27102964285714287</v>
      </c>
      <c r="R338">
        <f>+bma!R338/data!$K338</f>
        <v>7.8472321428571426E-2</v>
      </c>
      <c r="S338">
        <f>+bma!S338/data!$K338</f>
        <v>0</v>
      </c>
    </row>
    <row r="339" spans="1:19" x14ac:dyDescent="0.25">
      <c r="A339">
        <f>+bma!A339/data!$K339</f>
        <v>-8.738439961640523E-3</v>
      </c>
      <c r="B339">
        <f>+bma!B339/data!$K339</f>
        <v>5.0511213651102393E-3</v>
      </c>
      <c r="C339">
        <f>+bma!C339/data!$K339</f>
        <v>3.5714285714285712E-2</v>
      </c>
      <c r="D339">
        <f>+bma!D339/data!$K339</f>
        <v>3.5714285714285712E-2</v>
      </c>
      <c r="E339">
        <f>+bma!E339/data!$K339</f>
        <v>0</v>
      </c>
      <c r="F339">
        <f>+bma!F339/data!$K339</f>
        <v>3.5714285714285712E-2</v>
      </c>
      <c r="G339">
        <f>+bma!G339/data!$K339</f>
        <v>0</v>
      </c>
      <c r="H339">
        <f>+bma!H339/data!$K339</f>
        <v>0</v>
      </c>
      <c r="I339">
        <f>+bma!I339/data!$K339</f>
        <v>3.5714285714285712E-2</v>
      </c>
      <c r="J339">
        <f>+bma!L339/data!$K339</f>
        <v>3.5714285714285712E-2</v>
      </c>
      <c r="K339">
        <f>+bma!M339/data!$K339</f>
        <v>0</v>
      </c>
      <c r="L339">
        <f>+bma!J339/data!$K339</f>
        <v>0</v>
      </c>
      <c r="M339">
        <f>+bma!K339/data!$K339</f>
        <v>0</v>
      </c>
      <c r="N339">
        <f>+bma!N339/data!$K339</f>
        <v>3.5714285714285712E-2</v>
      </c>
      <c r="O339">
        <f>+bma!O339/data!$K339</f>
        <v>0</v>
      </c>
      <c r="P339">
        <f>+bma!P339/data!$K339</f>
        <v>3.5714285714285712E-2</v>
      </c>
      <c r="Q339">
        <f>+bma!Q339/data!$K339</f>
        <v>0.27102964285714287</v>
      </c>
      <c r="R339">
        <f>+bma!R339/data!$K339</f>
        <v>7.8472321428571426E-2</v>
      </c>
      <c r="S339">
        <f>+bma!S339/data!$K339</f>
        <v>0</v>
      </c>
    </row>
    <row r="340" spans="1:19" x14ac:dyDescent="0.25">
      <c r="A340">
        <f>+bma!A340/data!$K340</f>
        <v>-0.12343840881834899</v>
      </c>
      <c r="B340">
        <f>+bma!B340/data!$K340</f>
        <v>4.1751226512088624E-2</v>
      </c>
      <c r="C340">
        <f>+bma!C340/data!$K340</f>
        <v>0</v>
      </c>
      <c r="D340">
        <f>+bma!D340/data!$K340</f>
        <v>0.33333333333333331</v>
      </c>
      <c r="E340">
        <f>+bma!E340/data!$K340</f>
        <v>0</v>
      </c>
      <c r="F340">
        <f>+bma!F340/data!$K340</f>
        <v>0.33333333333333331</v>
      </c>
      <c r="G340">
        <f>+bma!G340/data!$K340</f>
        <v>0</v>
      </c>
      <c r="H340">
        <f>+bma!H340/data!$K340</f>
        <v>0</v>
      </c>
      <c r="I340">
        <f>+bma!I340/data!$K340</f>
        <v>0.33333333333333331</v>
      </c>
      <c r="J340">
        <f>+bma!L340/data!$K340</f>
        <v>0.33333333333333331</v>
      </c>
      <c r="K340">
        <f>+bma!M340/data!$K340</f>
        <v>0</v>
      </c>
      <c r="L340">
        <f>+bma!J340/data!$K340</f>
        <v>0</v>
      </c>
      <c r="M340">
        <f>+bma!K340/data!$K340</f>
        <v>0</v>
      </c>
      <c r="N340">
        <f>+bma!N340/data!$K340</f>
        <v>0</v>
      </c>
      <c r="O340">
        <f>+bma!O340/data!$K340</f>
        <v>0</v>
      </c>
      <c r="P340">
        <f>+bma!P340/data!$K340</f>
        <v>0.33333333333333331</v>
      </c>
      <c r="Q340">
        <f>+bma!Q340/data!$K340</f>
        <v>2.5321306666666668</v>
      </c>
      <c r="R340">
        <f>+bma!R340/data!$K340</f>
        <v>1.8911076666666666</v>
      </c>
      <c r="S340">
        <f>+bma!S340/data!$K340</f>
        <v>0.33333333333333331</v>
      </c>
    </row>
    <row r="341" spans="1:19" x14ac:dyDescent="0.25">
      <c r="A341">
        <f>+bma!A341/data!$K341</f>
        <v>-0.21693045781865616</v>
      </c>
      <c r="B341">
        <f>+bma!B341/data!$K341</f>
        <v>3.6155076303109365E-2</v>
      </c>
      <c r="C341">
        <f>+bma!C341/data!$K341</f>
        <v>0</v>
      </c>
      <c r="D341">
        <f>+bma!D341/data!$K341</f>
        <v>0.33333333333333331</v>
      </c>
      <c r="E341">
        <f>+bma!E341/data!$K341</f>
        <v>0</v>
      </c>
      <c r="F341">
        <f>+bma!F341/data!$K341</f>
        <v>0.33333333333333331</v>
      </c>
      <c r="G341">
        <f>+bma!G341/data!$K341</f>
        <v>0</v>
      </c>
      <c r="H341">
        <f>+bma!H341/data!$K341</f>
        <v>0</v>
      </c>
      <c r="I341">
        <f>+bma!I341/data!$K341</f>
        <v>0.33333333333333331</v>
      </c>
      <c r="J341">
        <f>+bma!L341/data!$K341</f>
        <v>0.33333333333333331</v>
      </c>
      <c r="K341">
        <f>+bma!M341/data!$K341</f>
        <v>0</v>
      </c>
      <c r="L341">
        <f>+bma!J341/data!$K341</f>
        <v>0</v>
      </c>
      <c r="M341">
        <f>+bma!K341/data!$K341</f>
        <v>0</v>
      </c>
      <c r="N341">
        <f>+bma!N341/data!$K341</f>
        <v>0.33333333333333331</v>
      </c>
      <c r="O341">
        <f>+bma!O341/data!$K341</f>
        <v>0</v>
      </c>
      <c r="P341">
        <f>+bma!P341/data!$K341</f>
        <v>0.33333333333333331</v>
      </c>
      <c r="Q341">
        <f>+bma!Q341/data!$K341</f>
        <v>2.5321306666666668</v>
      </c>
      <c r="R341">
        <f>+bma!R341/data!$K341</f>
        <v>1.8911076666666666</v>
      </c>
      <c r="S341">
        <f>+bma!S341/data!$K341</f>
        <v>0.33333333333333331</v>
      </c>
    </row>
    <row r="342" spans="1:19" x14ac:dyDescent="0.25">
      <c r="A342">
        <f>+bma!A342/data!$K342</f>
        <v>-5.2555615908007232E-2</v>
      </c>
      <c r="B342">
        <f>+bma!B342/data!$K342</f>
        <v>4.7023445812427532E-2</v>
      </c>
      <c r="C342">
        <f>+bma!C342/data!$K342</f>
        <v>0</v>
      </c>
      <c r="D342">
        <f>+bma!D342/data!$K342</f>
        <v>0.33333333333333331</v>
      </c>
      <c r="E342">
        <f>+bma!E342/data!$K342</f>
        <v>0</v>
      </c>
      <c r="F342">
        <f>+bma!F342/data!$K342</f>
        <v>0.33333333333333331</v>
      </c>
      <c r="G342">
        <f>+bma!G342/data!$K342</f>
        <v>0</v>
      </c>
      <c r="H342">
        <f>+bma!H342/data!$K342</f>
        <v>0</v>
      </c>
      <c r="I342">
        <f>+bma!I342/data!$K342</f>
        <v>0.33333333333333331</v>
      </c>
      <c r="J342">
        <f>+bma!L342/data!$K342</f>
        <v>0.33333333333333331</v>
      </c>
      <c r="K342">
        <f>+bma!M342/data!$K342</f>
        <v>0</v>
      </c>
      <c r="L342">
        <f>+bma!J342/data!$K342</f>
        <v>0</v>
      </c>
      <c r="M342">
        <f>+bma!K342/data!$K342</f>
        <v>0</v>
      </c>
      <c r="N342">
        <f>+bma!N342/data!$K342</f>
        <v>0</v>
      </c>
      <c r="O342">
        <f>+bma!O342/data!$K342</f>
        <v>0.33333333333333331</v>
      </c>
      <c r="P342">
        <f>+bma!P342/data!$K342</f>
        <v>0.33333333333333331</v>
      </c>
      <c r="Q342">
        <f>+bma!Q342/data!$K342</f>
        <v>2.5321306666666668</v>
      </c>
      <c r="R342">
        <f>+bma!R342/data!$K342</f>
        <v>1.8911076666666666</v>
      </c>
      <c r="S342">
        <f>+bma!S342/data!$K342</f>
        <v>0.33333333333333331</v>
      </c>
    </row>
    <row r="343" spans="1:19" x14ac:dyDescent="0.25">
      <c r="A343">
        <f>+bma!A343/data!$K343</f>
        <v>-6.9529149848337312E-3</v>
      </c>
      <c r="B343">
        <f>+bma!B343/data!$K343</f>
        <v>1.5947052717508567E-3</v>
      </c>
      <c r="C343">
        <f>+bma!C343/data!$K343</f>
        <v>0</v>
      </c>
      <c r="D343">
        <f>+bma!D343/data!$K343</f>
        <v>0</v>
      </c>
      <c r="E343">
        <f>+bma!E343/data!$K343</f>
        <v>0</v>
      </c>
      <c r="F343">
        <f>+bma!F343/data!$K343</f>
        <v>2.1276595744680851E-2</v>
      </c>
      <c r="G343">
        <f>+bma!G343/data!$K343</f>
        <v>0</v>
      </c>
      <c r="H343">
        <f>+bma!H343/data!$K343</f>
        <v>2.1276595744680851E-2</v>
      </c>
      <c r="I343">
        <f>+bma!I343/data!$K343</f>
        <v>2.1276595744680851E-2</v>
      </c>
      <c r="J343">
        <f>+bma!L343/data!$K343</f>
        <v>0</v>
      </c>
      <c r="K343">
        <f>+bma!M343/data!$K343</f>
        <v>2.1276595744680851E-2</v>
      </c>
      <c r="L343">
        <f>+bma!J343/data!$K343</f>
        <v>2.1276595744680851E-2</v>
      </c>
      <c r="M343">
        <f>+bma!K343/data!$K343</f>
        <v>0</v>
      </c>
      <c r="N343">
        <f>+bma!N343/data!$K343</f>
        <v>0</v>
      </c>
      <c r="O343">
        <f>+bma!O343/data!$K343</f>
        <v>2.1276595744680851E-2</v>
      </c>
      <c r="P343">
        <f>+bma!P343/data!$K343</f>
        <v>0</v>
      </c>
      <c r="Q343">
        <f>+bma!Q343/data!$K343</f>
        <v>0.16177444680851064</v>
      </c>
      <c r="R343">
        <f>+bma!R343/data!$K343</f>
        <v>8.0025531914893616E-2</v>
      </c>
      <c r="S343">
        <f>+bma!S343/data!$K343</f>
        <v>2.1276595744680851E-2</v>
      </c>
    </row>
    <row r="344" spans="1:19" x14ac:dyDescent="0.25">
      <c r="A344">
        <f>+bma!A344/data!$K344</f>
        <v>-8.6324980558955839E-3</v>
      </c>
      <c r="B344">
        <f>+bma!B344/data!$K344</f>
        <v>1.5278757621054141E-3</v>
      </c>
      <c r="C344">
        <f>+bma!C344/data!$K344</f>
        <v>0</v>
      </c>
      <c r="D344">
        <f>+bma!D344/data!$K344</f>
        <v>0</v>
      </c>
      <c r="E344">
        <f>+bma!E344/data!$K344</f>
        <v>0</v>
      </c>
      <c r="F344">
        <f>+bma!F344/data!$K344</f>
        <v>2.1276595744680851E-2</v>
      </c>
      <c r="G344">
        <f>+bma!G344/data!$K344</f>
        <v>0</v>
      </c>
      <c r="H344">
        <f>+bma!H344/data!$K344</f>
        <v>2.1276595744680851E-2</v>
      </c>
      <c r="I344">
        <f>+bma!I344/data!$K344</f>
        <v>0</v>
      </c>
      <c r="J344">
        <f>+bma!L344/data!$K344</f>
        <v>0</v>
      </c>
      <c r="K344">
        <f>+bma!M344/data!$K344</f>
        <v>2.1276595744680851E-2</v>
      </c>
      <c r="L344">
        <f>+bma!J344/data!$K344</f>
        <v>2.1276595744680851E-2</v>
      </c>
      <c r="M344">
        <f>+bma!K344/data!$K344</f>
        <v>0</v>
      </c>
      <c r="N344">
        <f>+bma!N344/data!$K344</f>
        <v>0</v>
      </c>
      <c r="O344">
        <f>+bma!O344/data!$K344</f>
        <v>2.1276595744680851E-2</v>
      </c>
      <c r="P344">
        <f>+bma!P344/data!$K344</f>
        <v>0</v>
      </c>
      <c r="Q344">
        <f>+bma!Q344/data!$K344</f>
        <v>0.16177444680851064</v>
      </c>
      <c r="R344">
        <f>+bma!R344/data!$K344</f>
        <v>8.0025531914893616E-2</v>
      </c>
      <c r="S344">
        <f>+bma!S344/data!$K344</f>
        <v>2.1276595744680851E-2</v>
      </c>
    </row>
    <row r="345" spans="1:19" x14ac:dyDescent="0.25">
      <c r="A345">
        <f>+bma!A345/data!$K345</f>
        <v>1.2168804936214419E-3</v>
      </c>
      <c r="B345">
        <f>+bma!B345/data!$K345</f>
        <v>3.2023170884774802E-3</v>
      </c>
      <c r="C345">
        <f>+bma!C345/data!$K345</f>
        <v>0</v>
      </c>
      <c r="D345">
        <f>+bma!D345/data!$K345</f>
        <v>0</v>
      </c>
      <c r="E345">
        <f>+bma!E345/data!$K345</f>
        <v>0</v>
      </c>
      <c r="F345">
        <f>+bma!F345/data!$K345</f>
        <v>2.1276595744680851E-2</v>
      </c>
      <c r="G345">
        <f>+bma!G345/data!$K345</f>
        <v>0</v>
      </c>
      <c r="H345">
        <f>+bma!H345/data!$K345</f>
        <v>2.1276595744680851E-2</v>
      </c>
      <c r="I345">
        <f>+bma!I345/data!$K345</f>
        <v>2.1276595744680851E-2</v>
      </c>
      <c r="J345">
        <f>+bma!L345/data!$K345</f>
        <v>0</v>
      </c>
      <c r="K345">
        <f>+bma!M345/data!$K345</f>
        <v>2.1276595744680851E-2</v>
      </c>
      <c r="L345">
        <f>+bma!J345/data!$K345</f>
        <v>2.1276595744680851E-2</v>
      </c>
      <c r="M345">
        <f>+bma!K345/data!$K345</f>
        <v>0</v>
      </c>
      <c r="N345">
        <f>+bma!N345/data!$K345</f>
        <v>0</v>
      </c>
      <c r="O345">
        <f>+bma!O345/data!$K345</f>
        <v>2.1276595744680851E-2</v>
      </c>
      <c r="P345">
        <f>+bma!P345/data!$K345</f>
        <v>0</v>
      </c>
      <c r="Q345">
        <f>+bma!Q345/data!$K345</f>
        <v>0.16177444680851064</v>
      </c>
      <c r="R345">
        <f>+bma!R345/data!$K345</f>
        <v>8.0025531914893616E-2</v>
      </c>
      <c r="S345">
        <f>+bma!S345/data!$K345</f>
        <v>2.1276595744680851E-2</v>
      </c>
    </row>
    <row r="346" spans="1:19" x14ac:dyDescent="0.25">
      <c r="A346">
        <f>+bma!A346/data!$K346</f>
        <v>-8.7782130220259696E-3</v>
      </c>
      <c r="B346">
        <f>+bma!B346/data!$K346</f>
        <v>2.9556272801434251E-3</v>
      </c>
      <c r="C346">
        <f>+bma!C346/data!$K346</f>
        <v>0</v>
      </c>
      <c r="D346">
        <f>+bma!D346/data!$K346</f>
        <v>0</v>
      </c>
      <c r="E346">
        <f>+bma!E346/data!$K346</f>
        <v>0</v>
      </c>
      <c r="F346">
        <f>+bma!F346/data!$K346</f>
        <v>2.1276595744680851E-2</v>
      </c>
      <c r="G346">
        <f>+bma!G346/data!$K346</f>
        <v>0</v>
      </c>
      <c r="H346">
        <f>+bma!H346/data!$K346</f>
        <v>2.1276595744680851E-2</v>
      </c>
      <c r="I346">
        <f>+bma!I346/data!$K346</f>
        <v>2.1276595744680851E-2</v>
      </c>
      <c r="J346">
        <f>+bma!L346/data!$K346</f>
        <v>0</v>
      </c>
      <c r="K346">
        <f>+bma!M346/data!$K346</f>
        <v>2.1276595744680851E-2</v>
      </c>
      <c r="L346">
        <f>+bma!J346/data!$K346</f>
        <v>2.1276595744680851E-2</v>
      </c>
      <c r="M346">
        <f>+bma!K346/data!$K346</f>
        <v>0</v>
      </c>
      <c r="N346">
        <f>+bma!N346/data!$K346</f>
        <v>0</v>
      </c>
      <c r="O346">
        <f>+bma!O346/data!$K346</f>
        <v>2.1276595744680851E-2</v>
      </c>
      <c r="P346">
        <f>+bma!P346/data!$K346</f>
        <v>0</v>
      </c>
      <c r="Q346">
        <f>+bma!Q346/data!$K346</f>
        <v>0.16177444680851064</v>
      </c>
      <c r="R346">
        <f>+bma!R346/data!$K346</f>
        <v>8.0025531914893616E-2</v>
      </c>
      <c r="S346">
        <f>+bma!S346/data!$K346</f>
        <v>2.1276595744680851E-2</v>
      </c>
    </row>
    <row r="347" spans="1:19" x14ac:dyDescent="0.25">
      <c r="A347">
        <f>+bma!A347/data!$K347</f>
        <v>-8.6786141634488025E-3</v>
      </c>
      <c r="B347">
        <f>+bma!B347/data!$K347</f>
        <v>2.8642290968477892E-3</v>
      </c>
      <c r="C347">
        <f>+bma!C347/data!$K347</f>
        <v>0</v>
      </c>
      <c r="D347">
        <f>+bma!D347/data!$K347</f>
        <v>0</v>
      </c>
      <c r="E347">
        <f>+bma!E347/data!$K347</f>
        <v>0</v>
      </c>
      <c r="F347">
        <f>+bma!F347/data!$K347</f>
        <v>2.1276595744680851E-2</v>
      </c>
      <c r="G347">
        <f>+bma!G347/data!$K347</f>
        <v>0</v>
      </c>
      <c r="H347">
        <f>+bma!H347/data!$K347</f>
        <v>2.1276595744680851E-2</v>
      </c>
      <c r="I347">
        <f>+bma!I347/data!$K347</f>
        <v>2.1276595744680851E-2</v>
      </c>
      <c r="J347">
        <f>+bma!L347/data!$K347</f>
        <v>0</v>
      </c>
      <c r="K347">
        <f>+bma!M347/data!$K347</f>
        <v>2.1276595744680851E-2</v>
      </c>
      <c r="L347">
        <f>+bma!J347/data!$K347</f>
        <v>2.1276595744680851E-2</v>
      </c>
      <c r="M347">
        <f>+bma!K347/data!$K347</f>
        <v>0</v>
      </c>
      <c r="N347">
        <f>+bma!N347/data!$K347</f>
        <v>0</v>
      </c>
      <c r="O347">
        <f>+bma!O347/data!$K347</f>
        <v>2.1276595744680851E-2</v>
      </c>
      <c r="P347">
        <f>+bma!P347/data!$K347</f>
        <v>0</v>
      </c>
      <c r="Q347">
        <f>+bma!Q347/data!$K347</f>
        <v>0.16177444680851064</v>
      </c>
      <c r="R347">
        <f>+bma!R347/data!$K347</f>
        <v>8.0025531914893616E-2</v>
      </c>
      <c r="S347">
        <f>+bma!S347/data!$K347</f>
        <v>2.1276595744680851E-2</v>
      </c>
    </row>
    <row r="348" spans="1:19" x14ac:dyDescent="0.25">
      <c r="A348">
        <f>+bma!A348/data!$K348</f>
        <v>-9.8774312350578212E-3</v>
      </c>
      <c r="B348">
        <f>+bma!B348/data!$K348</f>
        <v>2.4328648362211282E-3</v>
      </c>
      <c r="C348">
        <f>+bma!C348/data!$K348</f>
        <v>0</v>
      </c>
      <c r="D348">
        <f>+bma!D348/data!$K348</f>
        <v>0</v>
      </c>
      <c r="E348">
        <f>+bma!E348/data!$K348</f>
        <v>0</v>
      </c>
      <c r="F348">
        <f>+bma!F348/data!$K348</f>
        <v>2.1276595744680851E-2</v>
      </c>
      <c r="G348">
        <f>+bma!G348/data!$K348</f>
        <v>0</v>
      </c>
      <c r="H348">
        <f>+bma!H348/data!$K348</f>
        <v>2.1276595744680851E-2</v>
      </c>
      <c r="I348">
        <f>+bma!I348/data!$K348</f>
        <v>2.1276595744680851E-2</v>
      </c>
      <c r="J348">
        <f>+bma!L348/data!$K348</f>
        <v>0</v>
      </c>
      <c r="K348">
        <f>+bma!M348/data!$K348</f>
        <v>2.1276595744680851E-2</v>
      </c>
      <c r="L348">
        <f>+bma!J348/data!$K348</f>
        <v>2.1276595744680851E-2</v>
      </c>
      <c r="M348">
        <f>+bma!K348/data!$K348</f>
        <v>0</v>
      </c>
      <c r="N348">
        <f>+bma!N348/data!$K348</f>
        <v>0</v>
      </c>
      <c r="O348">
        <f>+bma!O348/data!$K348</f>
        <v>2.1276595744680851E-2</v>
      </c>
      <c r="P348">
        <f>+bma!P348/data!$K348</f>
        <v>0</v>
      </c>
      <c r="Q348">
        <f>+bma!Q348/data!$K348</f>
        <v>0.16177444680851064</v>
      </c>
      <c r="R348">
        <f>+bma!R348/data!$K348</f>
        <v>8.0025531914893616E-2</v>
      </c>
      <c r="S348">
        <f>+bma!S348/data!$K348</f>
        <v>2.1276595744680851E-2</v>
      </c>
    </row>
    <row r="349" spans="1:19" x14ac:dyDescent="0.25">
      <c r="A349">
        <f>+bma!A349/data!$K349</f>
        <v>-1.4561115894885684E-2</v>
      </c>
      <c r="B349">
        <f>+bma!B349/data!$K349</f>
        <v>1.9545122006557956E-3</v>
      </c>
      <c r="C349">
        <f>+bma!C349/data!$K349</f>
        <v>0</v>
      </c>
      <c r="D349">
        <f>+bma!D349/data!$K349</f>
        <v>0</v>
      </c>
      <c r="E349">
        <f>+bma!E349/data!$K349</f>
        <v>0</v>
      </c>
      <c r="F349">
        <f>+bma!F349/data!$K349</f>
        <v>2.1276595744680851E-2</v>
      </c>
      <c r="G349">
        <f>+bma!G349/data!$K349</f>
        <v>0</v>
      </c>
      <c r="H349">
        <f>+bma!H349/data!$K349</f>
        <v>2.1276595744680851E-2</v>
      </c>
      <c r="I349">
        <f>+bma!I349/data!$K349</f>
        <v>0</v>
      </c>
      <c r="J349">
        <f>+bma!L349/data!$K349</f>
        <v>0</v>
      </c>
      <c r="K349">
        <f>+bma!M349/data!$K349</f>
        <v>2.1276595744680851E-2</v>
      </c>
      <c r="L349">
        <f>+bma!J349/data!$K349</f>
        <v>2.1276595744680851E-2</v>
      </c>
      <c r="M349">
        <f>+bma!K349/data!$K349</f>
        <v>0</v>
      </c>
      <c r="N349">
        <f>+bma!N349/data!$K349</f>
        <v>0</v>
      </c>
      <c r="O349">
        <f>+bma!O349/data!$K349</f>
        <v>2.1276595744680851E-2</v>
      </c>
      <c r="P349">
        <f>+bma!P349/data!$K349</f>
        <v>0</v>
      </c>
      <c r="Q349">
        <f>+bma!Q349/data!$K349</f>
        <v>0.16177444680851064</v>
      </c>
      <c r="R349">
        <f>+bma!R349/data!$K349</f>
        <v>8.0025531914893616E-2</v>
      </c>
      <c r="S349">
        <f>+bma!S349/data!$K349</f>
        <v>2.1276595744680851E-2</v>
      </c>
    </row>
    <row r="350" spans="1:19" x14ac:dyDescent="0.25">
      <c r="A350">
        <f>+bma!A350/data!$K350</f>
        <v>-6.4334378384549315E-3</v>
      </c>
      <c r="B350">
        <f>+bma!B350/data!$K350</f>
        <v>1.6083594596137329E-3</v>
      </c>
      <c r="C350">
        <f>+bma!C350/data!$K350</f>
        <v>0</v>
      </c>
      <c r="D350">
        <f>+bma!D350/data!$K350</f>
        <v>0</v>
      </c>
      <c r="E350">
        <f>+bma!E350/data!$K350</f>
        <v>0</v>
      </c>
      <c r="F350">
        <f>+bma!F350/data!$K350</f>
        <v>2.1276595744680851E-2</v>
      </c>
      <c r="G350">
        <f>+bma!G350/data!$K350</f>
        <v>0</v>
      </c>
      <c r="H350">
        <f>+bma!H350/data!$K350</f>
        <v>2.1276595744680851E-2</v>
      </c>
      <c r="I350">
        <f>+bma!I350/data!$K350</f>
        <v>2.1276595744680851E-2</v>
      </c>
      <c r="J350">
        <f>+bma!L350/data!$K350</f>
        <v>0</v>
      </c>
      <c r="K350">
        <f>+bma!M350/data!$K350</f>
        <v>2.1276595744680851E-2</v>
      </c>
      <c r="L350">
        <f>+bma!J350/data!$K350</f>
        <v>2.1276595744680851E-2</v>
      </c>
      <c r="M350">
        <f>+bma!K350/data!$K350</f>
        <v>0</v>
      </c>
      <c r="N350">
        <f>+bma!N350/data!$K350</f>
        <v>0</v>
      </c>
      <c r="O350">
        <f>+bma!O350/data!$K350</f>
        <v>2.1276595744680851E-2</v>
      </c>
      <c r="P350">
        <f>+bma!P350/data!$K350</f>
        <v>0</v>
      </c>
      <c r="Q350">
        <f>+bma!Q350/data!$K350</f>
        <v>0.16177444680851064</v>
      </c>
      <c r="R350">
        <f>+bma!R350/data!$K350</f>
        <v>8.0025531914893616E-2</v>
      </c>
      <c r="S350">
        <f>+bma!S350/data!$K350</f>
        <v>2.1276595744680851E-2</v>
      </c>
    </row>
    <row r="351" spans="1:19" x14ac:dyDescent="0.25">
      <c r="A351">
        <f>+bma!A351/data!$K351</f>
        <v>-7.7119643292641541E-3</v>
      </c>
      <c r="B351">
        <f>+bma!B351/data!$K351</f>
        <v>1.5579725917705361E-3</v>
      </c>
      <c r="C351">
        <f>+bma!C351/data!$K351</f>
        <v>0</v>
      </c>
      <c r="D351">
        <f>+bma!D351/data!$K351</f>
        <v>0</v>
      </c>
      <c r="E351">
        <f>+bma!E351/data!$K351</f>
        <v>0</v>
      </c>
      <c r="F351">
        <f>+bma!F351/data!$K351</f>
        <v>2.1276595744680851E-2</v>
      </c>
      <c r="G351">
        <f>+bma!G351/data!$K351</f>
        <v>0</v>
      </c>
      <c r="H351">
        <f>+bma!H351/data!$K351</f>
        <v>2.1276595744680851E-2</v>
      </c>
      <c r="I351">
        <f>+bma!I351/data!$K351</f>
        <v>0</v>
      </c>
      <c r="J351">
        <f>+bma!L351/data!$K351</f>
        <v>0</v>
      </c>
      <c r="K351">
        <f>+bma!M351/data!$K351</f>
        <v>2.1276595744680851E-2</v>
      </c>
      <c r="L351">
        <f>+bma!J351/data!$K351</f>
        <v>2.1276595744680851E-2</v>
      </c>
      <c r="M351">
        <f>+bma!K351/data!$K351</f>
        <v>0</v>
      </c>
      <c r="N351">
        <f>+bma!N351/data!$K351</f>
        <v>0</v>
      </c>
      <c r="O351">
        <f>+bma!O351/data!$K351</f>
        <v>2.1276595744680851E-2</v>
      </c>
      <c r="P351">
        <f>+bma!P351/data!$K351</f>
        <v>0</v>
      </c>
      <c r="Q351">
        <f>+bma!Q351/data!$K351</f>
        <v>0.16177444680851064</v>
      </c>
      <c r="R351">
        <f>+bma!R351/data!$K351</f>
        <v>8.0025531914893616E-2</v>
      </c>
      <c r="S351">
        <f>+bma!S351/data!$K351</f>
        <v>2.1276595744680851E-2</v>
      </c>
    </row>
    <row r="352" spans="1:19" x14ac:dyDescent="0.25">
      <c r="A352">
        <f>+bma!A352/data!$K352</f>
        <v>-6.0352779581315328E-3</v>
      </c>
      <c r="B352">
        <f>+bma!B352/data!$K352</f>
        <v>1.6180369860942455E-3</v>
      </c>
      <c r="C352">
        <f>+bma!C352/data!$K352</f>
        <v>0</v>
      </c>
      <c r="D352">
        <f>+bma!D352/data!$K352</f>
        <v>0</v>
      </c>
      <c r="E352">
        <f>+bma!E352/data!$K352</f>
        <v>0</v>
      </c>
      <c r="F352">
        <f>+bma!F352/data!$K352</f>
        <v>2.1276595744680851E-2</v>
      </c>
      <c r="G352">
        <f>+bma!G352/data!$K352</f>
        <v>0</v>
      </c>
      <c r="H352">
        <f>+bma!H352/data!$K352</f>
        <v>2.1276595744680851E-2</v>
      </c>
      <c r="I352">
        <f>+bma!I352/data!$K352</f>
        <v>2.1276595744680851E-2</v>
      </c>
      <c r="J352">
        <f>+bma!L352/data!$K352</f>
        <v>0</v>
      </c>
      <c r="K352">
        <f>+bma!M352/data!$K352</f>
        <v>2.1276595744680851E-2</v>
      </c>
      <c r="L352">
        <f>+bma!J352/data!$K352</f>
        <v>2.1276595744680851E-2</v>
      </c>
      <c r="M352">
        <f>+bma!K352/data!$K352</f>
        <v>0</v>
      </c>
      <c r="N352">
        <f>+bma!N352/data!$K352</f>
        <v>0</v>
      </c>
      <c r="O352">
        <f>+bma!O352/data!$K352</f>
        <v>2.1276595744680851E-2</v>
      </c>
      <c r="P352">
        <f>+bma!P352/data!$K352</f>
        <v>0</v>
      </c>
      <c r="Q352">
        <f>+bma!Q352/data!$K352</f>
        <v>0.16177444680851064</v>
      </c>
      <c r="R352">
        <f>+bma!R352/data!$K352</f>
        <v>8.0025531914893616E-2</v>
      </c>
      <c r="S352">
        <f>+bma!S352/data!$K352</f>
        <v>2.1276595744680851E-2</v>
      </c>
    </row>
    <row r="353" spans="1:19" x14ac:dyDescent="0.25">
      <c r="A353">
        <f>+bma!A353/data!$K353</f>
        <v>-7.6305733762080377E-3</v>
      </c>
      <c r="B353">
        <f>+bma!B353/data!$K353</f>
        <v>1.5604444532122781E-3</v>
      </c>
      <c r="C353">
        <f>+bma!C353/data!$K353</f>
        <v>0</v>
      </c>
      <c r="D353">
        <f>+bma!D353/data!$K353</f>
        <v>0</v>
      </c>
      <c r="E353">
        <f>+bma!E353/data!$K353</f>
        <v>0</v>
      </c>
      <c r="F353">
        <f>+bma!F353/data!$K353</f>
        <v>2.1276595744680851E-2</v>
      </c>
      <c r="G353">
        <f>+bma!G353/data!$K353</f>
        <v>0</v>
      </c>
      <c r="H353">
        <f>+bma!H353/data!$K353</f>
        <v>2.1276595744680851E-2</v>
      </c>
      <c r="I353">
        <f>+bma!I353/data!$K353</f>
        <v>0</v>
      </c>
      <c r="J353">
        <f>+bma!L353/data!$K353</f>
        <v>0</v>
      </c>
      <c r="K353">
        <f>+bma!M353/data!$K353</f>
        <v>2.1276595744680851E-2</v>
      </c>
      <c r="L353">
        <f>+bma!J353/data!$K353</f>
        <v>2.1276595744680851E-2</v>
      </c>
      <c r="M353">
        <f>+bma!K353/data!$K353</f>
        <v>0</v>
      </c>
      <c r="N353">
        <f>+bma!N353/data!$K353</f>
        <v>0</v>
      </c>
      <c r="O353">
        <f>+bma!O353/data!$K353</f>
        <v>2.1276595744680851E-2</v>
      </c>
      <c r="P353">
        <f>+bma!P353/data!$K353</f>
        <v>0</v>
      </c>
      <c r="Q353">
        <f>+bma!Q353/data!$K353</f>
        <v>0.16177444680851064</v>
      </c>
      <c r="R353">
        <f>+bma!R353/data!$K353</f>
        <v>8.0025531914893616E-2</v>
      </c>
      <c r="S353">
        <f>+bma!S353/data!$K353</f>
        <v>2.1276595744680851E-2</v>
      </c>
    </row>
    <row r="354" spans="1:19" x14ac:dyDescent="0.25">
      <c r="A354">
        <f>+bma!A354/data!$K354</f>
        <v>-1.1629062532788262E-2</v>
      </c>
      <c r="B354">
        <f>+bma!B354/data!$K354</f>
        <v>1.4130088132185E-3</v>
      </c>
      <c r="C354">
        <f>+bma!C354/data!$K354</f>
        <v>0</v>
      </c>
      <c r="D354">
        <f>+bma!D354/data!$K354</f>
        <v>0</v>
      </c>
      <c r="E354">
        <f>+bma!E354/data!$K354</f>
        <v>0</v>
      </c>
      <c r="F354">
        <f>+bma!F354/data!$K354</f>
        <v>2.1276595744680851E-2</v>
      </c>
      <c r="G354">
        <f>+bma!G354/data!$K354</f>
        <v>0</v>
      </c>
      <c r="H354">
        <f>+bma!H354/data!$K354</f>
        <v>2.1276595744680851E-2</v>
      </c>
      <c r="I354">
        <f>+bma!I354/data!$K354</f>
        <v>2.1276595744680851E-2</v>
      </c>
      <c r="J354">
        <f>+bma!L354/data!$K354</f>
        <v>0</v>
      </c>
      <c r="K354">
        <f>+bma!M354/data!$K354</f>
        <v>2.1276595744680851E-2</v>
      </c>
      <c r="L354">
        <f>+bma!J354/data!$K354</f>
        <v>2.1276595744680851E-2</v>
      </c>
      <c r="M354">
        <f>+bma!K354/data!$K354</f>
        <v>0</v>
      </c>
      <c r="N354">
        <f>+bma!N354/data!$K354</f>
        <v>0</v>
      </c>
      <c r="O354">
        <f>+bma!O354/data!$K354</f>
        <v>2.1276595744680851E-2</v>
      </c>
      <c r="P354">
        <f>+bma!P354/data!$K354</f>
        <v>0</v>
      </c>
      <c r="Q354">
        <f>+bma!Q354/data!$K354</f>
        <v>0.16177444680851064</v>
      </c>
      <c r="R354">
        <f>+bma!R354/data!$K354</f>
        <v>8.0025531914893616E-2</v>
      </c>
      <c r="S354">
        <f>+bma!S354/data!$K354</f>
        <v>2.1276595744680851E-2</v>
      </c>
    </row>
    <row r="355" spans="1:19" x14ac:dyDescent="0.25">
      <c r="A355">
        <f>+bma!A355/data!$K355</f>
        <v>-1.1629062532788262E-2</v>
      </c>
      <c r="B355">
        <f>+bma!B355/data!$K355</f>
        <v>1.4130088132185E-3</v>
      </c>
      <c r="C355">
        <f>+bma!C355/data!$K355</f>
        <v>0</v>
      </c>
      <c r="D355">
        <f>+bma!D355/data!$K355</f>
        <v>0</v>
      </c>
      <c r="E355">
        <f>+bma!E355/data!$K355</f>
        <v>0</v>
      </c>
      <c r="F355">
        <f>+bma!F355/data!$K355</f>
        <v>2.1276595744680851E-2</v>
      </c>
      <c r="G355">
        <f>+bma!G355/data!$K355</f>
        <v>0</v>
      </c>
      <c r="H355">
        <f>+bma!H355/data!$K355</f>
        <v>2.1276595744680851E-2</v>
      </c>
      <c r="I355">
        <f>+bma!I355/data!$K355</f>
        <v>2.1276595744680851E-2</v>
      </c>
      <c r="J355">
        <f>+bma!L355/data!$K355</f>
        <v>0</v>
      </c>
      <c r="K355">
        <f>+bma!M355/data!$K355</f>
        <v>2.1276595744680851E-2</v>
      </c>
      <c r="L355">
        <f>+bma!J355/data!$K355</f>
        <v>2.1276595744680851E-2</v>
      </c>
      <c r="M355">
        <f>+bma!K355/data!$K355</f>
        <v>0</v>
      </c>
      <c r="N355">
        <f>+bma!N355/data!$K355</f>
        <v>0</v>
      </c>
      <c r="O355">
        <f>+bma!O355/data!$K355</f>
        <v>2.1276595744680851E-2</v>
      </c>
      <c r="P355">
        <f>+bma!P355/data!$K355</f>
        <v>0</v>
      </c>
      <c r="Q355">
        <f>+bma!Q355/data!$K355</f>
        <v>0.16177444680851064</v>
      </c>
      <c r="R355">
        <f>+bma!R355/data!$K355</f>
        <v>8.0025531914893616E-2</v>
      </c>
      <c r="S355">
        <f>+bma!S355/data!$K355</f>
        <v>2.1276595744680851E-2</v>
      </c>
    </row>
    <row r="356" spans="1:19" x14ac:dyDescent="0.25">
      <c r="A356">
        <f>+bma!A356/data!$K356</f>
        <v>-5.8587727412889451E-3</v>
      </c>
      <c r="B356">
        <f>+bma!B356/data!$K356</f>
        <v>3.0835646006783838E-3</v>
      </c>
      <c r="C356">
        <f>+bma!C356/data!$K356</f>
        <v>0</v>
      </c>
      <c r="D356">
        <f>+bma!D356/data!$K356</f>
        <v>0</v>
      </c>
      <c r="E356">
        <f>+bma!E356/data!$K356</f>
        <v>0</v>
      </c>
      <c r="F356">
        <f>+bma!F356/data!$K356</f>
        <v>2.1276595744680851E-2</v>
      </c>
      <c r="G356">
        <f>+bma!G356/data!$K356</f>
        <v>0</v>
      </c>
      <c r="H356">
        <f>+bma!H356/data!$K356</f>
        <v>2.1276595744680851E-2</v>
      </c>
      <c r="I356">
        <f>+bma!I356/data!$K356</f>
        <v>2.1276595744680851E-2</v>
      </c>
      <c r="J356">
        <f>+bma!L356/data!$K356</f>
        <v>0</v>
      </c>
      <c r="K356">
        <f>+bma!M356/data!$K356</f>
        <v>2.1276595744680851E-2</v>
      </c>
      <c r="L356">
        <f>+bma!J356/data!$K356</f>
        <v>2.1276595744680851E-2</v>
      </c>
      <c r="M356">
        <f>+bma!K356/data!$K356</f>
        <v>0</v>
      </c>
      <c r="N356">
        <f>+bma!N356/data!$K356</f>
        <v>0</v>
      </c>
      <c r="O356">
        <f>+bma!O356/data!$K356</f>
        <v>2.1276595744680851E-2</v>
      </c>
      <c r="P356">
        <f>+bma!P356/data!$K356</f>
        <v>0</v>
      </c>
      <c r="Q356">
        <f>+bma!Q356/data!$K356</f>
        <v>0.16177444680851064</v>
      </c>
      <c r="R356">
        <f>+bma!R356/data!$K356</f>
        <v>8.0025531914893616E-2</v>
      </c>
      <c r="S356">
        <f>+bma!S356/data!$K356</f>
        <v>2.1276595744680851E-2</v>
      </c>
    </row>
    <row r="357" spans="1:19" x14ac:dyDescent="0.25">
      <c r="A357">
        <f>+bma!A357/data!$K357</f>
        <v>-7.6711535678101054E-3</v>
      </c>
      <c r="B357">
        <f>+bma!B357/data!$K357</f>
        <v>2.8947749312490949E-3</v>
      </c>
      <c r="C357">
        <f>+bma!C357/data!$K357</f>
        <v>0</v>
      </c>
      <c r="D357">
        <f>+bma!D357/data!$K357</f>
        <v>0</v>
      </c>
      <c r="E357">
        <f>+bma!E357/data!$K357</f>
        <v>0</v>
      </c>
      <c r="F357">
        <f>+bma!F357/data!$K357</f>
        <v>2.1276595744680851E-2</v>
      </c>
      <c r="G357">
        <f>+bma!G357/data!$K357</f>
        <v>0</v>
      </c>
      <c r="H357">
        <f>+bma!H357/data!$K357</f>
        <v>0</v>
      </c>
      <c r="I357">
        <f>+bma!I357/data!$K357</f>
        <v>2.1276595744680851E-2</v>
      </c>
      <c r="J357">
        <f>+bma!L357/data!$K357</f>
        <v>0</v>
      </c>
      <c r="K357">
        <f>+bma!M357/data!$K357</f>
        <v>2.1276595744680851E-2</v>
      </c>
      <c r="L357">
        <f>+bma!J357/data!$K357</f>
        <v>2.1276595744680851E-2</v>
      </c>
      <c r="M357">
        <f>+bma!K357/data!$K357</f>
        <v>0</v>
      </c>
      <c r="N357">
        <f>+bma!N357/data!$K357</f>
        <v>0</v>
      </c>
      <c r="O357">
        <f>+bma!O357/data!$K357</f>
        <v>2.1276595744680851E-2</v>
      </c>
      <c r="P357">
        <f>+bma!P357/data!$K357</f>
        <v>0</v>
      </c>
      <c r="Q357">
        <f>+bma!Q357/data!$K357</f>
        <v>0.16177444680851064</v>
      </c>
      <c r="R357">
        <f>+bma!R357/data!$K357</f>
        <v>8.0025531914893616E-2</v>
      </c>
      <c r="S357">
        <f>+bma!S357/data!$K357</f>
        <v>2.1276595744680851E-2</v>
      </c>
    </row>
    <row r="358" spans="1:19" x14ac:dyDescent="0.25">
      <c r="A358">
        <f>+bma!A358/data!$K358</f>
        <v>-1.1019158483013715E-2</v>
      </c>
      <c r="B358">
        <f>+bma!B358/data!$K358</f>
        <v>2.7756066707842965E-3</v>
      </c>
      <c r="C358">
        <f>+bma!C358/data!$K358</f>
        <v>0</v>
      </c>
      <c r="D358">
        <f>+bma!D358/data!$K358</f>
        <v>0</v>
      </c>
      <c r="E358">
        <f>+bma!E358/data!$K358</f>
        <v>0</v>
      </c>
      <c r="F358">
        <f>+bma!F358/data!$K358</f>
        <v>2.1276595744680851E-2</v>
      </c>
      <c r="G358">
        <f>+bma!G358/data!$K358</f>
        <v>0</v>
      </c>
      <c r="H358">
        <f>+bma!H358/data!$K358</f>
        <v>2.1276595744680851E-2</v>
      </c>
      <c r="I358">
        <f>+bma!I358/data!$K358</f>
        <v>2.1276595744680851E-2</v>
      </c>
      <c r="J358">
        <f>+bma!L358/data!$K358</f>
        <v>0</v>
      </c>
      <c r="K358">
        <f>+bma!M358/data!$K358</f>
        <v>2.1276595744680851E-2</v>
      </c>
      <c r="L358">
        <f>+bma!J358/data!$K358</f>
        <v>2.1276595744680851E-2</v>
      </c>
      <c r="M358">
        <f>+bma!K358/data!$K358</f>
        <v>0</v>
      </c>
      <c r="N358">
        <f>+bma!N358/data!$K358</f>
        <v>0</v>
      </c>
      <c r="O358">
        <f>+bma!O358/data!$K358</f>
        <v>2.1276595744680851E-2</v>
      </c>
      <c r="P358">
        <f>+bma!P358/data!$K358</f>
        <v>0</v>
      </c>
      <c r="Q358">
        <f>+bma!Q358/data!$K358</f>
        <v>0.16177444680851064</v>
      </c>
      <c r="R358">
        <f>+bma!R358/data!$K358</f>
        <v>8.0025531914893616E-2</v>
      </c>
      <c r="S358">
        <f>+bma!S358/data!$K358</f>
        <v>2.1276595744680851E-2</v>
      </c>
    </row>
    <row r="359" spans="1:19" x14ac:dyDescent="0.25">
      <c r="A359">
        <f>+bma!A359/data!$K359</f>
        <v>-1.1265259145128626E-2</v>
      </c>
      <c r="B359">
        <f>+bma!B359/data!$K359</f>
        <v>2.7210770881953205E-3</v>
      </c>
      <c r="C359">
        <f>+bma!C359/data!$K359</f>
        <v>0</v>
      </c>
      <c r="D359">
        <f>+bma!D359/data!$K359</f>
        <v>0</v>
      </c>
      <c r="E359">
        <f>+bma!E359/data!$K359</f>
        <v>0</v>
      </c>
      <c r="F359">
        <f>+bma!F359/data!$K359</f>
        <v>2.1276595744680851E-2</v>
      </c>
      <c r="G359">
        <f>+bma!G359/data!$K359</f>
        <v>0</v>
      </c>
      <c r="H359">
        <f>+bma!H359/data!$K359</f>
        <v>2.1276595744680851E-2</v>
      </c>
      <c r="I359">
        <f>+bma!I359/data!$K359</f>
        <v>2.1276595744680851E-2</v>
      </c>
      <c r="J359">
        <f>+bma!L359/data!$K359</f>
        <v>0</v>
      </c>
      <c r="K359">
        <f>+bma!M359/data!$K359</f>
        <v>2.1276595744680851E-2</v>
      </c>
      <c r="L359">
        <f>+bma!J359/data!$K359</f>
        <v>2.1276595744680851E-2</v>
      </c>
      <c r="M359">
        <f>+bma!K359/data!$K359</f>
        <v>0</v>
      </c>
      <c r="N359">
        <f>+bma!N359/data!$K359</f>
        <v>0</v>
      </c>
      <c r="O359">
        <f>+bma!O359/data!$K359</f>
        <v>2.1276595744680851E-2</v>
      </c>
      <c r="P359">
        <f>+bma!P359/data!$K359</f>
        <v>0</v>
      </c>
      <c r="Q359">
        <f>+bma!Q359/data!$K359</f>
        <v>0.16177444680851064</v>
      </c>
      <c r="R359">
        <f>+bma!R359/data!$K359</f>
        <v>8.0025531914893616E-2</v>
      </c>
      <c r="S359">
        <f>+bma!S359/data!$K359</f>
        <v>2.1276595744680851E-2</v>
      </c>
    </row>
    <row r="360" spans="1:19" x14ac:dyDescent="0.25">
      <c r="A360">
        <f>+bma!A360/data!$K360</f>
        <v>-1.6095697315283111E-2</v>
      </c>
      <c r="B360">
        <f>+bma!B360/data!$K360</f>
        <v>1.7963947896521308E-3</v>
      </c>
      <c r="C360">
        <f>+bma!C360/data!$K360</f>
        <v>0</v>
      </c>
      <c r="D360">
        <f>+bma!D360/data!$K360</f>
        <v>0</v>
      </c>
      <c r="E360">
        <f>+bma!E360/data!$K360</f>
        <v>0</v>
      </c>
      <c r="F360">
        <f>+bma!F360/data!$K360</f>
        <v>2.1276595744680851E-2</v>
      </c>
      <c r="G360">
        <f>+bma!G360/data!$K360</f>
        <v>0</v>
      </c>
      <c r="H360">
        <f>+bma!H360/data!$K360</f>
        <v>2.1276595744680851E-2</v>
      </c>
      <c r="I360">
        <f>+bma!I360/data!$K360</f>
        <v>2.1276595744680851E-2</v>
      </c>
      <c r="J360">
        <f>+bma!L360/data!$K360</f>
        <v>0</v>
      </c>
      <c r="K360">
        <f>+bma!M360/data!$K360</f>
        <v>2.1276595744680851E-2</v>
      </c>
      <c r="L360">
        <f>+bma!J360/data!$K360</f>
        <v>2.1276595744680851E-2</v>
      </c>
      <c r="M360">
        <f>+bma!K360/data!$K360</f>
        <v>0</v>
      </c>
      <c r="N360">
        <f>+bma!N360/data!$K360</f>
        <v>0</v>
      </c>
      <c r="O360">
        <f>+bma!O360/data!$K360</f>
        <v>2.1276595744680851E-2</v>
      </c>
      <c r="P360">
        <f>+bma!P360/data!$K360</f>
        <v>0</v>
      </c>
      <c r="Q360">
        <f>+bma!Q360/data!$K360</f>
        <v>0.16177444680851064</v>
      </c>
      <c r="R360">
        <f>+bma!R360/data!$K360</f>
        <v>8.0025531914893616E-2</v>
      </c>
      <c r="S360">
        <f>+bma!S360/data!$K360</f>
        <v>2.1276595744680851E-2</v>
      </c>
    </row>
    <row r="361" spans="1:19" x14ac:dyDescent="0.25">
      <c r="A361">
        <f>+bma!A361/data!$K361</f>
        <v>-1.6095697315283111E-2</v>
      </c>
      <c r="B361">
        <f>+bma!B361/data!$K361</f>
        <v>1.7963947896521308E-3</v>
      </c>
      <c r="C361">
        <f>+bma!C361/data!$K361</f>
        <v>0</v>
      </c>
      <c r="D361">
        <f>+bma!D361/data!$K361</f>
        <v>0</v>
      </c>
      <c r="E361">
        <f>+bma!E361/data!$K361</f>
        <v>0</v>
      </c>
      <c r="F361">
        <f>+bma!F361/data!$K361</f>
        <v>2.1276595744680851E-2</v>
      </c>
      <c r="G361">
        <f>+bma!G361/data!$K361</f>
        <v>0</v>
      </c>
      <c r="H361">
        <f>+bma!H361/data!$K361</f>
        <v>2.1276595744680851E-2</v>
      </c>
      <c r="I361">
        <f>+bma!I361/data!$K361</f>
        <v>2.1276595744680851E-2</v>
      </c>
      <c r="J361">
        <f>+bma!L361/data!$K361</f>
        <v>0</v>
      </c>
      <c r="K361">
        <f>+bma!M361/data!$K361</f>
        <v>2.1276595744680851E-2</v>
      </c>
      <c r="L361">
        <f>+bma!J361/data!$K361</f>
        <v>2.1276595744680851E-2</v>
      </c>
      <c r="M361">
        <f>+bma!K361/data!$K361</f>
        <v>0</v>
      </c>
      <c r="N361">
        <f>+bma!N361/data!$K361</f>
        <v>0</v>
      </c>
      <c r="O361">
        <f>+bma!O361/data!$K361</f>
        <v>2.1276595744680851E-2</v>
      </c>
      <c r="P361">
        <f>+bma!P361/data!$K361</f>
        <v>0</v>
      </c>
      <c r="Q361">
        <f>+bma!Q361/data!$K361</f>
        <v>0.16177444680851064</v>
      </c>
      <c r="R361">
        <f>+bma!R361/data!$K361</f>
        <v>8.0025531914893616E-2</v>
      </c>
      <c r="S361">
        <f>+bma!S361/data!$K361</f>
        <v>2.1276595744680851E-2</v>
      </c>
    </row>
    <row r="362" spans="1:19" x14ac:dyDescent="0.25">
      <c r="A362">
        <f>+bma!A362/data!$K362</f>
        <v>-1.2082981267798772E-2</v>
      </c>
      <c r="B362">
        <f>+bma!B362/data!$K362</f>
        <v>1.3888484215860664E-3</v>
      </c>
      <c r="C362">
        <f>+bma!C362/data!$K362</f>
        <v>0</v>
      </c>
      <c r="D362">
        <f>+bma!D362/data!$K362</f>
        <v>0</v>
      </c>
      <c r="E362">
        <f>+bma!E362/data!$K362</f>
        <v>0</v>
      </c>
      <c r="F362">
        <f>+bma!F362/data!$K362</f>
        <v>2.1276595744680851E-2</v>
      </c>
      <c r="G362">
        <f>+bma!G362/data!$K362</f>
        <v>0</v>
      </c>
      <c r="H362">
        <f>+bma!H362/data!$K362</f>
        <v>2.1276595744680851E-2</v>
      </c>
      <c r="I362">
        <f>+bma!I362/data!$K362</f>
        <v>2.1276595744680851E-2</v>
      </c>
      <c r="J362">
        <f>+bma!L362/data!$K362</f>
        <v>0</v>
      </c>
      <c r="K362">
        <f>+bma!M362/data!$K362</f>
        <v>2.1276595744680851E-2</v>
      </c>
      <c r="L362">
        <f>+bma!J362/data!$K362</f>
        <v>2.1276595744680851E-2</v>
      </c>
      <c r="M362">
        <f>+bma!K362/data!$K362</f>
        <v>0</v>
      </c>
      <c r="N362">
        <f>+bma!N362/data!$K362</f>
        <v>0</v>
      </c>
      <c r="O362">
        <f>+bma!O362/data!$K362</f>
        <v>2.1276595744680851E-2</v>
      </c>
      <c r="P362">
        <f>+bma!P362/data!$K362</f>
        <v>0</v>
      </c>
      <c r="Q362">
        <f>+bma!Q362/data!$K362</f>
        <v>0.16177444680851064</v>
      </c>
      <c r="R362">
        <f>+bma!R362/data!$K362</f>
        <v>8.0025531914893616E-2</v>
      </c>
      <c r="S362">
        <f>+bma!S362/data!$K362</f>
        <v>2.1276595744680851E-2</v>
      </c>
    </row>
    <row r="363" spans="1:19" x14ac:dyDescent="0.25">
      <c r="A363">
        <f>+bma!A363/data!$K363</f>
        <v>-1.2082981267798772E-2</v>
      </c>
      <c r="B363">
        <f>+bma!B363/data!$K363</f>
        <v>1.3888484215860664E-3</v>
      </c>
      <c r="C363">
        <f>+bma!C363/data!$K363</f>
        <v>0</v>
      </c>
      <c r="D363">
        <f>+bma!D363/data!$K363</f>
        <v>0</v>
      </c>
      <c r="E363">
        <f>+bma!E363/data!$K363</f>
        <v>0</v>
      </c>
      <c r="F363">
        <f>+bma!F363/data!$K363</f>
        <v>2.1276595744680851E-2</v>
      </c>
      <c r="G363">
        <f>+bma!G363/data!$K363</f>
        <v>0</v>
      </c>
      <c r="H363">
        <f>+bma!H363/data!$K363</f>
        <v>2.1276595744680851E-2</v>
      </c>
      <c r="I363">
        <f>+bma!I363/data!$K363</f>
        <v>2.1276595744680851E-2</v>
      </c>
      <c r="J363">
        <f>+bma!L363/data!$K363</f>
        <v>0</v>
      </c>
      <c r="K363">
        <f>+bma!M363/data!$K363</f>
        <v>2.1276595744680851E-2</v>
      </c>
      <c r="L363">
        <f>+bma!J363/data!$K363</f>
        <v>2.1276595744680851E-2</v>
      </c>
      <c r="M363">
        <f>+bma!K363/data!$K363</f>
        <v>0</v>
      </c>
      <c r="N363">
        <f>+bma!N363/data!$K363</f>
        <v>0</v>
      </c>
      <c r="O363">
        <f>+bma!O363/data!$K363</f>
        <v>2.1276595744680851E-2</v>
      </c>
      <c r="P363">
        <f>+bma!P363/data!$K363</f>
        <v>0</v>
      </c>
      <c r="Q363">
        <f>+bma!Q363/data!$K363</f>
        <v>0.16177444680851064</v>
      </c>
      <c r="R363">
        <f>+bma!R363/data!$K363</f>
        <v>8.0025531914893616E-2</v>
      </c>
      <c r="S363">
        <f>+bma!S363/data!$K363</f>
        <v>2.1276595744680851E-2</v>
      </c>
    </row>
    <row r="364" spans="1:19" x14ac:dyDescent="0.25">
      <c r="A364">
        <f>+bma!A364/data!$K364</f>
        <v>-8.8784704763004221E-3</v>
      </c>
      <c r="B364">
        <f>+bma!B364/data!$K364</f>
        <v>1.5334145900346146E-3</v>
      </c>
      <c r="C364">
        <f>+bma!C364/data!$K364</f>
        <v>0</v>
      </c>
      <c r="D364">
        <f>+bma!D364/data!$K364</f>
        <v>0</v>
      </c>
      <c r="E364">
        <f>+bma!E364/data!$K364</f>
        <v>0</v>
      </c>
      <c r="F364">
        <f>+bma!F364/data!$K364</f>
        <v>2.1276595744680851E-2</v>
      </c>
      <c r="G364">
        <f>+bma!G364/data!$K364</f>
        <v>0</v>
      </c>
      <c r="H364">
        <f>+bma!H364/data!$K364</f>
        <v>2.1276595744680851E-2</v>
      </c>
      <c r="I364">
        <f>+bma!I364/data!$K364</f>
        <v>2.1276595744680851E-2</v>
      </c>
      <c r="J364">
        <f>+bma!L364/data!$K364</f>
        <v>0</v>
      </c>
      <c r="K364">
        <f>+bma!M364/data!$K364</f>
        <v>2.1276595744680851E-2</v>
      </c>
      <c r="L364">
        <f>+bma!J364/data!$K364</f>
        <v>2.1276595744680851E-2</v>
      </c>
      <c r="M364">
        <f>+bma!K364/data!$K364</f>
        <v>0</v>
      </c>
      <c r="N364">
        <f>+bma!N364/data!$K364</f>
        <v>0</v>
      </c>
      <c r="O364">
        <f>+bma!O364/data!$K364</f>
        <v>2.1276595744680851E-2</v>
      </c>
      <c r="P364">
        <f>+bma!P364/data!$K364</f>
        <v>0</v>
      </c>
      <c r="Q364">
        <f>+bma!Q364/data!$K364</f>
        <v>0.16177444680851064</v>
      </c>
      <c r="R364">
        <f>+bma!R364/data!$K364</f>
        <v>8.0025531914893616E-2</v>
      </c>
      <c r="S364">
        <f>+bma!S364/data!$K364</f>
        <v>2.1276595744680851E-2</v>
      </c>
    </row>
    <row r="365" spans="1:19" x14ac:dyDescent="0.25">
      <c r="A365">
        <f>+bma!A365/data!$K365</f>
        <v>-9.3643841751388512E-3</v>
      </c>
      <c r="B365">
        <f>+bma!B365/data!$K365</f>
        <v>1.5103845443772347E-3</v>
      </c>
      <c r="C365">
        <f>+bma!C365/data!$K365</f>
        <v>0</v>
      </c>
      <c r="D365">
        <f>+bma!D365/data!$K365</f>
        <v>0</v>
      </c>
      <c r="E365">
        <f>+bma!E365/data!$K365</f>
        <v>0</v>
      </c>
      <c r="F365">
        <f>+bma!F365/data!$K365</f>
        <v>2.1276595744680851E-2</v>
      </c>
      <c r="G365">
        <f>+bma!G365/data!$K365</f>
        <v>0</v>
      </c>
      <c r="H365">
        <f>+bma!H365/data!$K365</f>
        <v>0</v>
      </c>
      <c r="I365">
        <f>+bma!I365/data!$K365</f>
        <v>2.1276595744680851E-2</v>
      </c>
      <c r="J365">
        <f>+bma!L365/data!$K365</f>
        <v>0</v>
      </c>
      <c r="K365">
        <f>+bma!M365/data!$K365</f>
        <v>2.1276595744680851E-2</v>
      </c>
      <c r="L365">
        <f>+bma!J365/data!$K365</f>
        <v>2.1276595744680851E-2</v>
      </c>
      <c r="M365">
        <f>+bma!K365/data!$K365</f>
        <v>0</v>
      </c>
      <c r="N365">
        <f>+bma!N365/data!$K365</f>
        <v>0</v>
      </c>
      <c r="O365">
        <f>+bma!O365/data!$K365</f>
        <v>2.1276595744680851E-2</v>
      </c>
      <c r="P365">
        <f>+bma!P365/data!$K365</f>
        <v>0</v>
      </c>
      <c r="Q365">
        <f>+bma!Q365/data!$K365</f>
        <v>0.16177444680851064</v>
      </c>
      <c r="R365">
        <f>+bma!R365/data!$K365</f>
        <v>8.0025531914893616E-2</v>
      </c>
      <c r="S365">
        <f>+bma!S365/data!$K365</f>
        <v>2.1276595744680851E-2</v>
      </c>
    </row>
    <row r="366" spans="1:19" x14ac:dyDescent="0.25">
      <c r="A366">
        <f>+bma!A366/data!$K366</f>
        <v>-5.017639630616238E-3</v>
      </c>
      <c r="B366">
        <f>+bma!B366/data!$K366</f>
        <v>1.6397515132732814E-3</v>
      </c>
      <c r="C366">
        <f>+bma!C366/data!$K366</f>
        <v>0</v>
      </c>
      <c r="D366">
        <f>+bma!D366/data!$K366</f>
        <v>0</v>
      </c>
      <c r="E366">
        <f>+bma!E366/data!$K366</f>
        <v>0</v>
      </c>
      <c r="F366">
        <f>+bma!F366/data!$K366</f>
        <v>2.1276595744680851E-2</v>
      </c>
      <c r="G366">
        <f>+bma!G366/data!$K366</f>
        <v>0</v>
      </c>
      <c r="H366">
        <f>+bma!H366/data!$K366</f>
        <v>2.1276595744680851E-2</v>
      </c>
      <c r="I366">
        <f>+bma!I366/data!$K366</f>
        <v>2.1276595744680851E-2</v>
      </c>
      <c r="J366">
        <f>+bma!L366/data!$K366</f>
        <v>0</v>
      </c>
      <c r="K366">
        <f>+bma!M366/data!$K366</f>
        <v>2.1276595744680851E-2</v>
      </c>
      <c r="L366">
        <f>+bma!J366/data!$K366</f>
        <v>2.1276595744680851E-2</v>
      </c>
      <c r="M366">
        <f>+bma!K366/data!$K366</f>
        <v>0</v>
      </c>
      <c r="N366">
        <f>+bma!N366/data!$K366</f>
        <v>0</v>
      </c>
      <c r="O366">
        <f>+bma!O366/data!$K366</f>
        <v>2.1276595744680851E-2</v>
      </c>
      <c r="P366">
        <f>+bma!P366/data!$K366</f>
        <v>0</v>
      </c>
      <c r="Q366">
        <f>+bma!Q366/data!$K366</f>
        <v>0.16177444680851064</v>
      </c>
      <c r="R366">
        <f>+bma!R366/data!$K366</f>
        <v>8.0025531914893616E-2</v>
      </c>
      <c r="S366">
        <f>+bma!S366/data!$K366</f>
        <v>2.1276595744680851E-2</v>
      </c>
    </row>
    <row r="367" spans="1:19" x14ac:dyDescent="0.25">
      <c r="A367">
        <f>+bma!A367/data!$K367</f>
        <v>-6.1188335265188968E-3</v>
      </c>
      <c r="B367">
        <f>+bma!B367/data!$K367</f>
        <v>1.6059930515797641E-3</v>
      </c>
      <c r="C367">
        <f>+bma!C367/data!$K367</f>
        <v>0</v>
      </c>
      <c r="D367">
        <f>+bma!D367/data!$K367</f>
        <v>0</v>
      </c>
      <c r="E367">
        <f>+bma!E367/data!$K367</f>
        <v>0</v>
      </c>
      <c r="F367">
        <f>+bma!F367/data!$K367</f>
        <v>2.1276595744680851E-2</v>
      </c>
      <c r="G367">
        <f>+bma!G367/data!$K367</f>
        <v>0</v>
      </c>
      <c r="H367">
        <f>+bma!H367/data!$K367</f>
        <v>2.1276595744680851E-2</v>
      </c>
      <c r="I367">
        <f>+bma!I367/data!$K367</f>
        <v>0</v>
      </c>
      <c r="J367">
        <f>+bma!L367/data!$K367</f>
        <v>0</v>
      </c>
      <c r="K367">
        <f>+bma!M367/data!$K367</f>
        <v>2.1276595744680851E-2</v>
      </c>
      <c r="L367">
        <f>+bma!J367/data!$K367</f>
        <v>0</v>
      </c>
      <c r="M367">
        <f>+bma!K367/data!$K367</f>
        <v>2.1276595744680851E-2</v>
      </c>
      <c r="N367">
        <f>+bma!N367/data!$K367</f>
        <v>0</v>
      </c>
      <c r="O367">
        <f>+bma!O367/data!$K367</f>
        <v>2.1276595744680851E-2</v>
      </c>
      <c r="P367">
        <f>+bma!P367/data!$K367</f>
        <v>0</v>
      </c>
      <c r="Q367">
        <f>+bma!Q367/data!$K367</f>
        <v>0.16177444680851064</v>
      </c>
      <c r="R367">
        <f>+bma!R367/data!$K367</f>
        <v>8.0025531914893616E-2</v>
      </c>
      <c r="S367">
        <f>+bma!S367/data!$K367</f>
        <v>2.1276595744680851E-2</v>
      </c>
    </row>
    <row r="368" spans="1:19" x14ac:dyDescent="0.25">
      <c r="A368">
        <f>+bma!A368/data!$K368</f>
        <v>5.135976760247061E-3</v>
      </c>
      <c r="B368">
        <f>+bma!B368/data!$K368</f>
        <v>3.1127131880285194E-3</v>
      </c>
      <c r="C368">
        <f>+bma!C368/data!$K368</f>
        <v>0</v>
      </c>
      <c r="D368">
        <f>+bma!D368/data!$K368</f>
        <v>0</v>
      </c>
      <c r="E368">
        <f>+bma!E368/data!$K368</f>
        <v>0</v>
      </c>
      <c r="F368">
        <f>+bma!F368/data!$K368</f>
        <v>2.1276595744680851E-2</v>
      </c>
      <c r="G368">
        <f>+bma!G368/data!$K368</f>
        <v>0</v>
      </c>
      <c r="H368">
        <f>+bma!H368/data!$K368</f>
        <v>2.1276595744680851E-2</v>
      </c>
      <c r="I368">
        <f>+bma!I368/data!$K368</f>
        <v>2.1276595744680851E-2</v>
      </c>
      <c r="J368">
        <f>+bma!L368/data!$K368</f>
        <v>0</v>
      </c>
      <c r="K368">
        <f>+bma!M368/data!$K368</f>
        <v>2.1276595744680851E-2</v>
      </c>
      <c r="L368">
        <f>+bma!J368/data!$K368</f>
        <v>0</v>
      </c>
      <c r="M368">
        <f>+bma!K368/data!$K368</f>
        <v>2.1276595744680851E-2</v>
      </c>
      <c r="N368">
        <f>+bma!N368/data!$K368</f>
        <v>0</v>
      </c>
      <c r="O368">
        <f>+bma!O368/data!$K368</f>
        <v>2.1276595744680851E-2</v>
      </c>
      <c r="P368">
        <f>+bma!P368/data!$K368</f>
        <v>0</v>
      </c>
      <c r="Q368">
        <f>+bma!Q368/data!$K368</f>
        <v>0.16177444680851064</v>
      </c>
      <c r="R368">
        <f>+bma!R368/data!$K368</f>
        <v>8.0025531914893616E-2</v>
      </c>
      <c r="S368">
        <f>+bma!S368/data!$K368</f>
        <v>2.1276595744680851E-2</v>
      </c>
    </row>
    <row r="369" spans="1:19" x14ac:dyDescent="0.25">
      <c r="A369">
        <f>+bma!A369/data!$K369</f>
        <v>7.2634886936109484E-3</v>
      </c>
      <c r="B369">
        <f>+bma!B369/data!$K369</f>
        <v>2.9170637323738752E-3</v>
      </c>
      <c r="C369">
        <f>+bma!C369/data!$K369</f>
        <v>0</v>
      </c>
      <c r="D369">
        <f>+bma!D369/data!$K369</f>
        <v>0</v>
      </c>
      <c r="E369">
        <f>+bma!E369/data!$K369</f>
        <v>0</v>
      </c>
      <c r="F369">
        <f>+bma!F369/data!$K369</f>
        <v>2.1276595744680851E-2</v>
      </c>
      <c r="G369">
        <f>+bma!G369/data!$K369</f>
        <v>0</v>
      </c>
      <c r="H369">
        <f>+bma!H369/data!$K369</f>
        <v>2.1276595744680851E-2</v>
      </c>
      <c r="I369">
        <f>+bma!I369/data!$K369</f>
        <v>0</v>
      </c>
      <c r="J369">
        <f>+bma!L369/data!$K369</f>
        <v>0</v>
      </c>
      <c r="K369">
        <f>+bma!M369/data!$K369</f>
        <v>2.1276595744680851E-2</v>
      </c>
      <c r="L369">
        <f>+bma!J369/data!$K369</f>
        <v>0</v>
      </c>
      <c r="M369">
        <f>+bma!K369/data!$K369</f>
        <v>2.1276595744680851E-2</v>
      </c>
      <c r="N369">
        <f>+bma!N369/data!$K369</f>
        <v>0</v>
      </c>
      <c r="O369">
        <f>+bma!O369/data!$K369</f>
        <v>2.1276595744680851E-2</v>
      </c>
      <c r="P369">
        <f>+bma!P369/data!$K369</f>
        <v>0</v>
      </c>
      <c r="Q369">
        <f>+bma!Q369/data!$K369</f>
        <v>0.16177444680851064</v>
      </c>
      <c r="R369">
        <f>+bma!R369/data!$K369</f>
        <v>8.0025531914893616E-2</v>
      </c>
      <c r="S369">
        <f>+bma!S369/data!$K369</f>
        <v>2.1276595744680851E-2</v>
      </c>
    </row>
    <row r="370" spans="1:19" x14ac:dyDescent="0.25">
      <c r="A370">
        <f>+bma!A370/data!$K370</f>
        <v>-7.8942001719397147E-3</v>
      </c>
      <c r="B370">
        <f>+bma!B370/data!$K370</f>
        <v>3.0130535007403506E-3</v>
      </c>
      <c r="C370">
        <f>+bma!C370/data!$K370</f>
        <v>0</v>
      </c>
      <c r="D370">
        <f>+bma!D370/data!$K370</f>
        <v>0</v>
      </c>
      <c r="E370">
        <f>+bma!E370/data!$K370</f>
        <v>0</v>
      </c>
      <c r="F370">
        <f>+bma!F370/data!$K370</f>
        <v>2.1276595744680851E-2</v>
      </c>
      <c r="G370">
        <f>+bma!G370/data!$K370</f>
        <v>0</v>
      </c>
      <c r="H370">
        <f>+bma!H370/data!$K370</f>
        <v>2.1276595744680851E-2</v>
      </c>
      <c r="I370">
        <f>+bma!I370/data!$K370</f>
        <v>2.1276595744680851E-2</v>
      </c>
      <c r="J370">
        <f>+bma!L370/data!$K370</f>
        <v>0</v>
      </c>
      <c r="K370">
        <f>+bma!M370/data!$K370</f>
        <v>2.1276595744680851E-2</v>
      </c>
      <c r="L370">
        <f>+bma!J370/data!$K370</f>
        <v>0</v>
      </c>
      <c r="M370">
        <f>+bma!K370/data!$K370</f>
        <v>2.1276595744680851E-2</v>
      </c>
      <c r="N370">
        <f>+bma!N370/data!$K370</f>
        <v>0</v>
      </c>
      <c r="O370">
        <f>+bma!O370/data!$K370</f>
        <v>2.1276595744680851E-2</v>
      </c>
      <c r="P370">
        <f>+bma!P370/data!$K370</f>
        <v>0</v>
      </c>
      <c r="Q370">
        <f>+bma!Q370/data!$K370</f>
        <v>0.16177444680851064</v>
      </c>
      <c r="R370">
        <f>+bma!R370/data!$K370</f>
        <v>8.0025531914893616E-2</v>
      </c>
      <c r="S370">
        <f>+bma!S370/data!$K370</f>
        <v>2.1276595744680851E-2</v>
      </c>
    </row>
    <row r="371" spans="1:19" x14ac:dyDescent="0.25">
      <c r="A371">
        <f>+bma!A371/data!$K371</f>
        <v>-8.0200870037808979E-3</v>
      </c>
      <c r="B371">
        <f>+bma!B371/data!$K371</f>
        <v>2.8745831554770262E-3</v>
      </c>
      <c r="C371">
        <f>+bma!C371/data!$K371</f>
        <v>0</v>
      </c>
      <c r="D371">
        <f>+bma!D371/data!$K371</f>
        <v>0</v>
      </c>
      <c r="E371">
        <f>+bma!E371/data!$K371</f>
        <v>0</v>
      </c>
      <c r="F371">
        <f>+bma!F371/data!$K371</f>
        <v>2.1276595744680851E-2</v>
      </c>
      <c r="G371">
        <f>+bma!G371/data!$K371</f>
        <v>0</v>
      </c>
      <c r="H371">
        <f>+bma!H371/data!$K371</f>
        <v>2.1276595744680851E-2</v>
      </c>
      <c r="I371">
        <f>+bma!I371/data!$K371</f>
        <v>0</v>
      </c>
      <c r="J371">
        <f>+bma!L371/data!$K371</f>
        <v>0</v>
      </c>
      <c r="K371">
        <f>+bma!M371/data!$K371</f>
        <v>2.1276595744680851E-2</v>
      </c>
      <c r="L371">
        <f>+bma!J371/data!$K371</f>
        <v>0</v>
      </c>
      <c r="M371">
        <f>+bma!K371/data!$K371</f>
        <v>2.1276595744680851E-2</v>
      </c>
      <c r="N371">
        <f>+bma!N371/data!$K371</f>
        <v>0</v>
      </c>
      <c r="O371">
        <f>+bma!O371/data!$K371</f>
        <v>2.1276595744680851E-2</v>
      </c>
      <c r="P371">
        <f>+bma!P371/data!$K371</f>
        <v>0</v>
      </c>
      <c r="Q371">
        <f>+bma!Q371/data!$K371</f>
        <v>0.16177444680851064</v>
      </c>
      <c r="R371">
        <f>+bma!R371/data!$K371</f>
        <v>8.0025531914893616E-2</v>
      </c>
      <c r="S371">
        <f>+bma!S371/data!$K371</f>
        <v>2.1276595744680851E-2</v>
      </c>
    </row>
    <row r="372" spans="1:19" x14ac:dyDescent="0.25">
      <c r="A372">
        <f>+bma!A372/data!$K372</f>
        <v>-7.7508916651201501E-3</v>
      </c>
      <c r="B372">
        <f>+bma!B372/data!$K372</f>
        <v>2.5580500544950973E-3</v>
      </c>
      <c r="C372">
        <f>+bma!C372/data!$K372</f>
        <v>0</v>
      </c>
      <c r="D372">
        <f>+bma!D372/data!$K372</f>
        <v>0</v>
      </c>
      <c r="E372">
        <f>+bma!E372/data!$K372</f>
        <v>0</v>
      </c>
      <c r="F372">
        <f>+bma!F372/data!$K372</f>
        <v>2.1276595744680851E-2</v>
      </c>
      <c r="G372">
        <f>+bma!G372/data!$K372</f>
        <v>0</v>
      </c>
      <c r="H372">
        <f>+bma!H372/data!$K372</f>
        <v>2.1276595744680851E-2</v>
      </c>
      <c r="I372">
        <f>+bma!I372/data!$K372</f>
        <v>2.1276595744680851E-2</v>
      </c>
      <c r="J372">
        <f>+bma!L372/data!$K372</f>
        <v>0</v>
      </c>
      <c r="K372">
        <f>+bma!M372/data!$K372</f>
        <v>2.1276595744680851E-2</v>
      </c>
      <c r="L372">
        <f>+bma!J372/data!$K372</f>
        <v>0</v>
      </c>
      <c r="M372">
        <f>+bma!K372/data!$K372</f>
        <v>2.1276595744680851E-2</v>
      </c>
      <c r="N372">
        <f>+bma!N372/data!$K372</f>
        <v>0</v>
      </c>
      <c r="O372">
        <f>+bma!O372/data!$K372</f>
        <v>2.1276595744680851E-2</v>
      </c>
      <c r="P372">
        <f>+bma!P372/data!$K372</f>
        <v>0</v>
      </c>
      <c r="Q372">
        <f>+bma!Q372/data!$K372</f>
        <v>0.16177444680851064</v>
      </c>
      <c r="R372">
        <f>+bma!R372/data!$K372</f>
        <v>8.0025531914893616E-2</v>
      </c>
      <c r="S372">
        <f>+bma!S372/data!$K372</f>
        <v>2.1276595744680851E-2</v>
      </c>
    </row>
    <row r="373" spans="1:19" x14ac:dyDescent="0.25">
      <c r="A373">
        <f>+bma!A373/data!$K373</f>
        <v>-7.3309701645358025E-3</v>
      </c>
      <c r="B373">
        <f>+bma!B373/data!$K373</f>
        <v>2.5366678770019982E-3</v>
      </c>
      <c r="C373">
        <f>+bma!C373/data!$K373</f>
        <v>0</v>
      </c>
      <c r="D373">
        <f>+bma!D373/data!$K373</f>
        <v>0</v>
      </c>
      <c r="E373">
        <f>+bma!E373/data!$K373</f>
        <v>0</v>
      </c>
      <c r="F373">
        <f>+bma!F373/data!$K373</f>
        <v>2.1276595744680851E-2</v>
      </c>
      <c r="G373">
        <f>+bma!G373/data!$K373</f>
        <v>0</v>
      </c>
      <c r="H373">
        <f>+bma!H373/data!$K373</f>
        <v>0</v>
      </c>
      <c r="I373">
        <f>+bma!I373/data!$K373</f>
        <v>2.1276595744680851E-2</v>
      </c>
      <c r="J373">
        <f>+bma!L373/data!$K373</f>
        <v>0</v>
      </c>
      <c r="K373">
        <f>+bma!M373/data!$K373</f>
        <v>2.1276595744680851E-2</v>
      </c>
      <c r="L373">
        <f>+bma!J373/data!$K373</f>
        <v>0</v>
      </c>
      <c r="M373">
        <f>+bma!K373/data!$K373</f>
        <v>2.1276595744680851E-2</v>
      </c>
      <c r="N373">
        <f>+bma!N373/data!$K373</f>
        <v>0</v>
      </c>
      <c r="O373">
        <f>+bma!O373/data!$K373</f>
        <v>2.1276595744680851E-2</v>
      </c>
      <c r="P373">
        <f>+bma!P373/data!$K373</f>
        <v>0</v>
      </c>
      <c r="Q373">
        <f>+bma!Q373/data!$K373</f>
        <v>0.16177444680851064</v>
      </c>
      <c r="R373">
        <f>+bma!R373/data!$K373</f>
        <v>8.0025531914893616E-2</v>
      </c>
      <c r="S373">
        <f>+bma!S373/data!$K373</f>
        <v>2.1276595744680851E-2</v>
      </c>
    </row>
    <row r="374" spans="1:19" x14ac:dyDescent="0.25">
      <c r="A374">
        <f>+bma!A374/data!$K374</f>
        <v>-5.1412522437632845E-3</v>
      </c>
      <c r="B374">
        <f>+bma!B374/data!$K374</f>
        <v>1.6373414789055049E-3</v>
      </c>
      <c r="C374">
        <f>+bma!C374/data!$K374</f>
        <v>0</v>
      </c>
      <c r="D374">
        <f>+bma!D374/data!$K374</f>
        <v>0</v>
      </c>
      <c r="E374">
        <f>+bma!E374/data!$K374</f>
        <v>0</v>
      </c>
      <c r="F374">
        <f>+bma!F374/data!$K374</f>
        <v>2.1276595744680851E-2</v>
      </c>
      <c r="G374">
        <f>+bma!G374/data!$K374</f>
        <v>0</v>
      </c>
      <c r="H374">
        <f>+bma!H374/data!$K374</f>
        <v>2.1276595744680851E-2</v>
      </c>
      <c r="I374">
        <f>+bma!I374/data!$K374</f>
        <v>2.1276595744680851E-2</v>
      </c>
      <c r="J374">
        <f>+bma!L374/data!$K374</f>
        <v>0</v>
      </c>
      <c r="K374">
        <f>+bma!M374/data!$K374</f>
        <v>2.1276595744680851E-2</v>
      </c>
      <c r="L374">
        <f>+bma!J374/data!$K374</f>
        <v>0</v>
      </c>
      <c r="M374">
        <f>+bma!K374/data!$K374</f>
        <v>2.1276595744680851E-2</v>
      </c>
      <c r="N374">
        <f>+bma!N374/data!$K374</f>
        <v>0</v>
      </c>
      <c r="O374">
        <f>+bma!O374/data!$K374</f>
        <v>2.1276595744680851E-2</v>
      </c>
      <c r="P374">
        <f>+bma!P374/data!$K374</f>
        <v>0</v>
      </c>
      <c r="Q374">
        <f>+bma!Q374/data!$K374</f>
        <v>0.16177444680851064</v>
      </c>
      <c r="R374">
        <f>+bma!R374/data!$K374</f>
        <v>8.0025531914893616E-2</v>
      </c>
      <c r="S374">
        <f>+bma!S374/data!$K374</f>
        <v>2.1276595744680851E-2</v>
      </c>
    </row>
    <row r="375" spans="1:19" x14ac:dyDescent="0.25">
      <c r="A375">
        <f>+bma!A375/data!$K375</f>
        <v>-5.4918319012293333E-3</v>
      </c>
      <c r="B375">
        <f>+bma!B375/data!$K375</f>
        <v>1.620009410392136E-3</v>
      </c>
      <c r="C375">
        <f>+bma!C375/data!$K375</f>
        <v>0</v>
      </c>
      <c r="D375">
        <f>+bma!D375/data!$K375</f>
        <v>0</v>
      </c>
      <c r="E375">
        <f>+bma!E375/data!$K375</f>
        <v>0</v>
      </c>
      <c r="F375">
        <f>+bma!F375/data!$K375</f>
        <v>2.1276595744680851E-2</v>
      </c>
      <c r="G375">
        <f>+bma!G375/data!$K375</f>
        <v>0</v>
      </c>
      <c r="H375">
        <f>+bma!H375/data!$K375</f>
        <v>2.1276595744680851E-2</v>
      </c>
      <c r="I375">
        <f>+bma!I375/data!$K375</f>
        <v>0</v>
      </c>
      <c r="J375">
        <f>+bma!L375/data!$K375</f>
        <v>0</v>
      </c>
      <c r="K375">
        <f>+bma!M375/data!$K375</f>
        <v>2.1276595744680851E-2</v>
      </c>
      <c r="L375">
        <f>+bma!J375/data!$K375</f>
        <v>0</v>
      </c>
      <c r="M375">
        <f>+bma!K375/data!$K375</f>
        <v>2.1276595744680851E-2</v>
      </c>
      <c r="N375">
        <f>+bma!N375/data!$K375</f>
        <v>0</v>
      </c>
      <c r="O375">
        <f>+bma!O375/data!$K375</f>
        <v>2.1276595744680851E-2</v>
      </c>
      <c r="P375">
        <f>+bma!P375/data!$K375</f>
        <v>0</v>
      </c>
      <c r="Q375">
        <f>+bma!Q375/data!$K375</f>
        <v>0.16177444680851064</v>
      </c>
      <c r="R375">
        <f>+bma!R375/data!$K375</f>
        <v>8.0025531914893616E-2</v>
      </c>
      <c r="S375">
        <f>+bma!S375/data!$K375</f>
        <v>2.1276595744680851E-2</v>
      </c>
    </row>
    <row r="376" spans="1:19" x14ac:dyDescent="0.25">
      <c r="A376">
        <f>+bma!A376/data!$K376</f>
        <v>-3.4952812060242474E-3</v>
      </c>
      <c r="B376">
        <f>+bma!B376/data!$K376</f>
        <v>1.6644196219163096E-3</v>
      </c>
      <c r="C376">
        <f>+bma!C376/data!$K376</f>
        <v>0</v>
      </c>
      <c r="D376">
        <f>+bma!D376/data!$K376</f>
        <v>0</v>
      </c>
      <c r="E376">
        <f>+bma!E376/data!$K376</f>
        <v>0</v>
      </c>
      <c r="F376">
        <f>+bma!F376/data!$K376</f>
        <v>2.1276595744680851E-2</v>
      </c>
      <c r="G376">
        <f>+bma!G376/data!$K376</f>
        <v>0</v>
      </c>
      <c r="H376">
        <f>+bma!H376/data!$K376</f>
        <v>2.1276595744680851E-2</v>
      </c>
      <c r="I376">
        <f>+bma!I376/data!$K376</f>
        <v>2.1276595744680851E-2</v>
      </c>
      <c r="J376">
        <f>+bma!L376/data!$K376</f>
        <v>0</v>
      </c>
      <c r="K376">
        <f>+bma!M376/data!$K376</f>
        <v>2.1276595744680851E-2</v>
      </c>
      <c r="L376">
        <f>+bma!J376/data!$K376</f>
        <v>0</v>
      </c>
      <c r="M376">
        <f>+bma!K376/data!$K376</f>
        <v>2.1276595744680851E-2</v>
      </c>
      <c r="N376">
        <f>+bma!N376/data!$K376</f>
        <v>0</v>
      </c>
      <c r="O376">
        <f>+bma!O376/data!$K376</f>
        <v>2.1276595744680851E-2</v>
      </c>
      <c r="P376">
        <f>+bma!P376/data!$K376</f>
        <v>0</v>
      </c>
      <c r="Q376">
        <f>+bma!Q376/data!$K376</f>
        <v>0.16177444680851064</v>
      </c>
      <c r="R376">
        <f>+bma!R376/data!$K376</f>
        <v>8.0025531914893616E-2</v>
      </c>
      <c r="S376">
        <f>+bma!S376/data!$K376</f>
        <v>2.1276595744680851E-2</v>
      </c>
    </row>
    <row r="377" spans="1:19" x14ac:dyDescent="0.25">
      <c r="A377">
        <f>+bma!A377/data!$K377</f>
        <v>-4.3211742648537176E-3</v>
      </c>
      <c r="B377">
        <f>+bma!B377/data!$K377</f>
        <v>1.6368084336567112E-3</v>
      </c>
      <c r="C377">
        <f>+bma!C377/data!$K377</f>
        <v>0</v>
      </c>
      <c r="D377">
        <f>+bma!D377/data!$K377</f>
        <v>0</v>
      </c>
      <c r="E377">
        <f>+bma!E377/data!$K377</f>
        <v>0</v>
      </c>
      <c r="F377">
        <f>+bma!F377/data!$K377</f>
        <v>2.1276595744680851E-2</v>
      </c>
      <c r="G377">
        <f>+bma!G377/data!$K377</f>
        <v>0</v>
      </c>
      <c r="H377">
        <f>+bma!H377/data!$K377</f>
        <v>2.1276595744680851E-2</v>
      </c>
      <c r="I377">
        <f>+bma!I377/data!$K377</f>
        <v>0</v>
      </c>
      <c r="J377">
        <f>+bma!L377/data!$K377</f>
        <v>0</v>
      </c>
      <c r="K377">
        <f>+bma!M377/data!$K377</f>
        <v>2.1276595744680851E-2</v>
      </c>
      <c r="L377">
        <f>+bma!J377/data!$K377</f>
        <v>0</v>
      </c>
      <c r="M377">
        <f>+bma!K377/data!$K377</f>
        <v>2.1276595744680851E-2</v>
      </c>
      <c r="N377">
        <f>+bma!N377/data!$K377</f>
        <v>0</v>
      </c>
      <c r="O377">
        <f>+bma!O377/data!$K377</f>
        <v>2.1276595744680851E-2</v>
      </c>
      <c r="P377">
        <f>+bma!P377/data!$K377</f>
        <v>0</v>
      </c>
      <c r="Q377">
        <f>+bma!Q377/data!$K377</f>
        <v>0.16177444680851064</v>
      </c>
      <c r="R377">
        <f>+bma!R377/data!$K377</f>
        <v>8.0025531914893616E-2</v>
      </c>
      <c r="S377">
        <f>+bma!S377/data!$K377</f>
        <v>2.1276595744680851E-2</v>
      </c>
    </row>
    <row r="378" spans="1:19" x14ac:dyDescent="0.25">
      <c r="A378">
        <f>+bma!A378/data!$K378</f>
        <v>-1.137795042159582E-2</v>
      </c>
      <c r="B378">
        <f>+bma!B378/data!$K378</f>
        <v>1.4258083235082484E-3</v>
      </c>
      <c r="C378">
        <f>+bma!C378/data!$K378</f>
        <v>0</v>
      </c>
      <c r="D378">
        <f>+bma!D378/data!$K378</f>
        <v>0</v>
      </c>
      <c r="E378">
        <f>+bma!E378/data!$K378</f>
        <v>0</v>
      </c>
      <c r="F378">
        <f>+bma!F378/data!$K378</f>
        <v>2.1276595744680851E-2</v>
      </c>
      <c r="G378">
        <f>+bma!G378/data!$K378</f>
        <v>0</v>
      </c>
      <c r="H378">
        <f>+bma!H378/data!$K378</f>
        <v>2.1276595744680851E-2</v>
      </c>
      <c r="I378">
        <f>+bma!I378/data!$K378</f>
        <v>2.1276595744680851E-2</v>
      </c>
      <c r="J378">
        <f>+bma!L378/data!$K378</f>
        <v>0</v>
      </c>
      <c r="K378">
        <f>+bma!M378/data!$K378</f>
        <v>2.1276595744680851E-2</v>
      </c>
      <c r="L378">
        <f>+bma!J378/data!$K378</f>
        <v>0</v>
      </c>
      <c r="M378">
        <f>+bma!K378/data!$K378</f>
        <v>2.1276595744680851E-2</v>
      </c>
      <c r="N378">
        <f>+bma!N378/data!$K378</f>
        <v>0</v>
      </c>
      <c r="O378">
        <f>+bma!O378/data!$K378</f>
        <v>2.1276595744680851E-2</v>
      </c>
      <c r="P378">
        <f>+bma!P378/data!$K378</f>
        <v>0</v>
      </c>
      <c r="Q378">
        <f>+bma!Q378/data!$K378</f>
        <v>0.16177444680851064</v>
      </c>
      <c r="R378">
        <f>+bma!R378/data!$K378</f>
        <v>8.0025531914893616E-2</v>
      </c>
      <c r="S378">
        <f>+bma!S378/data!$K378</f>
        <v>2.1276595744680851E-2</v>
      </c>
    </row>
    <row r="379" spans="1:19" x14ac:dyDescent="0.25">
      <c r="A379">
        <f>+bma!A379/data!$K379</f>
        <v>-1.137795042159582E-2</v>
      </c>
      <c r="B379">
        <f>+bma!B379/data!$K379</f>
        <v>1.4258083235082484E-3</v>
      </c>
      <c r="C379">
        <f>+bma!C379/data!$K379</f>
        <v>0</v>
      </c>
      <c r="D379">
        <f>+bma!D379/data!$K379</f>
        <v>0</v>
      </c>
      <c r="E379">
        <f>+bma!E379/data!$K379</f>
        <v>0</v>
      </c>
      <c r="F379">
        <f>+bma!F379/data!$K379</f>
        <v>2.1276595744680851E-2</v>
      </c>
      <c r="G379">
        <f>+bma!G379/data!$K379</f>
        <v>0</v>
      </c>
      <c r="H379">
        <f>+bma!H379/data!$K379</f>
        <v>2.1276595744680851E-2</v>
      </c>
      <c r="I379">
        <f>+bma!I379/data!$K379</f>
        <v>2.1276595744680851E-2</v>
      </c>
      <c r="J379">
        <f>+bma!L379/data!$K379</f>
        <v>0</v>
      </c>
      <c r="K379">
        <f>+bma!M379/data!$K379</f>
        <v>2.1276595744680851E-2</v>
      </c>
      <c r="L379">
        <f>+bma!J379/data!$K379</f>
        <v>0</v>
      </c>
      <c r="M379">
        <f>+bma!K379/data!$K379</f>
        <v>2.1276595744680851E-2</v>
      </c>
      <c r="N379">
        <f>+bma!N379/data!$K379</f>
        <v>0</v>
      </c>
      <c r="O379">
        <f>+bma!O379/data!$K379</f>
        <v>2.1276595744680851E-2</v>
      </c>
      <c r="P379">
        <f>+bma!P379/data!$K379</f>
        <v>0</v>
      </c>
      <c r="Q379">
        <f>+bma!Q379/data!$K379</f>
        <v>0.16177444680851064</v>
      </c>
      <c r="R379">
        <f>+bma!R379/data!$K379</f>
        <v>8.0025531914893616E-2</v>
      </c>
      <c r="S379">
        <f>+bma!S379/data!$K379</f>
        <v>2.1276595744680851E-2</v>
      </c>
    </row>
    <row r="380" spans="1:19" x14ac:dyDescent="0.25">
      <c r="A380">
        <f>+bma!A380/data!$K380</f>
        <v>-6.9973196564283163E-3</v>
      </c>
      <c r="B380">
        <f>+bma!B380/data!$K380</f>
        <v>3.0291427084105271E-3</v>
      </c>
      <c r="C380">
        <f>+bma!C380/data!$K380</f>
        <v>0</v>
      </c>
      <c r="D380">
        <f>+bma!D380/data!$K380</f>
        <v>0</v>
      </c>
      <c r="E380">
        <f>+bma!E380/data!$K380</f>
        <v>0</v>
      </c>
      <c r="F380">
        <f>+bma!F380/data!$K380</f>
        <v>2.1276595744680851E-2</v>
      </c>
      <c r="G380">
        <f>+bma!G380/data!$K380</f>
        <v>0</v>
      </c>
      <c r="H380">
        <f>+bma!H380/data!$K380</f>
        <v>2.1276595744680851E-2</v>
      </c>
      <c r="I380">
        <f>+bma!I380/data!$K380</f>
        <v>2.1276595744680851E-2</v>
      </c>
      <c r="J380">
        <f>+bma!L380/data!$K380</f>
        <v>0</v>
      </c>
      <c r="K380">
        <f>+bma!M380/data!$K380</f>
        <v>2.1276595744680851E-2</v>
      </c>
      <c r="L380">
        <f>+bma!J380/data!$K380</f>
        <v>0</v>
      </c>
      <c r="M380">
        <f>+bma!K380/data!$K380</f>
        <v>2.1276595744680851E-2</v>
      </c>
      <c r="N380">
        <f>+bma!N380/data!$K380</f>
        <v>0</v>
      </c>
      <c r="O380">
        <f>+bma!O380/data!$K380</f>
        <v>2.1276595744680851E-2</v>
      </c>
      <c r="P380">
        <f>+bma!P380/data!$K380</f>
        <v>0</v>
      </c>
      <c r="Q380">
        <f>+bma!Q380/data!$K380</f>
        <v>0.16177444680851064</v>
      </c>
      <c r="R380">
        <f>+bma!R380/data!$K380</f>
        <v>8.0025531914893616E-2</v>
      </c>
      <c r="S380">
        <f>+bma!S380/data!$K380</f>
        <v>2.1276595744680851E-2</v>
      </c>
    </row>
    <row r="381" spans="1:19" x14ac:dyDescent="0.25">
      <c r="A381">
        <f>+bma!A381/data!$K381</f>
        <v>-6.8330347370647382E-3</v>
      </c>
      <c r="B381">
        <f>+bma!B381/data!$K381</f>
        <v>2.9708846682890162E-3</v>
      </c>
      <c r="C381">
        <f>+bma!C381/data!$K381</f>
        <v>0</v>
      </c>
      <c r="D381">
        <f>+bma!D381/data!$K381</f>
        <v>0</v>
      </c>
      <c r="E381">
        <f>+bma!E381/data!$K381</f>
        <v>0</v>
      </c>
      <c r="F381">
        <f>+bma!F381/data!$K381</f>
        <v>2.1276595744680851E-2</v>
      </c>
      <c r="G381">
        <f>+bma!G381/data!$K381</f>
        <v>0</v>
      </c>
      <c r="H381">
        <f>+bma!H381/data!$K381</f>
        <v>2.1276595744680851E-2</v>
      </c>
      <c r="I381">
        <f>+bma!I381/data!$K381</f>
        <v>2.1276595744680851E-2</v>
      </c>
      <c r="J381">
        <f>+bma!L381/data!$K381</f>
        <v>0</v>
      </c>
      <c r="K381">
        <f>+bma!M381/data!$K381</f>
        <v>2.1276595744680851E-2</v>
      </c>
      <c r="L381">
        <f>+bma!J381/data!$K381</f>
        <v>0</v>
      </c>
      <c r="M381">
        <f>+bma!K381/data!$K381</f>
        <v>2.1276595744680851E-2</v>
      </c>
      <c r="N381">
        <f>+bma!N381/data!$K381</f>
        <v>0</v>
      </c>
      <c r="O381">
        <f>+bma!O381/data!$K381</f>
        <v>2.1276595744680851E-2</v>
      </c>
      <c r="P381">
        <f>+bma!P381/data!$K381</f>
        <v>0</v>
      </c>
      <c r="Q381">
        <f>+bma!Q381/data!$K381</f>
        <v>0.16177444680851064</v>
      </c>
      <c r="R381">
        <f>+bma!R381/data!$K381</f>
        <v>8.0025531914893616E-2</v>
      </c>
      <c r="S381">
        <f>+bma!S381/data!$K381</f>
        <v>2.1276595744680851E-2</v>
      </c>
    </row>
    <row r="382" spans="1:19" x14ac:dyDescent="0.25">
      <c r="A382">
        <f>+bma!A382/data!$K382</f>
        <v>-1.4041418466454715E-2</v>
      </c>
      <c r="B382">
        <f>+bma!B382/data!$K382</f>
        <v>2.4377462615372773E-3</v>
      </c>
      <c r="C382">
        <f>+bma!C382/data!$K382</f>
        <v>0</v>
      </c>
      <c r="D382">
        <f>+bma!D382/data!$K382</f>
        <v>0</v>
      </c>
      <c r="E382">
        <f>+bma!E382/data!$K382</f>
        <v>0</v>
      </c>
      <c r="F382">
        <f>+bma!F382/data!$K382</f>
        <v>2.1276595744680851E-2</v>
      </c>
      <c r="G382">
        <f>+bma!G382/data!$K382</f>
        <v>0</v>
      </c>
      <c r="H382">
        <f>+bma!H382/data!$K382</f>
        <v>2.1276595744680851E-2</v>
      </c>
      <c r="I382">
        <f>+bma!I382/data!$K382</f>
        <v>2.1276595744680851E-2</v>
      </c>
      <c r="J382">
        <f>+bma!L382/data!$K382</f>
        <v>0</v>
      </c>
      <c r="K382">
        <f>+bma!M382/data!$K382</f>
        <v>2.1276595744680851E-2</v>
      </c>
      <c r="L382">
        <f>+bma!J382/data!$K382</f>
        <v>0</v>
      </c>
      <c r="M382">
        <f>+bma!K382/data!$K382</f>
        <v>2.1276595744680851E-2</v>
      </c>
      <c r="N382">
        <f>+bma!N382/data!$K382</f>
        <v>0</v>
      </c>
      <c r="O382">
        <f>+bma!O382/data!$K382</f>
        <v>2.1276595744680851E-2</v>
      </c>
      <c r="P382">
        <f>+bma!P382/data!$K382</f>
        <v>0</v>
      </c>
      <c r="Q382">
        <f>+bma!Q382/data!$K382</f>
        <v>0.16177444680851064</v>
      </c>
      <c r="R382">
        <f>+bma!R382/data!$K382</f>
        <v>8.0025531914893616E-2</v>
      </c>
      <c r="S382">
        <f>+bma!S382/data!$K382</f>
        <v>2.1276595744680851E-2</v>
      </c>
    </row>
    <row r="383" spans="1:19" x14ac:dyDescent="0.25">
      <c r="A383">
        <f>+bma!A383/data!$K383</f>
        <v>-1.3710906861413493E-2</v>
      </c>
      <c r="B383">
        <f>+bma!B383/data!$K383</f>
        <v>2.4527561469433806E-3</v>
      </c>
      <c r="C383">
        <f>+bma!C383/data!$K383</f>
        <v>0</v>
      </c>
      <c r="D383">
        <f>+bma!D383/data!$K383</f>
        <v>0</v>
      </c>
      <c r="E383">
        <f>+bma!E383/data!$K383</f>
        <v>0</v>
      </c>
      <c r="F383">
        <f>+bma!F383/data!$K383</f>
        <v>2.1276595744680851E-2</v>
      </c>
      <c r="G383">
        <f>+bma!G383/data!$K383</f>
        <v>0</v>
      </c>
      <c r="H383">
        <f>+bma!H383/data!$K383</f>
        <v>2.1276595744680851E-2</v>
      </c>
      <c r="I383">
        <f>+bma!I383/data!$K383</f>
        <v>0</v>
      </c>
      <c r="J383">
        <f>+bma!L383/data!$K383</f>
        <v>0</v>
      </c>
      <c r="K383">
        <f>+bma!M383/data!$K383</f>
        <v>2.1276595744680851E-2</v>
      </c>
      <c r="L383">
        <f>+bma!J383/data!$K383</f>
        <v>0</v>
      </c>
      <c r="M383">
        <f>+bma!K383/data!$K383</f>
        <v>2.1276595744680851E-2</v>
      </c>
      <c r="N383">
        <f>+bma!N383/data!$K383</f>
        <v>0</v>
      </c>
      <c r="O383">
        <f>+bma!O383/data!$K383</f>
        <v>2.1276595744680851E-2</v>
      </c>
      <c r="P383">
        <f>+bma!P383/data!$K383</f>
        <v>0</v>
      </c>
      <c r="Q383">
        <f>+bma!Q383/data!$K383</f>
        <v>0.16177444680851064</v>
      </c>
      <c r="R383">
        <f>+bma!R383/data!$K383</f>
        <v>8.0025531914893616E-2</v>
      </c>
      <c r="S383">
        <f>+bma!S383/data!$K383</f>
        <v>2.1276595744680851E-2</v>
      </c>
    </row>
    <row r="384" spans="1:19" x14ac:dyDescent="0.25">
      <c r="A384">
        <f>+bma!A384/data!$K384</f>
        <v>-1.3069802664564872E-2</v>
      </c>
      <c r="B384">
        <f>+bma!B384/data!$K384</f>
        <v>2.1674631284518786E-3</v>
      </c>
      <c r="C384">
        <f>+bma!C384/data!$K384</f>
        <v>0</v>
      </c>
      <c r="D384">
        <f>+bma!D384/data!$K384</f>
        <v>0</v>
      </c>
      <c r="E384">
        <f>+bma!E384/data!$K384</f>
        <v>0</v>
      </c>
      <c r="F384">
        <f>+bma!F384/data!$K384</f>
        <v>2.1276595744680851E-2</v>
      </c>
      <c r="G384">
        <f>+bma!G384/data!$K384</f>
        <v>0</v>
      </c>
      <c r="H384">
        <f>+bma!H384/data!$K384</f>
        <v>2.1276595744680851E-2</v>
      </c>
      <c r="I384">
        <f>+bma!I384/data!$K384</f>
        <v>2.1276595744680851E-2</v>
      </c>
      <c r="J384">
        <f>+bma!L384/data!$K384</f>
        <v>0</v>
      </c>
      <c r="K384">
        <f>+bma!M384/data!$K384</f>
        <v>2.1276595744680851E-2</v>
      </c>
      <c r="L384">
        <f>+bma!J384/data!$K384</f>
        <v>0</v>
      </c>
      <c r="M384">
        <f>+bma!K384/data!$K384</f>
        <v>2.1276595744680851E-2</v>
      </c>
      <c r="N384">
        <f>+bma!N384/data!$K384</f>
        <v>0</v>
      </c>
      <c r="O384">
        <f>+bma!O384/data!$K384</f>
        <v>2.1276595744680851E-2</v>
      </c>
      <c r="P384">
        <f>+bma!P384/data!$K384</f>
        <v>0</v>
      </c>
      <c r="Q384">
        <f>+bma!Q384/data!$K384</f>
        <v>0.16177444680851064</v>
      </c>
      <c r="R384">
        <f>+bma!R384/data!$K384</f>
        <v>8.0025531914893616E-2</v>
      </c>
      <c r="S384">
        <f>+bma!S384/data!$K384</f>
        <v>2.1276595744680851E-2</v>
      </c>
    </row>
    <row r="385" spans="1:19" x14ac:dyDescent="0.25">
      <c r="A385">
        <f>+bma!A385/data!$K385</f>
        <v>-1.3069802664564872E-2</v>
      </c>
      <c r="B385">
        <f>+bma!B385/data!$K385</f>
        <v>2.1674631284518786E-3</v>
      </c>
      <c r="C385">
        <f>+bma!C385/data!$K385</f>
        <v>0</v>
      </c>
      <c r="D385">
        <f>+bma!D385/data!$K385</f>
        <v>0</v>
      </c>
      <c r="E385">
        <f>+bma!E385/data!$K385</f>
        <v>0</v>
      </c>
      <c r="F385">
        <f>+bma!F385/data!$K385</f>
        <v>2.1276595744680851E-2</v>
      </c>
      <c r="G385">
        <f>+bma!G385/data!$K385</f>
        <v>0</v>
      </c>
      <c r="H385">
        <f>+bma!H385/data!$K385</f>
        <v>2.1276595744680851E-2</v>
      </c>
      <c r="I385">
        <f>+bma!I385/data!$K385</f>
        <v>2.1276595744680851E-2</v>
      </c>
      <c r="J385">
        <f>+bma!L385/data!$K385</f>
        <v>0</v>
      </c>
      <c r="K385">
        <f>+bma!M385/data!$K385</f>
        <v>2.1276595744680851E-2</v>
      </c>
      <c r="L385">
        <f>+bma!J385/data!$K385</f>
        <v>0</v>
      </c>
      <c r="M385">
        <f>+bma!K385/data!$K385</f>
        <v>2.1276595744680851E-2</v>
      </c>
      <c r="N385">
        <f>+bma!N385/data!$K385</f>
        <v>0</v>
      </c>
      <c r="O385">
        <f>+bma!O385/data!$K385</f>
        <v>2.1276595744680851E-2</v>
      </c>
      <c r="P385">
        <f>+bma!P385/data!$K385</f>
        <v>0</v>
      </c>
      <c r="Q385">
        <f>+bma!Q385/data!$K385</f>
        <v>0.16177444680851064</v>
      </c>
      <c r="R385">
        <f>+bma!R385/data!$K385</f>
        <v>8.0025531914893616E-2</v>
      </c>
      <c r="S385">
        <f>+bma!S385/data!$K385</f>
        <v>2.1276595744680851E-2</v>
      </c>
    </row>
    <row r="386" spans="1:19" x14ac:dyDescent="0.25">
      <c r="A386">
        <f>+bma!A386/data!$K386</f>
        <v>-1.0605247381146527E-2</v>
      </c>
      <c r="B386">
        <f>+bma!B386/data!$K386</f>
        <v>1.4627927422271078E-3</v>
      </c>
      <c r="C386">
        <f>+bma!C386/data!$K386</f>
        <v>0</v>
      </c>
      <c r="D386">
        <f>+bma!D386/data!$K386</f>
        <v>0</v>
      </c>
      <c r="E386">
        <f>+bma!E386/data!$K386</f>
        <v>0</v>
      </c>
      <c r="F386">
        <f>+bma!F386/data!$K386</f>
        <v>2.1276595744680851E-2</v>
      </c>
      <c r="G386">
        <f>+bma!G386/data!$K386</f>
        <v>0</v>
      </c>
      <c r="H386">
        <f>+bma!H386/data!$K386</f>
        <v>2.1276595744680851E-2</v>
      </c>
      <c r="I386">
        <f>+bma!I386/data!$K386</f>
        <v>2.1276595744680851E-2</v>
      </c>
      <c r="J386">
        <f>+bma!L386/data!$K386</f>
        <v>0</v>
      </c>
      <c r="K386">
        <f>+bma!M386/data!$K386</f>
        <v>2.1276595744680851E-2</v>
      </c>
      <c r="L386">
        <f>+bma!J386/data!$K386</f>
        <v>0</v>
      </c>
      <c r="M386">
        <f>+bma!K386/data!$K386</f>
        <v>2.1276595744680851E-2</v>
      </c>
      <c r="N386">
        <f>+bma!N386/data!$K386</f>
        <v>0</v>
      </c>
      <c r="O386">
        <f>+bma!O386/data!$K386</f>
        <v>2.1276595744680851E-2</v>
      </c>
      <c r="P386">
        <f>+bma!P386/data!$K386</f>
        <v>0</v>
      </c>
      <c r="Q386">
        <f>+bma!Q386/data!$K386</f>
        <v>0.16177444680851064</v>
      </c>
      <c r="R386">
        <f>+bma!R386/data!$K386</f>
        <v>8.0025531914893616E-2</v>
      </c>
      <c r="S386">
        <f>+bma!S386/data!$K386</f>
        <v>2.1276595744680851E-2</v>
      </c>
    </row>
    <row r="387" spans="1:19" x14ac:dyDescent="0.25">
      <c r="A387">
        <f>+bma!A387/data!$K387</f>
        <v>-1.0605247381146527E-2</v>
      </c>
      <c r="B387">
        <f>+bma!B387/data!$K387</f>
        <v>1.4627927422271078E-3</v>
      </c>
      <c r="C387">
        <f>+bma!C387/data!$K387</f>
        <v>0</v>
      </c>
      <c r="D387">
        <f>+bma!D387/data!$K387</f>
        <v>0</v>
      </c>
      <c r="E387">
        <f>+bma!E387/data!$K387</f>
        <v>0</v>
      </c>
      <c r="F387">
        <f>+bma!F387/data!$K387</f>
        <v>2.1276595744680851E-2</v>
      </c>
      <c r="G387">
        <f>+bma!G387/data!$K387</f>
        <v>0</v>
      </c>
      <c r="H387">
        <f>+bma!H387/data!$K387</f>
        <v>2.1276595744680851E-2</v>
      </c>
      <c r="I387">
        <f>+bma!I387/data!$K387</f>
        <v>2.1276595744680851E-2</v>
      </c>
      <c r="J387">
        <f>+bma!L387/data!$K387</f>
        <v>0</v>
      </c>
      <c r="K387">
        <f>+bma!M387/data!$K387</f>
        <v>2.1276595744680851E-2</v>
      </c>
      <c r="L387">
        <f>+bma!J387/data!$K387</f>
        <v>0</v>
      </c>
      <c r="M387">
        <f>+bma!K387/data!$K387</f>
        <v>2.1276595744680851E-2</v>
      </c>
      <c r="N387">
        <f>+bma!N387/data!$K387</f>
        <v>0</v>
      </c>
      <c r="O387">
        <f>+bma!O387/data!$K387</f>
        <v>2.1276595744680851E-2</v>
      </c>
      <c r="P387">
        <f>+bma!P387/data!$K387</f>
        <v>0</v>
      </c>
      <c r="Q387">
        <f>+bma!Q387/data!$K387</f>
        <v>0.16177444680851064</v>
      </c>
      <c r="R387">
        <f>+bma!R387/data!$K387</f>
        <v>8.0025531914893616E-2</v>
      </c>
      <c r="S387">
        <f>+bma!S387/data!$K387</f>
        <v>2.1276595744680851E-2</v>
      </c>
    </row>
    <row r="388" spans="1:19" x14ac:dyDescent="0.25">
      <c r="A388">
        <f>+bma!A388/data!$K388</f>
        <v>-8.6100110256164073E-3</v>
      </c>
      <c r="B388">
        <f>+bma!B388/data!$K388</f>
        <v>1.543012728605091E-3</v>
      </c>
      <c r="C388">
        <f>+bma!C388/data!$K388</f>
        <v>0</v>
      </c>
      <c r="D388">
        <f>+bma!D388/data!$K388</f>
        <v>0</v>
      </c>
      <c r="E388">
        <f>+bma!E388/data!$K388</f>
        <v>0</v>
      </c>
      <c r="F388">
        <f>+bma!F388/data!$K388</f>
        <v>2.1276595744680851E-2</v>
      </c>
      <c r="G388">
        <f>+bma!G388/data!$K388</f>
        <v>0</v>
      </c>
      <c r="H388">
        <f>+bma!H388/data!$K388</f>
        <v>2.1276595744680851E-2</v>
      </c>
      <c r="I388">
        <f>+bma!I388/data!$K388</f>
        <v>2.1276595744680851E-2</v>
      </c>
      <c r="J388">
        <f>+bma!L388/data!$K388</f>
        <v>0</v>
      </c>
      <c r="K388">
        <f>+bma!M388/data!$K388</f>
        <v>2.1276595744680851E-2</v>
      </c>
      <c r="L388">
        <f>+bma!J388/data!$K388</f>
        <v>0</v>
      </c>
      <c r="M388">
        <f>+bma!K388/data!$K388</f>
        <v>2.1276595744680851E-2</v>
      </c>
      <c r="N388">
        <f>+bma!N388/data!$K388</f>
        <v>0</v>
      </c>
      <c r="O388">
        <f>+bma!O388/data!$K388</f>
        <v>2.1276595744680851E-2</v>
      </c>
      <c r="P388">
        <f>+bma!P388/data!$K388</f>
        <v>0</v>
      </c>
      <c r="Q388">
        <f>+bma!Q388/data!$K388</f>
        <v>0.16177444680851064</v>
      </c>
      <c r="R388">
        <f>+bma!R388/data!$K388</f>
        <v>8.0025531914893616E-2</v>
      </c>
      <c r="S388">
        <f>+bma!S388/data!$K388</f>
        <v>2.1276595744680851E-2</v>
      </c>
    </row>
    <row r="389" spans="1:19" x14ac:dyDescent="0.25">
      <c r="A389">
        <f>+bma!A389/data!$K389</f>
        <v>-8.6100110256164073E-3</v>
      </c>
      <c r="B389">
        <f>+bma!B389/data!$K389</f>
        <v>1.543012728605091E-3</v>
      </c>
      <c r="C389">
        <f>+bma!C389/data!$K389</f>
        <v>0</v>
      </c>
      <c r="D389">
        <f>+bma!D389/data!$K389</f>
        <v>0</v>
      </c>
      <c r="E389">
        <f>+bma!E389/data!$K389</f>
        <v>0</v>
      </c>
      <c r="F389">
        <f>+bma!F389/data!$K389</f>
        <v>2.1276595744680851E-2</v>
      </c>
      <c r="G389">
        <f>+bma!G389/data!$K389</f>
        <v>0</v>
      </c>
      <c r="H389">
        <f>+bma!H389/data!$K389</f>
        <v>2.1276595744680851E-2</v>
      </c>
      <c r="I389">
        <f>+bma!I389/data!$K389</f>
        <v>2.1276595744680851E-2</v>
      </c>
      <c r="J389">
        <f>+bma!L389/data!$K389</f>
        <v>0</v>
      </c>
      <c r="K389">
        <f>+bma!M389/data!$K389</f>
        <v>2.1276595744680851E-2</v>
      </c>
      <c r="L389">
        <f>+bma!J389/data!$K389</f>
        <v>0</v>
      </c>
      <c r="M389">
        <f>+bma!K389/data!$K389</f>
        <v>2.1276595744680851E-2</v>
      </c>
      <c r="N389">
        <f>+bma!N389/data!$K389</f>
        <v>0</v>
      </c>
      <c r="O389">
        <f>+bma!O389/data!$K389</f>
        <v>2.1276595744680851E-2</v>
      </c>
      <c r="P389">
        <f>+bma!P389/data!$K389</f>
        <v>0</v>
      </c>
      <c r="Q389">
        <f>+bma!Q389/data!$K389</f>
        <v>0.16177444680851064</v>
      </c>
      <c r="R389">
        <f>+bma!R389/data!$K389</f>
        <v>8.0025531914893616E-2</v>
      </c>
      <c r="S389">
        <f>+bma!S389/data!$K389</f>
        <v>2.1276595744680851E-2</v>
      </c>
    </row>
    <row r="390" spans="1:19" x14ac:dyDescent="0.25">
      <c r="A390">
        <f>+bma!A390/data!$K390</f>
        <v>4.3011772788771475E-2</v>
      </c>
      <c r="B390">
        <f>+bma!B390/data!$K390</f>
        <v>7.9767287717357999E-2</v>
      </c>
      <c r="C390">
        <f>+bma!C390/data!$K390</f>
        <v>0</v>
      </c>
      <c r="D390">
        <f>+bma!D390/data!$K390</f>
        <v>0.5</v>
      </c>
      <c r="E390">
        <f>+bma!E390/data!$K390</f>
        <v>0</v>
      </c>
      <c r="F390">
        <f>+bma!F390/data!$K390</f>
        <v>0</v>
      </c>
      <c r="G390">
        <f>+bma!G390/data!$K390</f>
        <v>0.5</v>
      </c>
      <c r="H390">
        <f>+bma!H390/data!$K390</f>
        <v>0</v>
      </c>
      <c r="I390">
        <f>+bma!I390/data!$K390</f>
        <v>0.5</v>
      </c>
      <c r="J390">
        <f>+bma!L390/data!$K390</f>
        <v>0</v>
      </c>
      <c r="K390">
        <f>+bma!M390/data!$K390</f>
        <v>0</v>
      </c>
      <c r="L390">
        <f>+bma!J390/data!$K390</f>
        <v>0</v>
      </c>
      <c r="M390">
        <f>+bma!K390/data!$K390</f>
        <v>0</v>
      </c>
      <c r="N390">
        <f>+bma!N390/data!$K390</f>
        <v>0</v>
      </c>
      <c r="O390">
        <f>+bma!O390/data!$K390</f>
        <v>0</v>
      </c>
      <c r="P390">
        <f>+bma!P390/data!$K390</f>
        <v>0.5</v>
      </c>
      <c r="Q390">
        <f>+bma!Q390/data!$K390</f>
        <v>3.7989489999999999</v>
      </c>
      <c r="R390">
        <f>+bma!R390/data!$K390</f>
        <v>2.2154085000000001</v>
      </c>
      <c r="S390">
        <f>+bma!S390/data!$K390</f>
        <v>0.5</v>
      </c>
    </row>
    <row r="391" spans="1:19" x14ac:dyDescent="0.25">
      <c r="A391">
        <f>+bma!A391/data!$K391</f>
        <v>8.8928535058949654E-2</v>
      </c>
      <c r="B391">
        <f>+bma!B391/data!$K391</f>
        <v>7.8787561762753644E-2</v>
      </c>
      <c r="C391">
        <f>+bma!C391/data!$K391</f>
        <v>0</v>
      </c>
      <c r="D391">
        <f>+bma!D391/data!$K391</f>
        <v>0.5</v>
      </c>
      <c r="E391">
        <f>+bma!E391/data!$K391</f>
        <v>0</v>
      </c>
      <c r="F391">
        <f>+bma!F391/data!$K391</f>
        <v>0</v>
      </c>
      <c r="G391">
        <f>+bma!G391/data!$K391</f>
        <v>0.5</v>
      </c>
      <c r="H391">
        <f>+bma!H391/data!$K391</f>
        <v>0</v>
      </c>
      <c r="I391">
        <f>+bma!I391/data!$K391</f>
        <v>0.5</v>
      </c>
      <c r="J391">
        <f>+bma!L391/data!$K391</f>
        <v>0</v>
      </c>
      <c r="K391">
        <f>+bma!M391/data!$K391</f>
        <v>0</v>
      </c>
      <c r="L391">
        <f>+bma!J391/data!$K391</f>
        <v>0</v>
      </c>
      <c r="M391">
        <f>+bma!K391/data!$K391</f>
        <v>0</v>
      </c>
      <c r="N391">
        <f>+bma!N391/data!$K391</f>
        <v>0</v>
      </c>
      <c r="O391">
        <f>+bma!O391/data!$K391</f>
        <v>0</v>
      </c>
      <c r="P391">
        <f>+bma!P391/data!$K391</f>
        <v>0.5</v>
      </c>
      <c r="Q391">
        <f>+bma!Q391/data!$K391</f>
        <v>3.7989489999999999</v>
      </c>
      <c r="R391">
        <f>+bma!R391/data!$K391</f>
        <v>2.2154085000000001</v>
      </c>
      <c r="S391">
        <f>+bma!S391/data!$K391</f>
        <v>0.5</v>
      </c>
    </row>
    <row r="392" spans="1:19" x14ac:dyDescent="0.25">
      <c r="A392">
        <f>+bma!A392/data!$K392</f>
        <v>-0.1846213734820315</v>
      </c>
      <c r="B392">
        <f>+bma!B392/data!$K392</f>
        <v>5.6189113668444375E-2</v>
      </c>
      <c r="C392">
        <f>+bma!C392/data!$K392</f>
        <v>0</v>
      </c>
      <c r="D392">
        <f>+bma!D392/data!$K392</f>
        <v>0.25</v>
      </c>
      <c r="E392">
        <f>+bma!E392/data!$K392</f>
        <v>0</v>
      </c>
      <c r="F392">
        <f>+bma!F392/data!$K392</f>
        <v>0</v>
      </c>
      <c r="G392">
        <f>+bma!G392/data!$K392</f>
        <v>0.25</v>
      </c>
      <c r="H392">
        <f>+bma!H392/data!$K392</f>
        <v>0</v>
      </c>
      <c r="I392">
        <f>+bma!I392/data!$K392</f>
        <v>0.25</v>
      </c>
      <c r="J392">
        <f>+bma!L392/data!$K392</f>
        <v>0</v>
      </c>
      <c r="K392">
        <f>+bma!M392/data!$K392</f>
        <v>0</v>
      </c>
      <c r="L392">
        <f>+bma!J392/data!$K392</f>
        <v>0</v>
      </c>
      <c r="M392">
        <f>+bma!K392/data!$K392</f>
        <v>0</v>
      </c>
      <c r="N392">
        <f>+bma!N392/data!$K392</f>
        <v>0</v>
      </c>
      <c r="O392">
        <f>+bma!O392/data!$K392</f>
        <v>0.25</v>
      </c>
      <c r="P392">
        <f>+bma!P392/data!$K392</f>
        <v>0.25</v>
      </c>
      <c r="Q392">
        <f>+bma!Q392/data!$K392</f>
        <v>1.9004755</v>
      </c>
      <c r="R392">
        <f>+bma!R392/data!$K392</f>
        <v>0.88159025000000002</v>
      </c>
      <c r="S392">
        <f>+bma!S392/data!$K392</f>
        <v>0.25</v>
      </c>
    </row>
    <row r="393" spans="1:19" x14ac:dyDescent="0.25">
      <c r="A393">
        <f>+bma!A393/data!$K393</f>
        <v>-0.19654310806036368</v>
      </c>
      <c r="B393">
        <f>+bma!B393/data!$K393</f>
        <v>5.1500600507795827E-2</v>
      </c>
      <c r="C393">
        <f>+bma!C393/data!$K393</f>
        <v>0</v>
      </c>
      <c r="D393">
        <f>+bma!D393/data!$K393</f>
        <v>0.25</v>
      </c>
      <c r="E393">
        <f>+bma!E393/data!$K393</f>
        <v>0</v>
      </c>
      <c r="F393">
        <f>+bma!F393/data!$K393</f>
        <v>0</v>
      </c>
      <c r="G393">
        <f>+bma!G393/data!$K393</f>
        <v>0.25</v>
      </c>
      <c r="H393">
        <f>+bma!H393/data!$K393</f>
        <v>0</v>
      </c>
      <c r="I393">
        <f>+bma!I393/data!$K393</f>
        <v>0.25</v>
      </c>
      <c r="J393">
        <f>+bma!L393/data!$K393</f>
        <v>0</v>
      </c>
      <c r="K393">
        <f>+bma!M393/data!$K393</f>
        <v>0</v>
      </c>
      <c r="L393">
        <f>+bma!J393/data!$K393</f>
        <v>0</v>
      </c>
      <c r="M393">
        <f>+bma!K393/data!$K393</f>
        <v>0</v>
      </c>
      <c r="N393">
        <f>+bma!N393/data!$K393</f>
        <v>0</v>
      </c>
      <c r="O393">
        <f>+bma!O393/data!$K393</f>
        <v>0.25</v>
      </c>
      <c r="P393">
        <f>+bma!P393/data!$K393</f>
        <v>0.25</v>
      </c>
      <c r="Q393">
        <f>+bma!Q393/data!$K393</f>
        <v>1.9004755</v>
      </c>
      <c r="R393">
        <f>+bma!R393/data!$K393</f>
        <v>0.88159025000000002</v>
      </c>
      <c r="S393">
        <f>+bma!S393/data!$K393</f>
        <v>0.25</v>
      </c>
    </row>
    <row r="394" spans="1:19" x14ac:dyDescent="0.25">
      <c r="A394">
        <f>+bma!A394/data!$K394</f>
        <v>-8.5250740638486616E-2</v>
      </c>
      <c r="B394">
        <f>+bma!B394/data!$K394</f>
        <v>7.8338518424555276E-2</v>
      </c>
      <c r="C394">
        <f>+bma!C394/data!$K394</f>
        <v>0</v>
      </c>
      <c r="D394">
        <f>+bma!D394/data!$K394</f>
        <v>0.25</v>
      </c>
      <c r="E394">
        <f>+bma!E394/data!$K394</f>
        <v>0</v>
      </c>
      <c r="F394">
        <f>+bma!F394/data!$K394</f>
        <v>0</v>
      </c>
      <c r="G394">
        <f>+bma!G394/data!$K394</f>
        <v>0.25</v>
      </c>
      <c r="H394">
        <f>+bma!H394/data!$K394</f>
        <v>0</v>
      </c>
      <c r="I394">
        <f>+bma!I394/data!$K394</f>
        <v>0.25</v>
      </c>
      <c r="J394">
        <f>+bma!L394/data!$K394</f>
        <v>0</v>
      </c>
      <c r="K394">
        <f>+bma!M394/data!$K394</f>
        <v>0</v>
      </c>
      <c r="L394">
        <f>+bma!J394/data!$K394</f>
        <v>0</v>
      </c>
      <c r="M394">
        <f>+bma!K394/data!$K394</f>
        <v>0</v>
      </c>
      <c r="N394">
        <f>+bma!N394/data!$K394</f>
        <v>0</v>
      </c>
      <c r="O394">
        <f>+bma!O394/data!$K394</f>
        <v>0.25</v>
      </c>
      <c r="P394">
        <f>+bma!P394/data!$K394</f>
        <v>0.25</v>
      </c>
      <c r="Q394">
        <f>+bma!Q394/data!$K394</f>
        <v>1.9004755</v>
      </c>
      <c r="R394">
        <f>+bma!R394/data!$K394</f>
        <v>0.88159025000000002</v>
      </c>
      <c r="S394">
        <f>+bma!S394/data!$K394</f>
        <v>0.25</v>
      </c>
    </row>
    <row r="395" spans="1:19" x14ac:dyDescent="0.25">
      <c r="A395">
        <f>+bma!A395/data!$K395</f>
        <v>-0.15642137350061136</v>
      </c>
      <c r="B395">
        <f>+bma!B395/data!$K395</f>
        <v>6.5006285091163157E-2</v>
      </c>
      <c r="C395">
        <f>+bma!C395/data!$K395</f>
        <v>0</v>
      </c>
      <c r="D395">
        <f>+bma!D395/data!$K395</f>
        <v>0.25</v>
      </c>
      <c r="E395">
        <f>+bma!E395/data!$K395</f>
        <v>0</v>
      </c>
      <c r="F395">
        <f>+bma!F395/data!$K395</f>
        <v>0</v>
      </c>
      <c r="G395">
        <f>+bma!G395/data!$K395</f>
        <v>0.25</v>
      </c>
      <c r="H395">
        <f>+bma!H395/data!$K395</f>
        <v>0</v>
      </c>
      <c r="I395">
        <f>+bma!I395/data!$K395</f>
        <v>0.25</v>
      </c>
      <c r="J395">
        <f>+bma!L395/data!$K395</f>
        <v>0</v>
      </c>
      <c r="K395">
        <f>+bma!M395/data!$K395</f>
        <v>0</v>
      </c>
      <c r="L395">
        <f>+bma!J395/data!$K395</f>
        <v>0</v>
      </c>
      <c r="M395">
        <f>+bma!K395/data!$K395</f>
        <v>0</v>
      </c>
      <c r="N395">
        <f>+bma!N395/data!$K395</f>
        <v>0</v>
      </c>
      <c r="O395">
        <f>+bma!O395/data!$K395</f>
        <v>0.25</v>
      </c>
      <c r="P395">
        <f>+bma!P395/data!$K395</f>
        <v>0.25</v>
      </c>
      <c r="Q395">
        <f>+bma!Q395/data!$K395</f>
        <v>1.9004755</v>
      </c>
      <c r="R395">
        <f>+bma!R395/data!$K395</f>
        <v>0.88159025000000002</v>
      </c>
      <c r="S395">
        <f>+bma!S395/data!$K395</f>
        <v>0.25</v>
      </c>
    </row>
    <row r="396" spans="1:19" x14ac:dyDescent="0.25">
      <c r="A396">
        <f>+bma!A396/data!$K396</f>
        <v>-7.4031817566005574E-3</v>
      </c>
      <c r="B396">
        <f>+bma!B396/data!$K396</f>
        <v>2.6544774045064376E-3</v>
      </c>
      <c r="C396">
        <f>+bma!C396/data!$K396</f>
        <v>0.2</v>
      </c>
      <c r="D396">
        <f>+bma!D396/data!$K396</f>
        <v>0</v>
      </c>
      <c r="E396">
        <f>+bma!E396/data!$K396</f>
        <v>0</v>
      </c>
      <c r="F396">
        <f>+bma!F396/data!$K396</f>
        <v>0</v>
      </c>
      <c r="G396">
        <f>+bma!G396/data!$K396</f>
        <v>0</v>
      </c>
      <c r="H396">
        <f>+bma!H396/data!$K396</f>
        <v>0.2</v>
      </c>
      <c r="I396">
        <f>+bma!I396/data!$K396</f>
        <v>0</v>
      </c>
      <c r="J396">
        <f>+bma!L396/data!$K396</f>
        <v>0.2</v>
      </c>
      <c r="K396">
        <f>+bma!M396/data!$K396</f>
        <v>0</v>
      </c>
      <c r="L396">
        <f>+bma!J396/data!$K396</f>
        <v>0</v>
      </c>
      <c r="M396">
        <f>+bma!K396/data!$K396</f>
        <v>0</v>
      </c>
      <c r="N396">
        <f>+bma!N396/data!$K396</f>
        <v>0</v>
      </c>
      <c r="O396">
        <f>+bma!O396/data!$K396</f>
        <v>0</v>
      </c>
      <c r="P396">
        <f>+bma!P396/data!$K396</f>
        <v>0.2</v>
      </c>
      <c r="Q396">
        <f>+bma!Q396/data!$K396</f>
        <v>1.5196798</v>
      </c>
      <c r="R396">
        <f>+bma!R396/data!$K396</f>
        <v>0.8764054</v>
      </c>
      <c r="S396">
        <f>+bma!S396/data!$K396</f>
        <v>0.2</v>
      </c>
    </row>
    <row r="397" spans="1:19" x14ac:dyDescent="0.25">
      <c r="A397">
        <f>+bma!A397/data!$K397</f>
        <v>3.1318135807439805E-3</v>
      </c>
      <c r="B397">
        <f>+bma!B397/data!$K397</f>
        <v>2.6559721374681509E-3</v>
      </c>
      <c r="C397">
        <f>+bma!C397/data!$K397</f>
        <v>0.2</v>
      </c>
      <c r="D397">
        <f>+bma!D397/data!$K397</f>
        <v>0</v>
      </c>
      <c r="E397">
        <f>+bma!E397/data!$K397</f>
        <v>0</v>
      </c>
      <c r="F397">
        <f>+bma!F397/data!$K397</f>
        <v>0</v>
      </c>
      <c r="G397">
        <f>+bma!G397/data!$K397</f>
        <v>0</v>
      </c>
      <c r="H397">
        <f>+bma!H397/data!$K397</f>
        <v>0.2</v>
      </c>
      <c r="I397">
        <f>+bma!I397/data!$K397</f>
        <v>0</v>
      </c>
      <c r="J397">
        <f>+bma!L397/data!$K397</f>
        <v>0.2</v>
      </c>
      <c r="K397">
        <f>+bma!M397/data!$K397</f>
        <v>0</v>
      </c>
      <c r="L397">
        <f>+bma!J397/data!$K397</f>
        <v>0</v>
      </c>
      <c r="M397">
        <f>+bma!K397/data!$K397</f>
        <v>0</v>
      </c>
      <c r="N397">
        <f>+bma!N397/data!$K397</f>
        <v>0</v>
      </c>
      <c r="O397">
        <f>+bma!O397/data!$K397</f>
        <v>0</v>
      </c>
      <c r="P397">
        <f>+bma!P397/data!$K397</f>
        <v>0.2</v>
      </c>
      <c r="Q397">
        <f>+bma!Q397/data!$K397</f>
        <v>1.5196798</v>
      </c>
      <c r="R397">
        <f>+bma!R397/data!$K397</f>
        <v>0.8764054</v>
      </c>
      <c r="S397">
        <f>+bma!S397/data!$K397</f>
        <v>0.2</v>
      </c>
    </row>
    <row r="398" spans="1:19" x14ac:dyDescent="0.25">
      <c r="A398">
        <f>+bma!A398/data!$K398</f>
        <v>-9.3390604153765384E-3</v>
      </c>
      <c r="B398">
        <f>+bma!B398/data!$K398</f>
        <v>2.6534002837670118E-3</v>
      </c>
      <c r="C398">
        <f>+bma!C398/data!$K398</f>
        <v>0.2</v>
      </c>
      <c r="D398">
        <f>+bma!D398/data!$K398</f>
        <v>0</v>
      </c>
      <c r="E398">
        <f>+bma!E398/data!$K398</f>
        <v>0</v>
      </c>
      <c r="F398">
        <f>+bma!F398/data!$K398</f>
        <v>0</v>
      </c>
      <c r="G398">
        <f>+bma!G398/data!$K398</f>
        <v>0</v>
      </c>
      <c r="H398">
        <f>+bma!H398/data!$K398</f>
        <v>0.2</v>
      </c>
      <c r="I398">
        <f>+bma!I398/data!$K398</f>
        <v>0</v>
      </c>
      <c r="J398">
        <f>+bma!L398/data!$K398</f>
        <v>0.2</v>
      </c>
      <c r="K398">
        <f>+bma!M398/data!$K398</f>
        <v>0</v>
      </c>
      <c r="L398">
        <f>+bma!J398/data!$K398</f>
        <v>0</v>
      </c>
      <c r="M398">
        <f>+bma!K398/data!$K398</f>
        <v>0</v>
      </c>
      <c r="N398">
        <f>+bma!N398/data!$K398</f>
        <v>0</v>
      </c>
      <c r="O398">
        <f>+bma!O398/data!$K398</f>
        <v>0</v>
      </c>
      <c r="P398">
        <f>+bma!P398/data!$K398</f>
        <v>0.2</v>
      </c>
      <c r="Q398">
        <f>+bma!Q398/data!$K398</f>
        <v>1.5196798</v>
      </c>
      <c r="R398">
        <f>+bma!R398/data!$K398</f>
        <v>0.8764054</v>
      </c>
      <c r="S398">
        <f>+bma!S398/data!$K398</f>
        <v>0.2</v>
      </c>
    </row>
    <row r="399" spans="1:19" x14ac:dyDescent="0.25">
      <c r="A399">
        <f>+bma!A399/data!$K399</f>
        <v>-6.0536260605810474E-3</v>
      </c>
      <c r="B399">
        <f>+bma!B399/data!$K399</f>
        <v>2.6550807527093733E-3</v>
      </c>
      <c r="C399">
        <f>+bma!C399/data!$K399</f>
        <v>0.2</v>
      </c>
      <c r="D399">
        <f>+bma!D399/data!$K399</f>
        <v>0</v>
      </c>
      <c r="E399">
        <f>+bma!E399/data!$K399</f>
        <v>0</v>
      </c>
      <c r="F399">
        <f>+bma!F399/data!$K399</f>
        <v>0</v>
      </c>
      <c r="G399">
        <f>+bma!G399/data!$K399</f>
        <v>0</v>
      </c>
      <c r="H399">
        <f>+bma!H399/data!$K399</f>
        <v>0.2</v>
      </c>
      <c r="I399">
        <f>+bma!I399/data!$K399</f>
        <v>0</v>
      </c>
      <c r="J399">
        <f>+bma!L399/data!$K399</f>
        <v>0.2</v>
      </c>
      <c r="K399">
        <f>+bma!M399/data!$K399</f>
        <v>0</v>
      </c>
      <c r="L399">
        <f>+bma!J399/data!$K399</f>
        <v>0</v>
      </c>
      <c r="M399">
        <f>+bma!K399/data!$K399</f>
        <v>0</v>
      </c>
      <c r="N399">
        <f>+bma!N399/data!$K399</f>
        <v>0</v>
      </c>
      <c r="O399">
        <f>+bma!O399/data!$K399</f>
        <v>0</v>
      </c>
      <c r="P399">
        <f>+bma!P399/data!$K399</f>
        <v>0.2</v>
      </c>
      <c r="Q399">
        <f>+bma!Q399/data!$K399</f>
        <v>1.5196798</v>
      </c>
      <c r="R399">
        <f>+bma!R399/data!$K399</f>
        <v>0.8764054</v>
      </c>
      <c r="S399">
        <f>+bma!S399/data!$K399</f>
        <v>0.2</v>
      </c>
    </row>
    <row r="400" spans="1:19" x14ac:dyDescent="0.25">
      <c r="A400">
        <f>+bma!A400/data!$K400</f>
        <v>-5.1945085202452094E-3</v>
      </c>
      <c r="B400">
        <f>+bma!B400/data!$K400</f>
        <v>2.655401743558185E-3</v>
      </c>
      <c r="C400">
        <f>+bma!C400/data!$K400</f>
        <v>0.2</v>
      </c>
      <c r="D400">
        <f>+bma!D400/data!$K400</f>
        <v>0</v>
      </c>
      <c r="E400">
        <f>+bma!E400/data!$K400</f>
        <v>0</v>
      </c>
      <c r="F400">
        <f>+bma!F400/data!$K400</f>
        <v>0</v>
      </c>
      <c r="G400">
        <f>+bma!G400/data!$K400</f>
        <v>0</v>
      </c>
      <c r="H400">
        <f>+bma!H400/data!$K400</f>
        <v>0.2</v>
      </c>
      <c r="I400">
        <f>+bma!I400/data!$K400</f>
        <v>0</v>
      </c>
      <c r="J400">
        <f>+bma!L400/data!$K400</f>
        <v>0.2</v>
      </c>
      <c r="K400">
        <f>+bma!M400/data!$K400</f>
        <v>0</v>
      </c>
      <c r="L400">
        <f>+bma!J400/data!$K400</f>
        <v>0</v>
      </c>
      <c r="M400">
        <f>+bma!K400/data!$K400</f>
        <v>0</v>
      </c>
      <c r="N400">
        <f>+bma!N400/data!$K400</f>
        <v>0</v>
      </c>
      <c r="O400">
        <f>+bma!O400/data!$K400</f>
        <v>0</v>
      </c>
      <c r="P400">
        <f>+bma!P400/data!$K400</f>
        <v>0.2</v>
      </c>
      <c r="Q400">
        <f>+bma!Q400/data!$K400</f>
        <v>1.5196798</v>
      </c>
      <c r="R400">
        <f>+bma!R400/data!$K400</f>
        <v>0.8764054</v>
      </c>
      <c r="S400">
        <f>+bma!S400/data!$K400</f>
        <v>0.2</v>
      </c>
    </row>
    <row r="401" spans="1:19" x14ac:dyDescent="0.25">
      <c r="A401">
        <f>+bma!A401/data!$K401</f>
        <v>-2.7450540652300692E-2</v>
      </c>
      <c r="B401">
        <f>+bma!B401/data!$K401</f>
        <v>1.9062875452986565E-2</v>
      </c>
      <c r="C401">
        <f>+bma!C401/data!$K401</f>
        <v>0.2</v>
      </c>
      <c r="D401">
        <f>+bma!D401/data!$K401</f>
        <v>0.2</v>
      </c>
      <c r="E401">
        <f>+bma!E401/data!$K401</f>
        <v>0</v>
      </c>
      <c r="F401">
        <f>+bma!F401/data!$K401</f>
        <v>0</v>
      </c>
      <c r="G401">
        <f>+bma!G401/data!$K401</f>
        <v>0.2</v>
      </c>
      <c r="H401">
        <f>+bma!H401/data!$K401</f>
        <v>0</v>
      </c>
      <c r="I401">
        <f>+bma!I401/data!$K401</f>
        <v>0</v>
      </c>
      <c r="J401">
        <f>+bma!L401/data!$K401</f>
        <v>0</v>
      </c>
      <c r="K401">
        <f>+bma!M401/data!$K401</f>
        <v>0</v>
      </c>
      <c r="L401">
        <f>+bma!J401/data!$K401</f>
        <v>0</v>
      </c>
      <c r="M401">
        <f>+bma!K401/data!$K401</f>
        <v>0</v>
      </c>
      <c r="N401">
        <f>+bma!N401/data!$K401</f>
        <v>0.2</v>
      </c>
      <c r="O401">
        <f>+bma!O401/data!$K401</f>
        <v>0</v>
      </c>
      <c r="P401">
        <f>+bma!P401/data!$K401</f>
        <v>0.2</v>
      </c>
      <c r="Q401">
        <f>+bma!Q401/data!$K401</f>
        <v>1.5194791999999999</v>
      </c>
      <c r="R401">
        <f>+bma!R401/data!$K401</f>
        <v>0.78240460000000001</v>
      </c>
      <c r="S401">
        <f>+bma!S401/data!$K401</f>
        <v>0.2</v>
      </c>
    </row>
    <row r="402" spans="1:19" x14ac:dyDescent="0.25">
      <c r="A402">
        <f>+bma!A402/data!$K402</f>
        <v>-4.0242111623853175E-2</v>
      </c>
      <c r="B402">
        <f>+bma!B402/data!$K402</f>
        <v>1.7051742213497E-2</v>
      </c>
      <c r="C402">
        <f>+bma!C402/data!$K402</f>
        <v>0.2</v>
      </c>
      <c r="D402">
        <f>+bma!D402/data!$K402</f>
        <v>0.2</v>
      </c>
      <c r="E402">
        <f>+bma!E402/data!$K402</f>
        <v>0</v>
      </c>
      <c r="F402">
        <f>+bma!F402/data!$K402</f>
        <v>0</v>
      </c>
      <c r="G402">
        <f>+bma!G402/data!$K402</f>
        <v>0.2</v>
      </c>
      <c r="H402">
        <f>+bma!H402/data!$K402</f>
        <v>0</v>
      </c>
      <c r="I402">
        <f>+bma!I402/data!$K402</f>
        <v>0</v>
      </c>
      <c r="J402">
        <f>+bma!L402/data!$K402</f>
        <v>0</v>
      </c>
      <c r="K402">
        <f>+bma!M402/data!$K402</f>
        <v>0</v>
      </c>
      <c r="L402">
        <f>+bma!J402/data!$K402</f>
        <v>0</v>
      </c>
      <c r="M402">
        <f>+bma!K402/data!$K402</f>
        <v>0</v>
      </c>
      <c r="N402">
        <f>+bma!N402/data!$K402</f>
        <v>0.2</v>
      </c>
      <c r="O402">
        <f>+bma!O402/data!$K402</f>
        <v>0</v>
      </c>
      <c r="P402">
        <f>+bma!P402/data!$K402</f>
        <v>0.2</v>
      </c>
      <c r="Q402">
        <f>+bma!Q402/data!$K402</f>
        <v>1.5194791999999999</v>
      </c>
      <c r="R402">
        <f>+bma!R402/data!$K402</f>
        <v>0.78240460000000001</v>
      </c>
      <c r="S402">
        <f>+bma!S402/data!$K402</f>
        <v>0.2</v>
      </c>
    </row>
    <row r="403" spans="1:19" x14ac:dyDescent="0.25">
      <c r="A403">
        <f>+bma!A403/data!$K403</f>
        <v>-4.0337958829708448E-2</v>
      </c>
      <c r="B403">
        <f>+bma!B403/data!$K403</f>
        <v>1.8849513471826333E-2</v>
      </c>
      <c r="C403">
        <f>+bma!C403/data!$K403</f>
        <v>0.2</v>
      </c>
      <c r="D403">
        <f>+bma!D403/data!$K403</f>
        <v>0.2</v>
      </c>
      <c r="E403">
        <f>+bma!E403/data!$K403</f>
        <v>0</v>
      </c>
      <c r="F403">
        <f>+bma!F403/data!$K403</f>
        <v>0</v>
      </c>
      <c r="G403">
        <f>+bma!G403/data!$K403</f>
        <v>0.2</v>
      </c>
      <c r="H403">
        <f>+bma!H403/data!$K403</f>
        <v>0</v>
      </c>
      <c r="I403">
        <f>+bma!I403/data!$K403</f>
        <v>0</v>
      </c>
      <c r="J403">
        <f>+bma!L403/data!$K403</f>
        <v>0</v>
      </c>
      <c r="K403">
        <f>+bma!M403/data!$K403</f>
        <v>0</v>
      </c>
      <c r="L403">
        <f>+bma!J403/data!$K403</f>
        <v>0</v>
      </c>
      <c r="M403">
        <f>+bma!K403/data!$K403</f>
        <v>0</v>
      </c>
      <c r="N403">
        <f>+bma!N403/data!$K403</f>
        <v>0.2</v>
      </c>
      <c r="O403">
        <f>+bma!O403/data!$K403</f>
        <v>0</v>
      </c>
      <c r="P403">
        <f>+bma!P403/data!$K403</f>
        <v>0.2</v>
      </c>
      <c r="Q403">
        <f>+bma!Q403/data!$K403</f>
        <v>1.5194791999999999</v>
      </c>
      <c r="R403">
        <f>+bma!R403/data!$K403</f>
        <v>0.78240460000000001</v>
      </c>
      <c r="S403">
        <f>+bma!S403/data!$K403</f>
        <v>0.2</v>
      </c>
    </row>
    <row r="404" spans="1:19" x14ac:dyDescent="0.25">
      <c r="A404">
        <f>+bma!A404/data!$K404</f>
        <v>-6.815009549715681E-2</v>
      </c>
      <c r="B404">
        <f>+bma!B404/data!$K404</f>
        <v>4.0088291468915779E-2</v>
      </c>
      <c r="C404">
        <f>+bma!C404/data!$K404</f>
        <v>0.2</v>
      </c>
      <c r="D404">
        <f>+bma!D404/data!$K404</f>
        <v>0.2</v>
      </c>
      <c r="E404">
        <f>+bma!E404/data!$K404</f>
        <v>0</v>
      </c>
      <c r="F404">
        <f>+bma!F404/data!$K404</f>
        <v>0</v>
      </c>
      <c r="G404">
        <f>+bma!G404/data!$K404</f>
        <v>0.2</v>
      </c>
      <c r="H404">
        <f>+bma!H404/data!$K404</f>
        <v>0</v>
      </c>
      <c r="I404">
        <f>+bma!I404/data!$K404</f>
        <v>0</v>
      </c>
      <c r="J404">
        <f>+bma!L404/data!$K404</f>
        <v>0</v>
      </c>
      <c r="K404">
        <f>+bma!M404/data!$K404</f>
        <v>0</v>
      </c>
      <c r="L404">
        <f>+bma!J404/data!$K404</f>
        <v>0</v>
      </c>
      <c r="M404">
        <f>+bma!K404/data!$K404</f>
        <v>0</v>
      </c>
      <c r="N404">
        <f>+bma!N404/data!$K404</f>
        <v>0.2</v>
      </c>
      <c r="O404">
        <f>+bma!O404/data!$K404</f>
        <v>0</v>
      </c>
      <c r="P404">
        <f>+bma!P404/data!$K404</f>
        <v>0.2</v>
      </c>
      <c r="Q404">
        <f>+bma!Q404/data!$K404</f>
        <v>1.5194791999999999</v>
      </c>
      <c r="R404">
        <f>+bma!R404/data!$K404</f>
        <v>0.78240460000000001</v>
      </c>
      <c r="S404">
        <f>+bma!S404/data!$K404</f>
        <v>0.2</v>
      </c>
    </row>
    <row r="405" spans="1:19" x14ac:dyDescent="0.25">
      <c r="A405">
        <f>+bma!A405/data!$K405</f>
        <v>-7.4875353354267565E-2</v>
      </c>
      <c r="B405">
        <f>+bma!B405/data!$K405</f>
        <v>1.5730116250896445E-2</v>
      </c>
      <c r="C405">
        <f>+bma!C405/data!$K405</f>
        <v>0.2</v>
      </c>
      <c r="D405">
        <f>+bma!D405/data!$K405</f>
        <v>0.2</v>
      </c>
      <c r="E405">
        <f>+bma!E405/data!$K405</f>
        <v>0</v>
      </c>
      <c r="F405">
        <f>+bma!F405/data!$K405</f>
        <v>0</v>
      </c>
      <c r="G405">
        <f>+bma!G405/data!$K405</f>
        <v>0.2</v>
      </c>
      <c r="H405">
        <f>+bma!H405/data!$K405</f>
        <v>0</v>
      </c>
      <c r="I405">
        <f>+bma!I405/data!$K405</f>
        <v>0</v>
      </c>
      <c r="J405">
        <f>+bma!L405/data!$K405</f>
        <v>0</v>
      </c>
      <c r="K405">
        <f>+bma!M405/data!$K405</f>
        <v>0</v>
      </c>
      <c r="L405">
        <f>+bma!J405/data!$K405</f>
        <v>0</v>
      </c>
      <c r="M405">
        <f>+bma!K405/data!$K405</f>
        <v>0</v>
      </c>
      <c r="N405">
        <f>+bma!N405/data!$K405</f>
        <v>0.2</v>
      </c>
      <c r="O405">
        <f>+bma!O405/data!$K405</f>
        <v>0</v>
      </c>
      <c r="P405">
        <f>+bma!P405/data!$K405</f>
        <v>0.2</v>
      </c>
      <c r="Q405">
        <f>+bma!Q405/data!$K405</f>
        <v>1.5194791999999999</v>
      </c>
      <c r="R405">
        <f>+bma!R405/data!$K405</f>
        <v>0.78240460000000001</v>
      </c>
      <c r="S405">
        <f>+bma!S405/data!$K405</f>
        <v>0.2</v>
      </c>
    </row>
    <row r="406" spans="1:19" x14ac:dyDescent="0.25">
      <c r="A406">
        <f>+bma!A406/data!$K406</f>
        <v>-8.6169522932341272E-2</v>
      </c>
      <c r="B406">
        <f>+bma!B406/data!$K406</f>
        <v>1.8732504985291585E-2</v>
      </c>
      <c r="C406">
        <f>+bma!C406/data!$K406</f>
        <v>0.16666666666666666</v>
      </c>
      <c r="D406">
        <f>+bma!D406/data!$K406</f>
        <v>0.16666666666666666</v>
      </c>
      <c r="E406">
        <f>+bma!E406/data!$K406</f>
        <v>0</v>
      </c>
      <c r="F406">
        <f>+bma!F406/data!$K406</f>
        <v>0</v>
      </c>
      <c r="G406">
        <f>+bma!G406/data!$K406</f>
        <v>0.16666666666666666</v>
      </c>
      <c r="H406">
        <f>+bma!H406/data!$K406</f>
        <v>0</v>
      </c>
      <c r="I406">
        <f>+bma!I406/data!$K406</f>
        <v>0.16666666666666666</v>
      </c>
      <c r="J406">
        <f>+bma!L406/data!$K406</f>
        <v>0</v>
      </c>
      <c r="K406">
        <f>+bma!M406/data!$K406</f>
        <v>0</v>
      </c>
      <c r="L406">
        <f>+bma!J406/data!$K406</f>
        <v>0</v>
      </c>
      <c r="M406">
        <f>+bma!K406/data!$K406</f>
        <v>0</v>
      </c>
      <c r="N406">
        <f>+bma!N406/data!$K406</f>
        <v>0.16666666666666666</v>
      </c>
      <c r="O406">
        <f>+bma!O406/data!$K406</f>
        <v>0</v>
      </c>
      <c r="P406">
        <f>+bma!P406/data!$K406</f>
        <v>0.16666666666666666</v>
      </c>
      <c r="Q406">
        <f>+bma!Q406/data!$K406</f>
        <v>1.265814</v>
      </c>
      <c r="R406">
        <f>+bma!R406/data!$K406</f>
        <v>0.60181966666666664</v>
      </c>
      <c r="S406">
        <f>+bma!S406/data!$K406</f>
        <v>0.16666666666666666</v>
      </c>
    </row>
    <row r="407" spans="1:19" x14ac:dyDescent="0.25">
      <c r="A407">
        <f>+bma!A407/data!$K407</f>
        <v>-8.7279142714350832E-2</v>
      </c>
      <c r="B407">
        <f>+bma!B407/data!$K407</f>
        <v>1.8973726677032791E-2</v>
      </c>
      <c r="C407">
        <f>+bma!C407/data!$K407</f>
        <v>0.16666666666666666</v>
      </c>
      <c r="D407">
        <f>+bma!D407/data!$K407</f>
        <v>0.16666666666666666</v>
      </c>
      <c r="E407">
        <f>+bma!E407/data!$K407</f>
        <v>0</v>
      </c>
      <c r="F407">
        <f>+bma!F407/data!$K407</f>
        <v>0</v>
      </c>
      <c r="G407">
        <f>+bma!G407/data!$K407</f>
        <v>0.16666666666666666</v>
      </c>
      <c r="H407">
        <f>+bma!H407/data!$K407</f>
        <v>0</v>
      </c>
      <c r="I407">
        <f>+bma!I407/data!$K407</f>
        <v>0.16666666666666666</v>
      </c>
      <c r="J407">
        <f>+bma!L407/data!$K407</f>
        <v>0</v>
      </c>
      <c r="K407">
        <f>+bma!M407/data!$K407</f>
        <v>0</v>
      </c>
      <c r="L407">
        <f>+bma!J407/data!$K407</f>
        <v>0</v>
      </c>
      <c r="M407">
        <f>+bma!K407/data!$K407</f>
        <v>0</v>
      </c>
      <c r="N407">
        <f>+bma!N407/data!$K407</f>
        <v>0.16666666666666666</v>
      </c>
      <c r="O407">
        <f>+bma!O407/data!$K407</f>
        <v>0</v>
      </c>
      <c r="P407">
        <f>+bma!P407/data!$K407</f>
        <v>0.16666666666666666</v>
      </c>
      <c r="Q407">
        <f>+bma!Q407/data!$K407</f>
        <v>1.265814</v>
      </c>
      <c r="R407">
        <f>+bma!R407/data!$K407</f>
        <v>0.60181966666666664</v>
      </c>
      <c r="S407">
        <f>+bma!S407/data!$K407</f>
        <v>0.16666666666666666</v>
      </c>
    </row>
    <row r="408" spans="1:19" x14ac:dyDescent="0.25">
      <c r="A408">
        <f>+bma!A408/data!$K408</f>
        <v>-8.9984254133169517E-2</v>
      </c>
      <c r="B408">
        <f>+bma!B408/data!$K408</f>
        <v>1.8746719611076983E-2</v>
      </c>
      <c r="C408">
        <f>+bma!C408/data!$K408</f>
        <v>0.16666666666666666</v>
      </c>
      <c r="D408">
        <f>+bma!D408/data!$K408</f>
        <v>0.16666666666666666</v>
      </c>
      <c r="E408">
        <f>+bma!E408/data!$K408</f>
        <v>0</v>
      </c>
      <c r="F408">
        <f>+bma!F408/data!$K408</f>
        <v>0</v>
      </c>
      <c r="G408">
        <f>+bma!G408/data!$K408</f>
        <v>0.16666666666666666</v>
      </c>
      <c r="H408">
        <f>+bma!H408/data!$K408</f>
        <v>0</v>
      </c>
      <c r="I408">
        <f>+bma!I408/data!$K408</f>
        <v>0.16666666666666666</v>
      </c>
      <c r="J408">
        <f>+bma!L408/data!$K408</f>
        <v>0</v>
      </c>
      <c r="K408">
        <f>+bma!M408/data!$K408</f>
        <v>0</v>
      </c>
      <c r="L408">
        <f>+bma!J408/data!$K408</f>
        <v>0</v>
      </c>
      <c r="M408">
        <f>+bma!K408/data!$K408</f>
        <v>0</v>
      </c>
      <c r="N408">
        <f>+bma!N408/data!$K408</f>
        <v>0.16666666666666666</v>
      </c>
      <c r="O408">
        <f>+bma!O408/data!$K408</f>
        <v>0</v>
      </c>
      <c r="P408">
        <f>+bma!P408/data!$K408</f>
        <v>0.16666666666666666</v>
      </c>
      <c r="Q408">
        <f>+bma!Q408/data!$K408</f>
        <v>1.265814</v>
      </c>
      <c r="R408">
        <f>+bma!R408/data!$K408</f>
        <v>0.60181966666666664</v>
      </c>
      <c r="S408">
        <f>+bma!S408/data!$K408</f>
        <v>0.16666666666666666</v>
      </c>
    </row>
    <row r="409" spans="1:19" x14ac:dyDescent="0.25">
      <c r="A409">
        <f>+bma!A409/data!$K409</f>
        <v>-9.9280566196878431E-2</v>
      </c>
      <c r="B409">
        <f>+bma!B409/data!$K409</f>
        <v>1.805101203579608E-2</v>
      </c>
      <c r="C409">
        <f>+bma!C409/data!$K409</f>
        <v>0.16666666666666666</v>
      </c>
      <c r="D409">
        <f>+bma!D409/data!$K409</f>
        <v>0.16666666666666666</v>
      </c>
      <c r="E409">
        <f>+bma!E409/data!$K409</f>
        <v>0</v>
      </c>
      <c r="F409">
        <f>+bma!F409/data!$K409</f>
        <v>0</v>
      </c>
      <c r="G409">
        <f>+bma!G409/data!$K409</f>
        <v>0.16666666666666666</v>
      </c>
      <c r="H409">
        <f>+bma!H409/data!$K409</f>
        <v>0</v>
      </c>
      <c r="I409">
        <f>+bma!I409/data!$K409</f>
        <v>0.16666666666666666</v>
      </c>
      <c r="J409">
        <f>+bma!L409/data!$K409</f>
        <v>0</v>
      </c>
      <c r="K409">
        <f>+bma!M409/data!$K409</f>
        <v>0</v>
      </c>
      <c r="L409">
        <f>+bma!J409/data!$K409</f>
        <v>0</v>
      </c>
      <c r="M409">
        <f>+bma!K409/data!$K409</f>
        <v>0</v>
      </c>
      <c r="N409">
        <f>+bma!N409/data!$K409</f>
        <v>0.16666666666666666</v>
      </c>
      <c r="O409">
        <f>+bma!O409/data!$K409</f>
        <v>0</v>
      </c>
      <c r="P409">
        <f>+bma!P409/data!$K409</f>
        <v>0.16666666666666666</v>
      </c>
      <c r="Q409">
        <f>+bma!Q409/data!$K409</f>
        <v>1.265814</v>
      </c>
      <c r="R409">
        <f>+bma!R409/data!$K409</f>
        <v>0.60181966666666664</v>
      </c>
      <c r="S409">
        <f>+bma!S409/data!$K409</f>
        <v>0.16666666666666666</v>
      </c>
    </row>
    <row r="410" spans="1:19" x14ac:dyDescent="0.25">
      <c r="A410">
        <f>+bma!A410/data!$K410</f>
        <v>5.5158616026791266E-3</v>
      </c>
      <c r="B410">
        <f>+bma!B410/data!$K410</f>
        <v>2.2063446410716506E-2</v>
      </c>
      <c r="C410">
        <f>+bma!C410/data!$K410</f>
        <v>0.16666666666666666</v>
      </c>
      <c r="D410">
        <f>+bma!D410/data!$K410</f>
        <v>0.16666666666666666</v>
      </c>
      <c r="E410">
        <f>+bma!E410/data!$K410</f>
        <v>0</v>
      </c>
      <c r="F410">
        <f>+bma!F410/data!$K410</f>
        <v>0</v>
      </c>
      <c r="G410">
        <f>+bma!G410/data!$K410</f>
        <v>0.16666666666666666</v>
      </c>
      <c r="H410">
        <f>+bma!H410/data!$K410</f>
        <v>0</v>
      </c>
      <c r="I410">
        <f>+bma!I410/data!$K410</f>
        <v>0.16666666666666666</v>
      </c>
      <c r="J410">
        <f>+bma!L410/data!$K410</f>
        <v>0</v>
      </c>
      <c r="K410">
        <f>+bma!M410/data!$K410</f>
        <v>0</v>
      </c>
      <c r="L410">
        <f>+bma!J410/data!$K410</f>
        <v>0</v>
      </c>
      <c r="M410">
        <f>+bma!K410/data!$K410</f>
        <v>0</v>
      </c>
      <c r="N410">
        <f>+bma!N410/data!$K410</f>
        <v>0.16666666666666666</v>
      </c>
      <c r="O410">
        <f>+bma!O410/data!$K410</f>
        <v>0</v>
      </c>
      <c r="P410">
        <f>+bma!P410/data!$K410</f>
        <v>0.16666666666666666</v>
      </c>
      <c r="Q410">
        <f>+bma!Q410/data!$K410</f>
        <v>1.265814</v>
      </c>
      <c r="R410">
        <f>+bma!R410/data!$K410</f>
        <v>0.60181966666666664</v>
      </c>
      <c r="S410">
        <f>+bma!S410/data!$K410</f>
        <v>0.16666666666666666</v>
      </c>
    </row>
    <row r="411" spans="1:19" x14ac:dyDescent="0.25">
      <c r="A411">
        <f>+bma!A411/data!$K411</f>
        <v>-0.10153523884287884</v>
      </c>
      <c r="B411">
        <f>+bma!B411/data!$K411</f>
        <v>1.7506075662565318E-2</v>
      </c>
      <c r="C411">
        <f>+bma!C411/data!$K411</f>
        <v>0.16666666666666666</v>
      </c>
      <c r="D411">
        <f>+bma!D411/data!$K411</f>
        <v>0.16666666666666666</v>
      </c>
      <c r="E411">
        <f>+bma!E411/data!$K411</f>
        <v>0</v>
      </c>
      <c r="F411">
        <f>+bma!F411/data!$K411</f>
        <v>0</v>
      </c>
      <c r="G411">
        <f>+bma!G411/data!$K411</f>
        <v>0.16666666666666666</v>
      </c>
      <c r="H411">
        <f>+bma!H411/data!$K411</f>
        <v>0</v>
      </c>
      <c r="I411">
        <f>+bma!I411/data!$K411</f>
        <v>0.16666666666666666</v>
      </c>
      <c r="J411">
        <f>+bma!L411/data!$K411</f>
        <v>0</v>
      </c>
      <c r="K411">
        <f>+bma!M411/data!$K411</f>
        <v>0</v>
      </c>
      <c r="L411">
        <f>+bma!J411/data!$K411</f>
        <v>0</v>
      </c>
      <c r="M411">
        <f>+bma!K411/data!$K411</f>
        <v>0</v>
      </c>
      <c r="N411">
        <f>+bma!N411/data!$K411</f>
        <v>0.16666666666666666</v>
      </c>
      <c r="O411">
        <f>+bma!O411/data!$K411</f>
        <v>0</v>
      </c>
      <c r="P411">
        <f>+bma!P411/data!$K411</f>
        <v>0.16666666666666666</v>
      </c>
      <c r="Q411">
        <f>+bma!Q411/data!$K411</f>
        <v>1.265814</v>
      </c>
      <c r="R411">
        <f>+bma!R411/data!$K411</f>
        <v>0.60181966666666664</v>
      </c>
      <c r="S411">
        <f>+bma!S411/data!$K411</f>
        <v>0.16666666666666666</v>
      </c>
    </row>
    <row r="412" spans="1:19" x14ac:dyDescent="0.25">
      <c r="A412">
        <f>+bma!A412/data!$K412</f>
        <v>-0.23228899617628365</v>
      </c>
      <c r="B412">
        <f>+bma!B412/data!$K412</f>
        <v>6.8320292993024598E-2</v>
      </c>
      <c r="C412">
        <f>+bma!C412/data!$K412</f>
        <v>0.5</v>
      </c>
      <c r="D412">
        <f>+bma!D412/data!$K412</f>
        <v>0.5</v>
      </c>
      <c r="E412">
        <f>+bma!E412/data!$K412</f>
        <v>0</v>
      </c>
      <c r="F412">
        <f>+bma!F412/data!$K412</f>
        <v>0.5</v>
      </c>
      <c r="G412">
        <f>+bma!G412/data!$K412</f>
        <v>0</v>
      </c>
      <c r="H412">
        <f>+bma!H412/data!$K412</f>
        <v>0.5</v>
      </c>
      <c r="I412">
        <f>+bma!I412/data!$K412</f>
        <v>0</v>
      </c>
      <c r="J412">
        <f>+bma!L412/data!$K412</f>
        <v>0.5</v>
      </c>
      <c r="K412">
        <f>+bma!M412/data!$K412</f>
        <v>0</v>
      </c>
      <c r="L412">
        <f>+bma!J412/data!$K412</f>
        <v>0</v>
      </c>
      <c r="M412">
        <f>+bma!K412/data!$K412</f>
        <v>0</v>
      </c>
      <c r="N412">
        <f>+bma!N412/data!$K412</f>
        <v>0</v>
      </c>
      <c r="O412">
        <f>+bma!O412/data!$K412</f>
        <v>0.5</v>
      </c>
      <c r="P412">
        <f>+bma!P412/data!$K412</f>
        <v>0.5</v>
      </c>
      <c r="Q412">
        <f>+bma!Q412/data!$K412</f>
        <v>3.7986979999999999</v>
      </c>
      <c r="R412">
        <f>+bma!R412/data!$K412</f>
        <v>1.9143205000000001</v>
      </c>
      <c r="S412">
        <f>+bma!S412/data!$K412</f>
        <v>0</v>
      </c>
    </row>
    <row r="413" spans="1:19" x14ac:dyDescent="0.25">
      <c r="A413">
        <f>+bma!A413/data!$K413</f>
        <v>-0.14744195615489714</v>
      </c>
      <c r="B413">
        <f>+bma!B413/data!$K413</f>
        <v>7.3720978077448568E-2</v>
      </c>
      <c r="C413">
        <f>+bma!C413/data!$K413</f>
        <v>0.5</v>
      </c>
      <c r="D413">
        <f>+bma!D413/data!$K413</f>
        <v>0</v>
      </c>
      <c r="E413">
        <f>+bma!E413/data!$K413</f>
        <v>0.5</v>
      </c>
      <c r="F413">
        <f>+bma!F413/data!$K413</f>
        <v>0.5</v>
      </c>
      <c r="G413">
        <f>+bma!G413/data!$K413</f>
        <v>0</v>
      </c>
      <c r="H413">
        <f>+bma!H413/data!$K413</f>
        <v>0.5</v>
      </c>
      <c r="I413">
        <f>+bma!I413/data!$K413</f>
        <v>0</v>
      </c>
      <c r="J413">
        <f>+bma!L413/data!$K413</f>
        <v>0.5</v>
      </c>
      <c r="K413">
        <f>+bma!M413/data!$K413</f>
        <v>0</v>
      </c>
      <c r="L413">
        <f>+bma!J413/data!$K413</f>
        <v>0</v>
      </c>
      <c r="M413">
        <f>+bma!K413/data!$K413</f>
        <v>0</v>
      </c>
      <c r="N413">
        <f>+bma!N413/data!$K413</f>
        <v>0</v>
      </c>
      <c r="O413">
        <f>+bma!O413/data!$K413</f>
        <v>0.5</v>
      </c>
      <c r="P413">
        <f>+bma!P413/data!$K413</f>
        <v>0.5</v>
      </c>
      <c r="Q413">
        <f>+bma!Q413/data!$K413</f>
        <v>3.7986979999999999</v>
      </c>
      <c r="R413">
        <f>+bma!R413/data!$K413</f>
        <v>1.9143205000000001</v>
      </c>
      <c r="S413">
        <f>+bma!S413/data!$K413</f>
        <v>0</v>
      </c>
    </row>
    <row r="414" spans="1:19" x14ac:dyDescent="0.25">
      <c r="A414">
        <f>+bma!A414/data!$K414</f>
        <v>-2.3416853520463868E-2</v>
      </c>
      <c r="B414">
        <f>+bma!B414/data!$K414</f>
        <v>1.3329265437422508E-2</v>
      </c>
      <c r="C414">
        <f>+bma!C414/data!$K414</f>
        <v>0</v>
      </c>
      <c r="D414">
        <f>+bma!D414/data!$K414</f>
        <v>8.3333333333333329E-2</v>
      </c>
      <c r="E414">
        <f>+bma!E414/data!$K414</f>
        <v>0</v>
      </c>
      <c r="F414">
        <f>+bma!F414/data!$K414</f>
        <v>0</v>
      </c>
      <c r="G414">
        <f>+bma!G414/data!$K414</f>
        <v>8.3333333333333329E-2</v>
      </c>
      <c r="H414">
        <f>+bma!H414/data!$K414</f>
        <v>8.3333333333333329E-2</v>
      </c>
      <c r="I414">
        <f>+bma!I414/data!$K414</f>
        <v>8.3333333333333329E-2</v>
      </c>
      <c r="J414">
        <f>+bma!L414/data!$K414</f>
        <v>0</v>
      </c>
      <c r="K414">
        <f>+bma!M414/data!$K414</f>
        <v>0</v>
      </c>
      <c r="L414">
        <f>+bma!J414/data!$K414</f>
        <v>0</v>
      </c>
      <c r="M414">
        <f>+bma!K414/data!$K414</f>
        <v>0</v>
      </c>
      <c r="N414">
        <f>+bma!N414/data!$K414</f>
        <v>0</v>
      </c>
      <c r="O414">
        <f>+bma!O414/data!$K414</f>
        <v>0</v>
      </c>
      <c r="P414">
        <f>+bma!P414/data!$K414</f>
        <v>8.3333333333333329E-2</v>
      </c>
      <c r="Q414">
        <f>+bma!Q414/data!$K414</f>
        <v>0.63332516666666672</v>
      </c>
      <c r="R414">
        <f>+bma!R414/data!$K414</f>
        <v>0.24536991666666666</v>
      </c>
      <c r="S414">
        <f>+bma!S414/data!$K414</f>
        <v>8.3333333333333329E-2</v>
      </c>
    </row>
    <row r="415" spans="1:19" x14ac:dyDescent="0.25">
      <c r="A415">
        <f>+bma!A415/data!$K415</f>
        <v>-8.6242740801614134E-3</v>
      </c>
      <c r="B415">
        <f>+bma!B415/data!$K415</f>
        <v>1.3814310556081068E-2</v>
      </c>
      <c r="C415">
        <f>+bma!C415/data!$K415</f>
        <v>0</v>
      </c>
      <c r="D415">
        <f>+bma!D415/data!$K415</f>
        <v>8.3333333333333329E-2</v>
      </c>
      <c r="E415">
        <f>+bma!E415/data!$K415</f>
        <v>0</v>
      </c>
      <c r="F415">
        <f>+bma!F415/data!$K415</f>
        <v>0</v>
      </c>
      <c r="G415">
        <f>+bma!G415/data!$K415</f>
        <v>8.3333333333333329E-2</v>
      </c>
      <c r="H415">
        <f>+bma!H415/data!$K415</f>
        <v>8.3333333333333329E-2</v>
      </c>
      <c r="I415">
        <f>+bma!I415/data!$K415</f>
        <v>8.3333333333333329E-2</v>
      </c>
      <c r="J415">
        <f>+bma!L415/data!$K415</f>
        <v>0</v>
      </c>
      <c r="K415">
        <f>+bma!M415/data!$K415</f>
        <v>0</v>
      </c>
      <c r="L415">
        <f>+bma!J415/data!$K415</f>
        <v>0</v>
      </c>
      <c r="M415">
        <f>+bma!K415/data!$K415</f>
        <v>0</v>
      </c>
      <c r="N415">
        <f>+bma!N415/data!$K415</f>
        <v>0</v>
      </c>
      <c r="O415">
        <f>+bma!O415/data!$K415</f>
        <v>0</v>
      </c>
      <c r="P415">
        <f>+bma!P415/data!$K415</f>
        <v>8.3333333333333329E-2</v>
      </c>
      <c r="Q415">
        <f>+bma!Q415/data!$K415</f>
        <v>0.63332516666666672</v>
      </c>
      <c r="R415">
        <f>+bma!R415/data!$K415</f>
        <v>0.24536991666666666</v>
      </c>
      <c r="S415">
        <f>+bma!S415/data!$K415</f>
        <v>8.3333333333333329E-2</v>
      </c>
    </row>
    <row r="416" spans="1:19" x14ac:dyDescent="0.25">
      <c r="A416">
        <f>+bma!A416/data!$K416</f>
        <v>-3.9846622932530107E-2</v>
      </c>
      <c r="B416">
        <f>+bma!B416/data!$K416</f>
        <v>1.2371269810466058E-2</v>
      </c>
      <c r="C416">
        <f>+bma!C416/data!$K416</f>
        <v>0</v>
      </c>
      <c r="D416">
        <f>+bma!D416/data!$K416</f>
        <v>0</v>
      </c>
      <c r="E416">
        <f>+bma!E416/data!$K416</f>
        <v>0</v>
      </c>
      <c r="F416">
        <f>+bma!F416/data!$K416</f>
        <v>0</v>
      </c>
      <c r="G416">
        <f>+bma!G416/data!$K416</f>
        <v>8.3333333333333329E-2</v>
      </c>
      <c r="H416">
        <f>+bma!H416/data!$K416</f>
        <v>8.3333333333333329E-2</v>
      </c>
      <c r="I416">
        <f>+bma!I416/data!$K416</f>
        <v>8.3333333333333329E-2</v>
      </c>
      <c r="J416">
        <f>+bma!L416/data!$K416</f>
        <v>0</v>
      </c>
      <c r="K416">
        <f>+bma!M416/data!$K416</f>
        <v>0</v>
      </c>
      <c r="L416">
        <f>+bma!J416/data!$K416</f>
        <v>0</v>
      </c>
      <c r="M416">
        <f>+bma!K416/data!$K416</f>
        <v>0</v>
      </c>
      <c r="N416">
        <f>+bma!N416/data!$K416</f>
        <v>0</v>
      </c>
      <c r="O416">
        <f>+bma!O416/data!$K416</f>
        <v>0</v>
      </c>
      <c r="P416">
        <f>+bma!P416/data!$K416</f>
        <v>8.3333333333333329E-2</v>
      </c>
      <c r="Q416">
        <f>+bma!Q416/data!$K416</f>
        <v>0.63332516666666672</v>
      </c>
      <c r="R416">
        <f>+bma!R416/data!$K416</f>
        <v>0.24536991666666666</v>
      </c>
      <c r="S416">
        <f>+bma!S416/data!$K416</f>
        <v>8.3333333333333329E-2</v>
      </c>
    </row>
    <row r="417" spans="1:19" x14ac:dyDescent="0.25">
      <c r="A417">
        <f>+bma!A417/data!$K417</f>
        <v>1.1878640401761576E-2</v>
      </c>
      <c r="B417">
        <f>+bma!B417/data!$K417</f>
        <v>1.3942066199250669E-2</v>
      </c>
      <c r="C417">
        <f>+bma!C417/data!$K417</f>
        <v>0</v>
      </c>
      <c r="D417">
        <f>+bma!D417/data!$K417</f>
        <v>8.3333333333333329E-2</v>
      </c>
      <c r="E417">
        <f>+bma!E417/data!$K417</f>
        <v>0</v>
      </c>
      <c r="F417">
        <f>+bma!F417/data!$K417</f>
        <v>0</v>
      </c>
      <c r="G417">
        <f>+bma!G417/data!$K417</f>
        <v>8.3333333333333329E-2</v>
      </c>
      <c r="H417">
        <f>+bma!H417/data!$K417</f>
        <v>8.3333333333333329E-2</v>
      </c>
      <c r="I417">
        <f>+bma!I417/data!$K417</f>
        <v>8.3333333333333329E-2</v>
      </c>
      <c r="J417">
        <f>+bma!L417/data!$K417</f>
        <v>0</v>
      </c>
      <c r="K417">
        <f>+bma!M417/data!$K417</f>
        <v>0</v>
      </c>
      <c r="L417">
        <f>+bma!J417/data!$K417</f>
        <v>0</v>
      </c>
      <c r="M417">
        <f>+bma!K417/data!$K417</f>
        <v>0</v>
      </c>
      <c r="N417">
        <f>+bma!N417/data!$K417</f>
        <v>0</v>
      </c>
      <c r="O417">
        <f>+bma!O417/data!$K417</f>
        <v>0</v>
      </c>
      <c r="P417">
        <f>+bma!P417/data!$K417</f>
        <v>8.3333333333333329E-2</v>
      </c>
      <c r="Q417">
        <f>+bma!Q417/data!$K417</f>
        <v>0.63332516666666672</v>
      </c>
      <c r="R417">
        <f>+bma!R417/data!$K417</f>
        <v>0.24536991666666666</v>
      </c>
      <c r="S417">
        <f>+bma!S417/data!$K417</f>
        <v>8.3333333333333329E-2</v>
      </c>
    </row>
    <row r="418" spans="1:19" x14ac:dyDescent="0.25">
      <c r="A418">
        <f>+bma!A418/data!$K418</f>
        <v>-1.080809601247854E-2</v>
      </c>
      <c r="B418">
        <f>+bma!B418/data!$K418</f>
        <v>1.4383944653285219E-2</v>
      </c>
      <c r="C418">
        <f>+bma!C418/data!$K418</f>
        <v>0</v>
      </c>
      <c r="D418">
        <f>+bma!D418/data!$K418</f>
        <v>0</v>
      </c>
      <c r="E418">
        <f>+bma!E418/data!$K418</f>
        <v>0</v>
      </c>
      <c r="F418">
        <f>+bma!F418/data!$K418</f>
        <v>0</v>
      </c>
      <c r="G418">
        <f>+bma!G418/data!$K418</f>
        <v>8.3333333333333329E-2</v>
      </c>
      <c r="H418">
        <f>+bma!H418/data!$K418</f>
        <v>8.3333333333333329E-2</v>
      </c>
      <c r="I418">
        <f>+bma!I418/data!$K418</f>
        <v>8.3333333333333329E-2</v>
      </c>
      <c r="J418">
        <f>+bma!L418/data!$K418</f>
        <v>0</v>
      </c>
      <c r="K418">
        <f>+bma!M418/data!$K418</f>
        <v>0</v>
      </c>
      <c r="L418">
        <f>+bma!J418/data!$K418</f>
        <v>0</v>
      </c>
      <c r="M418">
        <f>+bma!K418/data!$K418</f>
        <v>0</v>
      </c>
      <c r="N418">
        <f>+bma!N418/data!$K418</f>
        <v>0</v>
      </c>
      <c r="O418">
        <f>+bma!O418/data!$K418</f>
        <v>0</v>
      </c>
      <c r="P418">
        <f>+bma!P418/data!$K418</f>
        <v>8.3333333333333329E-2</v>
      </c>
      <c r="Q418">
        <f>+bma!Q418/data!$K418</f>
        <v>0.63332516666666672</v>
      </c>
      <c r="R418">
        <f>+bma!R418/data!$K418</f>
        <v>0.24536991666666666</v>
      </c>
      <c r="S418">
        <f>+bma!S418/data!$K418</f>
        <v>8.3333333333333329E-2</v>
      </c>
    </row>
    <row r="419" spans="1:19" x14ac:dyDescent="0.25">
      <c r="A419">
        <f>+bma!A419/data!$K419</f>
        <v>-1.5890734442591727E-2</v>
      </c>
      <c r="B419">
        <f>+bma!B419/data!$K419</f>
        <v>1.4240285368394742E-2</v>
      </c>
      <c r="C419">
        <f>+bma!C419/data!$K419</f>
        <v>0</v>
      </c>
      <c r="D419">
        <f>+bma!D419/data!$K419</f>
        <v>0</v>
      </c>
      <c r="E419">
        <f>+bma!E419/data!$K419</f>
        <v>0</v>
      </c>
      <c r="F419">
        <f>+bma!F419/data!$K419</f>
        <v>0</v>
      </c>
      <c r="G419">
        <f>+bma!G419/data!$K419</f>
        <v>8.3333333333333329E-2</v>
      </c>
      <c r="H419">
        <f>+bma!H419/data!$K419</f>
        <v>8.3333333333333329E-2</v>
      </c>
      <c r="I419">
        <f>+bma!I419/data!$K419</f>
        <v>8.3333333333333329E-2</v>
      </c>
      <c r="J419">
        <f>+bma!L419/data!$K419</f>
        <v>0</v>
      </c>
      <c r="K419">
        <f>+bma!M419/data!$K419</f>
        <v>0</v>
      </c>
      <c r="L419">
        <f>+bma!J419/data!$K419</f>
        <v>0</v>
      </c>
      <c r="M419">
        <f>+bma!K419/data!$K419</f>
        <v>0</v>
      </c>
      <c r="N419">
        <f>+bma!N419/data!$K419</f>
        <v>0</v>
      </c>
      <c r="O419">
        <f>+bma!O419/data!$K419</f>
        <v>0</v>
      </c>
      <c r="P419">
        <f>+bma!P419/data!$K419</f>
        <v>8.3333333333333329E-2</v>
      </c>
      <c r="Q419">
        <f>+bma!Q419/data!$K419</f>
        <v>0.63332516666666672</v>
      </c>
      <c r="R419">
        <f>+bma!R419/data!$K419</f>
        <v>0.24536991666666666</v>
      </c>
      <c r="S419">
        <f>+bma!S419/data!$K419</f>
        <v>8.3333333333333329E-2</v>
      </c>
    </row>
    <row r="420" spans="1:19" x14ac:dyDescent="0.25">
      <c r="A420">
        <f>+bma!A420/data!$K420</f>
        <v>-3.480499580438827E-2</v>
      </c>
      <c r="B420">
        <f>+bma!B420/data!$K420</f>
        <v>1.3384992425638688E-2</v>
      </c>
      <c r="C420">
        <f>+bma!C420/data!$K420</f>
        <v>0</v>
      </c>
      <c r="D420">
        <f>+bma!D420/data!$K420</f>
        <v>0</v>
      </c>
      <c r="E420">
        <f>+bma!E420/data!$K420</f>
        <v>0</v>
      </c>
      <c r="F420">
        <f>+bma!F420/data!$K420</f>
        <v>0</v>
      </c>
      <c r="G420">
        <f>+bma!G420/data!$K420</f>
        <v>8.3333333333333329E-2</v>
      </c>
      <c r="H420">
        <f>+bma!H420/data!$K420</f>
        <v>8.3333333333333329E-2</v>
      </c>
      <c r="I420">
        <f>+bma!I420/data!$K420</f>
        <v>8.3333333333333329E-2</v>
      </c>
      <c r="J420">
        <f>+bma!L420/data!$K420</f>
        <v>0</v>
      </c>
      <c r="K420">
        <f>+bma!M420/data!$K420</f>
        <v>0</v>
      </c>
      <c r="L420">
        <f>+bma!J420/data!$K420</f>
        <v>0</v>
      </c>
      <c r="M420">
        <f>+bma!K420/data!$K420</f>
        <v>0</v>
      </c>
      <c r="N420">
        <f>+bma!N420/data!$K420</f>
        <v>0</v>
      </c>
      <c r="O420">
        <f>+bma!O420/data!$K420</f>
        <v>0</v>
      </c>
      <c r="P420">
        <f>+bma!P420/data!$K420</f>
        <v>8.3333333333333329E-2</v>
      </c>
      <c r="Q420">
        <f>+bma!Q420/data!$K420</f>
        <v>0.63332516666666672</v>
      </c>
      <c r="R420">
        <f>+bma!R420/data!$K420</f>
        <v>0.24536991666666666</v>
      </c>
      <c r="S420">
        <f>+bma!S420/data!$K420</f>
        <v>8.3333333333333329E-2</v>
      </c>
    </row>
    <row r="421" spans="1:19" x14ac:dyDescent="0.25">
      <c r="A421">
        <f>+bma!A421/data!$K421</f>
        <v>-5.2603776456767913E-2</v>
      </c>
      <c r="B421">
        <f>+bma!B421/data!$K421</f>
        <v>1.1425420050991062E-2</v>
      </c>
      <c r="C421">
        <f>+bma!C421/data!$K421</f>
        <v>0</v>
      </c>
      <c r="D421">
        <f>+bma!D421/data!$K421</f>
        <v>0</v>
      </c>
      <c r="E421">
        <f>+bma!E421/data!$K421</f>
        <v>0</v>
      </c>
      <c r="F421">
        <f>+bma!F421/data!$K421</f>
        <v>0</v>
      </c>
      <c r="G421">
        <f>+bma!G421/data!$K421</f>
        <v>8.3333333333333329E-2</v>
      </c>
      <c r="H421">
        <f>+bma!H421/data!$K421</f>
        <v>8.3333333333333329E-2</v>
      </c>
      <c r="I421">
        <f>+bma!I421/data!$K421</f>
        <v>8.3333333333333329E-2</v>
      </c>
      <c r="J421">
        <f>+bma!L421/data!$K421</f>
        <v>0</v>
      </c>
      <c r="K421">
        <f>+bma!M421/data!$K421</f>
        <v>0</v>
      </c>
      <c r="L421">
        <f>+bma!J421/data!$K421</f>
        <v>0</v>
      </c>
      <c r="M421">
        <f>+bma!K421/data!$K421</f>
        <v>0</v>
      </c>
      <c r="N421">
        <f>+bma!N421/data!$K421</f>
        <v>0</v>
      </c>
      <c r="O421">
        <f>+bma!O421/data!$K421</f>
        <v>0</v>
      </c>
      <c r="P421">
        <f>+bma!P421/data!$K421</f>
        <v>8.3333333333333329E-2</v>
      </c>
      <c r="Q421">
        <f>+bma!Q421/data!$K421</f>
        <v>0.63332516666666672</v>
      </c>
      <c r="R421">
        <f>+bma!R421/data!$K421</f>
        <v>0.24536991666666666</v>
      </c>
      <c r="S421">
        <f>+bma!S421/data!$K421</f>
        <v>8.3333333333333329E-2</v>
      </c>
    </row>
    <row r="422" spans="1:19" x14ac:dyDescent="0.25">
      <c r="A422">
        <f>+bma!A422/data!$K422</f>
        <v>-9.9039546063406491E-3</v>
      </c>
      <c r="B422">
        <f>+bma!B422/data!$K422</f>
        <v>1.4403657077284214E-2</v>
      </c>
      <c r="C422">
        <f>+bma!C422/data!$K422</f>
        <v>0</v>
      </c>
      <c r="D422">
        <f>+bma!D422/data!$K422</f>
        <v>8.3333333333333329E-2</v>
      </c>
      <c r="E422">
        <f>+bma!E422/data!$K422</f>
        <v>0</v>
      </c>
      <c r="F422">
        <f>+bma!F422/data!$K422</f>
        <v>0</v>
      </c>
      <c r="G422">
        <f>+bma!G422/data!$K422</f>
        <v>8.3333333333333329E-2</v>
      </c>
      <c r="H422">
        <f>+bma!H422/data!$K422</f>
        <v>8.3333333333333329E-2</v>
      </c>
      <c r="I422">
        <f>+bma!I422/data!$K422</f>
        <v>8.3333333333333329E-2</v>
      </c>
      <c r="J422">
        <f>+bma!L422/data!$K422</f>
        <v>0</v>
      </c>
      <c r="K422">
        <f>+bma!M422/data!$K422</f>
        <v>0</v>
      </c>
      <c r="L422">
        <f>+bma!J422/data!$K422</f>
        <v>0</v>
      </c>
      <c r="M422">
        <f>+bma!K422/data!$K422</f>
        <v>0</v>
      </c>
      <c r="N422">
        <f>+bma!N422/data!$K422</f>
        <v>0</v>
      </c>
      <c r="O422">
        <f>+bma!O422/data!$K422</f>
        <v>0</v>
      </c>
      <c r="P422">
        <f>+bma!P422/data!$K422</f>
        <v>8.3333333333333329E-2</v>
      </c>
      <c r="Q422">
        <f>+bma!Q422/data!$K422</f>
        <v>0.63332516666666672</v>
      </c>
      <c r="R422">
        <f>+bma!R422/data!$K422</f>
        <v>0.24536991666666666</v>
      </c>
      <c r="S422">
        <f>+bma!S422/data!$K422</f>
        <v>8.3333333333333329E-2</v>
      </c>
    </row>
    <row r="423" spans="1:19" x14ac:dyDescent="0.25">
      <c r="A423">
        <f>+bma!A423/data!$K423</f>
        <v>-6.4749133287085947E-3</v>
      </c>
      <c r="B423">
        <f>+bma!B423/data!$K423</f>
        <v>1.4462616325013611E-2</v>
      </c>
      <c r="C423">
        <f>+bma!C423/data!$K423</f>
        <v>0</v>
      </c>
      <c r="D423">
        <f>+bma!D423/data!$K423</f>
        <v>8.3333333333333329E-2</v>
      </c>
      <c r="E423">
        <f>+bma!E423/data!$K423</f>
        <v>0</v>
      </c>
      <c r="F423">
        <f>+bma!F423/data!$K423</f>
        <v>0</v>
      </c>
      <c r="G423">
        <f>+bma!G423/data!$K423</f>
        <v>8.3333333333333329E-2</v>
      </c>
      <c r="H423">
        <f>+bma!H423/data!$K423</f>
        <v>8.3333333333333329E-2</v>
      </c>
      <c r="I423">
        <f>+bma!I423/data!$K423</f>
        <v>8.3333333333333329E-2</v>
      </c>
      <c r="J423">
        <f>+bma!L423/data!$K423</f>
        <v>0</v>
      </c>
      <c r="K423">
        <f>+bma!M423/data!$K423</f>
        <v>0</v>
      </c>
      <c r="L423">
        <f>+bma!J423/data!$K423</f>
        <v>0</v>
      </c>
      <c r="M423">
        <f>+bma!K423/data!$K423</f>
        <v>0</v>
      </c>
      <c r="N423">
        <f>+bma!N423/data!$K423</f>
        <v>0</v>
      </c>
      <c r="O423">
        <f>+bma!O423/data!$K423</f>
        <v>0</v>
      </c>
      <c r="P423">
        <f>+bma!P423/data!$K423</f>
        <v>8.3333333333333329E-2</v>
      </c>
      <c r="Q423">
        <f>+bma!Q423/data!$K423</f>
        <v>0.63332516666666672</v>
      </c>
      <c r="R423">
        <f>+bma!R423/data!$K423</f>
        <v>0.24536991666666666</v>
      </c>
      <c r="S423">
        <f>+bma!S423/data!$K423</f>
        <v>8.3333333333333329E-2</v>
      </c>
    </row>
    <row r="424" spans="1:19" x14ac:dyDescent="0.25">
      <c r="A424">
        <f>+bma!A424/data!$K424</f>
        <v>-1.2372701448985316E-2</v>
      </c>
      <c r="B424">
        <f>+bma!B424/data!$K424</f>
        <v>1.4568116624261523E-2</v>
      </c>
      <c r="C424">
        <f>+bma!C424/data!$K424</f>
        <v>0</v>
      </c>
      <c r="D424">
        <f>+bma!D424/data!$K424</f>
        <v>8.3333333333333329E-2</v>
      </c>
      <c r="E424">
        <f>+bma!E424/data!$K424</f>
        <v>0</v>
      </c>
      <c r="F424">
        <f>+bma!F424/data!$K424</f>
        <v>0</v>
      </c>
      <c r="G424">
        <f>+bma!G424/data!$K424</f>
        <v>8.3333333333333329E-2</v>
      </c>
      <c r="H424">
        <f>+bma!H424/data!$K424</f>
        <v>8.3333333333333329E-2</v>
      </c>
      <c r="I424">
        <f>+bma!I424/data!$K424</f>
        <v>8.3333333333333329E-2</v>
      </c>
      <c r="J424">
        <f>+bma!L424/data!$K424</f>
        <v>0</v>
      </c>
      <c r="K424">
        <f>+bma!M424/data!$K424</f>
        <v>0</v>
      </c>
      <c r="L424">
        <f>+bma!J424/data!$K424</f>
        <v>0</v>
      </c>
      <c r="M424">
        <f>+bma!K424/data!$K424</f>
        <v>0</v>
      </c>
      <c r="N424">
        <f>+bma!N424/data!$K424</f>
        <v>0</v>
      </c>
      <c r="O424">
        <f>+bma!O424/data!$K424</f>
        <v>0</v>
      </c>
      <c r="P424">
        <f>+bma!P424/data!$K424</f>
        <v>8.3333333333333329E-2</v>
      </c>
      <c r="Q424">
        <f>+bma!Q424/data!$K424</f>
        <v>0.63332516666666672</v>
      </c>
      <c r="R424">
        <f>+bma!R424/data!$K424</f>
        <v>0.24536991666666666</v>
      </c>
      <c r="S424">
        <f>+bma!S424/data!$K424</f>
        <v>8.3333333333333329E-2</v>
      </c>
    </row>
    <row r="425" spans="1:19" x14ac:dyDescent="0.25">
      <c r="A425">
        <f>+bma!A425/data!$K425</f>
        <v>-9.4420229636722874E-3</v>
      </c>
      <c r="B425">
        <f>+bma!B425/data!$K425</f>
        <v>1.4636526063668089E-2</v>
      </c>
      <c r="C425">
        <f>+bma!C425/data!$K425</f>
        <v>0</v>
      </c>
      <c r="D425">
        <f>+bma!D425/data!$K425</f>
        <v>8.3333333333333329E-2</v>
      </c>
      <c r="E425">
        <f>+bma!E425/data!$K425</f>
        <v>0</v>
      </c>
      <c r="F425">
        <f>+bma!F425/data!$K425</f>
        <v>0</v>
      </c>
      <c r="G425">
        <f>+bma!G425/data!$K425</f>
        <v>8.3333333333333329E-2</v>
      </c>
      <c r="H425">
        <f>+bma!H425/data!$K425</f>
        <v>8.3333333333333329E-2</v>
      </c>
      <c r="I425">
        <f>+bma!I425/data!$K425</f>
        <v>8.3333333333333329E-2</v>
      </c>
      <c r="J425">
        <f>+bma!L425/data!$K425</f>
        <v>0</v>
      </c>
      <c r="K425">
        <f>+bma!M425/data!$K425</f>
        <v>0</v>
      </c>
      <c r="L425">
        <f>+bma!J425/data!$K425</f>
        <v>0</v>
      </c>
      <c r="M425">
        <f>+bma!K425/data!$K425</f>
        <v>0</v>
      </c>
      <c r="N425">
        <f>+bma!N425/data!$K425</f>
        <v>0</v>
      </c>
      <c r="O425">
        <f>+bma!O425/data!$K425</f>
        <v>0</v>
      </c>
      <c r="P425">
        <f>+bma!P425/data!$K425</f>
        <v>8.3333333333333329E-2</v>
      </c>
      <c r="Q425">
        <f>+bma!Q425/data!$K425</f>
        <v>0.63332516666666672</v>
      </c>
      <c r="R425">
        <f>+bma!R425/data!$K425</f>
        <v>0.24536991666666666</v>
      </c>
      <c r="S425">
        <f>+bma!S425/data!$K425</f>
        <v>8.3333333333333329E-2</v>
      </c>
    </row>
    <row r="426" spans="1:19" x14ac:dyDescent="0.25">
      <c r="A426">
        <f>+bma!A426/data!$K426</f>
        <v>-2.7394846527136613E-2</v>
      </c>
      <c r="B426">
        <f>+bma!B426/data!$K426</f>
        <v>1.789328545385525E-2</v>
      </c>
      <c r="C426">
        <f>+bma!C426/data!$K426</f>
        <v>1</v>
      </c>
      <c r="D426">
        <f>+bma!D426/data!$K426</f>
        <v>1</v>
      </c>
      <c r="E426">
        <f>+bma!E426/data!$K426</f>
        <v>1</v>
      </c>
      <c r="F426">
        <f>+bma!F426/data!$K426</f>
        <v>1</v>
      </c>
      <c r="G426">
        <f>+bma!G426/data!$K426</f>
        <v>0</v>
      </c>
      <c r="H426">
        <f>+bma!H426/data!$K426</f>
        <v>0</v>
      </c>
      <c r="I426">
        <f>+bma!I426/data!$K426</f>
        <v>0</v>
      </c>
      <c r="J426">
        <f>+bma!L426/data!$K426</f>
        <v>1</v>
      </c>
      <c r="K426">
        <f>+bma!M426/data!$K426</f>
        <v>0</v>
      </c>
      <c r="L426">
        <f>+bma!J426/data!$K426</f>
        <v>0</v>
      </c>
      <c r="M426">
        <f>+bma!K426/data!$K426</f>
        <v>0</v>
      </c>
      <c r="N426">
        <f>+bma!N426/data!$K426</f>
        <v>0</v>
      </c>
      <c r="O426">
        <f>+bma!O426/data!$K426</f>
        <v>1</v>
      </c>
      <c r="P426">
        <f>+bma!P426/data!$K426</f>
        <v>1</v>
      </c>
      <c r="Q426">
        <f>+bma!Q426/data!$K426</f>
        <v>7.5958899999999998</v>
      </c>
      <c r="R426">
        <f>+bma!R426/data!$K426</f>
        <v>4.4426509999999997</v>
      </c>
      <c r="S426">
        <f>+bma!S426/data!$K426</f>
        <v>1</v>
      </c>
    </row>
    <row r="427" spans="1:19" x14ac:dyDescent="0.25">
      <c r="A427">
        <f>+bma!A427/data!$K427</f>
        <v>1.5362052464060528E-3</v>
      </c>
      <c r="B427">
        <f>+bma!B427/data!$K427</f>
        <v>4.608615739218158E-3</v>
      </c>
      <c r="C427">
        <f>+bma!C427/data!$K427</f>
        <v>9.0909090909090912E-2</v>
      </c>
      <c r="D427">
        <f>+bma!D427/data!$K427</f>
        <v>9.0909090909090912E-2</v>
      </c>
      <c r="E427">
        <f>+bma!E427/data!$K427</f>
        <v>0</v>
      </c>
      <c r="F427">
        <f>+bma!F427/data!$K427</f>
        <v>0</v>
      </c>
      <c r="G427">
        <f>+bma!G427/data!$K427</f>
        <v>0</v>
      </c>
      <c r="H427">
        <f>+bma!H427/data!$K427</f>
        <v>0</v>
      </c>
      <c r="I427">
        <f>+bma!I427/data!$K427</f>
        <v>0</v>
      </c>
      <c r="J427">
        <f>+bma!L427/data!$K427</f>
        <v>9.0909090909090912E-2</v>
      </c>
      <c r="K427">
        <f>+bma!M427/data!$K427</f>
        <v>0</v>
      </c>
      <c r="L427">
        <f>+bma!J427/data!$K427</f>
        <v>0</v>
      </c>
      <c r="M427">
        <f>+bma!K427/data!$K427</f>
        <v>0</v>
      </c>
      <c r="N427">
        <f>+bma!N427/data!$K427</f>
        <v>0</v>
      </c>
      <c r="O427">
        <f>+bma!O427/data!$K427</f>
        <v>9.0909090909090912E-2</v>
      </c>
      <c r="P427">
        <f>+bma!P427/data!$K427</f>
        <v>9.0909090909090912E-2</v>
      </c>
      <c r="Q427">
        <f>+bma!Q427/data!$K427</f>
        <v>0.69135409090909095</v>
      </c>
      <c r="R427">
        <f>+bma!R427/data!$K427</f>
        <v>0.28100390909090911</v>
      </c>
      <c r="S427">
        <f>+bma!S427/data!$K427</f>
        <v>9.0909090909090912E-2</v>
      </c>
    </row>
    <row r="428" spans="1:19" x14ac:dyDescent="0.25">
      <c r="A428">
        <f>+bma!A428/data!$K428</f>
        <v>-8.1738076886004121E-4</v>
      </c>
      <c r="B428">
        <f>+bma!B428/data!$K428</f>
        <v>5.9941256383069684E-3</v>
      </c>
      <c r="C428">
        <f>+bma!C428/data!$K428</f>
        <v>9.0909090909090912E-2</v>
      </c>
      <c r="D428">
        <f>+bma!D428/data!$K428</f>
        <v>9.0909090909090912E-2</v>
      </c>
      <c r="E428">
        <f>+bma!E428/data!$K428</f>
        <v>0</v>
      </c>
      <c r="F428">
        <f>+bma!F428/data!$K428</f>
        <v>0</v>
      </c>
      <c r="G428">
        <f>+bma!G428/data!$K428</f>
        <v>0</v>
      </c>
      <c r="H428">
        <f>+bma!H428/data!$K428</f>
        <v>0</v>
      </c>
      <c r="I428">
        <f>+bma!I428/data!$K428</f>
        <v>0</v>
      </c>
      <c r="J428">
        <f>+bma!L428/data!$K428</f>
        <v>9.0909090909090912E-2</v>
      </c>
      <c r="K428">
        <f>+bma!M428/data!$K428</f>
        <v>0</v>
      </c>
      <c r="L428">
        <f>+bma!J428/data!$K428</f>
        <v>0</v>
      </c>
      <c r="M428">
        <f>+bma!K428/data!$K428</f>
        <v>0</v>
      </c>
      <c r="N428">
        <f>+bma!N428/data!$K428</f>
        <v>0</v>
      </c>
      <c r="O428">
        <f>+bma!O428/data!$K428</f>
        <v>9.0909090909090912E-2</v>
      </c>
      <c r="P428">
        <f>+bma!P428/data!$K428</f>
        <v>9.0909090909090912E-2</v>
      </c>
      <c r="Q428">
        <f>+bma!Q428/data!$K428</f>
        <v>0.69135409090909095</v>
      </c>
      <c r="R428">
        <f>+bma!R428/data!$K428</f>
        <v>0.28100390909090911</v>
      </c>
      <c r="S428">
        <f>+bma!S428/data!$K428</f>
        <v>9.0909090909090912E-2</v>
      </c>
    </row>
    <row r="429" spans="1:19" x14ac:dyDescent="0.25">
      <c r="A429">
        <f>+bma!A429/data!$K429</f>
        <v>-1.0616859906069358E-2</v>
      </c>
      <c r="B429">
        <f>+bma!B429/data!$K429</f>
        <v>4.2467439624277424E-3</v>
      </c>
      <c r="C429">
        <f>+bma!C429/data!$K429</f>
        <v>9.0909090909090912E-2</v>
      </c>
      <c r="D429">
        <f>+bma!D429/data!$K429</f>
        <v>9.0909090909090912E-2</v>
      </c>
      <c r="E429">
        <f>+bma!E429/data!$K429</f>
        <v>0</v>
      </c>
      <c r="F429">
        <f>+bma!F429/data!$K429</f>
        <v>0</v>
      </c>
      <c r="G429">
        <f>+bma!G429/data!$K429</f>
        <v>0</v>
      </c>
      <c r="H429">
        <f>+bma!H429/data!$K429</f>
        <v>0</v>
      </c>
      <c r="I429">
        <f>+bma!I429/data!$K429</f>
        <v>0</v>
      </c>
      <c r="J429">
        <f>+bma!L429/data!$K429</f>
        <v>9.0909090909090912E-2</v>
      </c>
      <c r="K429">
        <f>+bma!M429/data!$K429</f>
        <v>0</v>
      </c>
      <c r="L429">
        <f>+bma!J429/data!$K429</f>
        <v>0</v>
      </c>
      <c r="M429">
        <f>+bma!K429/data!$K429</f>
        <v>0</v>
      </c>
      <c r="N429">
        <f>+bma!N429/data!$K429</f>
        <v>0</v>
      </c>
      <c r="O429">
        <f>+bma!O429/data!$K429</f>
        <v>9.0909090909090912E-2</v>
      </c>
      <c r="P429">
        <f>+bma!P429/data!$K429</f>
        <v>9.0909090909090912E-2</v>
      </c>
      <c r="Q429">
        <f>+bma!Q429/data!$K429</f>
        <v>0.69135409090909095</v>
      </c>
      <c r="R429">
        <f>+bma!R429/data!$K429</f>
        <v>0.28100390909090911</v>
      </c>
      <c r="S429">
        <f>+bma!S429/data!$K429</f>
        <v>9.0909090909090912E-2</v>
      </c>
    </row>
    <row r="430" spans="1:19" x14ac:dyDescent="0.25">
      <c r="A430">
        <f>+bma!A430/data!$K430</f>
        <v>-3.1893149727851562E-4</v>
      </c>
      <c r="B430">
        <f>+bma!B430/data!$K430</f>
        <v>4.3587304628063808E-3</v>
      </c>
      <c r="C430">
        <f>+bma!C430/data!$K430</f>
        <v>9.0909090909090912E-2</v>
      </c>
      <c r="D430">
        <f>+bma!D430/data!$K430</f>
        <v>9.0909090909090912E-2</v>
      </c>
      <c r="E430">
        <f>+bma!E430/data!$K430</f>
        <v>0</v>
      </c>
      <c r="F430">
        <f>+bma!F430/data!$K430</f>
        <v>0</v>
      </c>
      <c r="G430">
        <f>+bma!G430/data!$K430</f>
        <v>0</v>
      </c>
      <c r="H430">
        <f>+bma!H430/data!$K430</f>
        <v>0</v>
      </c>
      <c r="I430">
        <f>+bma!I430/data!$K430</f>
        <v>0</v>
      </c>
      <c r="J430">
        <f>+bma!L430/data!$K430</f>
        <v>9.0909090909090912E-2</v>
      </c>
      <c r="K430">
        <f>+bma!M430/data!$K430</f>
        <v>0</v>
      </c>
      <c r="L430">
        <f>+bma!J430/data!$K430</f>
        <v>0</v>
      </c>
      <c r="M430">
        <f>+bma!K430/data!$K430</f>
        <v>0</v>
      </c>
      <c r="N430">
        <f>+bma!N430/data!$K430</f>
        <v>0</v>
      </c>
      <c r="O430">
        <f>+bma!O430/data!$K430</f>
        <v>9.0909090909090912E-2</v>
      </c>
      <c r="P430">
        <f>+bma!P430/data!$K430</f>
        <v>9.0909090909090912E-2</v>
      </c>
      <c r="Q430">
        <f>+bma!Q430/data!$K430</f>
        <v>0.69135409090909095</v>
      </c>
      <c r="R430">
        <f>+bma!R430/data!$K430</f>
        <v>0.28100390909090911</v>
      </c>
      <c r="S430">
        <f>+bma!S430/data!$K430</f>
        <v>9.0909090909090912E-2</v>
      </c>
    </row>
    <row r="431" spans="1:19" x14ac:dyDescent="0.25">
      <c r="A431">
        <f>+bma!A431/data!$K431</f>
        <v>-1.1422411721400895E-3</v>
      </c>
      <c r="B431">
        <f>+bma!B431/data!$K431</f>
        <v>4.3785911598703438E-3</v>
      </c>
      <c r="C431">
        <f>+bma!C431/data!$K431</f>
        <v>9.0909090909090912E-2</v>
      </c>
      <c r="D431">
        <f>+bma!D431/data!$K431</f>
        <v>9.0909090909090912E-2</v>
      </c>
      <c r="E431">
        <f>+bma!E431/data!$K431</f>
        <v>0</v>
      </c>
      <c r="F431">
        <f>+bma!F431/data!$K431</f>
        <v>0</v>
      </c>
      <c r="G431">
        <f>+bma!G431/data!$K431</f>
        <v>0</v>
      </c>
      <c r="H431">
        <f>+bma!H431/data!$K431</f>
        <v>0</v>
      </c>
      <c r="I431">
        <f>+bma!I431/data!$K431</f>
        <v>0</v>
      </c>
      <c r="J431">
        <f>+bma!L431/data!$K431</f>
        <v>9.0909090909090912E-2</v>
      </c>
      <c r="K431">
        <f>+bma!M431/data!$K431</f>
        <v>0</v>
      </c>
      <c r="L431">
        <f>+bma!J431/data!$K431</f>
        <v>0</v>
      </c>
      <c r="M431">
        <f>+bma!K431/data!$K431</f>
        <v>0</v>
      </c>
      <c r="N431">
        <f>+bma!N431/data!$K431</f>
        <v>0</v>
      </c>
      <c r="O431">
        <f>+bma!O431/data!$K431</f>
        <v>9.0909090909090912E-2</v>
      </c>
      <c r="P431">
        <f>+bma!P431/data!$K431</f>
        <v>9.0909090909090912E-2</v>
      </c>
      <c r="Q431">
        <f>+bma!Q431/data!$K431</f>
        <v>0.69135409090909095</v>
      </c>
      <c r="R431">
        <f>+bma!R431/data!$K431</f>
        <v>0.28100390909090911</v>
      </c>
      <c r="S431">
        <f>+bma!S431/data!$K431</f>
        <v>9.0909090909090912E-2</v>
      </c>
    </row>
    <row r="432" spans="1:19" x14ac:dyDescent="0.25">
      <c r="A432">
        <f>+bma!A432/data!$K432</f>
        <v>-7.6719947181317423E-4</v>
      </c>
      <c r="B432">
        <f>+bma!B432/data!$K432</f>
        <v>4.6031968308790456E-3</v>
      </c>
      <c r="C432">
        <f>+bma!C432/data!$K432</f>
        <v>9.0909090909090912E-2</v>
      </c>
      <c r="D432">
        <f>+bma!D432/data!$K432</f>
        <v>9.0909090909090912E-2</v>
      </c>
      <c r="E432">
        <f>+bma!E432/data!$K432</f>
        <v>0</v>
      </c>
      <c r="F432">
        <f>+bma!F432/data!$K432</f>
        <v>0</v>
      </c>
      <c r="G432">
        <f>+bma!G432/data!$K432</f>
        <v>0</v>
      </c>
      <c r="H432">
        <f>+bma!H432/data!$K432</f>
        <v>0</v>
      </c>
      <c r="I432">
        <f>+bma!I432/data!$K432</f>
        <v>0</v>
      </c>
      <c r="J432">
        <f>+bma!L432/data!$K432</f>
        <v>9.0909090909090912E-2</v>
      </c>
      <c r="K432">
        <f>+bma!M432/data!$K432</f>
        <v>0</v>
      </c>
      <c r="L432">
        <f>+bma!J432/data!$K432</f>
        <v>0</v>
      </c>
      <c r="M432">
        <f>+bma!K432/data!$K432</f>
        <v>0</v>
      </c>
      <c r="N432">
        <f>+bma!N432/data!$K432</f>
        <v>0</v>
      </c>
      <c r="O432">
        <f>+bma!O432/data!$K432</f>
        <v>9.0909090909090912E-2</v>
      </c>
      <c r="P432">
        <f>+bma!P432/data!$K432</f>
        <v>9.0909090909090912E-2</v>
      </c>
      <c r="Q432">
        <f>+bma!Q432/data!$K432</f>
        <v>0.69135409090909095</v>
      </c>
      <c r="R432">
        <f>+bma!R432/data!$K432</f>
        <v>0.28100390909090911</v>
      </c>
      <c r="S432">
        <f>+bma!S432/data!$K432</f>
        <v>9.0909090909090912E-2</v>
      </c>
    </row>
    <row r="433" spans="1:19" x14ac:dyDescent="0.25">
      <c r="A433">
        <f>+bma!A433/data!$K433</f>
        <v>-7.9748651929029341E-4</v>
      </c>
      <c r="B433">
        <f>+bma!B433/data!$K433</f>
        <v>5.9811488946771999E-3</v>
      </c>
      <c r="C433">
        <f>+bma!C433/data!$K433</f>
        <v>9.0909090909090912E-2</v>
      </c>
      <c r="D433">
        <f>+bma!D433/data!$K433</f>
        <v>9.0909090909090912E-2</v>
      </c>
      <c r="E433">
        <f>+bma!E433/data!$K433</f>
        <v>0</v>
      </c>
      <c r="F433">
        <f>+bma!F433/data!$K433</f>
        <v>0</v>
      </c>
      <c r="G433">
        <f>+bma!G433/data!$K433</f>
        <v>0</v>
      </c>
      <c r="H433">
        <f>+bma!H433/data!$K433</f>
        <v>0</v>
      </c>
      <c r="I433">
        <f>+bma!I433/data!$K433</f>
        <v>0</v>
      </c>
      <c r="J433">
        <f>+bma!L433/data!$K433</f>
        <v>9.0909090909090912E-2</v>
      </c>
      <c r="K433">
        <f>+bma!M433/data!$K433</f>
        <v>0</v>
      </c>
      <c r="L433">
        <f>+bma!J433/data!$K433</f>
        <v>0</v>
      </c>
      <c r="M433">
        <f>+bma!K433/data!$K433</f>
        <v>0</v>
      </c>
      <c r="N433">
        <f>+bma!N433/data!$K433</f>
        <v>0</v>
      </c>
      <c r="O433">
        <f>+bma!O433/data!$K433</f>
        <v>9.0909090909090912E-2</v>
      </c>
      <c r="P433">
        <f>+bma!P433/data!$K433</f>
        <v>9.0909090909090912E-2</v>
      </c>
      <c r="Q433">
        <f>+bma!Q433/data!$K433</f>
        <v>0.69135409090909095</v>
      </c>
      <c r="R433">
        <f>+bma!R433/data!$K433</f>
        <v>0.28100390909090911</v>
      </c>
      <c r="S433">
        <f>+bma!S433/data!$K433</f>
        <v>9.0909090909090912E-2</v>
      </c>
    </row>
    <row r="434" spans="1:19" x14ac:dyDescent="0.25">
      <c r="A434">
        <f>+bma!A434/data!$K434</f>
        <v>-1.6710886959785088E-3</v>
      </c>
      <c r="B434">
        <f>+bma!B434/data!$K434</f>
        <v>4.2705600008339679E-3</v>
      </c>
      <c r="C434">
        <f>+bma!C434/data!$K434</f>
        <v>9.0909090909090912E-2</v>
      </c>
      <c r="D434">
        <f>+bma!D434/data!$K434</f>
        <v>9.0909090909090912E-2</v>
      </c>
      <c r="E434">
        <f>+bma!E434/data!$K434</f>
        <v>0</v>
      </c>
      <c r="F434">
        <f>+bma!F434/data!$K434</f>
        <v>0</v>
      </c>
      <c r="G434">
        <f>+bma!G434/data!$K434</f>
        <v>0</v>
      </c>
      <c r="H434">
        <f>+bma!H434/data!$K434</f>
        <v>0</v>
      </c>
      <c r="I434">
        <f>+bma!I434/data!$K434</f>
        <v>0</v>
      </c>
      <c r="J434">
        <f>+bma!L434/data!$K434</f>
        <v>9.0909090909090912E-2</v>
      </c>
      <c r="K434">
        <f>+bma!M434/data!$K434</f>
        <v>0</v>
      </c>
      <c r="L434">
        <f>+bma!J434/data!$K434</f>
        <v>0</v>
      </c>
      <c r="M434">
        <f>+bma!K434/data!$K434</f>
        <v>0</v>
      </c>
      <c r="N434">
        <f>+bma!N434/data!$K434</f>
        <v>0</v>
      </c>
      <c r="O434">
        <f>+bma!O434/data!$K434</f>
        <v>9.0909090909090912E-2</v>
      </c>
      <c r="P434">
        <f>+bma!P434/data!$K434</f>
        <v>9.0909090909090912E-2</v>
      </c>
      <c r="Q434">
        <f>+bma!Q434/data!$K434</f>
        <v>0.69135409090909095</v>
      </c>
      <c r="R434">
        <f>+bma!R434/data!$K434</f>
        <v>0.28100390909090911</v>
      </c>
      <c r="S434">
        <f>+bma!S434/data!$K434</f>
        <v>9.0909090909090912E-2</v>
      </c>
    </row>
    <row r="435" spans="1:19" x14ac:dyDescent="0.25">
      <c r="A435">
        <f>+bma!A435/data!$K435</f>
        <v>1.1022158587070089E-4</v>
      </c>
      <c r="B435">
        <f>+bma!B435/data!$K435</f>
        <v>4.3537526418926846E-3</v>
      </c>
      <c r="C435">
        <f>+bma!C435/data!$K435</f>
        <v>9.0909090909090912E-2</v>
      </c>
      <c r="D435">
        <f>+bma!D435/data!$K435</f>
        <v>9.0909090909090912E-2</v>
      </c>
      <c r="E435">
        <f>+bma!E435/data!$K435</f>
        <v>0</v>
      </c>
      <c r="F435">
        <f>+bma!F435/data!$K435</f>
        <v>0</v>
      </c>
      <c r="G435">
        <f>+bma!G435/data!$K435</f>
        <v>0</v>
      </c>
      <c r="H435">
        <f>+bma!H435/data!$K435</f>
        <v>0</v>
      </c>
      <c r="I435">
        <f>+bma!I435/data!$K435</f>
        <v>0</v>
      </c>
      <c r="J435">
        <f>+bma!L435/data!$K435</f>
        <v>9.0909090909090912E-2</v>
      </c>
      <c r="K435">
        <f>+bma!M435/data!$K435</f>
        <v>0</v>
      </c>
      <c r="L435">
        <f>+bma!J435/data!$K435</f>
        <v>0</v>
      </c>
      <c r="M435">
        <f>+bma!K435/data!$K435</f>
        <v>0</v>
      </c>
      <c r="N435">
        <f>+bma!N435/data!$K435</f>
        <v>0</v>
      </c>
      <c r="O435">
        <f>+bma!O435/data!$K435</f>
        <v>9.0909090909090912E-2</v>
      </c>
      <c r="P435">
        <f>+bma!P435/data!$K435</f>
        <v>9.0909090909090912E-2</v>
      </c>
      <c r="Q435">
        <f>+bma!Q435/data!$K435</f>
        <v>0.69135409090909095</v>
      </c>
      <c r="R435">
        <f>+bma!R435/data!$K435</f>
        <v>0.28100390909090911</v>
      </c>
      <c r="S435">
        <f>+bma!S435/data!$K435</f>
        <v>9.0909090909090912E-2</v>
      </c>
    </row>
    <row r="436" spans="1:19" x14ac:dyDescent="0.25">
      <c r="A436">
        <f>+bma!A436/data!$K436</f>
        <v>-5.9105043683528125E-4</v>
      </c>
      <c r="B436">
        <f>+bma!B436/data!$K436</f>
        <v>4.3737732325810812E-3</v>
      </c>
      <c r="C436">
        <f>+bma!C436/data!$K436</f>
        <v>9.0909090909090912E-2</v>
      </c>
      <c r="D436">
        <f>+bma!D436/data!$K436</f>
        <v>9.0909090909090912E-2</v>
      </c>
      <c r="E436">
        <f>+bma!E436/data!$K436</f>
        <v>0</v>
      </c>
      <c r="F436">
        <f>+bma!F436/data!$K436</f>
        <v>0</v>
      </c>
      <c r="G436">
        <f>+bma!G436/data!$K436</f>
        <v>0</v>
      </c>
      <c r="H436">
        <f>+bma!H436/data!$K436</f>
        <v>0</v>
      </c>
      <c r="I436">
        <f>+bma!I436/data!$K436</f>
        <v>0</v>
      </c>
      <c r="J436">
        <f>+bma!L436/data!$K436</f>
        <v>9.0909090909090912E-2</v>
      </c>
      <c r="K436">
        <f>+bma!M436/data!$K436</f>
        <v>0</v>
      </c>
      <c r="L436">
        <f>+bma!J436/data!$K436</f>
        <v>0</v>
      </c>
      <c r="M436">
        <f>+bma!K436/data!$K436</f>
        <v>0</v>
      </c>
      <c r="N436">
        <f>+bma!N436/data!$K436</f>
        <v>0</v>
      </c>
      <c r="O436">
        <f>+bma!O436/data!$K436</f>
        <v>9.0909090909090912E-2</v>
      </c>
      <c r="P436">
        <f>+bma!P436/data!$K436</f>
        <v>9.0909090909090912E-2</v>
      </c>
      <c r="Q436">
        <f>+bma!Q436/data!$K436</f>
        <v>0.69135409090909095</v>
      </c>
      <c r="R436">
        <f>+bma!R436/data!$K436</f>
        <v>0.28100390909090911</v>
      </c>
      <c r="S436">
        <f>+bma!S436/data!$K436</f>
        <v>9.0909090909090912E-2</v>
      </c>
    </row>
    <row r="437" spans="1:19" x14ac:dyDescent="0.25">
      <c r="A437">
        <f>+bma!A437/data!$K437</f>
        <v>-9.2068612083833837E-3</v>
      </c>
      <c r="B437">
        <f>+bma!B437/data!$K437</f>
        <v>4.2493205577154077E-3</v>
      </c>
      <c r="C437">
        <f>+bma!C437/data!$K437</f>
        <v>9.0909090909090912E-2</v>
      </c>
      <c r="D437">
        <f>+bma!D437/data!$K437</f>
        <v>9.0909090909090912E-2</v>
      </c>
      <c r="E437">
        <f>+bma!E437/data!$K437</f>
        <v>0</v>
      </c>
      <c r="F437">
        <f>+bma!F437/data!$K437</f>
        <v>0</v>
      </c>
      <c r="G437">
        <f>+bma!G437/data!$K437</f>
        <v>0</v>
      </c>
      <c r="H437">
        <f>+bma!H437/data!$K437</f>
        <v>0</v>
      </c>
      <c r="I437">
        <f>+bma!I437/data!$K437</f>
        <v>0</v>
      </c>
      <c r="J437">
        <f>+bma!L437/data!$K437</f>
        <v>9.0909090909090912E-2</v>
      </c>
      <c r="K437">
        <f>+bma!M437/data!$K437</f>
        <v>0</v>
      </c>
      <c r="L437">
        <f>+bma!J437/data!$K437</f>
        <v>0</v>
      </c>
      <c r="M437">
        <f>+bma!K437/data!$K437</f>
        <v>0</v>
      </c>
      <c r="N437">
        <f>+bma!N437/data!$K437</f>
        <v>0</v>
      </c>
      <c r="O437">
        <f>+bma!O437/data!$K437</f>
        <v>9.0909090909090912E-2</v>
      </c>
      <c r="P437">
        <f>+bma!P437/data!$K437</f>
        <v>9.0909090909090912E-2</v>
      </c>
      <c r="Q437">
        <f>+bma!Q437/data!$K437</f>
        <v>0.69135409090909095</v>
      </c>
      <c r="R437">
        <f>+bma!R437/data!$K437</f>
        <v>0.28100390909090911</v>
      </c>
      <c r="S437">
        <f>+bma!S437/data!$K437</f>
        <v>9.0909090909090912E-2</v>
      </c>
    </row>
    <row r="438" spans="1:19" x14ac:dyDescent="0.25">
      <c r="A438">
        <f>+bma!A438/data!$K438</f>
        <v>-0.11563966931992146</v>
      </c>
      <c r="B438">
        <f>+bma!B438/data!$K438</f>
        <v>9.105485773222162E-2</v>
      </c>
      <c r="C438">
        <f>+bma!C438/data!$K438</f>
        <v>1</v>
      </c>
      <c r="D438">
        <f>+bma!D438/data!$K438</f>
        <v>1</v>
      </c>
      <c r="E438">
        <f>+bma!E438/data!$K438</f>
        <v>0</v>
      </c>
      <c r="F438">
        <f>+bma!F438/data!$K438</f>
        <v>0</v>
      </c>
      <c r="G438">
        <f>+bma!G438/data!$K438</f>
        <v>1</v>
      </c>
      <c r="H438">
        <f>+bma!H438/data!$K438</f>
        <v>0</v>
      </c>
      <c r="I438">
        <f>+bma!I438/data!$K438</f>
        <v>1</v>
      </c>
      <c r="J438">
        <f>+bma!L438/data!$K438</f>
        <v>1</v>
      </c>
      <c r="K438">
        <f>+bma!M438/data!$K438</f>
        <v>0</v>
      </c>
      <c r="L438">
        <f>+bma!J438/data!$K438</f>
        <v>0</v>
      </c>
      <c r="M438">
        <f>+bma!K438/data!$K438</f>
        <v>0</v>
      </c>
      <c r="N438">
        <f>+bma!N438/data!$K438</f>
        <v>0</v>
      </c>
      <c r="O438">
        <f>+bma!O438/data!$K438</f>
        <v>1</v>
      </c>
      <c r="P438">
        <f>+bma!P438/data!$K438</f>
        <v>1</v>
      </c>
      <c r="Q438">
        <f>+bma!Q438/data!$K438</f>
        <v>7.5918619999999999</v>
      </c>
      <c r="R438">
        <f>+bma!R438/data!$K438</f>
        <v>2.6390570000000002</v>
      </c>
      <c r="S438">
        <f>+bma!S438/data!$K438</f>
        <v>1</v>
      </c>
    </row>
    <row r="439" spans="1:19" x14ac:dyDescent="0.25">
      <c r="A439">
        <f>+bma!A439/data!$K439</f>
        <v>-0.29599821349699001</v>
      </c>
      <c r="B439">
        <f>+bma!B439/data!$K439</f>
        <v>6.0750057539551927E-2</v>
      </c>
      <c r="C439">
        <f>+bma!C439/data!$K439</f>
        <v>0.5</v>
      </c>
      <c r="D439">
        <f>+bma!D439/data!$K439</f>
        <v>0.5</v>
      </c>
      <c r="E439">
        <f>+bma!E439/data!$K439</f>
        <v>0</v>
      </c>
      <c r="F439">
        <f>+bma!F439/data!$K439</f>
        <v>0.5</v>
      </c>
      <c r="G439">
        <f>+bma!G439/data!$K439</f>
        <v>0</v>
      </c>
      <c r="H439">
        <f>+bma!H439/data!$K439</f>
        <v>0</v>
      </c>
      <c r="I439">
        <f>+bma!I439/data!$K439</f>
        <v>0.5</v>
      </c>
      <c r="J439">
        <f>+bma!L439/data!$K439</f>
        <v>0.5</v>
      </c>
      <c r="K439">
        <f>+bma!M439/data!$K439</f>
        <v>0</v>
      </c>
      <c r="L439">
        <f>+bma!J439/data!$K439</f>
        <v>0.5</v>
      </c>
      <c r="M439">
        <f>+bma!K439/data!$K439</f>
        <v>0</v>
      </c>
      <c r="N439">
        <f>+bma!N439/data!$K439</f>
        <v>0</v>
      </c>
      <c r="O439">
        <f>+bma!O439/data!$K439</f>
        <v>0</v>
      </c>
      <c r="P439">
        <f>+bma!P439/data!$K439</f>
        <v>0.5</v>
      </c>
      <c r="Q439">
        <f>+bma!Q439/data!$K439</f>
        <v>3.7949204999999999</v>
      </c>
      <c r="R439">
        <f>+bma!R439/data!$K439</f>
        <v>1.7917594999999999</v>
      </c>
      <c r="S439">
        <f>+bma!S439/data!$K439</f>
        <v>0.5</v>
      </c>
    </row>
    <row r="440" spans="1:19" x14ac:dyDescent="0.25">
      <c r="A440">
        <f>+bma!A440/data!$K440</f>
        <v>-0.28355880216279233</v>
      </c>
      <c r="B440">
        <f>+bma!B440/data!$K440</f>
        <v>6.2083961791491109E-2</v>
      </c>
      <c r="C440">
        <f>+bma!C440/data!$K440</f>
        <v>0.5</v>
      </c>
      <c r="D440">
        <f>+bma!D440/data!$K440</f>
        <v>0.5</v>
      </c>
      <c r="E440">
        <f>+bma!E440/data!$K440</f>
        <v>0</v>
      </c>
      <c r="F440">
        <f>+bma!F440/data!$K440</f>
        <v>0.5</v>
      </c>
      <c r="G440">
        <f>+bma!G440/data!$K440</f>
        <v>0</v>
      </c>
      <c r="H440">
        <f>+bma!H440/data!$K440</f>
        <v>0</v>
      </c>
      <c r="I440">
        <f>+bma!I440/data!$K440</f>
        <v>0.5</v>
      </c>
      <c r="J440">
        <f>+bma!L440/data!$K440</f>
        <v>0.5</v>
      </c>
      <c r="K440">
        <f>+bma!M440/data!$K440</f>
        <v>0</v>
      </c>
      <c r="L440">
        <f>+bma!J440/data!$K440</f>
        <v>0.5</v>
      </c>
      <c r="M440">
        <f>+bma!K440/data!$K440</f>
        <v>0</v>
      </c>
      <c r="N440">
        <f>+bma!N440/data!$K440</f>
        <v>0</v>
      </c>
      <c r="O440">
        <f>+bma!O440/data!$K440</f>
        <v>0</v>
      </c>
      <c r="P440">
        <f>+bma!P440/data!$K440</f>
        <v>0.5</v>
      </c>
      <c r="Q440">
        <f>+bma!Q440/data!$K440</f>
        <v>3.7949204999999999</v>
      </c>
      <c r="R440">
        <f>+bma!R440/data!$K440</f>
        <v>1.7917594999999999</v>
      </c>
      <c r="S440">
        <f>+bma!S440/data!$K440</f>
        <v>0.5</v>
      </c>
    </row>
    <row r="441" spans="1:19" x14ac:dyDescent="0.25">
      <c r="A441">
        <f>+bma!A441/data!$K441</f>
        <v>-0.12723644653259356</v>
      </c>
      <c r="B441">
        <f>+bma!B441/data!$K441</f>
        <v>3.6511328135439891E-2</v>
      </c>
      <c r="C441">
        <f>+bma!C441/data!$K441</f>
        <v>0</v>
      </c>
      <c r="D441">
        <f>+bma!D441/data!$K441</f>
        <v>0</v>
      </c>
      <c r="E441">
        <f>+bma!E441/data!$K441</f>
        <v>1</v>
      </c>
      <c r="F441">
        <f>+bma!F441/data!$K441</f>
        <v>0</v>
      </c>
      <c r="G441">
        <f>+bma!G441/data!$K441</f>
        <v>1</v>
      </c>
      <c r="H441">
        <f>+bma!H441/data!$K441</f>
        <v>1</v>
      </c>
      <c r="I441">
        <f>+bma!I441/data!$K441</f>
        <v>1</v>
      </c>
      <c r="J441">
        <f>+bma!L441/data!$K441</f>
        <v>0</v>
      </c>
      <c r="K441">
        <f>+bma!M441/data!$K441</f>
        <v>1</v>
      </c>
      <c r="L441">
        <f>+bma!J441/data!$K441</f>
        <v>0</v>
      </c>
      <c r="M441">
        <f>+bma!K441/data!$K441</f>
        <v>0</v>
      </c>
      <c r="N441">
        <f>+bma!N441/data!$K441</f>
        <v>0</v>
      </c>
      <c r="O441">
        <f>+bma!O441/data!$K441</f>
        <v>1</v>
      </c>
      <c r="P441">
        <f>+bma!P441/data!$K441</f>
        <v>1</v>
      </c>
      <c r="Q441">
        <f>+bma!Q441/data!$K441</f>
        <v>7.5999020000000002</v>
      </c>
      <c r="R441">
        <f>+bma!R441/data!$K441</f>
        <v>3.9702920000000002</v>
      </c>
      <c r="S441">
        <f>+bma!S441/data!$K441</f>
        <v>1</v>
      </c>
    </row>
    <row r="442" spans="1:19" x14ac:dyDescent="0.25">
      <c r="A442">
        <f>+bma!A442/data!$K442</f>
        <v>0.17993603411311945</v>
      </c>
      <c r="B442">
        <f>+bma!B442/data!$K442</f>
        <v>6.6642975597451345E-2</v>
      </c>
      <c r="C442">
        <f>+bma!C442/data!$K442</f>
        <v>0.5</v>
      </c>
      <c r="D442">
        <f>+bma!D442/data!$K442</f>
        <v>0.5</v>
      </c>
      <c r="E442">
        <f>+bma!E442/data!$K442</f>
        <v>0</v>
      </c>
      <c r="F442">
        <f>+bma!F442/data!$K442</f>
        <v>0.5</v>
      </c>
      <c r="G442">
        <f>+bma!G442/data!$K442</f>
        <v>0</v>
      </c>
      <c r="H442">
        <f>+bma!H442/data!$K442</f>
        <v>0</v>
      </c>
      <c r="I442">
        <f>+bma!I442/data!$K442</f>
        <v>0.5</v>
      </c>
      <c r="J442">
        <f>+bma!L442/data!$K442</f>
        <v>0.5</v>
      </c>
      <c r="K442">
        <f>+bma!M442/data!$K442</f>
        <v>0</v>
      </c>
      <c r="L442">
        <f>+bma!J442/data!$K442</f>
        <v>0</v>
      </c>
      <c r="M442">
        <f>+bma!K442/data!$K442</f>
        <v>0</v>
      </c>
      <c r="N442">
        <f>+bma!N442/data!$K442</f>
        <v>0</v>
      </c>
      <c r="O442">
        <f>+bma!O442/data!$K442</f>
        <v>0.5</v>
      </c>
      <c r="P442">
        <f>+bma!P442/data!$K442</f>
        <v>0.5</v>
      </c>
      <c r="Q442">
        <f>+bma!Q442/data!$K442</f>
        <v>3.7928945000000001</v>
      </c>
      <c r="R442">
        <f>+bma!R442/data!$K442</f>
        <v>2.249905</v>
      </c>
      <c r="S442">
        <f>+bma!S442/data!$K442</f>
        <v>0</v>
      </c>
    </row>
    <row r="443" spans="1:19" x14ac:dyDescent="0.25">
      <c r="A443">
        <f>+bma!A443/data!$K443</f>
        <v>0.35355339059327379</v>
      </c>
      <c r="B443">
        <f>+bma!B443/data!$K443</f>
        <v>5.0507627227610541E-2</v>
      </c>
      <c r="C443">
        <f>+bma!C443/data!$K443</f>
        <v>0.5</v>
      </c>
      <c r="D443">
        <f>+bma!D443/data!$K443</f>
        <v>0.5</v>
      </c>
      <c r="E443">
        <f>+bma!E443/data!$K443</f>
        <v>0</v>
      </c>
      <c r="F443">
        <f>+bma!F443/data!$K443</f>
        <v>0.5</v>
      </c>
      <c r="G443">
        <f>+bma!G443/data!$K443</f>
        <v>0</v>
      </c>
      <c r="H443">
        <f>+bma!H443/data!$K443</f>
        <v>0</v>
      </c>
      <c r="I443">
        <f>+bma!I443/data!$K443</f>
        <v>0.5</v>
      </c>
      <c r="J443">
        <f>+bma!L443/data!$K443</f>
        <v>0.5</v>
      </c>
      <c r="K443">
        <f>+bma!M443/data!$K443</f>
        <v>0</v>
      </c>
      <c r="L443">
        <f>+bma!J443/data!$K443</f>
        <v>0</v>
      </c>
      <c r="M443">
        <f>+bma!K443/data!$K443</f>
        <v>0</v>
      </c>
      <c r="N443">
        <f>+bma!N443/data!$K443</f>
        <v>0</v>
      </c>
      <c r="O443">
        <f>+bma!O443/data!$K443</f>
        <v>0.5</v>
      </c>
      <c r="P443">
        <f>+bma!P443/data!$K443</f>
        <v>0.5</v>
      </c>
      <c r="Q443">
        <f>+bma!Q443/data!$K443</f>
        <v>3.7928945000000001</v>
      </c>
      <c r="R443">
        <f>+bma!R443/data!$K443</f>
        <v>2.249905</v>
      </c>
      <c r="S443">
        <f>+bma!S443/data!$K443</f>
        <v>0.5</v>
      </c>
    </row>
  </sheetData>
  <autoFilter ref="A1:S44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443"/>
  <sheetViews>
    <sheetView zoomScale="85" zoomScaleNormal="85" workbookViewId="0">
      <selection sqref="A1:S1"/>
    </sheetView>
  </sheetViews>
  <sheetFormatPr defaultRowHeight="15" x14ac:dyDescent="0.25"/>
  <cols>
    <col min="1" max="1" width="12.85546875" bestFit="1" customWidth="1"/>
    <col min="2" max="2" width="12.28515625" bestFit="1" customWidth="1"/>
    <col min="3" max="3" width="8.85546875" bestFit="1" customWidth="1"/>
    <col min="4" max="4" width="4" customWidth="1"/>
    <col min="5" max="5" width="12.5703125" customWidth="1"/>
    <col min="6" max="6" width="6.7109375" customWidth="1"/>
    <col min="7" max="7" width="10.5703125" customWidth="1"/>
    <col min="8" max="8" width="15.140625" customWidth="1"/>
    <col min="9" max="9" width="7.85546875" customWidth="1"/>
    <col min="10" max="10" width="5.85546875" customWidth="1"/>
    <col min="11" max="11" width="7.7109375" customWidth="1"/>
    <col min="12" max="12" width="5.85546875" customWidth="1"/>
    <col min="13" max="13" width="6.5703125" bestFit="1" customWidth="1"/>
    <col min="14" max="14" width="7.5703125" bestFit="1" customWidth="1"/>
    <col min="15" max="15" width="6.85546875" bestFit="1" customWidth="1"/>
    <col min="16" max="16" width="4.5703125" bestFit="1" customWidth="1"/>
    <col min="17" max="17" width="12.42578125" bestFit="1" customWidth="1"/>
    <col min="18" max="18" width="10.28515625" bestFit="1" customWidth="1"/>
    <col min="19" max="19" width="10.5703125" bestFit="1" customWidth="1"/>
  </cols>
  <sheetData>
    <row r="1" spans="1:19" s="6" customFormat="1" x14ac:dyDescent="0.25">
      <c r="A1" s="6" t="str">
        <f>+data!AI1</f>
        <v>pcc</v>
      </c>
      <c r="B1" s="6" t="str">
        <f>+data!AJ1</f>
        <v>pcc_se</v>
      </c>
      <c r="C1" s="6" t="str">
        <f>+data!W1</f>
        <v>shortrun</v>
      </c>
      <c r="D1" s="6" t="str">
        <f>+data!AQ1</f>
        <v>ols</v>
      </c>
      <c r="E1" s="6" t="str">
        <f>+data!T1</f>
        <v>endogeneity</v>
      </c>
      <c r="F1" s="6" t="str">
        <f>+data!X1</f>
        <v>linear</v>
      </c>
      <c r="G1" s="6" t="str">
        <f>+data!Y1</f>
        <v>doublelog</v>
      </c>
      <c r="H1" s="6" t="str">
        <f>+data!U1</f>
        <v>unemployment</v>
      </c>
      <c r="I1" s="6" t="str">
        <f>+data!V1</f>
        <v>income</v>
      </c>
      <c r="J1" s="6" t="str">
        <f>+data!AS1</f>
        <v>male</v>
      </c>
      <c r="K1" s="6" t="str">
        <f>+data!AT1</f>
        <v>female</v>
      </c>
      <c r="L1" s="6" t="str">
        <f>+data!AO1</f>
        <v>cross</v>
      </c>
      <c r="M1" s="6" t="str">
        <f>+data!AN1</f>
        <v>panel</v>
      </c>
      <c r="N1" s="6" t="str">
        <f>+data!AU1</f>
        <v>private</v>
      </c>
      <c r="O1" s="6" t="s">
        <v>22</v>
      </c>
      <c r="P1" s="6" t="str">
        <f>+data!AD1</f>
        <v>usa</v>
      </c>
      <c r="Q1" s="6" t="str">
        <f>+data!AF1</f>
        <v>ln_pub_year</v>
      </c>
      <c r="R1" s="6" t="str">
        <f>+data!AG1</f>
        <v>ln_google</v>
      </c>
      <c r="S1" s="6" t="str">
        <f>+data!AE1</f>
        <v>published</v>
      </c>
    </row>
    <row r="2" spans="1:19" x14ac:dyDescent="0.25">
      <c r="A2">
        <f>+data!AI2</f>
        <v>9.2984972469741786E-2</v>
      </c>
      <c r="B2">
        <f>+data!AJ2</f>
        <v>0.26610333584836676</v>
      </c>
      <c r="C2">
        <f>+data!W2</f>
        <v>0</v>
      </c>
      <c r="D2">
        <f>+data!AQ2</f>
        <v>1</v>
      </c>
      <c r="E2">
        <f>+data!T2</f>
        <v>0</v>
      </c>
      <c r="F2">
        <f>+data!X2</f>
        <v>0</v>
      </c>
      <c r="G2">
        <f>+data!Y2</f>
        <v>1</v>
      </c>
      <c r="H2">
        <f>+data!U2</f>
        <v>0</v>
      </c>
      <c r="I2">
        <f>+data!V2</f>
        <v>0</v>
      </c>
      <c r="J2">
        <f>+data!AS2</f>
        <v>0</v>
      </c>
      <c r="K2">
        <f>+data!AT2</f>
        <v>0</v>
      </c>
      <c r="L2">
        <f>+data!AO2</f>
        <v>0</v>
      </c>
      <c r="M2">
        <f>+data!AN2</f>
        <v>0</v>
      </c>
      <c r="N2">
        <f>+data!AU2</f>
        <v>0</v>
      </c>
      <c r="O2">
        <f>+data!AV2</f>
        <v>0</v>
      </c>
      <c r="P2">
        <f>+data!AD2</f>
        <v>1</v>
      </c>
      <c r="Q2">
        <f>+data!AF2</f>
        <v>7.5933739999999998</v>
      </c>
      <c r="R2">
        <f>+data!AG2</f>
        <v>4.6634390000000003</v>
      </c>
      <c r="S2">
        <f>+data!AE2</f>
        <v>1</v>
      </c>
    </row>
    <row r="3" spans="1:19" x14ac:dyDescent="0.25">
      <c r="A3">
        <f>+data!AI3</f>
        <v>-0.23849722211340027</v>
      </c>
      <c r="B3">
        <f>+data!AJ3</f>
        <v>0.25954893222173392</v>
      </c>
      <c r="C3">
        <f>+data!W3</f>
        <v>0</v>
      </c>
      <c r="D3">
        <f>+data!AQ3</f>
        <v>1</v>
      </c>
      <c r="E3">
        <f>+data!T3</f>
        <v>0</v>
      </c>
      <c r="F3">
        <f>+data!X3</f>
        <v>0</v>
      </c>
      <c r="G3">
        <f>+data!Y3</f>
        <v>1</v>
      </c>
      <c r="H3">
        <f>+data!U3</f>
        <v>0</v>
      </c>
      <c r="I3">
        <f>+data!V3</f>
        <v>0</v>
      </c>
      <c r="J3">
        <f>+data!AS3</f>
        <v>0</v>
      </c>
      <c r="K3">
        <f>+data!AT3</f>
        <v>0</v>
      </c>
      <c r="L3">
        <f>+data!AO3</f>
        <v>0</v>
      </c>
      <c r="M3">
        <f>+data!AN3</f>
        <v>0</v>
      </c>
      <c r="N3">
        <f>+data!AU3</f>
        <v>0</v>
      </c>
      <c r="O3">
        <f>+data!AV3</f>
        <v>0</v>
      </c>
      <c r="P3">
        <f>+data!AD3</f>
        <v>1</v>
      </c>
      <c r="Q3">
        <f>+data!AF3</f>
        <v>7.5933739999999998</v>
      </c>
      <c r="R3">
        <f>+data!AG3</f>
        <v>4.6634390000000003</v>
      </c>
      <c r="S3">
        <f>+data!AE3</f>
        <v>1</v>
      </c>
    </row>
    <row r="4" spans="1:19" x14ac:dyDescent="0.25">
      <c r="A4">
        <f>+data!AI4</f>
        <v>-0.73538147792091002</v>
      </c>
      <c r="B4">
        <f>+data!AJ4</f>
        <v>0.18111047968630675</v>
      </c>
      <c r="C4">
        <f>+data!W4</f>
        <v>0</v>
      </c>
      <c r="D4">
        <f>+data!AQ4</f>
        <v>1</v>
      </c>
      <c r="E4">
        <f>+data!T4</f>
        <v>0</v>
      </c>
      <c r="F4">
        <f>+data!X4</f>
        <v>0</v>
      </c>
      <c r="G4">
        <f>+data!Y4</f>
        <v>1</v>
      </c>
      <c r="H4">
        <f>+data!U4</f>
        <v>0</v>
      </c>
      <c r="I4">
        <f>+data!V4</f>
        <v>0</v>
      </c>
      <c r="J4">
        <f>+data!AS4</f>
        <v>0</v>
      </c>
      <c r="K4">
        <f>+data!AT4</f>
        <v>0</v>
      </c>
      <c r="L4">
        <f>+data!AO4</f>
        <v>0</v>
      </c>
      <c r="M4">
        <f>+data!AN4</f>
        <v>0</v>
      </c>
      <c r="N4">
        <f>+data!AU4</f>
        <v>0</v>
      </c>
      <c r="O4">
        <f>+data!AV4</f>
        <v>0</v>
      </c>
      <c r="P4">
        <f>+data!AD4</f>
        <v>1</v>
      </c>
      <c r="Q4">
        <f>+data!AF4</f>
        <v>7.5933739999999998</v>
      </c>
      <c r="R4">
        <f>+data!AG4</f>
        <v>4.6634390000000003</v>
      </c>
      <c r="S4">
        <f>+data!AE4</f>
        <v>1</v>
      </c>
    </row>
    <row r="5" spans="1:19" x14ac:dyDescent="0.25">
      <c r="A5">
        <f>+data!AI5</f>
        <v>-0.49086708491149106</v>
      </c>
      <c r="B5">
        <f>+data!AJ5</f>
        <v>0.23284720694519445</v>
      </c>
      <c r="C5">
        <f>+data!W5</f>
        <v>0</v>
      </c>
      <c r="D5">
        <f>+data!AQ5</f>
        <v>1</v>
      </c>
      <c r="E5">
        <f>+data!T5</f>
        <v>0</v>
      </c>
      <c r="F5">
        <f>+data!X5</f>
        <v>0</v>
      </c>
      <c r="G5">
        <f>+data!Y5</f>
        <v>1</v>
      </c>
      <c r="H5">
        <f>+data!U5</f>
        <v>0</v>
      </c>
      <c r="I5">
        <f>+data!V5</f>
        <v>0</v>
      </c>
      <c r="J5">
        <f>+data!AS5</f>
        <v>0</v>
      </c>
      <c r="K5">
        <f>+data!AT5</f>
        <v>0</v>
      </c>
      <c r="L5">
        <f>+data!AO5</f>
        <v>0</v>
      </c>
      <c r="M5">
        <f>+data!AN5</f>
        <v>0</v>
      </c>
      <c r="N5">
        <f>+data!AU5</f>
        <v>0</v>
      </c>
      <c r="O5">
        <f>+data!AV5</f>
        <v>0</v>
      </c>
      <c r="P5">
        <f>+data!AD5</f>
        <v>1</v>
      </c>
      <c r="Q5">
        <f>+data!AF5</f>
        <v>7.5933739999999998</v>
      </c>
      <c r="R5">
        <f>+data!AG5</f>
        <v>4.6634390000000003</v>
      </c>
      <c r="S5">
        <f>+data!AE5</f>
        <v>1</v>
      </c>
    </row>
    <row r="6" spans="1:19" x14ac:dyDescent="0.25">
      <c r="A6">
        <f>+data!AI6</f>
        <v>-0.29796744686115245</v>
      </c>
      <c r="B6">
        <f>+data!AJ6</f>
        <v>0.25512117577606225</v>
      </c>
      <c r="C6">
        <f>+data!W6</f>
        <v>0</v>
      </c>
      <c r="D6">
        <f>+data!AQ6</f>
        <v>1</v>
      </c>
      <c r="E6">
        <f>+data!T6</f>
        <v>0</v>
      </c>
      <c r="F6">
        <f>+data!X6</f>
        <v>0</v>
      </c>
      <c r="G6">
        <f>+data!Y6</f>
        <v>1</v>
      </c>
      <c r="H6">
        <f>+data!U6</f>
        <v>0</v>
      </c>
      <c r="I6">
        <f>+data!V6</f>
        <v>0</v>
      </c>
      <c r="J6">
        <f>+data!AS6</f>
        <v>0</v>
      </c>
      <c r="K6">
        <f>+data!AT6</f>
        <v>0</v>
      </c>
      <c r="L6">
        <f>+data!AO6</f>
        <v>0</v>
      </c>
      <c r="M6">
        <f>+data!AN6</f>
        <v>0</v>
      </c>
      <c r="N6">
        <f>+data!AU6</f>
        <v>0</v>
      </c>
      <c r="O6">
        <f>+data!AV6</f>
        <v>0</v>
      </c>
      <c r="P6">
        <f>+data!AD6</f>
        <v>1</v>
      </c>
      <c r="Q6">
        <f>+data!AF6</f>
        <v>7.5933739999999998</v>
      </c>
      <c r="R6">
        <f>+data!AG6</f>
        <v>4.6634390000000003</v>
      </c>
      <c r="S6">
        <f>+data!AE6</f>
        <v>1</v>
      </c>
    </row>
    <row r="7" spans="1:19" x14ac:dyDescent="0.25">
      <c r="A7">
        <f>+data!AI7</f>
        <v>-0.75169905284173499</v>
      </c>
      <c r="B7">
        <f>+data!AJ7</f>
        <v>0.1762604675628896</v>
      </c>
      <c r="C7">
        <f>+data!W7</f>
        <v>0</v>
      </c>
      <c r="D7">
        <f>+data!AQ7</f>
        <v>1</v>
      </c>
      <c r="E7">
        <f>+data!T7</f>
        <v>0</v>
      </c>
      <c r="F7">
        <f>+data!X7</f>
        <v>0</v>
      </c>
      <c r="G7">
        <f>+data!Y7</f>
        <v>1</v>
      </c>
      <c r="H7">
        <f>+data!U7</f>
        <v>0</v>
      </c>
      <c r="I7">
        <f>+data!V7</f>
        <v>0</v>
      </c>
      <c r="J7">
        <f>+data!AS7</f>
        <v>0</v>
      </c>
      <c r="K7">
        <f>+data!AT7</f>
        <v>0</v>
      </c>
      <c r="L7">
        <f>+data!AO7</f>
        <v>0</v>
      </c>
      <c r="M7">
        <f>+data!AN7</f>
        <v>0</v>
      </c>
      <c r="N7">
        <f>+data!AU7</f>
        <v>0</v>
      </c>
      <c r="O7">
        <f>+data!AV7</f>
        <v>0</v>
      </c>
      <c r="P7">
        <f>+data!AD7</f>
        <v>1</v>
      </c>
      <c r="Q7">
        <f>+data!AF7</f>
        <v>7.5933739999999998</v>
      </c>
      <c r="R7">
        <f>+data!AG7</f>
        <v>4.6634390000000003</v>
      </c>
      <c r="S7">
        <f>+data!AE7</f>
        <v>1</v>
      </c>
    </row>
    <row r="8" spans="1:19" x14ac:dyDescent="0.25">
      <c r="A8">
        <f>+data!AI8</f>
        <v>-0.78078470823716195</v>
      </c>
      <c r="B8">
        <f>+data!AJ8</f>
        <v>0.1669848665904039</v>
      </c>
      <c r="C8">
        <f>+data!W8</f>
        <v>0</v>
      </c>
      <c r="D8">
        <f>+data!AQ8</f>
        <v>1</v>
      </c>
      <c r="E8">
        <f>+data!T8</f>
        <v>0</v>
      </c>
      <c r="F8">
        <f>+data!X8</f>
        <v>0</v>
      </c>
      <c r="G8">
        <f>+data!Y8</f>
        <v>1</v>
      </c>
      <c r="H8">
        <f>+data!U8</f>
        <v>0</v>
      </c>
      <c r="I8">
        <f>+data!V8</f>
        <v>0</v>
      </c>
      <c r="J8">
        <f>+data!AS8</f>
        <v>0</v>
      </c>
      <c r="K8">
        <f>+data!AT8</f>
        <v>0</v>
      </c>
      <c r="L8">
        <f>+data!AO8</f>
        <v>0</v>
      </c>
      <c r="M8">
        <f>+data!AN8</f>
        <v>0</v>
      </c>
      <c r="N8">
        <f>+data!AU8</f>
        <v>0</v>
      </c>
      <c r="O8">
        <f>+data!AV8</f>
        <v>0</v>
      </c>
      <c r="P8">
        <f>+data!AD8</f>
        <v>1</v>
      </c>
      <c r="Q8">
        <f>+data!AF8</f>
        <v>7.5933739999999998</v>
      </c>
      <c r="R8">
        <f>+data!AG8</f>
        <v>4.6634390000000003</v>
      </c>
      <c r="S8">
        <f>+data!AE8</f>
        <v>1</v>
      </c>
    </row>
    <row r="9" spans="1:19" x14ac:dyDescent="0.25">
      <c r="A9">
        <f>+data!AI9</f>
        <v>-0.51666610773650601</v>
      </c>
      <c r="B9">
        <f>+data!AJ9</f>
        <v>0.22882559377276351</v>
      </c>
      <c r="C9">
        <f>+data!W9</f>
        <v>0</v>
      </c>
      <c r="D9">
        <f>+data!AQ9</f>
        <v>1</v>
      </c>
      <c r="E9">
        <f>+data!T9</f>
        <v>0</v>
      </c>
      <c r="F9">
        <f>+data!X9</f>
        <v>0</v>
      </c>
      <c r="G9">
        <f>+data!Y9</f>
        <v>1</v>
      </c>
      <c r="H9">
        <f>+data!U9</f>
        <v>0</v>
      </c>
      <c r="I9">
        <f>+data!V9</f>
        <v>0</v>
      </c>
      <c r="J9">
        <f>+data!AS9</f>
        <v>0</v>
      </c>
      <c r="K9">
        <f>+data!AT9</f>
        <v>0</v>
      </c>
      <c r="L9">
        <f>+data!AO9</f>
        <v>0</v>
      </c>
      <c r="M9">
        <f>+data!AN9</f>
        <v>0</v>
      </c>
      <c r="N9">
        <f>+data!AU9</f>
        <v>0</v>
      </c>
      <c r="O9">
        <f>+data!AV9</f>
        <v>0</v>
      </c>
      <c r="P9">
        <f>+data!AD9</f>
        <v>1</v>
      </c>
      <c r="Q9">
        <f>+data!AF9</f>
        <v>7.5933739999999998</v>
      </c>
      <c r="R9">
        <f>+data!AG9</f>
        <v>4.6634390000000003</v>
      </c>
      <c r="S9">
        <f>+data!AE9</f>
        <v>1</v>
      </c>
    </row>
    <row r="10" spans="1:19" x14ac:dyDescent="0.25">
      <c r="A10">
        <f>+data!AI10</f>
        <v>-4.8437185651531586E-2</v>
      </c>
      <c r="B10">
        <f>+data!AJ10</f>
        <v>0.26694753885978617</v>
      </c>
      <c r="C10">
        <f>+data!W10</f>
        <v>0</v>
      </c>
      <c r="D10">
        <f>+data!AQ10</f>
        <v>1</v>
      </c>
      <c r="E10">
        <f>+data!T10</f>
        <v>0</v>
      </c>
      <c r="F10">
        <f>+data!X10</f>
        <v>0</v>
      </c>
      <c r="G10">
        <f>+data!Y10</f>
        <v>1</v>
      </c>
      <c r="H10">
        <f>+data!U10</f>
        <v>0</v>
      </c>
      <c r="I10">
        <f>+data!V10</f>
        <v>0</v>
      </c>
      <c r="J10">
        <f>+data!AS10</f>
        <v>0</v>
      </c>
      <c r="K10">
        <f>+data!AT10</f>
        <v>0</v>
      </c>
      <c r="L10">
        <f>+data!AO10</f>
        <v>0</v>
      </c>
      <c r="M10">
        <f>+data!AN10</f>
        <v>0</v>
      </c>
      <c r="N10">
        <f>+data!AU10</f>
        <v>0</v>
      </c>
      <c r="O10">
        <f>+data!AV10</f>
        <v>0</v>
      </c>
      <c r="P10">
        <f>+data!AD10</f>
        <v>1</v>
      </c>
      <c r="Q10">
        <f>+data!AF10</f>
        <v>7.5933739999999998</v>
      </c>
      <c r="R10">
        <f>+data!AG10</f>
        <v>4.6634390000000003</v>
      </c>
      <c r="S10">
        <f>+data!AE10</f>
        <v>1</v>
      </c>
    </row>
    <row r="11" spans="1:19" x14ac:dyDescent="0.25">
      <c r="A11">
        <f>+data!AI11</f>
        <v>-0.77365100713556145</v>
      </c>
      <c r="B11">
        <f>+data!AJ11</f>
        <v>0.16933992001679674</v>
      </c>
      <c r="C11">
        <f>+data!W11</f>
        <v>0</v>
      </c>
      <c r="D11">
        <f>+data!AQ11</f>
        <v>1</v>
      </c>
      <c r="E11">
        <f>+data!T11</f>
        <v>0</v>
      </c>
      <c r="F11">
        <f>+data!X11</f>
        <v>0</v>
      </c>
      <c r="G11">
        <f>+data!Y11</f>
        <v>1</v>
      </c>
      <c r="H11">
        <f>+data!U11</f>
        <v>0</v>
      </c>
      <c r="I11">
        <f>+data!V11</f>
        <v>0</v>
      </c>
      <c r="J11">
        <f>+data!AS11</f>
        <v>0</v>
      </c>
      <c r="K11">
        <f>+data!AT11</f>
        <v>0</v>
      </c>
      <c r="L11">
        <f>+data!AO11</f>
        <v>0</v>
      </c>
      <c r="M11">
        <f>+data!AN11</f>
        <v>0</v>
      </c>
      <c r="N11">
        <f>+data!AU11</f>
        <v>0</v>
      </c>
      <c r="O11">
        <f>+data!AV11</f>
        <v>0</v>
      </c>
      <c r="P11">
        <f>+data!AD11</f>
        <v>1</v>
      </c>
      <c r="Q11">
        <f>+data!AF11</f>
        <v>7.5933739999999998</v>
      </c>
      <c r="R11">
        <f>+data!AG11</f>
        <v>4.6634390000000003</v>
      </c>
      <c r="S11">
        <f>+data!AE11</f>
        <v>1</v>
      </c>
    </row>
    <row r="12" spans="1:19" x14ac:dyDescent="0.25">
      <c r="A12">
        <f>+data!AI12</f>
        <v>-0.90696631877562328</v>
      </c>
      <c r="B12">
        <f>+data!AJ12</f>
        <v>0.11257127792983759</v>
      </c>
      <c r="C12">
        <f>+data!W12</f>
        <v>0</v>
      </c>
      <c r="D12">
        <f>+data!AQ12</f>
        <v>1</v>
      </c>
      <c r="E12">
        <f>+data!T12</f>
        <v>0</v>
      </c>
      <c r="F12">
        <f>+data!X12</f>
        <v>0</v>
      </c>
      <c r="G12">
        <f>+data!Y12</f>
        <v>1</v>
      </c>
      <c r="H12">
        <f>+data!U12</f>
        <v>0</v>
      </c>
      <c r="I12">
        <f>+data!V12</f>
        <v>0</v>
      </c>
      <c r="J12">
        <f>+data!AS12</f>
        <v>0</v>
      </c>
      <c r="K12">
        <f>+data!AT12</f>
        <v>0</v>
      </c>
      <c r="L12">
        <f>+data!AO12</f>
        <v>0</v>
      </c>
      <c r="M12">
        <f>+data!AN12</f>
        <v>0</v>
      </c>
      <c r="N12">
        <f>+data!AU12</f>
        <v>0</v>
      </c>
      <c r="O12">
        <f>+data!AV12</f>
        <v>0</v>
      </c>
      <c r="P12">
        <f>+data!AD12</f>
        <v>1</v>
      </c>
      <c r="Q12">
        <f>+data!AF12</f>
        <v>7.5933739999999998</v>
      </c>
      <c r="R12">
        <f>+data!AG12</f>
        <v>4.6634390000000003</v>
      </c>
      <c r="S12">
        <f>+data!AE12</f>
        <v>1</v>
      </c>
    </row>
    <row r="13" spans="1:19" x14ac:dyDescent="0.25">
      <c r="A13">
        <f>+data!AI13</f>
        <v>-0.90908914565155052</v>
      </c>
      <c r="B13">
        <f>+data!AJ13</f>
        <v>0.11134147130675269</v>
      </c>
      <c r="C13">
        <f>+data!W13</f>
        <v>0</v>
      </c>
      <c r="D13">
        <f>+data!AQ13</f>
        <v>1</v>
      </c>
      <c r="E13">
        <f>+data!T13</f>
        <v>0</v>
      </c>
      <c r="F13">
        <f>+data!X13</f>
        <v>0</v>
      </c>
      <c r="G13">
        <f>+data!Y13</f>
        <v>1</v>
      </c>
      <c r="H13">
        <f>+data!U13</f>
        <v>0</v>
      </c>
      <c r="I13">
        <f>+data!V13</f>
        <v>0</v>
      </c>
      <c r="J13">
        <f>+data!AS13</f>
        <v>0</v>
      </c>
      <c r="K13">
        <f>+data!AT13</f>
        <v>0</v>
      </c>
      <c r="L13">
        <f>+data!AO13</f>
        <v>0</v>
      </c>
      <c r="M13">
        <f>+data!AN13</f>
        <v>0</v>
      </c>
      <c r="N13">
        <f>+data!AU13</f>
        <v>0</v>
      </c>
      <c r="O13">
        <f>+data!AV13</f>
        <v>0</v>
      </c>
      <c r="P13">
        <f>+data!AD13</f>
        <v>1</v>
      </c>
      <c r="Q13">
        <f>+data!AF13</f>
        <v>7.5933739999999998</v>
      </c>
      <c r="R13">
        <f>+data!AG13</f>
        <v>4.6634390000000003</v>
      </c>
      <c r="S13">
        <f>+data!AE13</f>
        <v>1</v>
      </c>
    </row>
    <row r="14" spans="1:19" x14ac:dyDescent="0.25">
      <c r="A14">
        <f>+data!AI14</f>
        <v>0.37770792149620563</v>
      </c>
      <c r="B14">
        <f>+data!AJ14</f>
        <v>0.24746381063544506</v>
      </c>
      <c r="C14">
        <f>+data!W14</f>
        <v>0</v>
      </c>
      <c r="D14">
        <f>+data!AQ14</f>
        <v>1</v>
      </c>
      <c r="E14">
        <f>+data!T14</f>
        <v>0</v>
      </c>
      <c r="F14">
        <f>+data!X14</f>
        <v>0</v>
      </c>
      <c r="G14">
        <f>+data!Y14</f>
        <v>1</v>
      </c>
      <c r="H14">
        <f>+data!U14</f>
        <v>0</v>
      </c>
      <c r="I14">
        <f>+data!V14</f>
        <v>0</v>
      </c>
      <c r="J14">
        <f>+data!AS14</f>
        <v>0</v>
      </c>
      <c r="K14">
        <f>+data!AT14</f>
        <v>0</v>
      </c>
      <c r="L14">
        <f>+data!AO14</f>
        <v>0</v>
      </c>
      <c r="M14">
        <f>+data!AN14</f>
        <v>0</v>
      </c>
      <c r="N14">
        <f>+data!AU14</f>
        <v>0</v>
      </c>
      <c r="O14">
        <f>+data!AV14</f>
        <v>0</v>
      </c>
      <c r="P14">
        <f>+data!AD14</f>
        <v>1</v>
      </c>
      <c r="Q14">
        <f>+data!AF14</f>
        <v>7.5933739999999998</v>
      </c>
      <c r="R14">
        <f>+data!AG14</f>
        <v>4.6634390000000003</v>
      </c>
      <c r="S14">
        <f>+data!AE14</f>
        <v>1</v>
      </c>
    </row>
    <row r="15" spans="1:19" x14ac:dyDescent="0.25">
      <c r="A15">
        <f>+data!AI15</f>
        <v>-0.5432145253315761</v>
      </c>
      <c r="B15">
        <f>+data!AJ15</f>
        <v>0.22439091837186895</v>
      </c>
      <c r="C15">
        <f>+data!W15</f>
        <v>0</v>
      </c>
      <c r="D15">
        <f>+data!AQ15</f>
        <v>1</v>
      </c>
      <c r="E15">
        <f>+data!T15</f>
        <v>0</v>
      </c>
      <c r="F15">
        <f>+data!X15</f>
        <v>0</v>
      </c>
      <c r="G15">
        <f>+data!Y15</f>
        <v>1</v>
      </c>
      <c r="H15">
        <f>+data!U15</f>
        <v>0</v>
      </c>
      <c r="I15">
        <f>+data!V15</f>
        <v>0</v>
      </c>
      <c r="J15">
        <f>+data!AS15</f>
        <v>0</v>
      </c>
      <c r="K15">
        <f>+data!AT15</f>
        <v>0</v>
      </c>
      <c r="L15">
        <f>+data!AO15</f>
        <v>0</v>
      </c>
      <c r="M15">
        <f>+data!AN15</f>
        <v>0</v>
      </c>
      <c r="N15">
        <f>+data!AU15</f>
        <v>0</v>
      </c>
      <c r="O15">
        <f>+data!AV15</f>
        <v>0</v>
      </c>
      <c r="P15">
        <f>+data!AD15</f>
        <v>1</v>
      </c>
      <c r="Q15">
        <f>+data!AF15</f>
        <v>7.5933739999999998</v>
      </c>
      <c r="R15">
        <f>+data!AG15</f>
        <v>4.6634390000000003</v>
      </c>
      <c r="S15">
        <f>+data!AE15</f>
        <v>1</v>
      </c>
    </row>
    <row r="16" spans="1:19" x14ac:dyDescent="0.25">
      <c r="A16">
        <f>+data!AI16</f>
        <v>0.26267812664658269</v>
      </c>
      <c r="B16">
        <f>+data!AJ16</f>
        <v>0.25787596711008209</v>
      </c>
      <c r="C16">
        <f>+data!W16</f>
        <v>0</v>
      </c>
      <c r="D16">
        <f>+data!AQ16</f>
        <v>1</v>
      </c>
      <c r="E16">
        <f>+data!T16</f>
        <v>0</v>
      </c>
      <c r="F16">
        <f>+data!X16</f>
        <v>0</v>
      </c>
      <c r="G16">
        <f>+data!Y16</f>
        <v>1</v>
      </c>
      <c r="H16">
        <f>+data!U16</f>
        <v>0</v>
      </c>
      <c r="I16">
        <f>+data!V16</f>
        <v>0</v>
      </c>
      <c r="J16">
        <f>+data!AS16</f>
        <v>0</v>
      </c>
      <c r="K16">
        <f>+data!AT16</f>
        <v>0</v>
      </c>
      <c r="L16">
        <f>+data!AO16</f>
        <v>0</v>
      </c>
      <c r="M16">
        <f>+data!AN16</f>
        <v>0</v>
      </c>
      <c r="N16">
        <f>+data!AU16</f>
        <v>0</v>
      </c>
      <c r="O16">
        <f>+data!AV16</f>
        <v>0</v>
      </c>
      <c r="P16">
        <f>+data!AD16</f>
        <v>1</v>
      </c>
      <c r="Q16">
        <f>+data!AF16</f>
        <v>7.5933739999999998</v>
      </c>
      <c r="R16">
        <f>+data!AG16</f>
        <v>4.6634390000000003</v>
      </c>
      <c r="S16">
        <f>+data!AE16</f>
        <v>1</v>
      </c>
    </row>
    <row r="17" spans="1:19" x14ac:dyDescent="0.25">
      <c r="A17">
        <f>+data!AI17</f>
        <v>-0.6653282006644865</v>
      </c>
      <c r="B17">
        <f>+data!AJ17</f>
        <v>0.19275863757569234</v>
      </c>
      <c r="C17">
        <f>+data!W17</f>
        <v>0</v>
      </c>
      <c r="D17">
        <f>+data!AQ17</f>
        <v>1</v>
      </c>
      <c r="E17">
        <f>+data!T17</f>
        <v>0</v>
      </c>
      <c r="F17">
        <f>+data!X17</f>
        <v>0</v>
      </c>
      <c r="G17">
        <f>+data!Y17</f>
        <v>1</v>
      </c>
      <c r="H17">
        <f>+data!U17</f>
        <v>0</v>
      </c>
      <c r="I17">
        <f>+data!V17</f>
        <v>0</v>
      </c>
      <c r="J17">
        <f>+data!AS17</f>
        <v>0</v>
      </c>
      <c r="K17">
        <f>+data!AT17</f>
        <v>0</v>
      </c>
      <c r="L17">
        <f>+data!AO17</f>
        <v>0</v>
      </c>
      <c r="M17">
        <f>+data!AN17</f>
        <v>0</v>
      </c>
      <c r="N17">
        <f>+data!AU17</f>
        <v>0</v>
      </c>
      <c r="O17">
        <f>+data!AV17</f>
        <v>0</v>
      </c>
      <c r="P17">
        <f>+data!AD17</f>
        <v>1</v>
      </c>
      <c r="Q17">
        <f>+data!AF17</f>
        <v>7.5933739999999998</v>
      </c>
      <c r="R17">
        <f>+data!AG17</f>
        <v>4.6634390000000003</v>
      </c>
      <c r="S17">
        <f>+data!AE17</f>
        <v>1</v>
      </c>
    </row>
    <row r="18" spans="1:19" x14ac:dyDescent="0.25">
      <c r="A18">
        <f>+data!AI18</f>
        <v>-0.52474636105026473</v>
      </c>
      <c r="B18">
        <f>+data!AJ18</f>
        <v>0.21979403336828857</v>
      </c>
      <c r="C18">
        <f>+data!W18</f>
        <v>0</v>
      </c>
      <c r="D18">
        <f>+data!AQ18</f>
        <v>1</v>
      </c>
      <c r="E18">
        <f>+data!T18</f>
        <v>0</v>
      </c>
      <c r="F18">
        <f>+data!X18</f>
        <v>0</v>
      </c>
      <c r="G18">
        <f>+data!Y18</f>
        <v>1</v>
      </c>
      <c r="H18">
        <f>+data!U18</f>
        <v>0</v>
      </c>
      <c r="I18">
        <f>+data!V18</f>
        <v>0</v>
      </c>
      <c r="J18">
        <f>+data!AS18</f>
        <v>0</v>
      </c>
      <c r="K18">
        <f>+data!AT18</f>
        <v>0</v>
      </c>
      <c r="L18">
        <f>+data!AO18</f>
        <v>0</v>
      </c>
      <c r="M18">
        <f>+data!AN18</f>
        <v>0</v>
      </c>
      <c r="N18">
        <f>+data!AU18</f>
        <v>0</v>
      </c>
      <c r="O18">
        <f>+data!AV18</f>
        <v>0</v>
      </c>
      <c r="P18">
        <f>+data!AD18</f>
        <v>1</v>
      </c>
      <c r="Q18">
        <f>+data!AF18</f>
        <v>7.5933739999999998</v>
      </c>
      <c r="R18">
        <f>+data!AG18</f>
        <v>4.6634390000000003</v>
      </c>
      <c r="S18">
        <f>+data!AE18</f>
        <v>1</v>
      </c>
    </row>
    <row r="19" spans="1:19" x14ac:dyDescent="0.25">
      <c r="A19">
        <f>+data!AI19</f>
        <v>-0.55094985498809179</v>
      </c>
      <c r="B19">
        <f>+data!AJ19</f>
        <v>0.21547687537004998</v>
      </c>
      <c r="C19">
        <f>+data!W19</f>
        <v>0</v>
      </c>
      <c r="D19">
        <f>+data!AQ19</f>
        <v>1</v>
      </c>
      <c r="E19">
        <f>+data!T19</f>
        <v>0</v>
      </c>
      <c r="F19">
        <f>+data!X19</f>
        <v>0</v>
      </c>
      <c r="G19">
        <f>+data!Y19</f>
        <v>1</v>
      </c>
      <c r="H19">
        <f>+data!U19</f>
        <v>0</v>
      </c>
      <c r="I19">
        <f>+data!V19</f>
        <v>0</v>
      </c>
      <c r="J19">
        <f>+data!AS19</f>
        <v>0</v>
      </c>
      <c r="K19">
        <f>+data!AT19</f>
        <v>0</v>
      </c>
      <c r="L19">
        <f>+data!AO19</f>
        <v>0</v>
      </c>
      <c r="M19">
        <f>+data!AN19</f>
        <v>0</v>
      </c>
      <c r="N19">
        <f>+data!AU19</f>
        <v>0</v>
      </c>
      <c r="O19">
        <f>+data!AV19</f>
        <v>0</v>
      </c>
      <c r="P19">
        <f>+data!AD19</f>
        <v>1</v>
      </c>
      <c r="Q19">
        <f>+data!AF19</f>
        <v>7.5933739999999998</v>
      </c>
      <c r="R19">
        <f>+data!AG19</f>
        <v>4.6634390000000003</v>
      </c>
      <c r="S19">
        <f>+data!AE19</f>
        <v>1</v>
      </c>
    </row>
    <row r="20" spans="1:19" x14ac:dyDescent="0.25">
      <c r="A20">
        <f>+data!AI20</f>
        <v>-0.88103738482641414</v>
      </c>
      <c r="B20">
        <f>+data!AJ20</f>
        <v>0.12214011804432727</v>
      </c>
      <c r="C20">
        <f>+data!W20</f>
        <v>0</v>
      </c>
      <c r="D20">
        <f>+data!AQ20</f>
        <v>1</v>
      </c>
      <c r="E20">
        <f>+data!T20</f>
        <v>0</v>
      </c>
      <c r="F20">
        <f>+data!X20</f>
        <v>0</v>
      </c>
      <c r="G20">
        <f>+data!Y20</f>
        <v>1</v>
      </c>
      <c r="H20">
        <f>+data!U20</f>
        <v>0</v>
      </c>
      <c r="I20">
        <f>+data!V20</f>
        <v>0</v>
      </c>
      <c r="J20">
        <f>+data!AS20</f>
        <v>0</v>
      </c>
      <c r="K20">
        <f>+data!AT20</f>
        <v>0</v>
      </c>
      <c r="L20">
        <f>+data!AO20</f>
        <v>0</v>
      </c>
      <c r="M20">
        <f>+data!AN20</f>
        <v>0</v>
      </c>
      <c r="N20">
        <f>+data!AU20</f>
        <v>0</v>
      </c>
      <c r="O20">
        <f>+data!AV20</f>
        <v>0</v>
      </c>
      <c r="P20">
        <f>+data!AD20</f>
        <v>1</v>
      </c>
      <c r="Q20">
        <f>+data!AF20</f>
        <v>7.5933739999999998</v>
      </c>
      <c r="R20">
        <f>+data!AG20</f>
        <v>4.6634390000000003</v>
      </c>
      <c r="S20">
        <f>+data!AE20</f>
        <v>1</v>
      </c>
    </row>
    <row r="21" spans="1:19" x14ac:dyDescent="0.25">
      <c r="A21">
        <f>+data!AI21</f>
        <v>-0.89599172852768016</v>
      </c>
      <c r="B21">
        <f>+data!AJ21</f>
        <v>0.1146585721202968</v>
      </c>
      <c r="C21">
        <f>+data!W21</f>
        <v>0</v>
      </c>
      <c r="D21">
        <f>+data!AQ21</f>
        <v>1</v>
      </c>
      <c r="E21">
        <f>+data!T21</f>
        <v>0</v>
      </c>
      <c r="F21">
        <f>+data!X21</f>
        <v>0</v>
      </c>
      <c r="G21">
        <f>+data!Y21</f>
        <v>1</v>
      </c>
      <c r="H21">
        <f>+data!U21</f>
        <v>0</v>
      </c>
      <c r="I21">
        <f>+data!V21</f>
        <v>0</v>
      </c>
      <c r="J21">
        <f>+data!AS21</f>
        <v>0</v>
      </c>
      <c r="K21">
        <f>+data!AT21</f>
        <v>0</v>
      </c>
      <c r="L21">
        <f>+data!AO21</f>
        <v>0</v>
      </c>
      <c r="M21">
        <f>+data!AN21</f>
        <v>0</v>
      </c>
      <c r="N21">
        <f>+data!AU21</f>
        <v>0</v>
      </c>
      <c r="O21">
        <f>+data!AV21</f>
        <v>0</v>
      </c>
      <c r="P21">
        <f>+data!AD21</f>
        <v>1</v>
      </c>
      <c r="Q21">
        <f>+data!AF21</f>
        <v>7.5933739999999998</v>
      </c>
      <c r="R21">
        <f>+data!AG21</f>
        <v>4.6634390000000003</v>
      </c>
      <c r="S21">
        <f>+data!AE21</f>
        <v>1</v>
      </c>
    </row>
    <row r="22" spans="1:19" x14ac:dyDescent="0.25">
      <c r="A22">
        <f>+data!AI22</f>
        <v>-0.80830046849507742</v>
      </c>
      <c r="B22">
        <f>+data!AJ22</f>
        <v>0.1520198128821017</v>
      </c>
      <c r="C22">
        <f>+data!W22</f>
        <v>0</v>
      </c>
      <c r="D22">
        <f>+data!AQ22</f>
        <v>1</v>
      </c>
      <c r="E22">
        <f>+data!T22</f>
        <v>0</v>
      </c>
      <c r="F22">
        <f>+data!X22</f>
        <v>0</v>
      </c>
      <c r="G22">
        <f>+data!Y22</f>
        <v>1</v>
      </c>
      <c r="H22">
        <f>+data!U22</f>
        <v>0</v>
      </c>
      <c r="I22">
        <f>+data!V22</f>
        <v>0</v>
      </c>
      <c r="J22">
        <f>+data!AS22</f>
        <v>0</v>
      </c>
      <c r="K22">
        <f>+data!AT22</f>
        <v>0</v>
      </c>
      <c r="L22">
        <f>+data!AO22</f>
        <v>0</v>
      </c>
      <c r="M22">
        <f>+data!AN22</f>
        <v>0</v>
      </c>
      <c r="N22">
        <f>+data!AU22</f>
        <v>0</v>
      </c>
      <c r="O22">
        <f>+data!AV22</f>
        <v>0</v>
      </c>
      <c r="P22">
        <f>+data!AD22</f>
        <v>1</v>
      </c>
      <c r="Q22">
        <f>+data!AF22</f>
        <v>7.5933739999999998</v>
      </c>
      <c r="R22">
        <f>+data!AG22</f>
        <v>4.6634390000000003</v>
      </c>
      <c r="S22">
        <f>+data!AE22</f>
        <v>1</v>
      </c>
    </row>
    <row r="23" spans="1:19" x14ac:dyDescent="0.25">
      <c r="A23">
        <f>+data!AI23</f>
        <v>-0.35788885047047109</v>
      </c>
      <c r="B23">
        <f>+data!AJ23</f>
        <v>0.24109687827495471</v>
      </c>
      <c r="C23">
        <f>+data!W23</f>
        <v>0</v>
      </c>
      <c r="D23">
        <f>+data!AQ23</f>
        <v>1</v>
      </c>
      <c r="E23">
        <f>+data!T23</f>
        <v>0</v>
      </c>
      <c r="F23">
        <f>+data!X23</f>
        <v>0</v>
      </c>
      <c r="G23">
        <f>+data!Y23</f>
        <v>1</v>
      </c>
      <c r="H23">
        <f>+data!U23</f>
        <v>0</v>
      </c>
      <c r="I23">
        <f>+data!V23</f>
        <v>0</v>
      </c>
      <c r="J23">
        <f>+data!AS23</f>
        <v>0</v>
      </c>
      <c r="K23">
        <f>+data!AT23</f>
        <v>0</v>
      </c>
      <c r="L23">
        <f>+data!AO23</f>
        <v>0</v>
      </c>
      <c r="M23">
        <f>+data!AN23</f>
        <v>0</v>
      </c>
      <c r="N23">
        <f>+data!AU23</f>
        <v>0</v>
      </c>
      <c r="O23">
        <f>+data!AV23</f>
        <v>0</v>
      </c>
      <c r="P23">
        <f>+data!AD23</f>
        <v>1</v>
      </c>
      <c r="Q23">
        <f>+data!AF23</f>
        <v>7.5933739999999998</v>
      </c>
      <c r="R23">
        <f>+data!AG23</f>
        <v>4.6634390000000003</v>
      </c>
      <c r="S23">
        <f>+data!AE23</f>
        <v>1</v>
      </c>
    </row>
    <row r="24" spans="1:19" x14ac:dyDescent="0.25">
      <c r="A24">
        <f>+data!AI24</f>
        <v>-0.85390005735221464</v>
      </c>
      <c r="B24">
        <f>+data!AJ24</f>
        <v>0.13437626081365323</v>
      </c>
      <c r="C24">
        <f>+data!W24</f>
        <v>0</v>
      </c>
      <c r="D24">
        <f>+data!AQ24</f>
        <v>1</v>
      </c>
      <c r="E24">
        <f>+data!T24</f>
        <v>0</v>
      </c>
      <c r="F24">
        <f>+data!X24</f>
        <v>0</v>
      </c>
      <c r="G24">
        <f>+data!Y24</f>
        <v>1</v>
      </c>
      <c r="H24">
        <f>+data!U24</f>
        <v>0</v>
      </c>
      <c r="I24">
        <f>+data!V24</f>
        <v>0</v>
      </c>
      <c r="J24">
        <f>+data!AS24</f>
        <v>0</v>
      </c>
      <c r="K24">
        <f>+data!AT24</f>
        <v>0</v>
      </c>
      <c r="L24">
        <f>+data!AO24</f>
        <v>0</v>
      </c>
      <c r="M24">
        <f>+data!AN24</f>
        <v>0</v>
      </c>
      <c r="N24">
        <f>+data!AU24</f>
        <v>0</v>
      </c>
      <c r="O24">
        <f>+data!AV24</f>
        <v>0</v>
      </c>
      <c r="P24">
        <f>+data!AD24</f>
        <v>1</v>
      </c>
      <c r="Q24">
        <f>+data!AF24</f>
        <v>7.5933739999999998</v>
      </c>
      <c r="R24">
        <f>+data!AG24</f>
        <v>4.6634390000000003</v>
      </c>
      <c r="S24">
        <f>+data!AE24</f>
        <v>1</v>
      </c>
    </row>
    <row r="25" spans="1:19" x14ac:dyDescent="0.25">
      <c r="A25">
        <f>+data!AI25</f>
        <v>-0.75663840910883817</v>
      </c>
      <c r="B25">
        <f>+data!AJ25</f>
        <v>0.16881909802334699</v>
      </c>
      <c r="C25">
        <f>+data!W25</f>
        <v>0</v>
      </c>
      <c r="D25">
        <f>+data!AQ25</f>
        <v>1</v>
      </c>
      <c r="E25">
        <f>+data!T25</f>
        <v>0</v>
      </c>
      <c r="F25">
        <f>+data!X25</f>
        <v>0</v>
      </c>
      <c r="G25">
        <f>+data!Y25</f>
        <v>1</v>
      </c>
      <c r="H25">
        <f>+data!U25</f>
        <v>0</v>
      </c>
      <c r="I25">
        <f>+data!V25</f>
        <v>0</v>
      </c>
      <c r="J25">
        <f>+data!AS25</f>
        <v>0</v>
      </c>
      <c r="K25">
        <f>+data!AT25</f>
        <v>0</v>
      </c>
      <c r="L25">
        <f>+data!AO25</f>
        <v>0</v>
      </c>
      <c r="M25">
        <f>+data!AN25</f>
        <v>0</v>
      </c>
      <c r="N25">
        <f>+data!AU25</f>
        <v>0</v>
      </c>
      <c r="O25">
        <f>+data!AV25</f>
        <v>0</v>
      </c>
      <c r="P25">
        <f>+data!AD25</f>
        <v>1</v>
      </c>
      <c r="Q25">
        <f>+data!AF25</f>
        <v>7.5933739999999998</v>
      </c>
      <c r="R25">
        <f>+data!AG25</f>
        <v>4.6634390000000003</v>
      </c>
      <c r="S25">
        <f>+data!AE25</f>
        <v>1</v>
      </c>
    </row>
    <row r="26" spans="1:19" x14ac:dyDescent="0.25">
      <c r="A26">
        <f>+data!AI26</f>
        <v>-0.94148923781361626</v>
      </c>
      <c r="B26">
        <f>+data!AJ26</f>
        <v>8.7024140360069391E-2</v>
      </c>
      <c r="C26">
        <f>+data!W26</f>
        <v>0</v>
      </c>
      <c r="D26">
        <f>+data!AQ26</f>
        <v>1</v>
      </c>
      <c r="E26">
        <f>+data!T26</f>
        <v>0</v>
      </c>
      <c r="F26">
        <f>+data!X26</f>
        <v>0</v>
      </c>
      <c r="G26">
        <f>+data!Y26</f>
        <v>1</v>
      </c>
      <c r="H26">
        <f>+data!U26</f>
        <v>0</v>
      </c>
      <c r="I26">
        <f>+data!V26</f>
        <v>0</v>
      </c>
      <c r="J26">
        <f>+data!AS26</f>
        <v>0</v>
      </c>
      <c r="K26">
        <f>+data!AT26</f>
        <v>0</v>
      </c>
      <c r="L26">
        <f>+data!AO26</f>
        <v>0</v>
      </c>
      <c r="M26">
        <f>+data!AN26</f>
        <v>0</v>
      </c>
      <c r="N26">
        <f>+data!AU26</f>
        <v>0</v>
      </c>
      <c r="O26">
        <f>+data!AV26</f>
        <v>0</v>
      </c>
      <c r="P26">
        <f>+data!AD26</f>
        <v>1</v>
      </c>
      <c r="Q26">
        <f>+data!AF26</f>
        <v>7.5933739999999998</v>
      </c>
      <c r="R26">
        <f>+data!AG26</f>
        <v>4.6634390000000003</v>
      </c>
      <c r="S26">
        <f>+data!AE26</f>
        <v>1</v>
      </c>
    </row>
    <row r="27" spans="1:19" x14ac:dyDescent="0.25">
      <c r="A27">
        <f>+data!AI27</f>
        <v>0.1063316979726682</v>
      </c>
      <c r="B27">
        <f>+data!AJ27</f>
        <v>0.25673508655242916</v>
      </c>
      <c r="C27">
        <f>+data!W27</f>
        <v>0</v>
      </c>
      <c r="D27">
        <f>+data!AQ27</f>
        <v>1</v>
      </c>
      <c r="E27">
        <f>+data!T27</f>
        <v>0</v>
      </c>
      <c r="F27">
        <f>+data!X27</f>
        <v>0</v>
      </c>
      <c r="G27">
        <f>+data!Y27</f>
        <v>1</v>
      </c>
      <c r="H27">
        <f>+data!U27</f>
        <v>0</v>
      </c>
      <c r="I27">
        <f>+data!V27</f>
        <v>0</v>
      </c>
      <c r="J27">
        <f>+data!AS27</f>
        <v>0</v>
      </c>
      <c r="K27">
        <f>+data!AT27</f>
        <v>0</v>
      </c>
      <c r="L27">
        <f>+data!AO27</f>
        <v>0</v>
      </c>
      <c r="M27">
        <f>+data!AN27</f>
        <v>0</v>
      </c>
      <c r="N27">
        <f>+data!AU27</f>
        <v>0</v>
      </c>
      <c r="O27">
        <f>+data!AV27</f>
        <v>0</v>
      </c>
      <c r="P27">
        <f>+data!AD27</f>
        <v>1</v>
      </c>
      <c r="Q27">
        <f>+data!AF27</f>
        <v>7.5933739999999998</v>
      </c>
      <c r="R27">
        <f>+data!AG27</f>
        <v>4.6634390000000003</v>
      </c>
      <c r="S27">
        <f>+data!AE27</f>
        <v>1</v>
      </c>
    </row>
    <row r="28" spans="1:19" x14ac:dyDescent="0.25">
      <c r="A28">
        <f>+data!AI28</f>
        <v>-0.57272258647647278</v>
      </c>
      <c r="B28">
        <f>+data!AJ28</f>
        <v>0.21165834717608772</v>
      </c>
      <c r="C28">
        <f>+data!W28</f>
        <v>0</v>
      </c>
      <c r="D28">
        <f>+data!AQ28</f>
        <v>1</v>
      </c>
      <c r="E28">
        <f>+data!T28</f>
        <v>0</v>
      </c>
      <c r="F28">
        <f>+data!X28</f>
        <v>0</v>
      </c>
      <c r="G28">
        <f>+data!Y28</f>
        <v>1</v>
      </c>
      <c r="H28">
        <f>+data!U28</f>
        <v>0</v>
      </c>
      <c r="I28">
        <f>+data!V28</f>
        <v>0</v>
      </c>
      <c r="J28">
        <f>+data!AS28</f>
        <v>0</v>
      </c>
      <c r="K28">
        <f>+data!AT28</f>
        <v>0</v>
      </c>
      <c r="L28">
        <f>+data!AO28</f>
        <v>0</v>
      </c>
      <c r="M28">
        <f>+data!AN28</f>
        <v>0</v>
      </c>
      <c r="N28">
        <f>+data!AU28</f>
        <v>0</v>
      </c>
      <c r="O28">
        <f>+data!AV28</f>
        <v>0</v>
      </c>
      <c r="P28">
        <f>+data!AD28</f>
        <v>1</v>
      </c>
      <c r="Q28">
        <f>+data!AF28</f>
        <v>7.5933739999999998</v>
      </c>
      <c r="R28">
        <f>+data!AG28</f>
        <v>4.6634390000000003</v>
      </c>
      <c r="S28">
        <f>+data!AE28</f>
        <v>1</v>
      </c>
    </row>
    <row r="29" spans="1:19" x14ac:dyDescent="0.25">
      <c r="A29">
        <f>+data!AI29</f>
        <v>-0.79651409105443838</v>
      </c>
      <c r="B29">
        <f>+data!AJ29</f>
        <v>0.15611220382612029</v>
      </c>
      <c r="C29">
        <f>+data!W29</f>
        <v>0</v>
      </c>
      <c r="D29">
        <f>+data!AQ29</f>
        <v>1</v>
      </c>
      <c r="E29">
        <f>+data!T29</f>
        <v>0</v>
      </c>
      <c r="F29">
        <f>+data!X29</f>
        <v>0</v>
      </c>
      <c r="G29">
        <f>+data!Y29</f>
        <v>1</v>
      </c>
      <c r="H29">
        <f>+data!U29</f>
        <v>0</v>
      </c>
      <c r="I29">
        <f>+data!V29</f>
        <v>0</v>
      </c>
      <c r="J29">
        <f>+data!AS29</f>
        <v>0</v>
      </c>
      <c r="K29">
        <f>+data!AT29</f>
        <v>0</v>
      </c>
      <c r="L29">
        <f>+data!AO29</f>
        <v>0</v>
      </c>
      <c r="M29">
        <f>+data!AN29</f>
        <v>0</v>
      </c>
      <c r="N29">
        <f>+data!AU29</f>
        <v>0</v>
      </c>
      <c r="O29">
        <f>+data!AV29</f>
        <v>0</v>
      </c>
      <c r="P29">
        <f>+data!AD29</f>
        <v>1</v>
      </c>
      <c r="Q29">
        <f>+data!AF29</f>
        <v>7.5933739999999998</v>
      </c>
      <c r="R29">
        <f>+data!AG29</f>
        <v>4.6634390000000003</v>
      </c>
      <c r="S29">
        <f>+data!AE29</f>
        <v>1</v>
      </c>
    </row>
    <row r="30" spans="1:19" x14ac:dyDescent="0.25">
      <c r="A30">
        <f>+data!AI30</f>
        <v>-0.53052020209211781</v>
      </c>
      <c r="B30">
        <f>+data!AJ30</f>
        <v>0.21886804474723098</v>
      </c>
      <c r="C30">
        <f>+data!W30</f>
        <v>0</v>
      </c>
      <c r="D30">
        <f>+data!AQ30</f>
        <v>1</v>
      </c>
      <c r="E30">
        <f>+data!T30</f>
        <v>0</v>
      </c>
      <c r="F30">
        <f>+data!X30</f>
        <v>0</v>
      </c>
      <c r="G30">
        <f>+data!Y30</f>
        <v>1</v>
      </c>
      <c r="H30">
        <f>+data!U30</f>
        <v>0</v>
      </c>
      <c r="I30">
        <f>+data!V30</f>
        <v>0</v>
      </c>
      <c r="J30">
        <f>+data!AS30</f>
        <v>0</v>
      </c>
      <c r="K30">
        <f>+data!AT30</f>
        <v>0</v>
      </c>
      <c r="L30">
        <f>+data!AO30</f>
        <v>0</v>
      </c>
      <c r="M30">
        <f>+data!AN30</f>
        <v>0</v>
      </c>
      <c r="N30">
        <f>+data!AU30</f>
        <v>0</v>
      </c>
      <c r="O30">
        <f>+data!AV30</f>
        <v>0</v>
      </c>
      <c r="P30">
        <f>+data!AD30</f>
        <v>1</v>
      </c>
      <c r="Q30">
        <f>+data!AF30</f>
        <v>7.5933739999999998</v>
      </c>
      <c r="R30">
        <f>+data!AG30</f>
        <v>4.6634390000000003</v>
      </c>
      <c r="S30">
        <f>+data!AE30</f>
        <v>1</v>
      </c>
    </row>
    <row r="31" spans="1:19" x14ac:dyDescent="0.25">
      <c r="A31">
        <f>+data!AI31</f>
        <v>-0.198412869595195</v>
      </c>
      <c r="B31">
        <f>+data!AJ31</f>
        <v>0.2530655163100391</v>
      </c>
      <c r="C31">
        <f>+data!W31</f>
        <v>0</v>
      </c>
      <c r="D31">
        <f>+data!AQ31</f>
        <v>1</v>
      </c>
      <c r="E31">
        <f>+data!T31</f>
        <v>0</v>
      </c>
      <c r="F31">
        <f>+data!X31</f>
        <v>0</v>
      </c>
      <c r="G31">
        <f>+data!Y31</f>
        <v>1</v>
      </c>
      <c r="H31">
        <f>+data!U31</f>
        <v>0</v>
      </c>
      <c r="I31">
        <f>+data!V31</f>
        <v>0</v>
      </c>
      <c r="J31">
        <f>+data!AS31</f>
        <v>0</v>
      </c>
      <c r="K31">
        <f>+data!AT31</f>
        <v>0</v>
      </c>
      <c r="L31">
        <f>+data!AO31</f>
        <v>0</v>
      </c>
      <c r="M31">
        <f>+data!AN31</f>
        <v>0</v>
      </c>
      <c r="N31">
        <f>+data!AU31</f>
        <v>0</v>
      </c>
      <c r="O31">
        <f>+data!AV31</f>
        <v>0</v>
      </c>
      <c r="P31">
        <f>+data!AD31</f>
        <v>1</v>
      </c>
      <c r="Q31">
        <f>+data!AF31</f>
        <v>7.5933739999999998</v>
      </c>
      <c r="R31">
        <f>+data!AG31</f>
        <v>4.6634390000000003</v>
      </c>
      <c r="S31">
        <f>+data!AE31</f>
        <v>1</v>
      </c>
    </row>
    <row r="32" spans="1:19" x14ac:dyDescent="0.25">
      <c r="A32">
        <f>+data!AI32</f>
        <v>-0.56403211592814984</v>
      </c>
      <c r="B32">
        <f>+data!AJ32</f>
        <v>0.26112597959636535</v>
      </c>
      <c r="C32">
        <f>+data!W32</f>
        <v>0</v>
      </c>
      <c r="D32">
        <f>+data!AQ32</f>
        <v>1</v>
      </c>
      <c r="E32">
        <f>+data!T32</f>
        <v>0</v>
      </c>
      <c r="F32">
        <f>+data!X32</f>
        <v>0</v>
      </c>
      <c r="G32">
        <f>+data!Y32</f>
        <v>0</v>
      </c>
      <c r="H32">
        <f>+data!U32</f>
        <v>1</v>
      </c>
      <c r="I32">
        <f>+data!V32</f>
        <v>1</v>
      </c>
      <c r="J32">
        <f>+data!AS32</f>
        <v>0</v>
      </c>
      <c r="K32">
        <f>+data!AT32</f>
        <v>0</v>
      </c>
      <c r="L32">
        <f>+data!AO32</f>
        <v>0</v>
      </c>
      <c r="M32">
        <f>+data!AN32</f>
        <v>1</v>
      </c>
      <c r="N32">
        <f>+data!AU32</f>
        <v>0</v>
      </c>
      <c r="O32">
        <f>+data!AV32</f>
        <v>0</v>
      </c>
      <c r="P32">
        <f>+data!AD32</f>
        <v>1</v>
      </c>
      <c r="Q32">
        <f>+data!AF32</f>
        <v>7.5928699999999996</v>
      </c>
      <c r="R32">
        <f>+data!AG32</f>
        <v>2.5649489999999999</v>
      </c>
      <c r="S32">
        <f>+data!AE32</f>
        <v>1</v>
      </c>
    </row>
    <row r="33" spans="1:19" x14ac:dyDescent="0.25">
      <c r="A33">
        <f>+data!AI33</f>
        <v>-0.45816713141158505</v>
      </c>
      <c r="B33">
        <f>+data!AJ33</f>
        <v>0.28108412970035845</v>
      </c>
      <c r="C33">
        <f>+data!W33</f>
        <v>0</v>
      </c>
      <c r="D33">
        <f>+data!AQ33</f>
        <v>1</v>
      </c>
      <c r="E33">
        <f>+data!T33</f>
        <v>0</v>
      </c>
      <c r="F33">
        <f>+data!X33</f>
        <v>1</v>
      </c>
      <c r="G33">
        <f>+data!Y33</f>
        <v>0</v>
      </c>
      <c r="H33">
        <f>+data!U33</f>
        <v>1</v>
      </c>
      <c r="I33">
        <f>+data!V33</f>
        <v>1</v>
      </c>
      <c r="J33">
        <f>+data!AS33</f>
        <v>0</v>
      </c>
      <c r="K33">
        <f>+data!AT33</f>
        <v>0</v>
      </c>
      <c r="L33">
        <f>+data!AO33</f>
        <v>0</v>
      </c>
      <c r="M33">
        <f>+data!AN33</f>
        <v>1</v>
      </c>
      <c r="N33">
        <f>+data!AU33</f>
        <v>0</v>
      </c>
      <c r="O33">
        <f>+data!AV33</f>
        <v>0</v>
      </c>
      <c r="P33">
        <f>+data!AD33</f>
        <v>1</v>
      </c>
      <c r="Q33">
        <f>+data!AF33</f>
        <v>7.5928699999999996</v>
      </c>
      <c r="R33">
        <f>+data!AG33</f>
        <v>2.5649489999999999</v>
      </c>
      <c r="S33">
        <f>+data!AE33</f>
        <v>1</v>
      </c>
    </row>
    <row r="34" spans="1:19" x14ac:dyDescent="0.25">
      <c r="A34">
        <f>+data!AI34</f>
        <v>-0.35219896811101287</v>
      </c>
      <c r="B34">
        <f>+data!AJ34</f>
        <v>0.29596551942101934</v>
      </c>
      <c r="C34">
        <f>+data!W34</f>
        <v>0</v>
      </c>
      <c r="D34">
        <f>+data!AQ34</f>
        <v>1</v>
      </c>
      <c r="E34">
        <f>+data!T34</f>
        <v>0</v>
      </c>
      <c r="F34">
        <f>+data!X34</f>
        <v>0</v>
      </c>
      <c r="G34">
        <f>+data!Y34</f>
        <v>0</v>
      </c>
      <c r="H34">
        <f>+data!U34</f>
        <v>1</v>
      </c>
      <c r="I34">
        <f>+data!V34</f>
        <v>1</v>
      </c>
      <c r="J34">
        <f>+data!AS34</f>
        <v>0</v>
      </c>
      <c r="K34">
        <f>+data!AT34</f>
        <v>0</v>
      </c>
      <c r="L34">
        <f>+data!AO34</f>
        <v>0</v>
      </c>
      <c r="M34">
        <f>+data!AN34</f>
        <v>1</v>
      </c>
      <c r="N34">
        <f>+data!AU34</f>
        <v>0</v>
      </c>
      <c r="O34">
        <f>+data!AV34</f>
        <v>0</v>
      </c>
      <c r="P34">
        <f>+data!AD34</f>
        <v>1</v>
      </c>
      <c r="Q34">
        <f>+data!AF34</f>
        <v>7.5928699999999996</v>
      </c>
      <c r="R34">
        <f>+data!AG34</f>
        <v>2.5649489999999999</v>
      </c>
      <c r="S34">
        <f>+data!AE34</f>
        <v>1</v>
      </c>
    </row>
    <row r="35" spans="1:19" x14ac:dyDescent="0.25">
      <c r="A35">
        <f>+data!AI35</f>
        <v>-0.45594204338033384</v>
      </c>
      <c r="B35">
        <f>+data!AJ35</f>
        <v>0.28144570579032929</v>
      </c>
      <c r="C35">
        <f>+data!W35</f>
        <v>0</v>
      </c>
      <c r="D35">
        <f>+data!AQ35</f>
        <v>1</v>
      </c>
      <c r="E35">
        <f>+data!T35</f>
        <v>0</v>
      </c>
      <c r="F35">
        <f>+data!X35</f>
        <v>0</v>
      </c>
      <c r="G35">
        <f>+data!Y35</f>
        <v>1</v>
      </c>
      <c r="H35">
        <f>+data!U35</f>
        <v>1</v>
      </c>
      <c r="I35">
        <f>+data!V35</f>
        <v>1</v>
      </c>
      <c r="J35">
        <f>+data!AS35</f>
        <v>0</v>
      </c>
      <c r="K35">
        <f>+data!AT35</f>
        <v>0</v>
      </c>
      <c r="L35">
        <f>+data!AO35</f>
        <v>0</v>
      </c>
      <c r="M35">
        <f>+data!AN35</f>
        <v>1</v>
      </c>
      <c r="N35">
        <f>+data!AU35</f>
        <v>0</v>
      </c>
      <c r="O35">
        <f>+data!AV35</f>
        <v>0</v>
      </c>
      <c r="P35">
        <f>+data!AD35</f>
        <v>1</v>
      </c>
      <c r="Q35">
        <f>+data!AF35</f>
        <v>7.5928699999999996</v>
      </c>
      <c r="R35">
        <f>+data!AG35</f>
        <v>2.5649489999999999</v>
      </c>
      <c r="S35">
        <f>+data!AE35</f>
        <v>1</v>
      </c>
    </row>
    <row r="36" spans="1:19" x14ac:dyDescent="0.25">
      <c r="A36">
        <f>+data!AI36</f>
        <v>-4.8289428672331852E-2</v>
      </c>
      <c r="B36">
        <f>+data!AJ36</f>
        <v>2.3555818864552096E-2</v>
      </c>
      <c r="C36">
        <f>+data!W36</f>
        <v>0</v>
      </c>
      <c r="D36">
        <f>+data!AQ36</f>
        <v>0</v>
      </c>
      <c r="E36">
        <f>+data!T36</f>
        <v>1</v>
      </c>
      <c r="F36">
        <f>+data!X36</f>
        <v>0</v>
      </c>
      <c r="G36">
        <f>+data!Y36</f>
        <v>1</v>
      </c>
      <c r="H36">
        <f>+data!U36</f>
        <v>1</v>
      </c>
      <c r="I36">
        <f>+data!V36</f>
        <v>1</v>
      </c>
      <c r="J36">
        <f>+data!AS36</f>
        <v>0</v>
      </c>
      <c r="K36">
        <f>+data!AT36</f>
        <v>0</v>
      </c>
      <c r="L36">
        <f>+data!AO36</f>
        <v>0</v>
      </c>
      <c r="M36">
        <f>+data!AN36</f>
        <v>1</v>
      </c>
      <c r="N36">
        <f>+data!AU36</f>
        <v>1</v>
      </c>
      <c r="O36">
        <f>+data!AV36</f>
        <v>0</v>
      </c>
      <c r="P36">
        <f>+data!AD36</f>
        <v>1</v>
      </c>
      <c r="Q36">
        <f>+data!AF36</f>
        <v>7.6004019999999999</v>
      </c>
      <c r="R36">
        <f>+data!AG36</f>
        <v>4.0943449999999997</v>
      </c>
      <c r="S36">
        <f>+data!AE36</f>
        <v>1</v>
      </c>
    </row>
    <row r="37" spans="1:19" x14ac:dyDescent="0.25">
      <c r="A37">
        <f>+data!AI37</f>
        <v>-7.2485911721333174E-2</v>
      </c>
      <c r="B37">
        <f>+data!AJ37</f>
        <v>2.3534386922510749E-2</v>
      </c>
      <c r="C37">
        <f>+data!W37</f>
        <v>0</v>
      </c>
      <c r="D37">
        <f>+data!AQ37</f>
        <v>0</v>
      </c>
      <c r="E37">
        <f>+data!T37</f>
        <v>1</v>
      </c>
      <c r="F37">
        <f>+data!X37</f>
        <v>0</v>
      </c>
      <c r="G37">
        <f>+data!Y37</f>
        <v>1</v>
      </c>
      <c r="H37">
        <f>+data!U37</f>
        <v>1</v>
      </c>
      <c r="I37">
        <f>+data!V37</f>
        <v>1</v>
      </c>
      <c r="J37">
        <f>+data!AS37</f>
        <v>0</v>
      </c>
      <c r="K37">
        <f>+data!AT37</f>
        <v>0</v>
      </c>
      <c r="L37">
        <f>+data!AO37</f>
        <v>0</v>
      </c>
      <c r="M37">
        <f>+data!AN37</f>
        <v>1</v>
      </c>
      <c r="N37">
        <f>+data!AU37</f>
        <v>1</v>
      </c>
      <c r="O37">
        <f>+data!AV37</f>
        <v>0</v>
      </c>
      <c r="P37">
        <f>+data!AD37</f>
        <v>1</v>
      </c>
      <c r="Q37">
        <f>+data!AF37</f>
        <v>7.6004019999999999</v>
      </c>
      <c r="R37">
        <f>+data!AG37</f>
        <v>4.0943449999999997</v>
      </c>
      <c r="S37">
        <f>+data!AE37</f>
        <v>1</v>
      </c>
    </row>
    <row r="38" spans="1:19" x14ac:dyDescent="0.25">
      <c r="A38">
        <f>+data!AI38</f>
        <v>-8.2284636264655098E-2</v>
      </c>
      <c r="B38">
        <f>+data!AJ38</f>
        <v>2.3509896075615717E-2</v>
      </c>
      <c r="C38">
        <f>+data!W38</f>
        <v>0</v>
      </c>
      <c r="D38">
        <f>+data!AQ38</f>
        <v>0</v>
      </c>
      <c r="E38">
        <f>+data!T38</f>
        <v>1</v>
      </c>
      <c r="F38">
        <f>+data!X38</f>
        <v>0</v>
      </c>
      <c r="G38">
        <f>+data!Y38</f>
        <v>1</v>
      </c>
      <c r="H38">
        <f>+data!U38</f>
        <v>1</v>
      </c>
      <c r="I38">
        <f>+data!V38</f>
        <v>1</v>
      </c>
      <c r="J38">
        <f>+data!AS38</f>
        <v>0</v>
      </c>
      <c r="K38">
        <f>+data!AT38</f>
        <v>0</v>
      </c>
      <c r="L38">
        <f>+data!AO38</f>
        <v>0</v>
      </c>
      <c r="M38">
        <f>+data!AN38</f>
        <v>1</v>
      </c>
      <c r="N38">
        <f>+data!AU38</f>
        <v>1</v>
      </c>
      <c r="O38">
        <f>+data!AV38</f>
        <v>0</v>
      </c>
      <c r="P38">
        <f>+data!AD38</f>
        <v>1</v>
      </c>
      <c r="Q38">
        <f>+data!AF38</f>
        <v>7.6004019999999999</v>
      </c>
      <c r="R38">
        <f>+data!AG38</f>
        <v>4.0943449999999997</v>
      </c>
      <c r="S38">
        <f>+data!AE38</f>
        <v>1</v>
      </c>
    </row>
    <row r="39" spans="1:19" x14ac:dyDescent="0.25">
      <c r="A39">
        <f>+data!AI39</f>
        <v>-0.10395925701390725</v>
      </c>
      <c r="B39">
        <f>+data!AJ39</f>
        <v>3.2285483544691705E-2</v>
      </c>
      <c r="C39">
        <f>+data!W39</f>
        <v>0</v>
      </c>
      <c r="D39">
        <f>+data!AQ39</f>
        <v>0</v>
      </c>
      <c r="E39">
        <f>+data!T39</f>
        <v>1</v>
      </c>
      <c r="F39">
        <f>+data!X39</f>
        <v>0</v>
      </c>
      <c r="G39">
        <f>+data!Y39</f>
        <v>1</v>
      </c>
      <c r="H39">
        <f>+data!U39</f>
        <v>1</v>
      </c>
      <c r="I39">
        <f>+data!V39</f>
        <v>1</v>
      </c>
      <c r="J39">
        <f>+data!AS39</f>
        <v>0</v>
      </c>
      <c r="K39">
        <f>+data!AT39</f>
        <v>0</v>
      </c>
      <c r="L39">
        <f>+data!AO39</f>
        <v>0</v>
      </c>
      <c r="M39">
        <f>+data!AN39</f>
        <v>1</v>
      </c>
      <c r="N39">
        <f>+data!AU39</f>
        <v>1</v>
      </c>
      <c r="O39">
        <f>+data!AV39</f>
        <v>0</v>
      </c>
      <c r="P39">
        <f>+data!AD39</f>
        <v>1</v>
      </c>
      <c r="Q39">
        <f>+data!AF39</f>
        <v>7.6004019999999999</v>
      </c>
      <c r="R39">
        <f>+data!AG39</f>
        <v>4.0943449999999997</v>
      </c>
      <c r="S39">
        <f>+data!AE39</f>
        <v>1</v>
      </c>
    </row>
    <row r="40" spans="1:19" x14ac:dyDescent="0.25">
      <c r="A40">
        <f>+data!AI40</f>
        <v>-0.10395925701390721</v>
      </c>
      <c r="B40">
        <f>+data!AJ40</f>
        <v>3.2285483544691705E-2</v>
      </c>
      <c r="C40">
        <f>+data!W40</f>
        <v>0</v>
      </c>
      <c r="D40">
        <f>+data!AQ40</f>
        <v>0</v>
      </c>
      <c r="E40">
        <f>+data!T40</f>
        <v>1</v>
      </c>
      <c r="F40">
        <f>+data!X40</f>
        <v>0</v>
      </c>
      <c r="G40">
        <f>+data!Y40</f>
        <v>1</v>
      </c>
      <c r="H40">
        <f>+data!U40</f>
        <v>1</v>
      </c>
      <c r="I40">
        <f>+data!V40</f>
        <v>1</v>
      </c>
      <c r="J40">
        <f>+data!AS40</f>
        <v>0</v>
      </c>
      <c r="K40">
        <f>+data!AT40</f>
        <v>0</v>
      </c>
      <c r="L40">
        <f>+data!AO40</f>
        <v>0</v>
      </c>
      <c r="M40">
        <f>+data!AN40</f>
        <v>1</v>
      </c>
      <c r="N40">
        <f>+data!AU40</f>
        <v>1</v>
      </c>
      <c r="O40">
        <f>+data!AV40</f>
        <v>0</v>
      </c>
      <c r="P40">
        <f>+data!AD40</f>
        <v>1</v>
      </c>
      <c r="Q40">
        <f>+data!AF40</f>
        <v>7.6004019999999999</v>
      </c>
      <c r="R40">
        <f>+data!AG40</f>
        <v>4.0943449999999997</v>
      </c>
      <c r="S40">
        <f>+data!AE40</f>
        <v>1</v>
      </c>
    </row>
    <row r="41" spans="1:19" x14ac:dyDescent="0.25">
      <c r="A41">
        <f>+data!AI41</f>
        <v>-0.32799345803236873</v>
      </c>
      <c r="B41">
        <f>+data!AJ41</f>
        <v>5.6658140927936917E-2</v>
      </c>
      <c r="C41">
        <f>+data!W41</f>
        <v>1</v>
      </c>
      <c r="D41">
        <f>+data!AQ41</f>
        <v>0</v>
      </c>
      <c r="E41">
        <f>+data!T41</f>
        <v>1</v>
      </c>
      <c r="F41">
        <f>+data!X41</f>
        <v>1</v>
      </c>
      <c r="G41">
        <f>+data!Y41</f>
        <v>0</v>
      </c>
      <c r="H41">
        <f>+data!U41</f>
        <v>1</v>
      </c>
      <c r="I41">
        <f>+data!V41</f>
        <v>1</v>
      </c>
      <c r="J41">
        <f>+data!AS41</f>
        <v>0</v>
      </c>
      <c r="K41">
        <f>+data!AT41</f>
        <v>0</v>
      </c>
      <c r="L41">
        <f>+data!AO41</f>
        <v>0</v>
      </c>
      <c r="M41">
        <f>+data!AN41</f>
        <v>1</v>
      </c>
      <c r="N41">
        <f>+data!AU41</f>
        <v>1</v>
      </c>
      <c r="O41">
        <f>+data!AV41</f>
        <v>0</v>
      </c>
      <c r="P41">
        <f>+data!AD41</f>
        <v>1</v>
      </c>
      <c r="Q41">
        <f>+data!AF41</f>
        <v>7.6019019999999999</v>
      </c>
      <c r="R41">
        <f>+data!AG41</f>
        <v>0</v>
      </c>
      <c r="S41">
        <f>+data!AE41</f>
        <v>1</v>
      </c>
    </row>
    <row r="42" spans="1:19" x14ac:dyDescent="0.25">
      <c r="A42">
        <f>+data!AI42</f>
        <v>-8.1513312799814414E-2</v>
      </c>
      <c r="B42">
        <f>+data!AJ42</f>
        <v>5.9776429386530577E-2</v>
      </c>
      <c r="C42">
        <f>+data!W42</f>
        <v>1</v>
      </c>
      <c r="D42">
        <f>+data!AQ42</f>
        <v>0</v>
      </c>
      <c r="E42">
        <f>+data!T42</f>
        <v>1</v>
      </c>
      <c r="F42">
        <f>+data!X42</f>
        <v>1</v>
      </c>
      <c r="G42">
        <f>+data!Y42</f>
        <v>0</v>
      </c>
      <c r="H42">
        <f>+data!U42</f>
        <v>1</v>
      </c>
      <c r="I42">
        <f>+data!V42</f>
        <v>1</v>
      </c>
      <c r="J42">
        <f>+data!AS42</f>
        <v>0</v>
      </c>
      <c r="K42">
        <f>+data!AT42</f>
        <v>0</v>
      </c>
      <c r="L42">
        <f>+data!AO42</f>
        <v>0</v>
      </c>
      <c r="M42">
        <f>+data!AN42</f>
        <v>1</v>
      </c>
      <c r="N42">
        <f>+data!AU42</f>
        <v>0</v>
      </c>
      <c r="O42">
        <f>+data!AV42</f>
        <v>1</v>
      </c>
      <c r="P42">
        <f>+data!AD42</f>
        <v>1</v>
      </c>
      <c r="Q42">
        <f>+data!AF42</f>
        <v>7.6019019999999999</v>
      </c>
      <c r="R42">
        <f>+data!AG42</f>
        <v>0</v>
      </c>
      <c r="S42">
        <f>+data!AE42</f>
        <v>1</v>
      </c>
    </row>
    <row r="43" spans="1:19" x14ac:dyDescent="0.25">
      <c r="A43">
        <f>+data!AI43</f>
        <v>-0.18282032534125445</v>
      </c>
      <c r="B43">
        <f>+data!AJ43</f>
        <v>2.9364009852434033E-2</v>
      </c>
      <c r="C43">
        <f>+data!W43</f>
        <v>1</v>
      </c>
      <c r="D43">
        <f>+data!AQ43</f>
        <v>1</v>
      </c>
      <c r="E43">
        <f>+data!T43</f>
        <v>0</v>
      </c>
      <c r="F43">
        <f>+data!X43</f>
        <v>0</v>
      </c>
      <c r="G43">
        <f>+data!Y43</f>
        <v>1</v>
      </c>
      <c r="H43">
        <f>+data!U43</f>
        <v>0</v>
      </c>
      <c r="I43">
        <f>+data!V43</f>
        <v>1</v>
      </c>
      <c r="J43">
        <f>+data!AS43</f>
        <v>0</v>
      </c>
      <c r="K43">
        <f>+data!AT43</f>
        <v>0</v>
      </c>
      <c r="L43">
        <f>+data!AO43</f>
        <v>1</v>
      </c>
      <c r="M43">
        <f>+data!AN43</f>
        <v>0</v>
      </c>
      <c r="N43">
        <f>+data!AU43</f>
        <v>0</v>
      </c>
      <c r="O43">
        <f>+data!AV43</f>
        <v>0</v>
      </c>
      <c r="P43">
        <f>+data!AD43</f>
        <v>1</v>
      </c>
      <c r="Q43">
        <f>+data!AF43</f>
        <v>7.5999020000000002</v>
      </c>
      <c r="R43">
        <f>+data!AG43</f>
        <v>3.2580960000000001</v>
      </c>
      <c r="S43">
        <f>+data!AE43</f>
        <v>1</v>
      </c>
    </row>
    <row r="44" spans="1:19" x14ac:dyDescent="0.25">
      <c r="A44">
        <f>+data!AI44</f>
        <v>0.1512420961397187</v>
      </c>
      <c r="B44">
        <f>+data!AJ44</f>
        <v>2.9510652905310988E-2</v>
      </c>
      <c r="C44">
        <f>+data!W44</f>
        <v>1</v>
      </c>
      <c r="D44">
        <f>+data!AQ44</f>
        <v>1</v>
      </c>
      <c r="E44">
        <f>+data!T44</f>
        <v>0</v>
      </c>
      <c r="F44">
        <f>+data!X44</f>
        <v>0</v>
      </c>
      <c r="G44">
        <f>+data!Y44</f>
        <v>1</v>
      </c>
      <c r="H44">
        <f>+data!U44</f>
        <v>0</v>
      </c>
      <c r="I44">
        <f>+data!V44</f>
        <v>1</v>
      </c>
      <c r="J44">
        <f>+data!AS44</f>
        <v>0</v>
      </c>
      <c r="K44">
        <f>+data!AT44</f>
        <v>0</v>
      </c>
      <c r="L44">
        <f>+data!AO44</f>
        <v>1</v>
      </c>
      <c r="M44">
        <f>+data!AN44</f>
        <v>0</v>
      </c>
      <c r="N44">
        <f>+data!AU44</f>
        <v>1</v>
      </c>
      <c r="O44">
        <f>+data!AV44</f>
        <v>0</v>
      </c>
      <c r="P44">
        <f>+data!AD44</f>
        <v>1</v>
      </c>
      <c r="Q44">
        <f>+data!AF44</f>
        <v>7.5999020000000002</v>
      </c>
      <c r="R44">
        <f>+data!AG44</f>
        <v>3.2580960000000001</v>
      </c>
      <c r="S44">
        <f>+data!AE44</f>
        <v>1</v>
      </c>
    </row>
    <row r="45" spans="1:19" x14ac:dyDescent="0.25">
      <c r="A45">
        <f>+data!AI45</f>
        <v>-2.7049948752179264E-2</v>
      </c>
      <c r="B45">
        <f>+data!AJ45</f>
        <v>2.9856455576356779E-2</v>
      </c>
      <c r="C45">
        <f>+data!W45</f>
        <v>1</v>
      </c>
      <c r="D45">
        <f>+data!AQ45</f>
        <v>1</v>
      </c>
      <c r="E45">
        <f>+data!T45</f>
        <v>0</v>
      </c>
      <c r="F45">
        <f>+data!X45</f>
        <v>0</v>
      </c>
      <c r="G45">
        <f>+data!Y45</f>
        <v>1</v>
      </c>
      <c r="H45">
        <f>+data!U45</f>
        <v>0</v>
      </c>
      <c r="I45">
        <f>+data!V45</f>
        <v>1</v>
      </c>
      <c r="J45">
        <f>+data!AS45</f>
        <v>0</v>
      </c>
      <c r="K45">
        <f>+data!AT45</f>
        <v>0</v>
      </c>
      <c r="L45">
        <f>+data!AO45</f>
        <v>1</v>
      </c>
      <c r="M45">
        <f>+data!AN45</f>
        <v>0</v>
      </c>
      <c r="N45">
        <f>+data!AU45</f>
        <v>0</v>
      </c>
      <c r="O45">
        <f>+data!AV45</f>
        <v>1</v>
      </c>
      <c r="P45">
        <f>+data!AD45</f>
        <v>1</v>
      </c>
      <c r="Q45">
        <f>+data!AF45</f>
        <v>7.5999020000000002</v>
      </c>
      <c r="R45">
        <f>+data!AG45</f>
        <v>3.2580960000000001</v>
      </c>
      <c r="S45">
        <f>+data!AE45</f>
        <v>1</v>
      </c>
    </row>
    <row r="46" spans="1:19" x14ac:dyDescent="0.25">
      <c r="A46">
        <f>+data!AI46</f>
        <v>-0.16872909630678778</v>
      </c>
      <c r="B46">
        <f>+data!AJ46</f>
        <v>5.3933050426633947E-2</v>
      </c>
      <c r="C46">
        <f>+data!W46</f>
        <v>1</v>
      </c>
      <c r="D46">
        <f>+data!AQ46</f>
        <v>1</v>
      </c>
      <c r="E46">
        <f>+data!T46</f>
        <v>0</v>
      </c>
      <c r="F46">
        <f>+data!X46</f>
        <v>1</v>
      </c>
      <c r="G46">
        <f>+data!Y46</f>
        <v>0</v>
      </c>
      <c r="H46">
        <f>+data!U46</f>
        <v>1</v>
      </c>
      <c r="I46">
        <f>+data!V46</f>
        <v>1</v>
      </c>
      <c r="J46">
        <f>+data!AS46</f>
        <v>1</v>
      </c>
      <c r="K46">
        <f>+data!AT46</f>
        <v>0</v>
      </c>
      <c r="L46">
        <f>+data!AO46</f>
        <v>0</v>
      </c>
      <c r="M46">
        <f>+data!AN46</f>
        <v>1</v>
      </c>
      <c r="N46">
        <f>+data!AU46</f>
        <v>0</v>
      </c>
      <c r="O46">
        <f>+data!AV46</f>
        <v>1</v>
      </c>
      <c r="P46">
        <f>+data!AD46</f>
        <v>0</v>
      </c>
      <c r="Q46">
        <f>+data!AF46</f>
        <v>7.6073810000000002</v>
      </c>
      <c r="R46">
        <f>+data!AG46</f>
        <v>1.0986119999999999</v>
      </c>
      <c r="S46">
        <f>+data!AE46</f>
        <v>1</v>
      </c>
    </row>
    <row r="47" spans="1:19" x14ac:dyDescent="0.25">
      <c r="A47">
        <f>+data!AI47</f>
        <v>-0.15636749913195835</v>
      </c>
      <c r="B47">
        <f>+data!AJ47</f>
        <v>5.3883394971147816E-2</v>
      </c>
      <c r="C47">
        <f>+data!W47</f>
        <v>1</v>
      </c>
      <c r="D47">
        <f>+data!AQ47</f>
        <v>0</v>
      </c>
      <c r="E47">
        <f>+data!T47</f>
        <v>0</v>
      </c>
      <c r="F47">
        <f>+data!X47</f>
        <v>1</v>
      </c>
      <c r="G47">
        <f>+data!Y47</f>
        <v>0</v>
      </c>
      <c r="H47">
        <f>+data!U47</f>
        <v>1</v>
      </c>
      <c r="I47">
        <f>+data!V47</f>
        <v>1</v>
      </c>
      <c r="J47">
        <f>+data!AS47</f>
        <v>1</v>
      </c>
      <c r="K47">
        <f>+data!AT47</f>
        <v>0</v>
      </c>
      <c r="L47">
        <f>+data!AO47</f>
        <v>0</v>
      </c>
      <c r="M47">
        <f>+data!AN47</f>
        <v>1</v>
      </c>
      <c r="N47">
        <f>+data!AU47</f>
        <v>0</v>
      </c>
      <c r="O47">
        <f>+data!AV47</f>
        <v>1</v>
      </c>
      <c r="P47">
        <f>+data!AD47</f>
        <v>0</v>
      </c>
      <c r="Q47">
        <f>+data!AF47</f>
        <v>7.6073810000000002</v>
      </c>
      <c r="R47">
        <f>+data!AG47</f>
        <v>1.0986119999999999</v>
      </c>
      <c r="S47">
        <f>+data!AE47</f>
        <v>1</v>
      </c>
    </row>
    <row r="48" spans="1:19" x14ac:dyDescent="0.25">
      <c r="A48">
        <f>+data!AI48</f>
        <v>-0.13126251233728603</v>
      </c>
      <c r="B48">
        <f>+data!AJ48</f>
        <v>5.4244129704051958E-2</v>
      </c>
      <c r="C48">
        <f>+data!W48</f>
        <v>1</v>
      </c>
      <c r="D48">
        <f>+data!AQ48</f>
        <v>1</v>
      </c>
      <c r="E48">
        <f>+data!T48</f>
        <v>0</v>
      </c>
      <c r="F48">
        <f>+data!X48</f>
        <v>1</v>
      </c>
      <c r="G48">
        <f>+data!Y48</f>
        <v>0</v>
      </c>
      <c r="H48">
        <f>+data!U48</f>
        <v>1</v>
      </c>
      <c r="I48">
        <f>+data!V48</f>
        <v>1</v>
      </c>
      <c r="J48">
        <f>+data!AS48</f>
        <v>0</v>
      </c>
      <c r="K48">
        <f>+data!AT48</f>
        <v>1</v>
      </c>
      <c r="L48">
        <f>+data!AO48</f>
        <v>0</v>
      </c>
      <c r="M48">
        <f>+data!AN48</f>
        <v>1</v>
      </c>
      <c r="N48">
        <f>+data!AU48</f>
        <v>0</v>
      </c>
      <c r="O48">
        <f>+data!AV48</f>
        <v>1</v>
      </c>
      <c r="P48">
        <f>+data!AD48</f>
        <v>0</v>
      </c>
      <c r="Q48">
        <f>+data!AF48</f>
        <v>7.6073810000000002</v>
      </c>
      <c r="R48">
        <f>+data!AG48</f>
        <v>1.0986119999999999</v>
      </c>
      <c r="S48">
        <f>+data!AE48</f>
        <v>1</v>
      </c>
    </row>
    <row r="49" spans="1:19" x14ac:dyDescent="0.25">
      <c r="A49">
        <f>+data!AI49</f>
        <v>-0.16381867115382673</v>
      </c>
      <c r="B49">
        <f>+data!AJ49</f>
        <v>5.3817467153127518E-2</v>
      </c>
      <c r="C49">
        <f>+data!W49</f>
        <v>1</v>
      </c>
      <c r="D49">
        <f>+data!AQ49</f>
        <v>0</v>
      </c>
      <c r="E49">
        <f>+data!T49</f>
        <v>0</v>
      </c>
      <c r="F49">
        <f>+data!X49</f>
        <v>1</v>
      </c>
      <c r="G49">
        <f>+data!Y49</f>
        <v>0</v>
      </c>
      <c r="H49">
        <f>+data!U49</f>
        <v>1</v>
      </c>
      <c r="I49">
        <f>+data!V49</f>
        <v>1</v>
      </c>
      <c r="J49">
        <f>+data!AS49</f>
        <v>0</v>
      </c>
      <c r="K49">
        <f>+data!AT49</f>
        <v>1</v>
      </c>
      <c r="L49">
        <f>+data!AO49</f>
        <v>0</v>
      </c>
      <c r="M49">
        <f>+data!AN49</f>
        <v>1</v>
      </c>
      <c r="N49">
        <f>+data!AU49</f>
        <v>0</v>
      </c>
      <c r="O49">
        <f>+data!AV49</f>
        <v>1</v>
      </c>
      <c r="P49">
        <f>+data!AD49</f>
        <v>0</v>
      </c>
      <c r="Q49">
        <f>+data!AF49</f>
        <v>7.6073810000000002</v>
      </c>
      <c r="R49">
        <f>+data!AG49</f>
        <v>1.0986119999999999</v>
      </c>
      <c r="S49">
        <f>+data!AE49</f>
        <v>1</v>
      </c>
    </row>
    <row r="50" spans="1:19" x14ac:dyDescent="0.25">
      <c r="A50">
        <f>+data!AI50</f>
        <v>-0.15000693798132614</v>
      </c>
      <c r="B50">
        <f>+data!AJ50</f>
        <v>9.0254174352097899E-2</v>
      </c>
      <c r="C50">
        <f>+data!W50</f>
        <v>0</v>
      </c>
      <c r="D50">
        <f>+data!AQ50</f>
        <v>1</v>
      </c>
      <c r="E50">
        <f>+data!T50</f>
        <v>0</v>
      </c>
      <c r="F50">
        <f>+data!X50</f>
        <v>0</v>
      </c>
      <c r="G50">
        <f>+data!Y50</f>
        <v>1</v>
      </c>
      <c r="H50">
        <f>+data!U50</f>
        <v>0</v>
      </c>
      <c r="I50">
        <f>+data!V50</f>
        <v>1</v>
      </c>
      <c r="J50">
        <f>+data!AS50</f>
        <v>0</v>
      </c>
      <c r="K50">
        <f>+data!AT50</f>
        <v>0</v>
      </c>
      <c r="L50">
        <f>+data!AO50</f>
        <v>0</v>
      </c>
      <c r="M50">
        <f>+data!AN50</f>
        <v>0</v>
      </c>
      <c r="N50">
        <f>+data!AU50</f>
        <v>1</v>
      </c>
      <c r="O50">
        <f>+data!AV50</f>
        <v>0</v>
      </c>
      <c r="P50">
        <f>+data!AD50</f>
        <v>1</v>
      </c>
      <c r="Q50">
        <f>+data!AF50</f>
        <v>7.6029010000000001</v>
      </c>
      <c r="R50">
        <f>+data!AG50</f>
        <v>3.7612000000000001</v>
      </c>
      <c r="S50">
        <f>+data!AE50</f>
        <v>1</v>
      </c>
    </row>
    <row r="51" spans="1:19" x14ac:dyDescent="0.25">
      <c r="A51">
        <f>+data!AI51</f>
        <v>-0.25927742433432616</v>
      </c>
      <c r="B51">
        <f>+data!AJ51</f>
        <v>5.3490874665557429E-2</v>
      </c>
      <c r="C51">
        <f>+data!W51</f>
        <v>0</v>
      </c>
      <c r="D51">
        <f>+data!AQ51</f>
        <v>1</v>
      </c>
      <c r="E51">
        <f>+data!T51</f>
        <v>0</v>
      </c>
      <c r="F51">
        <f>+data!X51</f>
        <v>0</v>
      </c>
      <c r="G51">
        <f>+data!Y51</f>
        <v>1</v>
      </c>
      <c r="H51">
        <f>+data!U51</f>
        <v>0</v>
      </c>
      <c r="I51">
        <f>+data!V51</f>
        <v>0</v>
      </c>
      <c r="J51">
        <f>+data!AS51</f>
        <v>0</v>
      </c>
      <c r="K51">
        <f>+data!AT51</f>
        <v>0</v>
      </c>
      <c r="L51">
        <f>+data!AO51</f>
        <v>0</v>
      </c>
      <c r="M51">
        <f>+data!AN51</f>
        <v>0</v>
      </c>
      <c r="N51">
        <f>+data!AU51</f>
        <v>1</v>
      </c>
      <c r="O51">
        <f>+data!AV51</f>
        <v>0</v>
      </c>
      <c r="P51">
        <f>+data!AD51</f>
        <v>1</v>
      </c>
      <c r="Q51">
        <f>+data!AF51</f>
        <v>7.6029010000000001</v>
      </c>
      <c r="R51">
        <f>+data!AG51</f>
        <v>3.7612000000000001</v>
      </c>
      <c r="S51">
        <f>+data!AE51</f>
        <v>1</v>
      </c>
    </row>
    <row r="52" spans="1:19" x14ac:dyDescent="0.25">
      <c r="A52">
        <f>+data!AI52</f>
        <v>-0.14879973962687221</v>
      </c>
      <c r="B52">
        <f>+data!AJ52</f>
        <v>8.9527843342168123E-2</v>
      </c>
      <c r="C52">
        <f>+data!W52</f>
        <v>0</v>
      </c>
      <c r="D52">
        <f>+data!AQ52</f>
        <v>1</v>
      </c>
      <c r="E52">
        <f>+data!T52</f>
        <v>0</v>
      </c>
      <c r="F52">
        <f>+data!X52</f>
        <v>0</v>
      </c>
      <c r="G52">
        <f>+data!Y52</f>
        <v>0</v>
      </c>
      <c r="H52">
        <f>+data!U52</f>
        <v>0</v>
      </c>
      <c r="I52">
        <f>+data!V52</f>
        <v>0</v>
      </c>
      <c r="J52">
        <f>+data!AS52</f>
        <v>0</v>
      </c>
      <c r="K52">
        <f>+data!AT52</f>
        <v>0</v>
      </c>
      <c r="L52">
        <f>+data!AO52</f>
        <v>0</v>
      </c>
      <c r="M52">
        <f>+data!AN52</f>
        <v>0</v>
      </c>
      <c r="N52">
        <f>+data!AU52</f>
        <v>1</v>
      </c>
      <c r="O52">
        <f>+data!AV52</f>
        <v>0</v>
      </c>
      <c r="P52">
        <f>+data!AD52</f>
        <v>1</v>
      </c>
      <c r="Q52">
        <f>+data!AF52</f>
        <v>7.6029010000000001</v>
      </c>
      <c r="R52">
        <f>+data!AG52</f>
        <v>3.7612000000000001</v>
      </c>
      <c r="S52">
        <f>+data!AE52</f>
        <v>1</v>
      </c>
    </row>
    <row r="53" spans="1:19" x14ac:dyDescent="0.25">
      <c r="A53">
        <f>+data!AI53</f>
        <v>-0.41630323285183224</v>
      </c>
      <c r="B53">
        <f>+data!AJ53</f>
        <v>7.47379032206439E-2</v>
      </c>
      <c r="C53">
        <f>+data!W53</f>
        <v>0</v>
      </c>
      <c r="D53">
        <f>+data!AQ53</f>
        <v>1</v>
      </c>
      <c r="E53">
        <f>+data!T53</f>
        <v>0</v>
      </c>
      <c r="F53">
        <f>+data!X53</f>
        <v>0</v>
      </c>
      <c r="G53">
        <f>+data!Y53</f>
        <v>1</v>
      </c>
      <c r="H53">
        <f>+data!U53</f>
        <v>0</v>
      </c>
      <c r="I53">
        <f>+data!V53</f>
        <v>1</v>
      </c>
      <c r="J53">
        <f>+data!AS53</f>
        <v>0</v>
      </c>
      <c r="K53">
        <f>+data!AT53</f>
        <v>0</v>
      </c>
      <c r="L53">
        <f>+data!AO53</f>
        <v>0</v>
      </c>
      <c r="M53">
        <f>+data!AN53</f>
        <v>0</v>
      </c>
      <c r="N53">
        <f>+data!AU53</f>
        <v>1</v>
      </c>
      <c r="O53">
        <f>+data!AV53</f>
        <v>0</v>
      </c>
      <c r="P53">
        <f>+data!AD53</f>
        <v>1</v>
      </c>
      <c r="Q53">
        <f>+data!AF53</f>
        <v>7.6029010000000001</v>
      </c>
      <c r="R53">
        <f>+data!AG53</f>
        <v>3.7612000000000001</v>
      </c>
      <c r="S53">
        <f>+data!AE53</f>
        <v>1</v>
      </c>
    </row>
    <row r="54" spans="1:19" x14ac:dyDescent="0.25">
      <c r="A54">
        <f>+data!AI54</f>
        <v>-0.44685962415507341</v>
      </c>
      <c r="B54">
        <f>+data!AJ54</f>
        <v>4.809421378618163E-2</v>
      </c>
      <c r="C54">
        <f>+data!W54</f>
        <v>0</v>
      </c>
      <c r="D54">
        <f>+data!AQ54</f>
        <v>1</v>
      </c>
      <c r="E54">
        <f>+data!T54</f>
        <v>0</v>
      </c>
      <c r="F54">
        <f>+data!X54</f>
        <v>0</v>
      </c>
      <c r="G54">
        <f>+data!Y54</f>
        <v>1</v>
      </c>
      <c r="H54">
        <f>+data!U54</f>
        <v>0</v>
      </c>
      <c r="I54">
        <f>+data!V54</f>
        <v>0</v>
      </c>
      <c r="J54">
        <f>+data!AS54</f>
        <v>0</v>
      </c>
      <c r="K54">
        <f>+data!AT54</f>
        <v>0</v>
      </c>
      <c r="L54">
        <f>+data!AO54</f>
        <v>0</v>
      </c>
      <c r="M54">
        <f>+data!AN54</f>
        <v>0</v>
      </c>
      <c r="N54">
        <f>+data!AU54</f>
        <v>1</v>
      </c>
      <c r="O54">
        <f>+data!AV54</f>
        <v>0</v>
      </c>
      <c r="P54">
        <f>+data!AD54</f>
        <v>1</v>
      </c>
      <c r="Q54">
        <f>+data!AF54</f>
        <v>7.6029010000000001</v>
      </c>
      <c r="R54">
        <f>+data!AG54</f>
        <v>3.7612000000000001</v>
      </c>
      <c r="S54">
        <f>+data!AE54</f>
        <v>1</v>
      </c>
    </row>
    <row r="55" spans="1:19" x14ac:dyDescent="0.25">
      <c r="A55">
        <f>+data!AI55</f>
        <v>-0.4121622593089711</v>
      </c>
      <c r="B55">
        <f>+data!AJ55</f>
        <v>4.8981601830921206E-2</v>
      </c>
      <c r="C55">
        <f>+data!W55</f>
        <v>0</v>
      </c>
      <c r="D55">
        <f>+data!AQ55</f>
        <v>1</v>
      </c>
      <c r="E55">
        <f>+data!T55</f>
        <v>0</v>
      </c>
      <c r="F55">
        <f>+data!X55</f>
        <v>0</v>
      </c>
      <c r="G55">
        <f>+data!Y55</f>
        <v>0</v>
      </c>
      <c r="H55">
        <f>+data!U55</f>
        <v>0</v>
      </c>
      <c r="I55">
        <f>+data!V55</f>
        <v>0</v>
      </c>
      <c r="J55">
        <f>+data!AS55</f>
        <v>0</v>
      </c>
      <c r="K55">
        <f>+data!AT55</f>
        <v>0</v>
      </c>
      <c r="L55">
        <f>+data!AO55</f>
        <v>0</v>
      </c>
      <c r="M55">
        <f>+data!AN55</f>
        <v>0</v>
      </c>
      <c r="N55">
        <f>+data!AU55</f>
        <v>1</v>
      </c>
      <c r="O55">
        <f>+data!AV55</f>
        <v>0</v>
      </c>
      <c r="P55">
        <f>+data!AD55</f>
        <v>1</v>
      </c>
      <c r="Q55">
        <f>+data!AF55</f>
        <v>7.6029010000000001</v>
      </c>
      <c r="R55">
        <f>+data!AG55</f>
        <v>3.7612000000000001</v>
      </c>
      <c r="S55">
        <f>+data!AE55</f>
        <v>1</v>
      </c>
    </row>
    <row r="56" spans="1:19" x14ac:dyDescent="0.25">
      <c r="A56">
        <f>+data!AI56</f>
        <v>-0.13673830136393697</v>
      </c>
      <c r="B56">
        <f>+data!AJ56</f>
        <v>4.6801791330474796E-2</v>
      </c>
      <c r="C56">
        <f>+data!W56</f>
        <v>1</v>
      </c>
      <c r="D56">
        <f>+data!AQ56</f>
        <v>1</v>
      </c>
      <c r="E56">
        <f>+data!T56</f>
        <v>0</v>
      </c>
      <c r="F56">
        <f>+data!X56</f>
        <v>0</v>
      </c>
      <c r="G56">
        <f>+data!Y56</f>
        <v>1</v>
      </c>
      <c r="H56">
        <f>+data!U56</f>
        <v>0</v>
      </c>
      <c r="I56">
        <f>+data!V56</f>
        <v>1</v>
      </c>
      <c r="J56">
        <f>+data!AS56</f>
        <v>0</v>
      </c>
      <c r="K56">
        <f>+data!AT56</f>
        <v>0</v>
      </c>
      <c r="L56">
        <f>+data!AO56</f>
        <v>0</v>
      </c>
      <c r="M56">
        <f>+data!AN56</f>
        <v>1</v>
      </c>
      <c r="N56">
        <f>+data!AU56</f>
        <v>0</v>
      </c>
      <c r="O56">
        <f>+data!AV56</f>
        <v>1</v>
      </c>
      <c r="P56">
        <f>+data!AD56</f>
        <v>1</v>
      </c>
      <c r="Q56">
        <f>+data!AF56</f>
        <v>7.5842650000000003</v>
      </c>
      <c r="R56">
        <f>+data!AG56</f>
        <v>5.6835800000000001</v>
      </c>
      <c r="S56">
        <f>+data!AE56</f>
        <v>1</v>
      </c>
    </row>
    <row r="57" spans="1:19" x14ac:dyDescent="0.25">
      <c r="A57">
        <f>+data!AI57</f>
        <v>-0.11417235718570623</v>
      </c>
      <c r="B57">
        <f>+data!AJ57</f>
        <v>0.15329435370388531</v>
      </c>
      <c r="C57">
        <f>+data!W57</f>
        <v>0</v>
      </c>
      <c r="D57">
        <f>+data!AQ57</f>
        <v>1</v>
      </c>
      <c r="E57">
        <f>+data!T57</f>
        <v>0</v>
      </c>
      <c r="F57">
        <f>+data!X57</f>
        <v>0</v>
      </c>
      <c r="G57">
        <f>+data!Y57</f>
        <v>1</v>
      </c>
      <c r="H57">
        <f>+data!U57</f>
        <v>1</v>
      </c>
      <c r="I57">
        <f>+data!V57</f>
        <v>1</v>
      </c>
      <c r="J57">
        <f>+data!AS57</f>
        <v>1</v>
      </c>
      <c r="K57">
        <f>+data!AT57</f>
        <v>0</v>
      </c>
      <c r="L57">
        <f>+data!AO57</f>
        <v>0</v>
      </c>
      <c r="M57">
        <f>+data!AN57</f>
        <v>1</v>
      </c>
      <c r="N57">
        <f>+data!AU57</f>
        <v>0</v>
      </c>
      <c r="O57">
        <f>+data!AV57</f>
        <v>0</v>
      </c>
      <c r="P57">
        <f>+data!AD57</f>
        <v>0</v>
      </c>
      <c r="Q57">
        <f>+data!AF57</f>
        <v>7.6019019999999999</v>
      </c>
      <c r="R57">
        <f>+data!AG57</f>
        <v>3.0445229999999999</v>
      </c>
      <c r="S57">
        <f>+data!AE57</f>
        <v>0</v>
      </c>
    </row>
    <row r="58" spans="1:19" x14ac:dyDescent="0.25">
      <c r="A58">
        <f>+data!AI58</f>
        <v>-0.19765727707177558</v>
      </c>
      <c r="B58">
        <f>+data!AJ58</f>
        <v>0.15309263900519485</v>
      </c>
      <c r="C58">
        <f>+data!W58</f>
        <v>0</v>
      </c>
      <c r="D58">
        <f>+data!AQ58</f>
        <v>1</v>
      </c>
      <c r="E58">
        <f>+data!T58</f>
        <v>0</v>
      </c>
      <c r="F58">
        <f>+data!X58</f>
        <v>0</v>
      </c>
      <c r="G58">
        <f>+data!Y58</f>
        <v>1</v>
      </c>
      <c r="H58">
        <f>+data!U58</f>
        <v>1</v>
      </c>
      <c r="I58">
        <f>+data!V58</f>
        <v>1</v>
      </c>
      <c r="J58">
        <f>+data!AS58</f>
        <v>1</v>
      </c>
      <c r="K58">
        <f>+data!AT58</f>
        <v>0</v>
      </c>
      <c r="L58">
        <f>+data!AO58</f>
        <v>0</v>
      </c>
      <c r="M58">
        <f>+data!AN58</f>
        <v>1</v>
      </c>
      <c r="N58">
        <f>+data!AU58</f>
        <v>0</v>
      </c>
      <c r="O58">
        <f>+data!AV58</f>
        <v>0</v>
      </c>
      <c r="P58">
        <f>+data!AD58</f>
        <v>0</v>
      </c>
      <c r="Q58">
        <f>+data!AF58</f>
        <v>7.6019019999999999</v>
      </c>
      <c r="R58">
        <f>+data!AG58</f>
        <v>3.0445229999999999</v>
      </c>
      <c r="S58">
        <f>+data!AE58</f>
        <v>0</v>
      </c>
    </row>
    <row r="59" spans="1:19" x14ac:dyDescent="0.25">
      <c r="A59">
        <f>+data!AI59</f>
        <v>-0.26229691530305288</v>
      </c>
      <c r="B59">
        <f>+data!AJ59</f>
        <v>0.15070568379254354</v>
      </c>
      <c r="C59">
        <f>+data!W59</f>
        <v>1</v>
      </c>
      <c r="D59">
        <f>+data!AQ59</f>
        <v>1</v>
      </c>
      <c r="E59">
        <f>+data!T59</f>
        <v>0</v>
      </c>
      <c r="F59">
        <f>+data!X59</f>
        <v>0</v>
      </c>
      <c r="G59">
        <f>+data!Y59</f>
        <v>1</v>
      </c>
      <c r="H59">
        <f>+data!U59</f>
        <v>1</v>
      </c>
      <c r="I59">
        <f>+data!V59</f>
        <v>1</v>
      </c>
      <c r="J59">
        <f>+data!AS59</f>
        <v>1</v>
      </c>
      <c r="K59">
        <f>+data!AT59</f>
        <v>0</v>
      </c>
      <c r="L59">
        <f>+data!AO59</f>
        <v>0</v>
      </c>
      <c r="M59">
        <f>+data!AN59</f>
        <v>1</v>
      </c>
      <c r="N59">
        <f>+data!AU59</f>
        <v>0</v>
      </c>
      <c r="O59">
        <f>+data!AV59</f>
        <v>0</v>
      </c>
      <c r="P59">
        <f>+data!AD59</f>
        <v>0</v>
      </c>
      <c r="Q59">
        <f>+data!AF59</f>
        <v>7.6019019999999999</v>
      </c>
      <c r="R59">
        <f>+data!AG59</f>
        <v>3.0445229999999999</v>
      </c>
      <c r="S59">
        <f>+data!AE59</f>
        <v>0</v>
      </c>
    </row>
    <row r="60" spans="1:19" x14ac:dyDescent="0.25">
      <c r="A60">
        <f>+data!AI60</f>
        <v>-0.31037110495813319</v>
      </c>
      <c r="B60">
        <f>+data!AJ60</f>
        <v>0.15030550365897016</v>
      </c>
      <c r="C60">
        <f>+data!W60</f>
        <v>1</v>
      </c>
      <c r="D60">
        <f>+data!AQ60</f>
        <v>1</v>
      </c>
      <c r="E60">
        <f>+data!T60</f>
        <v>0</v>
      </c>
      <c r="F60">
        <f>+data!X60</f>
        <v>0</v>
      </c>
      <c r="G60">
        <f>+data!Y60</f>
        <v>1</v>
      </c>
      <c r="H60">
        <f>+data!U60</f>
        <v>1</v>
      </c>
      <c r="I60">
        <f>+data!V60</f>
        <v>1</v>
      </c>
      <c r="J60">
        <f>+data!AS60</f>
        <v>1</v>
      </c>
      <c r="K60">
        <f>+data!AT60</f>
        <v>0</v>
      </c>
      <c r="L60">
        <f>+data!AO60</f>
        <v>0</v>
      </c>
      <c r="M60">
        <f>+data!AN60</f>
        <v>1</v>
      </c>
      <c r="N60">
        <f>+data!AU60</f>
        <v>0</v>
      </c>
      <c r="O60">
        <f>+data!AV60</f>
        <v>0</v>
      </c>
      <c r="P60">
        <f>+data!AD60</f>
        <v>0</v>
      </c>
      <c r="Q60">
        <f>+data!AF60</f>
        <v>7.6019019999999999</v>
      </c>
      <c r="R60">
        <f>+data!AG60</f>
        <v>3.0445229999999999</v>
      </c>
      <c r="S60">
        <f>+data!AE60</f>
        <v>0</v>
      </c>
    </row>
    <row r="61" spans="1:19" x14ac:dyDescent="0.25">
      <c r="A61">
        <f>+data!AI61</f>
        <v>-5.3439000685544871E-2</v>
      </c>
      <c r="B61">
        <f>+data!AJ61</f>
        <v>0.15788795657092805</v>
      </c>
      <c r="C61">
        <f>+data!W61</f>
        <v>1</v>
      </c>
      <c r="D61">
        <f>+data!AQ61</f>
        <v>1</v>
      </c>
      <c r="E61">
        <f>+data!T61</f>
        <v>0</v>
      </c>
      <c r="F61">
        <f>+data!X61</f>
        <v>0</v>
      </c>
      <c r="G61">
        <f>+data!Y61</f>
        <v>1</v>
      </c>
      <c r="H61">
        <f>+data!U61</f>
        <v>1</v>
      </c>
      <c r="I61">
        <f>+data!V61</f>
        <v>1</v>
      </c>
      <c r="J61">
        <f>+data!AS61</f>
        <v>1</v>
      </c>
      <c r="K61">
        <f>+data!AT61</f>
        <v>0</v>
      </c>
      <c r="L61">
        <f>+data!AO61</f>
        <v>0</v>
      </c>
      <c r="M61">
        <f>+data!AN61</f>
        <v>1</v>
      </c>
      <c r="N61">
        <f>+data!AU61</f>
        <v>0</v>
      </c>
      <c r="O61">
        <f>+data!AV61</f>
        <v>0</v>
      </c>
      <c r="P61">
        <f>+data!AD61</f>
        <v>0</v>
      </c>
      <c r="Q61">
        <f>+data!AF61</f>
        <v>7.6019019999999999</v>
      </c>
      <c r="R61">
        <f>+data!AG61</f>
        <v>3.0445229999999999</v>
      </c>
      <c r="S61">
        <f>+data!AE61</f>
        <v>0</v>
      </c>
    </row>
    <row r="62" spans="1:19" x14ac:dyDescent="0.25">
      <c r="A62">
        <f>+data!AI62</f>
        <v>-1.134510436345406E-2</v>
      </c>
      <c r="B62">
        <f>+data!AJ62</f>
        <v>0.15429341934297522</v>
      </c>
      <c r="C62">
        <f>+data!W62</f>
        <v>0</v>
      </c>
      <c r="D62">
        <f>+data!AQ62</f>
        <v>1</v>
      </c>
      <c r="E62">
        <f>+data!T62</f>
        <v>0</v>
      </c>
      <c r="F62">
        <f>+data!X62</f>
        <v>0</v>
      </c>
      <c r="G62">
        <f>+data!Y62</f>
        <v>1</v>
      </c>
      <c r="H62">
        <f>+data!U62</f>
        <v>1</v>
      </c>
      <c r="I62">
        <f>+data!V62</f>
        <v>1</v>
      </c>
      <c r="J62">
        <f>+data!AS62</f>
        <v>0</v>
      </c>
      <c r="K62">
        <f>+data!AT62</f>
        <v>1</v>
      </c>
      <c r="L62">
        <f>+data!AO62</f>
        <v>0</v>
      </c>
      <c r="M62">
        <f>+data!AN62</f>
        <v>1</v>
      </c>
      <c r="N62">
        <f>+data!AU62</f>
        <v>0</v>
      </c>
      <c r="O62">
        <f>+data!AV62</f>
        <v>0</v>
      </c>
      <c r="P62">
        <f>+data!AD62</f>
        <v>0</v>
      </c>
      <c r="Q62">
        <f>+data!AF62</f>
        <v>7.6019019999999999</v>
      </c>
      <c r="R62">
        <f>+data!AG62</f>
        <v>3.0445229999999999</v>
      </c>
      <c r="S62">
        <f>+data!AE62</f>
        <v>0</v>
      </c>
    </row>
    <row r="63" spans="1:19" x14ac:dyDescent="0.25">
      <c r="A63">
        <f>+data!AI63</f>
        <v>-7.4441968424915392E-2</v>
      </c>
      <c r="B63">
        <f>+data!AJ63</f>
        <v>0.15574043394159931</v>
      </c>
      <c r="C63">
        <f>+data!W63</f>
        <v>0</v>
      </c>
      <c r="D63">
        <f>+data!AQ63</f>
        <v>1</v>
      </c>
      <c r="E63">
        <f>+data!T63</f>
        <v>0</v>
      </c>
      <c r="F63">
        <f>+data!X63</f>
        <v>0</v>
      </c>
      <c r="G63">
        <f>+data!Y63</f>
        <v>1</v>
      </c>
      <c r="H63">
        <f>+data!U63</f>
        <v>1</v>
      </c>
      <c r="I63">
        <f>+data!V63</f>
        <v>1</v>
      </c>
      <c r="J63">
        <f>+data!AS63</f>
        <v>0</v>
      </c>
      <c r="K63">
        <f>+data!AT63</f>
        <v>1</v>
      </c>
      <c r="L63">
        <f>+data!AO63</f>
        <v>0</v>
      </c>
      <c r="M63">
        <f>+data!AN63</f>
        <v>1</v>
      </c>
      <c r="N63">
        <f>+data!AU63</f>
        <v>0</v>
      </c>
      <c r="O63">
        <f>+data!AV63</f>
        <v>0</v>
      </c>
      <c r="P63">
        <f>+data!AD63</f>
        <v>0</v>
      </c>
      <c r="Q63">
        <f>+data!AF63</f>
        <v>7.6019019999999999</v>
      </c>
      <c r="R63">
        <f>+data!AG63</f>
        <v>3.0445229999999999</v>
      </c>
      <c r="S63">
        <f>+data!AE63</f>
        <v>0</v>
      </c>
    </row>
    <row r="64" spans="1:19" x14ac:dyDescent="0.25">
      <c r="A64">
        <f>+data!AI64</f>
        <v>-0.16171548469034339</v>
      </c>
      <c r="B64">
        <f>+data!AJ64</f>
        <v>0.15411811292636751</v>
      </c>
      <c r="C64">
        <f>+data!W64</f>
        <v>1</v>
      </c>
      <c r="D64">
        <f>+data!AQ64</f>
        <v>1</v>
      </c>
      <c r="E64">
        <f>+data!T64</f>
        <v>0</v>
      </c>
      <c r="F64">
        <f>+data!X64</f>
        <v>0</v>
      </c>
      <c r="G64">
        <f>+data!Y64</f>
        <v>1</v>
      </c>
      <c r="H64">
        <f>+data!U64</f>
        <v>1</v>
      </c>
      <c r="I64">
        <f>+data!V64</f>
        <v>1</v>
      </c>
      <c r="J64">
        <f>+data!AS64</f>
        <v>0</v>
      </c>
      <c r="K64">
        <f>+data!AT64</f>
        <v>1</v>
      </c>
      <c r="L64">
        <f>+data!AO64</f>
        <v>0</v>
      </c>
      <c r="M64">
        <f>+data!AN64</f>
        <v>1</v>
      </c>
      <c r="N64">
        <f>+data!AU64</f>
        <v>0</v>
      </c>
      <c r="O64">
        <f>+data!AV64</f>
        <v>0</v>
      </c>
      <c r="P64">
        <f>+data!AD64</f>
        <v>0</v>
      </c>
      <c r="Q64">
        <f>+data!AF64</f>
        <v>7.6019019999999999</v>
      </c>
      <c r="R64">
        <f>+data!AG64</f>
        <v>3.0445229999999999</v>
      </c>
      <c r="S64">
        <f>+data!AE64</f>
        <v>0</v>
      </c>
    </row>
    <row r="65" spans="1:19" x14ac:dyDescent="0.25">
      <c r="A65">
        <f>+data!AI65</f>
        <v>-0.20040326166765035</v>
      </c>
      <c r="B65">
        <f>+data!AJ65</f>
        <v>0.15490630496472432</v>
      </c>
      <c r="C65">
        <f>+data!W65</f>
        <v>1</v>
      </c>
      <c r="D65">
        <f>+data!AQ65</f>
        <v>1</v>
      </c>
      <c r="E65">
        <f>+data!T65</f>
        <v>0</v>
      </c>
      <c r="F65">
        <f>+data!X65</f>
        <v>0</v>
      </c>
      <c r="G65">
        <f>+data!Y65</f>
        <v>1</v>
      </c>
      <c r="H65">
        <f>+data!U65</f>
        <v>1</v>
      </c>
      <c r="I65">
        <f>+data!V65</f>
        <v>1</v>
      </c>
      <c r="J65">
        <f>+data!AS65</f>
        <v>0</v>
      </c>
      <c r="K65">
        <f>+data!AT65</f>
        <v>1</v>
      </c>
      <c r="L65">
        <f>+data!AO65</f>
        <v>0</v>
      </c>
      <c r="M65">
        <f>+data!AN65</f>
        <v>1</v>
      </c>
      <c r="N65">
        <f>+data!AU65</f>
        <v>0</v>
      </c>
      <c r="O65">
        <f>+data!AV65</f>
        <v>0</v>
      </c>
      <c r="P65">
        <f>+data!AD65</f>
        <v>0</v>
      </c>
      <c r="Q65">
        <f>+data!AF65</f>
        <v>7.6019019999999999</v>
      </c>
      <c r="R65">
        <f>+data!AG65</f>
        <v>3.0445229999999999</v>
      </c>
      <c r="S65">
        <f>+data!AE65</f>
        <v>0</v>
      </c>
    </row>
    <row r="66" spans="1:19" x14ac:dyDescent="0.25">
      <c r="A66">
        <f>+data!AI66</f>
        <v>3.3955292430418421E-2</v>
      </c>
      <c r="B66">
        <f>+data!AJ66</f>
        <v>0.15802270708002419</v>
      </c>
      <c r="C66">
        <f>+data!W66</f>
        <v>1</v>
      </c>
      <c r="D66">
        <f>+data!AQ66</f>
        <v>1</v>
      </c>
      <c r="E66">
        <f>+data!T66</f>
        <v>0</v>
      </c>
      <c r="F66">
        <f>+data!X66</f>
        <v>0</v>
      </c>
      <c r="G66">
        <f>+data!Y66</f>
        <v>1</v>
      </c>
      <c r="H66">
        <f>+data!U66</f>
        <v>1</v>
      </c>
      <c r="I66">
        <f>+data!V66</f>
        <v>1</v>
      </c>
      <c r="J66">
        <f>+data!AS66</f>
        <v>0</v>
      </c>
      <c r="K66">
        <f>+data!AT66</f>
        <v>1</v>
      </c>
      <c r="L66">
        <f>+data!AO66</f>
        <v>0</v>
      </c>
      <c r="M66">
        <f>+data!AN66</f>
        <v>1</v>
      </c>
      <c r="N66">
        <f>+data!AU66</f>
        <v>0</v>
      </c>
      <c r="O66">
        <f>+data!AV66</f>
        <v>0</v>
      </c>
      <c r="P66">
        <f>+data!AD66</f>
        <v>0</v>
      </c>
      <c r="Q66">
        <f>+data!AF66</f>
        <v>7.6019019999999999</v>
      </c>
      <c r="R66">
        <f>+data!AG66</f>
        <v>3.0445229999999999</v>
      </c>
      <c r="S66">
        <f>+data!AE66</f>
        <v>0</v>
      </c>
    </row>
    <row r="67" spans="1:19" x14ac:dyDescent="0.25">
      <c r="A67">
        <f>+data!AI67</f>
        <v>-9.382937776455498E-2</v>
      </c>
      <c r="B67">
        <f>+data!AJ67</f>
        <v>0.15362260869294789</v>
      </c>
      <c r="C67">
        <f>+data!W67</f>
        <v>0</v>
      </c>
      <c r="D67">
        <f>+data!AQ67</f>
        <v>1</v>
      </c>
      <c r="E67">
        <f>+data!T67</f>
        <v>0</v>
      </c>
      <c r="F67">
        <f>+data!X67</f>
        <v>0</v>
      </c>
      <c r="G67">
        <f>+data!Y67</f>
        <v>1</v>
      </c>
      <c r="H67">
        <f>+data!U67</f>
        <v>1</v>
      </c>
      <c r="I67">
        <f>+data!V67</f>
        <v>1</v>
      </c>
      <c r="J67">
        <f>+data!AS67</f>
        <v>0</v>
      </c>
      <c r="K67">
        <f>+data!AT67</f>
        <v>0</v>
      </c>
      <c r="L67">
        <f>+data!AO67</f>
        <v>0</v>
      </c>
      <c r="M67">
        <f>+data!AN67</f>
        <v>1</v>
      </c>
      <c r="N67">
        <f>+data!AU67</f>
        <v>0</v>
      </c>
      <c r="O67">
        <f>+data!AV67</f>
        <v>0</v>
      </c>
      <c r="P67">
        <f>+data!AD67</f>
        <v>0</v>
      </c>
      <c r="Q67">
        <f>+data!AF67</f>
        <v>7.6019019999999999</v>
      </c>
      <c r="R67">
        <f>+data!AG67</f>
        <v>3.0445229999999999</v>
      </c>
      <c r="S67">
        <f>+data!AE67</f>
        <v>0</v>
      </c>
    </row>
    <row r="68" spans="1:19" x14ac:dyDescent="0.25">
      <c r="A68">
        <f>+data!AI68</f>
        <v>-0.18276017136008171</v>
      </c>
      <c r="B68">
        <f>+data!AJ68</f>
        <v>0.15354340927190541</v>
      </c>
      <c r="C68">
        <f>+data!W68</f>
        <v>0</v>
      </c>
      <c r="D68">
        <f>+data!AQ68</f>
        <v>1</v>
      </c>
      <c r="E68">
        <f>+data!T68</f>
        <v>0</v>
      </c>
      <c r="F68">
        <f>+data!X68</f>
        <v>0</v>
      </c>
      <c r="G68">
        <f>+data!Y68</f>
        <v>1</v>
      </c>
      <c r="H68">
        <f>+data!U68</f>
        <v>1</v>
      </c>
      <c r="I68">
        <f>+data!V68</f>
        <v>1</v>
      </c>
      <c r="J68">
        <f>+data!AS68</f>
        <v>0</v>
      </c>
      <c r="K68">
        <f>+data!AT68</f>
        <v>0</v>
      </c>
      <c r="L68">
        <f>+data!AO68</f>
        <v>0</v>
      </c>
      <c r="M68">
        <f>+data!AN68</f>
        <v>1</v>
      </c>
      <c r="N68">
        <f>+data!AU68</f>
        <v>0</v>
      </c>
      <c r="O68">
        <f>+data!AV68</f>
        <v>0</v>
      </c>
      <c r="P68">
        <f>+data!AD68</f>
        <v>0</v>
      </c>
      <c r="Q68">
        <f>+data!AF68</f>
        <v>7.6019019999999999</v>
      </c>
      <c r="R68">
        <f>+data!AG68</f>
        <v>3.0445229999999999</v>
      </c>
      <c r="S68">
        <f>+data!AE68</f>
        <v>0</v>
      </c>
    </row>
    <row r="69" spans="1:19" x14ac:dyDescent="0.25">
      <c r="A69">
        <f>+data!AI69</f>
        <v>-0.23472260628828601</v>
      </c>
      <c r="B69">
        <f>+data!AJ69</f>
        <v>0.15181064088297105</v>
      </c>
      <c r="C69">
        <f>+data!W69</f>
        <v>1</v>
      </c>
      <c r="D69">
        <f>+data!AQ69</f>
        <v>1</v>
      </c>
      <c r="E69">
        <f>+data!T69</f>
        <v>0</v>
      </c>
      <c r="F69">
        <f>+data!X69</f>
        <v>0</v>
      </c>
      <c r="G69">
        <f>+data!Y69</f>
        <v>1</v>
      </c>
      <c r="H69">
        <f>+data!U69</f>
        <v>1</v>
      </c>
      <c r="I69">
        <f>+data!V69</f>
        <v>1</v>
      </c>
      <c r="J69">
        <f>+data!AS69</f>
        <v>0</v>
      </c>
      <c r="K69">
        <f>+data!AT69</f>
        <v>0</v>
      </c>
      <c r="L69">
        <f>+data!AO69</f>
        <v>0</v>
      </c>
      <c r="M69">
        <f>+data!AN69</f>
        <v>1</v>
      </c>
      <c r="N69">
        <f>+data!AU69</f>
        <v>0</v>
      </c>
      <c r="O69">
        <f>+data!AV69</f>
        <v>0</v>
      </c>
      <c r="P69">
        <f>+data!AD69</f>
        <v>0</v>
      </c>
      <c r="Q69">
        <f>+data!AF69</f>
        <v>7.6019019999999999</v>
      </c>
      <c r="R69">
        <f>+data!AG69</f>
        <v>3.0445229999999999</v>
      </c>
      <c r="S69">
        <f>+data!AE69</f>
        <v>0</v>
      </c>
    </row>
    <row r="70" spans="1:19" x14ac:dyDescent="0.25">
      <c r="A70">
        <f>+data!AI70</f>
        <v>-0.29496402877697842</v>
      </c>
      <c r="B70">
        <f>+data!AJ70</f>
        <v>0.15107913669064749</v>
      </c>
      <c r="C70">
        <f>+data!W70</f>
        <v>1</v>
      </c>
      <c r="D70">
        <f>+data!AQ70</f>
        <v>1</v>
      </c>
      <c r="E70">
        <f>+data!T70</f>
        <v>0</v>
      </c>
      <c r="F70">
        <f>+data!X70</f>
        <v>0</v>
      </c>
      <c r="G70">
        <f>+data!Y70</f>
        <v>1</v>
      </c>
      <c r="H70">
        <f>+data!U70</f>
        <v>1</v>
      </c>
      <c r="I70">
        <f>+data!V70</f>
        <v>1</v>
      </c>
      <c r="J70">
        <f>+data!AS70</f>
        <v>0</v>
      </c>
      <c r="K70">
        <f>+data!AT70</f>
        <v>0</v>
      </c>
      <c r="L70">
        <f>+data!AO70</f>
        <v>0</v>
      </c>
      <c r="M70">
        <f>+data!AN70</f>
        <v>1</v>
      </c>
      <c r="N70">
        <f>+data!AU70</f>
        <v>0</v>
      </c>
      <c r="O70">
        <f>+data!AV70</f>
        <v>0</v>
      </c>
      <c r="P70">
        <f>+data!AD70</f>
        <v>0</v>
      </c>
      <c r="Q70">
        <f>+data!AF70</f>
        <v>7.6019019999999999</v>
      </c>
      <c r="R70">
        <f>+data!AG70</f>
        <v>3.0445229999999999</v>
      </c>
      <c r="S70">
        <f>+data!AE70</f>
        <v>0</v>
      </c>
    </row>
    <row r="71" spans="1:19" x14ac:dyDescent="0.25">
      <c r="A71">
        <f>+data!AI71</f>
        <v>-1.9760376304381096E-2</v>
      </c>
      <c r="B71">
        <f>+data!AJ71</f>
        <v>0.15808301043504877</v>
      </c>
      <c r="C71">
        <f>+data!W71</f>
        <v>1</v>
      </c>
      <c r="D71">
        <f>+data!AQ71</f>
        <v>1</v>
      </c>
      <c r="E71">
        <f>+data!T71</f>
        <v>0</v>
      </c>
      <c r="F71">
        <f>+data!X71</f>
        <v>0</v>
      </c>
      <c r="G71">
        <f>+data!Y71</f>
        <v>1</v>
      </c>
      <c r="H71">
        <f>+data!U71</f>
        <v>1</v>
      </c>
      <c r="I71">
        <f>+data!V71</f>
        <v>1</v>
      </c>
      <c r="J71">
        <f>+data!AS71</f>
        <v>0</v>
      </c>
      <c r="K71">
        <f>+data!AT71</f>
        <v>0</v>
      </c>
      <c r="L71">
        <f>+data!AO71</f>
        <v>0</v>
      </c>
      <c r="M71">
        <f>+data!AN71</f>
        <v>1</v>
      </c>
      <c r="N71">
        <f>+data!AU71</f>
        <v>0</v>
      </c>
      <c r="O71">
        <f>+data!AV71</f>
        <v>0</v>
      </c>
      <c r="P71">
        <f>+data!AD71</f>
        <v>0</v>
      </c>
      <c r="Q71">
        <f>+data!AF71</f>
        <v>7.6019019999999999</v>
      </c>
      <c r="R71">
        <f>+data!AG71</f>
        <v>3.0445229999999999</v>
      </c>
      <c r="S71">
        <f>+data!AE71</f>
        <v>0</v>
      </c>
    </row>
    <row r="72" spans="1:19" x14ac:dyDescent="0.25">
      <c r="A72">
        <f>+data!AI72</f>
        <v>-1.3461488530730842E-2</v>
      </c>
      <c r="B72">
        <f>+data!AJ72</f>
        <v>5.142978951484347E-2</v>
      </c>
      <c r="C72">
        <f>+data!W72</f>
        <v>0</v>
      </c>
      <c r="D72">
        <f>+data!AQ72</f>
        <v>0</v>
      </c>
      <c r="E72">
        <f>+data!T72</f>
        <v>1</v>
      </c>
      <c r="F72">
        <f>+data!X72</f>
        <v>0</v>
      </c>
      <c r="G72">
        <f>+data!Y72</f>
        <v>1</v>
      </c>
      <c r="H72">
        <f>+data!U72</f>
        <v>1</v>
      </c>
      <c r="I72">
        <f>+data!V72</f>
        <v>1</v>
      </c>
      <c r="J72">
        <f>+data!AS72</f>
        <v>0</v>
      </c>
      <c r="K72">
        <f>+data!AT72</f>
        <v>0</v>
      </c>
      <c r="L72">
        <f>+data!AO72</f>
        <v>0</v>
      </c>
      <c r="M72">
        <f>+data!AN72</f>
        <v>1</v>
      </c>
      <c r="N72">
        <f>+data!AU72</f>
        <v>0</v>
      </c>
      <c r="O72">
        <f>+data!AV72</f>
        <v>0</v>
      </c>
      <c r="P72">
        <f>+data!AD72</f>
        <v>0</v>
      </c>
      <c r="Q72">
        <f>+data!AF72</f>
        <v>7.6019019999999999</v>
      </c>
      <c r="R72">
        <f>+data!AG72</f>
        <v>3.0445229999999999</v>
      </c>
      <c r="S72">
        <f>+data!AE72</f>
        <v>0</v>
      </c>
    </row>
    <row r="73" spans="1:19" x14ac:dyDescent="0.25">
      <c r="A73">
        <f>+data!AI73</f>
        <v>2.0035373626181519E-2</v>
      </c>
      <c r="B73">
        <f>+data!AJ73</f>
        <v>5.1424125640532566E-2</v>
      </c>
      <c r="C73">
        <f>+data!W73</f>
        <v>0</v>
      </c>
      <c r="D73">
        <f>+data!AQ73</f>
        <v>0</v>
      </c>
      <c r="E73">
        <f>+data!T73</f>
        <v>1</v>
      </c>
      <c r="F73">
        <f>+data!X73</f>
        <v>0</v>
      </c>
      <c r="G73">
        <f>+data!Y73</f>
        <v>1</v>
      </c>
      <c r="H73">
        <f>+data!U73</f>
        <v>1</v>
      </c>
      <c r="I73">
        <f>+data!V73</f>
        <v>1</v>
      </c>
      <c r="J73">
        <f>+data!AS73</f>
        <v>0</v>
      </c>
      <c r="K73">
        <f>+data!AT73</f>
        <v>0</v>
      </c>
      <c r="L73">
        <f>+data!AO73</f>
        <v>0</v>
      </c>
      <c r="M73">
        <f>+data!AN73</f>
        <v>1</v>
      </c>
      <c r="N73">
        <f>+data!AU73</f>
        <v>0</v>
      </c>
      <c r="O73">
        <f>+data!AV73</f>
        <v>0</v>
      </c>
      <c r="P73">
        <f>+data!AD73</f>
        <v>0</v>
      </c>
      <c r="Q73">
        <f>+data!AF73</f>
        <v>7.6019019999999999</v>
      </c>
      <c r="R73">
        <f>+data!AG73</f>
        <v>3.0445229999999999</v>
      </c>
      <c r="S73">
        <f>+data!AE73</f>
        <v>0</v>
      </c>
    </row>
    <row r="74" spans="1:19" x14ac:dyDescent="0.25">
      <c r="A74">
        <f>+data!AI74</f>
        <v>2.1349614162612305E-2</v>
      </c>
      <c r="B74">
        <f>+data!AJ74</f>
        <v>5.1422726585216738E-2</v>
      </c>
      <c r="C74">
        <f>+data!W74</f>
        <v>0</v>
      </c>
      <c r="D74">
        <f>+data!AQ74</f>
        <v>0</v>
      </c>
      <c r="E74">
        <f>+data!T74</f>
        <v>1</v>
      </c>
      <c r="F74">
        <f>+data!X74</f>
        <v>0</v>
      </c>
      <c r="G74">
        <f>+data!Y74</f>
        <v>1</v>
      </c>
      <c r="H74">
        <f>+data!U74</f>
        <v>1</v>
      </c>
      <c r="I74">
        <f>+data!V74</f>
        <v>1</v>
      </c>
      <c r="J74">
        <f>+data!AS74</f>
        <v>0</v>
      </c>
      <c r="K74">
        <f>+data!AT74</f>
        <v>0</v>
      </c>
      <c r="L74">
        <f>+data!AO74</f>
        <v>0</v>
      </c>
      <c r="M74">
        <f>+data!AN74</f>
        <v>1</v>
      </c>
      <c r="N74">
        <f>+data!AU74</f>
        <v>0</v>
      </c>
      <c r="O74">
        <f>+data!AV74</f>
        <v>0</v>
      </c>
      <c r="P74">
        <f>+data!AD74</f>
        <v>0</v>
      </c>
      <c r="Q74">
        <f>+data!AF74</f>
        <v>7.6019019999999999</v>
      </c>
      <c r="R74">
        <f>+data!AG74</f>
        <v>3.0445229999999999</v>
      </c>
      <c r="S74">
        <f>+data!AE74</f>
        <v>0</v>
      </c>
    </row>
    <row r="75" spans="1:19" x14ac:dyDescent="0.25">
      <c r="A75">
        <f>+data!AI75</f>
        <v>-0.91253770378393173</v>
      </c>
      <c r="B75">
        <f>+data!AJ75</f>
        <v>0.12331590591674745</v>
      </c>
      <c r="C75">
        <f>+data!W75</f>
        <v>0</v>
      </c>
      <c r="D75">
        <f>+data!AQ75</f>
        <v>1</v>
      </c>
      <c r="E75">
        <f>+data!T75</f>
        <v>0</v>
      </c>
      <c r="F75">
        <f>+data!X75</f>
        <v>0</v>
      </c>
      <c r="G75">
        <f>+data!Y75</f>
        <v>1</v>
      </c>
      <c r="H75">
        <f>+data!U75</f>
        <v>0</v>
      </c>
      <c r="I75">
        <f>+data!V75</f>
        <v>0</v>
      </c>
      <c r="J75">
        <f>+data!AS75</f>
        <v>0</v>
      </c>
      <c r="K75">
        <f>+data!AT75</f>
        <v>0</v>
      </c>
      <c r="L75">
        <f>+data!AO75</f>
        <v>0</v>
      </c>
      <c r="M75">
        <f>+data!AN75</f>
        <v>0</v>
      </c>
      <c r="N75">
        <f>+data!AU75</f>
        <v>0</v>
      </c>
      <c r="O75">
        <f>+data!AV75</f>
        <v>1</v>
      </c>
      <c r="P75">
        <f>+data!AD75</f>
        <v>1</v>
      </c>
      <c r="Q75">
        <f>+data!AF75</f>
        <v>7.6088709999999997</v>
      </c>
      <c r="R75">
        <f>+data!AG75</f>
        <v>0</v>
      </c>
      <c r="S75">
        <f>+data!AE75</f>
        <v>1</v>
      </c>
    </row>
    <row r="76" spans="1:19" x14ac:dyDescent="0.25">
      <c r="A76">
        <f>+data!AI76</f>
        <v>-0.8791941952537593</v>
      </c>
      <c r="B76">
        <f>+data!AJ76</f>
        <v>0.14365918223100582</v>
      </c>
      <c r="C76">
        <f>+data!W76</f>
        <v>0</v>
      </c>
      <c r="D76">
        <f>+data!AQ76</f>
        <v>1</v>
      </c>
      <c r="E76">
        <f>+data!T76</f>
        <v>0</v>
      </c>
      <c r="F76">
        <f>+data!X76</f>
        <v>0</v>
      </c>
      <c r="G76">
        <f>+data!Y76</f>
        <v>1</v>
      </c>
      <c r="H76">
        <f>+data!U76</f>
        <v>0</v>
      </c>
      <c r="I76">
        <f>+data!V76</f>
        <v>0</v>
      </c>
      <c r="J76">
        <f>+data!AS76</f>
        <v>0</v>
      </c>
      <c r="K76">
        <f>+data!AT76</f>
        <v>0</v>
      </c>
      <c r="L76">
        <f>+data!AO76</f>
        <v>0</v>
      </c>
      <c r="M76">
        <f>+data!AN76</f>
        <v>0</v>
      </c>
      <c r="N76">
        <f>+data!AU76</f>
        <v>0</v>
      </c>
      <c r="O76">
        <f>+data!AV76</f>
        <v>1</v>
      </c>
      <c r="P76">
        <f>+data!AD76</f>
        <v>1</v>
      </c>
      <c r="Q76">
        <f>+data!AF76</f>
        <v>7.6088709999999997</v>
      </c>
      <c r="R76">
        <f>+data!AG76</f>
        <v>0</v>
      </c>
      <c r="S76">
        <f>+data!AE76</f>
        <v>1</v>
      </c>
    </row>
    <row r="77" spans="1:19" x14ac:dyDescent="0.25">
      <c r="A77">
        <f>+data!AI77</f>
        <v>-0.85425191253985888</v>
      </c>
      <c r="B77">
        <f>+data!AJ77</f>
        <v>0.15674347019079909</v>
      </c>
      <c r="C77">
        <f>+data!W77</f>
        <v>0</v>
      </c>
      <c r="D77">
        <f>+data!AQ77</f>
        <v>1</v>
      </c>
      <c r="E77">
        <f>+data!T77</f>
        <v>0</v>
      </c>
      <c r="F77">
        <f>+data!X77</f>
        <v>0</v>
      </c>
      <c r="G77">
        <f>+data!Y77</f>
        <v>1</v>
      </c>
      <c r="H77">
        <f>+data!U77</f>
        <v>0</v>
      </c>
      <c r="I77">
        <f>+data!V77</f>
        <v>0</v>
      </c>
      <c r="J77">
        <f>+data!AS77</f>
        <v>0</v>
      </c>
      <c r="K77">
        <f>+data!AT77</f>
        <v>0</v>
      </c>
      <c r="L77">
        <f>+data!AO77</f>
        <v>0</v>
      </c>
      <c r="M77">
        <f>+data!AN77</f>
        <v>0</v>
      </c>
      <c r="N77">
        <f>+data!AU77</f>
        <v>0</v>
      </c>
      <c r="O77">
        <f>+data!AV77</f>
        <v>1</v>
      </c>
      <c r="P77">
        <f>+data!AD77</f>
        <v>1</v>
      </c>
      <c r="Q77">
        <f>+data!AF77</f>
        <v>7.6088709999999997</v>
      </c>
      <c r="R77">
        <f>+data!AG77</f>
        <v>0</v>
      </c>
      <c r="S77">
        <f>+data!AE77</f>
        <v>1</v>
      </c>
    </row>
    <row r="78" spans="1:19" x14ac:dyDescent="0.25">
      <c r="A78">
        <f>+data!AI78</f>
        <v>-0.89433950478202862</v>
      </c>
      <c r="B78">
        <f>+data!AJ78</f>
        <v>0.1348928363170476</v>
      </c>
      <c r="C78">
        <f>+data!W78</f>
        <v>0</v>
      </c>
      <c r="D78">
        <f>+data!AQ78</f>
        <v>1</v>
      </c>
      <c r="E78">
        <f>+data!T78</f>
        <v>0</v>
      </c>
      <c r="F78">
        <f>+data!X78</f>
        <v>0</v>
      </c>
      <c r="G78">
        <f>+data!Y78</f>
        <v>1</v>
      </c>
      <c r="H78">
        <f>+data!U78</f>
        <v>0</v>
      </c>
      <c r="I78">
        <f>+data!V78</f>
        <v>0</v>
      </c>
      <c r="J78">
        <f>+data!AS78</f>
        <v>0</v>
      </c>
      <c r="K78">
        <f>+data!AT78</f>
        <v>0</v>
      </c>
      <c r="L78">
        <f>+data!AO78</f>
        <v>0</v>
      </c>
      <c r="M78">
        <f>+data!AN78</f>
        <v>0</v>
      </c>
      <c r="N78">
        <f>+data!AU78</f>
        <v>0</v>
      </c>
      <c r="O78">
        <f>+data!AV78</f>
        <v>1</v>
      </c>
      <c r="P78">
        <f>+data!AD78</f>
        <v>1</v>
      </c>
      <c r="Q78">
        <f>+data!AF78</f>
        <v>7.6088709999999997</v>
      </c>
      <c r="R78">
        <f>+data!AG78</f>
        <v>0</v>
      </c>
      <c r="S78">
        <f>+data!AE78</f>
        <v>1</v>
      </c>
    </row>
    <row r="79" spans="1:19" x14ac:dyDescent="0.25">
      <c r="A79">
        <f>+data!AI79</f>
        <v>-7.6397150528909927E-2</v>
      </c>
      <c r="B79">
        <f>+data!AJ79</f>
        <v>1.8134677145751343E-2</v>
      </c>
      <c r="C79">
        <f>+data!W79</f>
        <v>0</v>
      </c>
      <c r="D79">
        <f>+data!AQ79</f>
        <v>1</v>
      </c>
      <c r="E79">
        <f>+data!T79</f>
        <v>0</v>
      </c>
      <c r="F79">
        <f>+data!X79</f>
        <v>0</v>
      </c>
      <c r="G79">
        <f>+data!Y79</f>
        <v>0</v>
      </c>
      <c r="H79">
        <f>+data!U79</f>
        <v>0</v>
      </c>
      <c r="I79">
        <f>+data!V79</f>
        <v>0</v>
      </c>
      <c r="J79">
        <f>+data!AS79</f>
        <v>0</v>
      </c>
      <c r="K79">
        <f>+data!AT79</f>
        <v>0</v>
      </c>
      <c r="L79">
        <f>+data!AO79</f>
        <v>0</v>
      </c>
      <c r="M79">
        <f>+data!AN79</f>
        <v>0</v>
      </c>
      <c r="N79">
        <f>+data!AU79</f>
        <v>1</v>
      </c>
      <c r="O79">
        <f>+data!AV79</f>
        <v>0</v>
      </c>
      <c r="P79">
        <f>+data!AD79</f>
        <v>1</v>
      </c>
      <c r="Q79">
        <f>+data!AF79</f>
        <v>7.6014020000000002</v>
      </c>
      <c r="R79">
        <f>+data!AG79</f>
        <v>1.0986119999999999</v>
      </c>
      <c r="S79">
        <f>+data!AE79</f>
        <v>0</v>
      </c>
    </row>
    <row r="80" spans="1:19" x14ac:dyDescent="0.25">
      <c r="A80">
        <f>+data!AI80</f>
        <v>-5.7331675978533579E-2</v>
      </c>
      <c r="B80">
        <f>+data!AJ80</f>
        <v>2.0691576956058139E-2</v>
      </c>
      <c r="C80">
        <f>+data!W80</f>
        <v>0</v>
      </c>
      <c r="D80">
        <f>+data!AQ80</f>
        <v>1</v>
      </c>
      <c r="E80">
        <f>+data!T80</f>
        <v>0</v>
      </c>
      <c r="F80">
        <f>+data!X80</f>
        <v>0</v>
      </c>
      <c r="G80">
        <f>+data!Y80</f>
        <v>0</v>
      </c>
      <c r="H80">
        <f>+data!U80</f>
        <v>0</v>
      </c>
      <c r="I80">
        <f>+data!V80</f>
        <v>0</v>
      </c>
      <c r="J80">
        <f>+data!AS80</f>
        <v>0</v>
      </c>
      <c r="K80">
        <f>+data!AT80</f>
        <v>0</v>
      </c>
      <c r="L80">
        <f>+data!AO80</f>
        <v>0</v>
      </c>
      <c r="M80">
        <f>+data!AN80</f>
        <v>0</v>
      </c>
      <c r="N80">
        <f>+data!AU80</f>
        <v>0</v>
      </c>
      <c r="O80">
        <f>+data!AV80</f>
        <v>1</v>
      </c>
      <c r="P80">
        <f>+data!AD80</f>
        <v>1</v>
      </c>
      <c r="Q80">
        <f>+data!AF80</f>
        <v>7.6014020000000002</v>
      </c>
      <c r="R80">
        <f>+data!AG80</f>
        <v>1.0986119999999999</v>
      </c>
      <c r="S80">
        <f>+data!AE80</f>
        <v>0</v>
      </c>
    </row>
    <row r="81" spans="1:19" x14ac:dyDescent="0.25">
      <c r="A81">
        <f>+data!AI81</f>
        <v>4.7548587156715658E-2</v>
      </c>
      <c r="B81">
        <f>+data!AJ81</f>
        <v>6.0124843904687551E-2</v>
      </c>
      <c r="C81">
        <f>+data!W81</f>
        <v>0</v>
      </c>
      <c r="D81">
        <f>+data!AQ81</f>
        <v>1</v>
      </c>
      <c r="E81">
        <f>+data!T81</f>
        <v>0</v>
      </c>
      <c r="F81">
        <f>+data!X81</f>
        <v>0</v>
      </c>
      <c r="G81">
        <f>+data!Y81</f>
        <v>0</v>
      </c>
      <c r="H81">
        <f>+data!U81</f>
        <v>0</v>
      </c>
      <c r="I81">
        <f>+data!V81</f>
        <v>0</v>
      </c>
      <c r="J81">
        <f>+data!AS81</f>
        <v>0</v>
      </c>
      <c r="K81">
        <f>+data!AT81</f>
        <v>0</v>
      </c>
      <c r="L81">
        <f>+data!AO81</f>
        <v>0</v>
      </c>
      <c r="M81">
        <f>+data!AN81</f>
        <v>0</v>
      </c>
      <c r="N81">
        <f>+data!AU81</f>
        <v>1</v>
      </c>
      <c r="O81">
        <f>+data!AV81</f>
        <v>0</v>
      </c>
      <c r="P81">
        <f>+data!AD81</f>
        <v>1</v>
      </c>
      <c r="Q81">
        <f>+data!AF81</f>
        <v>7.6014020000000002</v>
      </c>
      <c r="R81">
        <f>+data!AG81</f>
        <v>1.0986119999999999</v>
      </c>
      <c r="S81">
        <f>+data!AE81</f>
        <v>0</v>
      </c>
    </row>
    <row r="82" spans="1:19" x14ac:dyDescent="0.25">
      <c r="A82">
        <f>+data!AI82</f>
        <v>-6.4023299235494907E-2</v>
      </c>
      <c r="B82">
        <f>+data!AJ82</f>
        <v>2.8454799660219958E-2</v>
      </c>
      <c r="C82">
        <f>+data!W82</f>
        <v>0</v>
      </c>
      <c r="D82">
        <f>+data!AQ82</f>
        <v>1</v>
      </c>
      <c r="E82">
        <f>+data!T82</f>
        <v>0</v>
      </c>
      <c r="F82">
        <f>+data!X82</f>
        <v>0</v>
      </c>
      <c r="G82">
        <f>+data!Y82</f>
        <v>0</v>
      </c>
      <c r="H82">
        <f>+data!U82</f>
        <v>0</v>
      </c>
      <c r="I82">
        <f>+data!V82</f>
        <v>0</v>
      </c>
      <c r="J82">
        <f>+data!AS82</f>
        <v>0</v>
      </c>
      <c r="K82">
        <f>+data!AT82</f>
        <v>0</v>
      </c>
      <c r="L82">
        <f>+data!AO82</f>
        <v>0</v>
      </c>
      <c r="M82">
        <f>+data!AN82</f>
        <v>0</v>
      </c>
      <c r="N82">
        <f>+data!AU82</f>
        <v>1</v>
      </c>
      <c r="O82">
        <f>+data!AV82</f>
        <v>0</v>
      </c>
      <c r="P82">
        <f>+data!AD82</f>
        <v>1</v>
      </c>
      <c r="Q82">
        <f>+data!AF82</f>
        <v>7.6014020000000002</v>
      </c>
      <c r="R82">
        <f>+data!AG82</f>
        <v>1.0986119999999999</v>
      </c>
      <c r="S82">
        <f>+data!AE82</f>
        <v>0</v>
      </c>
    </row>
    <row r="83" spans="1:19" x14ac:dyDescent="0.25">
      <c r="A83">
        <f>+data!AI83</f>
        <v>-7.2433647520031716E-2</v>
      </c>
      <c r="B83">
        <f>+data!AJ83</f>
        <v>2.5777856911540695E-2</v>
      </c>
      <c r="C83">
        <f>+data!W83</f>
        <v>0</v>
      </c>
      <c r="D83">
        <f>+data!AQ83</f>
        <v>1</v>
      </c>
      <c r="E83">
        <f>+data!T83</f>
        <v>0</v>
      </c>
      <c r="F83">
        <f>+data!X83</f>
        <v>0</v>
      </c>
      <c r="G83">
        <f>+data!Y83</f>
        <v>0</v>
      </c>
      <c r="H83">
        <f>+data!U83</f>
        <v>0</v>
      </c>
      <c r="I83">
        <f>+data!V83</f>
        <v>0</v>
      </c>
      <c r="J83">
        <f>+data!AS83</f>
        <v>0</v>
      </c>
      <c r="K83">
        <f>+data!AT83</f>
        <v>0</v>
      </c>
      <c r="L83">
        <f>+data!AO83</f>
        <v>0</v>
      </c>
      <c r="M83">
        <f>+data!AN83</f>
        <v>0</v>
      </c>
      <c r="N83">
        <f>+data!AU83</f>
        <v>1</v>
      </c>
      <c r="O83">
        <f>+data!AV83</f>
        <v>0</v>
      </c>
      <c r="P83">
        <f>+data!AD83</f>
        <v>1</v>
      </c>
      <c r="Q83">
        <f>+data!AF83</f>
        <v>7.6014020000000002</v>
      </c>
      <c r="R83">
        <f>+data!AG83</f>
        <v>1.0986119999999999</v>
      </c>
      <c r="S83">
        <f>+data!AE83</f>
        <v>0</v>
      </c>
    </row>
    <row r="84" spans="1:19" x14ac:dyDescent="0.25">
      <c r="A84">
        <f>+data!AI84</f>
        <v>-1.5553975713396315E-2</v>
      </c>
      <c r="B84">
        <f>+data!AJ84</f>
        <v>4.0450775764705182E-2</v>
      </c>
      <c r="C84">
        <f>+data!W84</f>
        <v>0</v>
      </c>
      <c r="D84">
        <f>+data!AQ84</f>
        <v>1</v>
      </c>
      <c r="E84">
        <f>+data!T84</f>
        <v>0</v>
      </c>
      <c r="F84">
        <f>+data!X84</f>
        <v>0</v>
      </c>
      <c r="G84">
        <f>+data!Y84</f>
        <v>0</v>
      </c>
      <c r="H84">
        <f>+data!U84</f>
        <v>0</v>
      </c>
      <c r="I84">
        <f>+data!V84</f>
        <v>0</v>
      </c>
      <c r="J84">
        <f>+data!AS84</f>
        <v>0</v>
      </c>
      <c r="K84">
        <f>+data!AT84</f>
        <v>0</v>
      </c>
      <c r="L84">
        <f>+data!AO84</f>
        <v>0</v>
      </c>
      <c r="M84">
        <f>+data!AN84</f>
        <v>0</v>
      </c>
      <c r="N84">
        <f>+data!AU84</f>
        <v>0</v>
      </c>
      <c r="O84">
        <f>+data!AV84</f>
        <v>1</v>
      </c>
      <c r="P84">
        <f>+data!AD84</f>
        <v>1</v>
      </c>
      <c r="Q84">
        <f>+data!AF84</f>
        <v>7.6014020000000002</v>
      </c>
      <c r="R84">
        <f>+data!AG84</f>
        <v>1.0986119999999999</v>
      </c>
      <c r="S84">
        <f>+data!AE84</f>
        <v>0</v>
      </c>
    </row>
    <row r="85" spans="1:19" x14ac:dyDescent="0.25">
      <c r="A85">
        <f>+data!AI85</f>
        <v>-3.1291128082982333E-3</v>
      </c>
      <c r="B85">
        <f>+data!AJ85</f>
        <v>2.9247625840828385E-2</v>
      </c>
      <c r="C85">
        <f>+data!W85</f>
        <v>0</v>
      </c>
      <c r="D85">
        <f>+data!AQ85</f>
        <v>1</v>
      </c>
      <c r="E85">
        <f>+data!T85</f>
        <v>0</v>
      </c>
      <c r="F85">
        <f>+data!X85</f>
        <v>0</v>
      </c>
      <c r="G85">
        <f>+data!Y85</f>
        <v>0</v>
      </c>
      <c r="H85">
        <f>+data!U85</f>
        <v>0</v>
      </c>
      <c r="I85">
        <f>+data!V85</f>
        <v>0</v>
      </c>
      <c r="J85">
        <f>+data!AS85</f>
        <v>0</v>
      </c>
      <c r="K85">
        <f>+data!AT85</f>
        <v>0</v>
      </c>
      <c r="L85">
        <f>+data!AO85</f>
        <v>0</v>
      </c>
      <c r="M85">
        <f>+data!AN85</f>
        <v>0</v>
      </c>
      <c r="N85">
        <f>+data!AU85</f>
        <v>0</v>
      </c>
      <c r="O85">
        <f>+data!AV85</f>
        <v>1</v>
      </c>
      <c r="P85">
        <f>+data!AD85</f>
        <v>1</v>
      </c>
      <c r="Q85">
        <f>+data!AF85</f>
        <v>7.6014020000000002</v>
      </c>
      <c r="R85">
        <f>+data!AG85</f>
        <v>1.0986119999999999</v>
      </c>
      <c r="S85">
        <f>+data!AE85</f>
        <v>0</v>
      </c>
    </row>
    <row r="86" spans="1:19" x14ac:dyDescent="0.25">
      <c r="A86">
        <f>+data!AI86</f>
        <v>-0.12173959579853437</v>
      </c>
      <c r="B86">
        <f>+data!AJ86</f>
        <v>4.319571980968176E-2</v>
      </c>
      <c r="C86">
        <f>+data!W86</f>
        <v>0</v>
      </c>
      <c r="D86">
        <f>+data!AQ86</f>
        <v>1</v>
      </c>
      <c r="E86">
        <f>+data!T86</f>
        <v>0</v>
      </c>
      <c r="F86">
        <f>+data!X86</f>
        <v>0</v>
      </c>
      <c r="G86">
        <f>+data!Y86</f>
        <v>0</v>
      </c>
      <c r="H86">
        <f>+data!U86</f>
        <v>0</v>
      </c>
      <c r="I86">
        <f>+data!V86</f>
        <v>0</v>
      </c>
      <c r="J86">
        <f>+data!AS86</f>
        <v>0</v>
      </c>
      <c r="K86">
        <f>+data!AT86</f>
        <v>0</v>
      </c>
      <c r="L86">
        <f>+data!AO86</f>
        <v>0</v>
      </c>
      <c r="M86">
        <f>+data!AN86</f>
        <v>0</v>
      </c>
      <c r="N86">
        <f>+data!AU86</f>
        <v>0</v>
      </c>
      <c r="O86">
        <f>+data!AV86</f>
        <v>1</v>
      </c>
      <c r="P86">
        <f>+data!AD86</f>
        <v>1</v>
      </c>
      <c r="Q86">
        <f>+data!AF86</f>
        <v>7.6014020000000002</v>
      </c>
      <c r="R86">
        <f>+data!AG86</f>
        <v>1.0986119999999999</v>
      </c>
      <c r="S86">
        <f>+data!AE86</f>
        <v>0</v>
      </c>
    </row>
    <row r="87" spans="1:19" x14ac:dyDescent="0.25">
      <c r="A87">
        <f>+data!AI87</f>
        <v>-6.6001592999945333E-2</v>
      </c>
      <c r="B87">
        <f>+data!AJ87</f>
        <v>1.8127198077449776E-2</v>
      </c>
      <c r="C87">
        <f>+data!W87</f>
        <v>0</v>
      </c>
      <c r="D87">
        <f>+data!AQ87</f>
        <v>0</v>
      </c>
      <c r="E87">
        <f>+data!T87</f>
        <v>0</v>
      </c>
      <c r="F87">
        <f>+data!X87</f>
        <v>0</v>
      </c>
      <c r="G87">
        <f>+data!Y87</f>
        <v>0</v>
      </c>
      <c r="H87">
        <f>+data!U87</f>
        <v>0</v>
      </c>
      <c r="I87">
        <f>+data!V87</f>
        <v>0</v>
      </c>
      <c r="J87">
        <f>+data!AS87</f>
        <v>0</v>
      </c>
      <c r="K87">
        <f>+data!AT87</f>
        <v>0</v>
      </c>
      <c r="L87">
        <f>+data!AO87</f>
        <v>0</v>
      </c>
      <c r="M87">
        <f>+data!AN87</f>
        <v>0</v>
      </c>
      <c r="N87">
        <f>+data!AU87</f>
        <v>1</v>
      </c>
      <c r="O87">
        <f>+data!AV87</f>
        <v>0</v>
      </c>
      <c r="P87">
        <f>+data!AD87</f>
        <v>1</v>
      </c>
      <c r="Q87">
        <f>+data!AF87</f>
        <v>7.6014020000000002</v>
      </c>
      <c r="R87">
        <f>+data!AG87</f>
        <v>1.0986119999999999</v>
      </c>
      <c r="S87">
        <f>+data!AE87</f>
        <v>0</v>
      </c>
    </row>
    <row r="88" spans="1:19" x14ac:dyDescent="0.25">
      <c r="A88">
        <f>+data!AI88</f>
        <v>-3.8099826108228277E-2</v>
      </c>
      <c r="B88">
        <f>+data!AJ88</f>
        <v>2.0679551633964611E-2</v>
      </c>
      <c r="C88">
        <f>+data!W88</f>
        <v>0</v>
      </c>
      <c r="D88">
        <f>+data!AQ88</f>
        <v>0</v>
      </c>
      <c r="E88">
        <f>+data!T88</f>
        <v>0</v>
      </c>
      <c r="F88">
        <f>+data!X88</f>
        <v>0</v>
      </c>
      <c r="G88">
        <f>+data!Y88</f>
        <v>0</v>
      </c>
      <c r="H88">
        <f>+data!U88</f>
        <v>0</v>
      </c>
      <c r="I88">
        <f>+data!V88</f>
        <v>0</v>
      </c>
      <c r="J88">
        <f>+data!AS88</f>
        <v>0</v>
      </c>
      <c r="K88">
        <f>+data!AT88</f>
        <v>0</v>
      </c>
      <c r="L88">
        <f>+data!AO88</f>
        <v>0</v>
      </c>
      <c r="M88">
        <f>+data!AN88</f>
        <v>0</v>
      </c>
      <c r="N88">
        <f>+data!AU88</f>
        <v>0</v>
      </c>
      <c r="O88">
        <f>+data!AV88</f>
        <v>1</v>
      </c>
      <c r="P88">
        <f>+data!AD88</f>
        <v>1</v>
      </c>
      <c r="Q88">
        <f>+data!AF88</f>
        <v>7.6014020000000002</v>
      </c>
      <c r="R88">
        <f>+data!AG88</f>
        <v>1.0986119999999999</v>
      </c>
      <c r="S88">
        <f>+data!AE88</f>
        <v>0</v>
      </c>
    </row>
    <row r="89" spans="1:19" x14ac:dyDescent="0.25">
      <c r="A89">
        <f>+data!AI89</f>
        <v>-0.10457568709400415</v>
      </c>
      <c r="B89">
        <f>+data!AJ89</f>
        <v>5.9327906142219354E-2</v>
      </c>
      <c r="C89">
        <f>+data!W89</f>
        <v>0</v>
      </c>
      <c r="D89">
        <f>+data!AQ89</f>
        <v>0</v>
      </c>
      <c r="E89">
        <f>+data!T89</f>
        <v>0</v>
      </c>
      <c r="F89">
        <f>+data!X89</f>
        <v>0</v>
      </c>
      <c r="G89">
        <f>+data!Y89</f>
        <v>0</v>
      </c>
      <c r="H89">
        <f>+data!U89</f>
        <v>0</v>
      </c>
      <c r="I89">
        <f>+data!V89</f>
        <v>0</v>
      </c>
      <c r="J89">
        <f>+data!AS89</f>
        <v>0</v>
      </c>
      <c r="K89">
        <f>+data!AT89</f>
        <v>0</v>
      </c>
      <c r="L89">
        <f>+data!AO89</f>
        <v>0</v>
      </c>
      <c r="M89">
        <f>+data!AN89</f>
        <v>0</v>
      </c>
      <c r="N89">
        <f>+data!AU89</f>
        <v>1</v>
      </c>
      <c r="O89">
        <f>+data!AV89</f>
        <v>0</v>
      </c>
      <c r="P89">
        <f>+data!AD89</f>
        <v>1</v>
      </c>
      <c r="Q89">
        <f>+data!AF89</f>
        <v>7.6014020000000002</v>
      </c>
      <c r="R89">
        <f>+data!AG89</f>
        <v>1.0986119999999999</v>
      </c>
      <c r="S89">
        <f>+data!AE89</f>
        <v>0</v>
      </c>
    </row>
    <row r="90" spans="1:19" x14ac:dyDescent="0.25">
      <c r="A90">
        <f>+data!AI90</f>
        <v>-2.1662879740979881E-2</v>
      </c>
      <c r="B90">
        <f>+data!AJ90</f>
        <v>2.8448842069479605E-2</v>
      </c>
      <c r="C90">
        <f>+data!W90</f>
        <v>0</v>
      </c>
      <c r="D90">
        <f>+data!AQ90</f>
        <v>0</v>
      </c>
      <c r="E90">
        <f>+data!T90</f>
        <v>0</v>
      </c>
      <c r="F90">
        <f>+data!X90</f>
        <v>0</v>
      </c>
      <c r="G90">
        <f>+data!Y90</f>
        <v>0</v>
      </c>
      <c r="H90">
        <f>+data!U90</f>
        <v>0</v>
      </c>
      <c r="I90">
        <f>+data!V90</f>
        <v>0</v>
      </c>
      <c r="J90">
        <f>+data!AS90</f>
        <v>0</v>
      </c>
      <c r="K90">
        <f>+data!AT90</f>
        <v>0</v>
      </c>
      <c r="L90">
        <f>+data!AO90</f>
        <v>0</v>
      </c>
      <c r="M90">
        <f>+data!AN90</f>
        <v>0</v>
      </c>
      <c r="N90">
        <f>+data!AU90</f>
        <v>1</v>
      </c>
      <c r="O90">
        <f>+data!AV90</f>
        <v>0</v>
      </c>
      <c r="P90">
        <f>+data!AD90</f>
        <v>1</v>
      </c>
      <c r="Q90">
        <f>+data!AF90</f>
        <v>7.6014020000000002</v>
      </c>
      <c r="R90">
        <f>+data!AG90</f>
        <v>1.0986119999999999</v>
      </c>
      <c r="S90">
        <f>+data!AE90</f>
        <v>0</v>
      </c>
    </row>
    <row r="91" spans="1:19" x14ac:dyDescent="0.25">
      <c r="A91">
        <f>+data!AI91</f>
        <v>-6.7519692400018982E-2</v>
      </c>
      <c r="B91">
        <f>+data!AJ91</f>
        <v>2.5743809659367969E-2</v>
      </c>
      <c r="C91">
        <f>+data!W91</f>
        <v>0</v>
      </c>
      <c r="D91">
        <f>+data!AQ91</f>
        <v>0</v>
      </c>
      <c r="E91">
        <f>+data!T91</f>
        <v>0</v>
      </c>
      <c r="F91">
        <f>+data!X91</f>
        <v>0</v>
      </c>
      <c r="G91">
        <f>+data!Y91</f>
        <v>0</v>
      </c>
      <c r="H91">
        <f>+data!U91</f>
        <v>0</v>
      </c>
      <c r="I91">
        <f>+data!V91</f>
        <v>0</v>
      </c>
      <c r="J91">
        <f>+data!AS91</f>
        <v>0</v>
      </c>
      <c r="K91">
        <f>+data!AT91</f>
        <v>0</v>
      </c>
      <c r="L91">
        <f>+data!AO91</f>
        <v>0</v>
      </c>
      <c r="M91">
        <f>+data!AN91</f>
        <v>0</v>
      </c>
      <c r="N91">
        <f>+data!AU91</f>
        <v>1</v>
      </c>
      <c r="O91">
        <f>+data!AV91</f>
        <v>0</v>
      </c>
      <c r="P91">
        <f>+data!AD91</f>
        <v>1</v>
      </c>
      <c r="Q91">
        <f>+data!AF91</f>
        <v>7.6014020000000002</v>
      </c>
      <c r="R91">
        <f>+data!AG91</f>
        <v>1.0986119999999999</v>
      </c>
      <c r="S91">
        <f>+data!AE91</f>
        <v>0</v>
      </c>
    </row>
    <row r="92" spans="1:19" x14ac:dyDescent="0.25">
      <c r="A92">
        <f>+data!AI92</f>
        <v>-5.1684116040767003E-2</v>
      </c>
      <c r="B92">
        <f>+data!AJ92</f>
        <v>4.0237298394154172E-2</v>
      </c>
      <c r="C92">
        <f>+data!W92</f>
        <v>0</v>
      </c>
      <c r="D92">
        <f>+data!AQ92</f>
        <v>0</v>
      </c>
      <c r="E92">
        <f>+data!T92</f>
        <v>0</v>
      </c>
      <c r="F92">
        <f>+data!X92</f>
        <v>0</v>
      </c>
      <c r="G92">
        <f>+data!Y92</f>
        <v>0</v>
      </c>
      <c r="H92">
        <f>+data!U92</f>
        <v>0</v>
      </c>
      <c r="I92">
        <f>+data!V92</f>
        <v>0</v>
      </c>
      <c r="J92">
        <f>+data!AS92</f>
        <v>0</v>
      </c>
      <c r="K92">
        <f>+data!AT92</f>
        <v>0</v>
      </c>
      <c r="L92">
        <f>+data!AO92</f>
        <v>0</v>
      </c>
      <c r="M92">
        <f>+data!AN92</f>
        <v>0</v>
      </c>
      <c r="N92">
        <f>+data!AU92</f>
        <v>0</v>
      </c>
      <c r="O92">
        <f>+data!AV92</f>
        <v>1</v>
      </c>
      <c r="P92">
        <f>+data!AD92</f>
        <v>1</v>
      </c>
      <c r="Q92">
        <f>+data!AF92</f>
        <v>7.6014020000000002</v>
      </c>
      <c r="R92">
        <f>+data!AG92</f>
        <v>1.0986119999999999</v>
      </c>
      <c r="S92">
        <f>+data!AE92</f>
        <v>0</v>
      </c>
    </row>
    <row r="93" spans="1:19" x14ac:dyDescent="0.25">
      <c r="A93">
        <f>+data!AI93</f>
        <v>-5.9690572967110694E-2</v>
      </c>
      <c r="B93">
        <f>+data!AJ93</f>
        <v>2.913338056743384E-2</v>
      </c>
      <c r="C93">
        <f>+data!W93</f>
        <v>0</v>
      </c>
      <c r="D93">
        <f>+data!AQ93</f>
        <v>0</v>
      </c>
      <c r="E93">
        <f>+data!T93</f>
        <v>0</v>
      </c>
      <c r="F93">
        <f>+data!X93</f>
        <v>0</v>
      </c>
      <c r="G93">
        <f>+data!Y93</f>
        <v>0</v>
      </c>
      <c r="H93">
        <f>+data!U93</f>
        <v>0</v>
      </c>
      <c r="I93">
        <f>+data!V93</f>
        <v>0</v>
      </c>
      <c r="J93">
        <f>+data!AS93</f>
        <v>0</v>
      </c>
      <c r="K93">
        <f>+data!AT93</f>
        <v>0</v>
      </c>
      <c r="L93">
        <f>+data!AO93</f>
        <v>0</v>
      </c>
      <c r="M93">
        <f>+data!AN93</f>
        <v>0</v>
      </c>
      <c r="N93">
        <f>+data!AU93</f>
        <v>0</v>
      </c>
      <c r="O93">
        <f>+data!AV93</f>
        <v>1</v>
      </c>
      <c r="P93">
        <f>+data!AD93</f>
        <v>1</v>
      </c>
      <c r="Q93">
        <f>+data!AF93</f>
        <v>7.6014020000000002</v>
      </c>
      <c r="R93">
        <f>+data!AG93</f>
        <v>1.0986119999999999</v>
      </c>
      <c r="S93">
        <f>+data!AE93</f>
        <v>0</v>
      </c>
    </row>
    <row r="94" spans="1:19" x14ac:dyDescent="0.25">
      <c r="A94">
        <f>+data!AI94</f>
        <v>4.9419005281307826E-2</v>
      </c>
      <c r="B94">
        <f>+data!AJ94</f>
        <v>4.3261883311833414E-2</v>
      </c>
      <c r="C94">
        <f>+data!W94</f>
        <v>0</v>
      </c>
      <c r="D94">
        <f>+data!AQ94</f>
        <v>0</v>
      </c>
      <c r="E94">
        <f>+data!T94</f>
        <v>0</v>
      </c>
      <c r="F94">
        <f>+data!X94</f>
        <v>0</v>
      </c>
      <c r="G94">
        <f>+data!Y94</f>
        <v>0</v>
      </c>
      <c r="H94">
        <f>+data!U94</f>
        <v>0</v>
      </c>
      <c r="I94">
        <f>+data!V94</f>
        <v>0</v>
      </c>
      <c r="J94">
        <f>+data!AS94</f>
        <v>0</v>
      </c>
      <c r="K94">
        <f>+data!AT94</f>
        <v>0</v>
      </c>
      <c r="L94">
        <f>+data!AO94</f>
        <v>0</v>
      </c>
      <c r="M94">
        <f>+data!AN94</f>
        <v>0</v>
      </c>
      <c r="N94">
        <f>+data!AU94</f>
        <v>0</v>
      </c>
      <c r="O94">
        <f>+data!AV94</f>
        <v>1</v>
      </c>
      <c r="P94">
        <f>+data!AD94</f>
        <v>1</v>
      </c>
      <c r="Q94">
        <f>+data!AF94</f>
        <v>7.6014020000000002</v>
      </c>
      <c r="R94">
        <f>+data!AG94</f>
        <v>1.0986119999999999</v>
      </c>
      <c r="S94">
        <f>+data!AE94</f>
        <v>0</v>
      </c>
    </row>
    <row r="95" spans="1:19" x14ac:dyDescent="0.25">
      <c r="A95">
        <f>+data!AI95</f>
        <v>-0.40276391223903674</v>
      </c>
      <c r="B95">
        <f>+data!AJ95</f>
        <v>0.16439343356695377</v>
      </c>
      <c r="C95">
        <f>+data!W95</f>
        <v>0</v>
      </c>
      <c r="D95">
        <f>+data!AQ95</f>
        <v>1</v>
      </c>
      <c r="E95">
        <f>+data!T95</f>
        <v>0</v>
      </c>
      <c r="F95">
        <f>+data!X95</f>
        <v>0</v>
      </c>
      <c r="G95">
        <f>+data!Y95</f>
        <v>1</v>
      </c>
      <c r="H95">
        <f>+data!U95</f>
        <v>0</v>
      </c>
      <c r="I95">
        <f>+data!V95</f>
        <v>1</v>
      </c>
      <c r="J95">
        <f>+data!AS95</f>
        <v>0</v>
      </c>
      <c r="K95">
        <f>+data!AT95</f>
        <v>0</v>
      </c>
      <c r="L95">
        <f>+data!AO95</f>
        <v>0</v>
      </c>
      <c r="M95">
        <f>+data!AN95</f>
        <v>1</v>
      </c>
      <c r="N95">
        <f>+data!AU95</f>
        <v>0</v>
      </c>
      <c r="O95">
        <f>+data!AV95</f>
        <v>0</v>
      </c>
      <c r="P95">
        <f>+data!AD95</f>
        <v>1</v>
      </c>
      <c r="Q95">
        <f>+data!AF95</f>
        <v>7.5938780000000001</v>
      </c>
      <c r="R95">
        <f>+data!AG95</f>
        <v>2.8903720000000002</v>
      </c>
      <c r="S95">
        <f>+data!AE95</f>
        <v>1</v>
      </c>
    </row>
    <row r="96" spans="1:19" x14ac:dyDescent="0.25">
      <c r="A96">
        <f>+data!AI96</f>
        <v>-0.1694664818475356</v>
      </c>
      <c r="B96">
        <f>+data!AJ96</f>
        <v>0.22037253816324515</v>
      </c>
      <c r="C96">
        <f>+data!W96</f>
        <v>0</v>
      </c>
      <c r="D96">
        <f>+data!AQ96</f>
        <v>1</v>
      </c>
      <c r="E96">
        <f>+data!T96</f>
        <v>0</v>
      </c>
      <c r="F96">
        <f>+data!X96</f>
        <v>0</v>
      </c>
      <c r="G96">
        <f>+data!Y96</f>
        <v>1</v>
      </c>
      <c r="H96">
        <f>+data!U96</f>
        <v>1</v>
      </c>
      <c r="I96">
        <f>+data!V96</f>
        <v>1</v>
      </c>
      <c r="J96">
        <f>+data!AS96</f>
        <v>0</v>
      </c>
      <c r="K96">
        <f>+data!AT96</f>
        <v>0</v>
      </c>
      <c r="L96">
        <f>+data!AO96</f>
        <v>0</v>
      </c>
      <c r="M96">
        <f>+data!AN96</f>
        <v>1</v>
      </c>
      <c r="N96">
        <f>+data!AU96</f>
        <v>0</v>
      </c>
      <c r="O96">
        <f>+data!AV96</f>
        <v>0</v>
      </c>
      <c r="P96">
        <f>+data!AD96</f>
        <v>1</v>
      </c>
      <c r="Q96">
        <f>+data!AF96</f>
        <v>7.5938780000000001</v>
      </c>
      <c r="R96">
        <f>+data!AG96</f>
        <v>2.8903720000000002</v>
      </c>
      <c r="S96">
        <f>+data!AE96</f>
        <v>1</v>
      </c>
    </row>
    <row r="97" spans="1:19" x14ac:dyDescent="0.25">
      <c r="A97">
        <f>+data!AI97</f>
        <v>-0.44284332522566217</v>
      </c>
      <c r="B97">
        <f>+data!AJ97</f>
        <v>0.16103393644569483</v>
      </c>
      <c r="C97">
        <f>+data!W97</f>
        <v>0</v>
      </c>
      <c r="D97">
        <f>+data!AQ97</f>
        <v>1</v>
      </c>
      <c r="E97">
        <f>+data!T97</f>
        <v>0</v>
      </c>
      <c r="F97">
        <f>+data!X97</f>
        <v>0</v>
      </c>
      <c r="G97">
        <f>+data!Y97</f>
        <v>1</v>
      </c>
      <c r="H97">
        <f>+data!U97</f>
        <v>0</v>
      </c>
      <c r="I97">
        <f>+data!V97</f>
        <v>1</v>
      </c>
      <c r="J97">
        <f>+data!AS97</f>
        <v>0</v>
      </c>
      <c r="K97">
        <f>+data!AT97</f>
        <v>0</v>
      </c>
      <c r="L97">
        <f>+data!AO97</f>
        <v>0</v>
      </c>
      <c r="M97">
        <f>+data!AN97</f>
        <v>1</v>
      </c>
      <c r="N97">
        <f>+data!AU97</f>
        <v>0</v>
      </c>
      <c r="O97">
        <f>+data!AV97</f>
        <v>0</v>
      </c>
      <c r="P97">
        <f>+data!AD97</f>
        <v>1</v>
      </c>
      <c r="Q97">
        <f>+data!AF97</f>
        <v>7.5938780000000001</v>
      </c>
      <c r="R97">
        <f>+data!AG97</f>
        <v>2.8903720000000002</v>
      </c>
      <c r="S97">
        <f>+data!AE97</f>
        <v>1</v>
      </c>
    </row>
    <row r="98" spans="1:19" x14ac:dyDescent="0.25">
      <c r="A98">
        <f>+data!AI98</f>
        <v>0.54947855495614817</v>
      </c>
      <c r="B98">
        <f>+data!AJ98</f>
        <v>0.15789613648165132</v>
      </c>
      <c r="C98">
        <f>+data!W98</f>
        <v>0</v>
      </c>
      <c r="D98">
        <f>+data!AQ98</f>
        <v>1</v>
      </c>
      <c r="E98">
        <f>+data!T98</f>
        <v>0</v>
      </c>
      <c r="F98">
        <f>+data!X98</f>
        <v>0</v>
      </c>
      <c r="G98">
        <f>+data!Y98</f>
        <v>1</v>
      </c>
      <c r="H98">
        <f>+data!U98</f>
        <v>0</v>
      </c>
      <c r="I98">
        <f>+data!V98</f>
        <v>1</v>
      </c>
      <c r="J98">
        <f>+data!AS98</f>
        <v>0</v>
      </c>
      <c r="K98">
        <f>+data!AT98</f>
        <v>0</v>
      </c>
      <c r="L98">
        <f>+data!AO98</f>
        <v>0</v>
      </c>
      <c r="M98">
        <f>+data!AN98</f>
        <v>1</v>
      </c>
      <c r="N98">
        <f>+data!AU98</f>
        <v>0</v>
      </c>
      <c r="O98">
        <f>+data!AV98</f>
        <v>0</v>
      </c>
      <c r="P98">
        <f>+data!AD98</f>
        <v>1</v>
      </c>
      <c r="Q98">
        <f>+data!AF98</f>
        <v>7.5938780000000001</v>
      </c>
      <c r="R98">
        <f>+data!AG98</f>
        <v>2.8903720000000002</v>
      </c>
      <c r="S98">
        <f>+data!AE98</f>
        <v>1</v>
      </c>
    </row>
    <row r="99" spans="1:19" x14ac:dyDescent="0.25">
      <c r="A99">
        <f>+data!AI99</f>
        <v>0.54640403211975597</v>
      </c>
      <c r="B99">
        <f>+data!AJ99</f>
        <v>0.16118113041880608</v>
      </c>
      <c r="C99">
        <f>+data!W99</f>
        <v>0</v>
      </c>
      <c r="D99">
        <f>+data!AQ99</f>
        <v>1</v>
      </c>
      <c r="E99">
        <f>+data!T99</f>
        <v>0</v>
      </c>
      <c r="F99">
        <f>+data!X99</f>
        <v>0</v>
      </c>
      <c r="G99">
        <f>+data!Y99</f>
        <v>1</v>
      </c>
      <c r="H99">
        <f>+data!U99</f>
        <v>0</v>
      </c>
      <c r="I99">
        <f>+data!V99</f>
        <v>1</v>
      </c>
      <c r="J99">
        <f>+data!AS99</f>
        <v>0</v>
      </c>
      <c r="K99">
        <f>+data!AT99</f>
        <v>0</v>
      </c>
      <c r="L99">
        <f>+data!AO99</f>
        <v>0</v>
      </c>
      <c r="M99">
        <f>+data!AN99</f>
        <v>1</v>
      </c>
      <c r="N99">
        <f>+data!AU99</f>
        <v>0</v>
      </c>
      <c r="O99">
        <f>+data!AV99</f>
        <v>0</v>
      </c>
      <c r="P99">
        <f>+data!AD99</f>
        <v>1</v>
      </c>
      <c r="Q99">
        <f>+data!AF99</f>
        <v>7.5938780000000001</v>
      </c>
      <c r="R99">
        <f>+data!AG99</f>
        <v>2.8903720000000002</v>
      </c>
      <c r="S99">
        <f>+data!AE99</f>
        <v>1</v>
      </c>
    </row>
    <row r="100" spans="1:19" x14ac:dyDescent="0.25">
      <c r="A100">
        <f>+data!AI100</f>
        <v>-0.54713292688051085</v>
      </c>
      <c r="B100">
        <f>+data!AJ100</f>
        <v>0.1554354905910538</v>
      </c>
      <c r="C100">
        <f>+data!W100</f>
        <v>0</v>
      </c>
      <c r="D100">
        <f>+data!AQ100</f>
        <v>1</v>
      </c>
      <c r="E100">
        <f>+data!T100</f>
        <v>0</v>
      </c>
      <c r="F100">
        <f>+data!X100</f>
        <v>0</v>
      </c>
      <c r="G100">
        <f>+data!Y100</f>
        <v>1</v>
      </c>
      <c r="H100">
        <f>+data!U100</f>
        <v>0</v>
      </c>
      <c r="I100">
        <f>+data!V100</f>
        <v>1</v>
      </c>
      <c r="J100">
        <f>+data!AS100</f>
        <v>0</v>
      </c>
      <c r="K100">
        <f>+data!AT100</f>
        <v>0</v>
      </c>
      <c r="L100">
        <f>+data!AO100</f>
        <v>0</v>
      </c>
      <c r="M100">
        <f>+data!AN100</f>
        <v>1</v>
      </c>
      <c r="N100">
        <f>+data!AU100</f>
        <v>0</v>
      </c>
      <c r="O100">
        <f>+data!AV100</f>
        <v>0</v>
      </c>
      <c r="P100">
        <f>+data!AD100</f>
        <v>1</v>
      </c>
      <c r="Q100">
        <f>+data!AF100</f>
        <v>7.5938780000000001</v>
      </c>
      <c r="R100">
        <f>+data!AG100</f>
        <v>2.8903720000000002</v>
      </c>
      <c r="S100">
        <f>+data!AE100</f>
        <v>1</v>
      </c>
    </row>
    <row r="101" spans="1:19" x14ac:dyDescent="0.25">
      <c r="A101">
        <f>+data!AI101</f>
        <v>-6.3567285063850744E-3</v>
      </c>
      <c r="B101">
        <f>+data!AJ101</f>
        <v>1.9599912894687311E-2</v>
      </c>
      <c r="C101">
        <f>+data!W101</f>
        <v>0</v>
      </c>
      <c r="D101">
        <f>+data!AQ101</f>
        <v>1</v>
      </c>
      <c r="E101">
        <f>+data!T101</f>
        <v>1</v>
      </c>
      <c r="F101">
        <f>+data!X101</f>
        <v>0</v>
      </c>
      <c r="G101">
        <f>+data!Y101</f>
        <v>1</v>
      </c>
      <c r="H101">
        <f>+data!U101</f>
        <v>0</v>
      </c>
      <c r="I101">
        <f>+data!V101</f>
        <v>0</v>
      </c>
      <c r="J101">
        <f>+data!AS101</f>
        <v>0</v>
      </c>
      <c r="K101">
        <f>+data!AT101</f>
        <v>0</v>
      </c>
      <c r="L101">
        <f>+data!AO101</f>
        <v>0</v>
      </c>
      <c r="M101">
        <f>+data!AN101</f>
        <v>1</v>
      </c>
      <c r="N101">
        <f>+data!AU101</f>
        <v>0</v>
      </c>
      <c r="O101">
        <f>+data!AV101</f>
        <v>1</v>
      </c>
      <c r="P101">
        <f>+data!AD101</f>
        <v>0</v>
      </c>
      <c r="Q101">
        <f>+data!AF101</f>
        <v>7.6053920000000002</v>
      </c>
      <c r="R101">
        <f>+data!AG101</f>
        <v>3.931826</v>
      </c>
      <c r="S101">
        <f>+data!AE101</f>
        <v>1</v>
      </c>
    </row>
    <row r="102" spans="1:19" x14ac:dyDescent="0.25">
      <c r="A102">
        <f>+data!AI102</f>
        <v>-5.941665764397969E-3</v>
      </c>
      <c r="B102">
        <f>+data!AJ102</f>
        <v>1.9607497022513298E-2</v>
      </c>
      <c r="C102">
        <f>+data!W102</f>
        <v>0</v>
      </c>
      <c r="D102">
        <f>+data!AQ102</f>
        <v>1</v>
      </c>
      <c r="E102">
        <f>+data!T102</f>
        <v>1</v>
      </c>
      <c r="F102">
        <f>+data!X102</f>
        <v>0</v>
      </c>
      <c r="G102">
        <f>+data!Y102</f>
        <v>1</v>
      </c>
      <c r="H102">
        <f>+data!U102</f>
        <v>0</v>
      </c>
      <c r="I102">
        <f>+data!V102</f>
        <v>0</v>
      </c>
      <c r="J102">
        <f>+data!AS102</f>
        <v>0</v>
      </c>
      <c r="K102">
        <f>+data!AT102</f>
        <v>0</v>
      </c>
      <c r="L102">
        <f>+data!AO102</f>
        <v>0</v>
      </c>
      <c r="M102">
        <f>+data!AN102</f>
        <v>1</v>
      </c>
      <c r="N102">
        <f>+data!AU102</f>
        <v>0</v>
      </c>
      <c r="O102">
        <f>+data!AV102</f>
        <v>1</v>
      </c>
      <c r="P102">
        <f>+data!AD102</f>
        <v>0</v>
      </c>
      <c r="Q102">
        <f>+data!AF102</f>
        <v>7.6053920000000002</v>
      </c>
      <c r="R102">
        <f>+data!AG102</f>
        <v>3.931826</v>
      </c>
      <c r="S102">
        <f>+data!AE102</f>
        <v>1</v>
      </c>
    </row>
    <row r="103" spans="1:19" x14ac:dyDescent="0.25">
      <c r="A103">
        <f>+data!AI103</f>
        <v>-5.5431340420802376E-3</v>
      </c>
      <c r="B103">
        <f>+data!AJ103</f>
        <v>1.9652929785557206E-2</v>
      </c>
      <c r="C103">
        <f>+data!W103</f>
        <v>0</v>
      </c>
      <c r="D103">
        <f>+data!AQ103</f>
        <v>1</v>
      </c>
      <c r="E103">
        <f>+data!T103</f>
        <v>1</v>
      </c>
      <c r="F103">
        <f>+data!X103</f>
        <v>0</v>
      </c>
      <c r="G103">
        <f>+data!Y103</f>
        <v>1</v>
      </c>
      <c r="H103">
        <f>+data!U103</f>
        <v>0</v>
      </c>
      <c r="I103">
        <f>+data!V103</f>
        <v>0</v>
      </c>
      <c r="J103">
        <f>+data!AS103</f>
        <v>0</v>
      </c>
      <c r="K103">
        <f>+data!AT103</f>
        <v>0</v>
      </c>
      <c r="L103">
        <f>+data!AO103</f>
        <v>0</v>
      </c>
      <c r="M103">
        <f>+data!AN103</f>
        <v>1</v>
      </c>
      <c r="N103">
        <f>+data!AU103</f>
        <v>0</v>
      </c>
      <c r="O103">
        <f>+data!AV103</f>
        <v>1</v>
      </c>
      <c r="P103">
        <f>+data!AD103</f>
        <v>0</v>
      </c>
      <c r="Q103">
        <f>+data!AF103</f>
        <v>7.6053920000000002</v>
      </c>
      <c r="R103">
        <f>+data!AG103</f>
        <v>3.931826</v>
      </c>
      <c r="S103">
        <f>+data!AE103</f>
        <v>1</v>
      </c>
    </row>
    <row r="104" spans="1:19" x14ac:dyDescent="0.25">
      <c r="A104">
        <f>+data!AI104</f>
        <v>-2.3831237995374415E-3</v>
      </c>
      <c r="B104">
        <f>+data!AJ104</f>
        <v>1.9660771346183891E-2</v>
      </c>
      <c r="C104">
        <f>+data!W104</f>
        <v>0</v>
      </c>
      <c r="D104">
        <f>+data!AQ104</f>
        <v>1</v>
      </c>
      <c r="E104">
        <f>+data!T104</f>
        <v>1</v>
      </c>
      <c r="F104">
        <f>+data!X104</f>
        <v>0</v>
      </c>
      <c r="G104">
        <f>+data!Y104</f>
        <v>1</v>
      </c>
      <c r="H104">
        <f>+data!U104</f>
        <v>0</v>
      </c>
      <c r="I104">
        <f>+data!V104</f>
        <v>0</v>
      </c>
      <c r="J104">
        <f>+data!AS104</f>
        <v>0</v>
      </c>
      <c r="K104">
        <f>+data!AT104</f>
        <v>0</v>
      </c>
      <c r="L104">
        <f>+data!AO104</f>
        <v>0</v>
      </c>
      <c r="M104">
        <f>+data!AN104</f>
        <v>1</v>
      </c>
      <c r="N104">
        <f>+data!AU104</f>
        <v>0</v>
      </c>
      <c r="O104">
        <f>+data!AV104</f>
        <v>1</v>
      </c>
      <c r="P104">
        <f>+data!AD104</f>
        <v>0</v>
      </c>
      <c r="Q104">
        <f>+data!AF104</f>
        <v>7.6053920000000002</v>
      </c>
      <c r="R104">
        <f>+data!AG104</f>
        <v>3.931826</v>
      </c>
      <c r="S104">
        <f>+data!AE104</f>
        <v>1</v>
      </c>
    </row>
    <row r="105" spans="1:19" x14ac:dyDescent="0.25">
      <c r="A105">
        <f>+data!AI105</f>
        <v>0.14126882130089874</v>
      </c>
      <c r="B105">
        <f>+data!AJ105</f>
        <v>5.948160896879947E-2</v>
      </c>
      <c r="C105">
        <f>+data!W105</f>
        <v>0</v>
      </c>
      <c r="D105">
        <f>+data!AQ105</f>
        <v>1</v>
      </c>
      <c r="E105">
        <f>+data!T105</f>
        <v>0</v>
      </c>
      <c r="F105">
        <f>+data!X105</f>
        <v>0</v>
      </c>
      <c r="G105">
        <f>+data!Y105</f>
        <v>0</v>
      </c>
      <c r="H105">
        <f>+data!U105</f>
        <v>1</v>
      </c>
      <c r="I105">
        <f>+data!V105</f>
        <v>1</v>
      </c>
      <c r="J105">
        <f>+data!AS105</f>
        <v>0</v>
      </c>
      <c r="K105">
        <f>+data!AT105</f>
        <v>0</v>
      </c>
      <c r="L105">
        <f>+data!AO105</f>
        <v>0</v>
      </c>
      <c r="M105">
        <f>+data!AN105</f>
        <v>1</v>
      </c>
      <c r="N105">
        <f>+data!AU105</f>
        <v>0</v>
      </c>
      <c r="O105">
        <f>+data!AV105</f>
        <v>1</v>
      </c>
      <c r="P105">
        <f>+data!AD105</f>
        <v>1</v>
      </c>
      <c r="Q105">
        <f>+data!AF105</f>
        <v>7.606884</v>
      </c>
      <c r="R105">
        <f>+data!AG105</f>
        <v>0</v>
      </c>
      <c r="S105">
        <f>+data!AE105</f>
        <v>0</v>
      </c>
    </row>
    <row r="106" spans="1:19" x14ac:dyDescent="0.25">
      <c r="A106">
        <f>+data!AI106</f>
        <v>0.21781167496067647</v>
      </c>
      <c r="B106">
        <f>+data!AJ106</f>
        <v>5.8641604797105208E-2</v>
      </c>
      <c r="C106">
        <f>+data!W106</f>
        <v>0</v>
      </c>
      <c r="D106">
        <f>+data!AQ106</f>
        <v>1</v>
      </c>
      <c r="E106">
        <f>+data!T106</f>
        <v>0</v>
      </c>
      <c r="F106">
        <f>+data!X106</f>
        <v>0</v>
      </c>
      <c r="G106">
        <f>+data!Y106</f>
        <v>0</v>
      </c>
      <c r="H106">
        <f>+data!U106</f>
        <v>1</v>
      </c>
      <c r="I106">
        <f>+data!V106</f>
        <v>1</v>
      </c>
      <c r="J106">
        <f>+data!AS106</f>
        <v>0</v>
      </c>
      <c r="K106">
        <f>+data!AT106</f>
        <v>0</v>
      </c>
      <c r="L106">
        <f>+data!AO106</f>
        <v>0</v>
      </c>
      <c r="M106">
        <f>+data!AN106</f>
        <v>1</v>
      </c>
      <c r="N106">
        <f>+data!AU106</f>
        <v>0</v>
      </c>
      <c r="O106">
        <f>+data!AV106</f>
        <v>1</v>
      </c>
      <c r="P106">
        <f>+data!AD106</f>
        <v>1</v>
      </c>
      <c r="Q106">
        <f>+data!AF106</f>
        <v>7.606884</v>
      </c>
      <c r="R106">
        <f>+data!AG106</f>
        <v>0</v>
      </c>
      <c r="S106">
        <f>+data!AE106</f>
        <v>0</v>
      </c>
    </row>
    <row r="107" spans="1:19" x14ac:dyDescent="0.25">
      <c r="A107">
        <f>+data!AI107</f>
        <v>-2.5741828445231419E-2</v>
      </c>
      <c r="B107">
        <f>+data!AJ107</f>
        <v>6.0064266372206646E-2</v>
      </c>
      <c r="C107">
        <f>+data!W107</f>
        <v>0</v>
      </c>
      <c r="D107">
        <f>+data!AQ107</f>
        <v>1</v>
      </c>
      <c r="E107">
        <f>+data!T107</f>
        <v>0</v>
      </c>
      <c r="F107">
        <f>+data!X107</f>
        <v>0</v>
      </c>
      <c r="G107">
        <f>+data!Y107</f>
        <v>0</v>
      </c>
      <c r="H107">
        <f>+data!U107</f>
        <v>1</v>
      </c>
      <c r="I107">
        <f>+data!V107</f>
        <v>1</v>
      </c>
      <c r="J107">
        <f>+data!AS107</f>
        <v>0</v>
      </c>
      <c r="K107">
        <f>+data!AT107</f>
        <v>0</v>
      </c>
      <c r="L107">
        <f>+data!AO107</f>
        <v>0</v>
      </c>
      <c r="M107">
        <f>+data!AN107</f>
        <v>1</v>
      </c>
      <c r="N107">
        <f>+data!AU107</f>
        <v>0</v>
      </c>
      <c r="O107">
        <f>+data!AV107</f>
        <v>1</v>
      </c>
      <c r="P107">
        <f>+data!AD107</f>
        <v>1</v>
      </c>
      <c r="Q107">
        <f>+data!AF107</f>
        <v>7.606884</v>
      </c>
      <c r="R107">
        <f>+data!AG107</f>
        <v>0</v>
      </c>
      <c r="S107">
        <f>+data!AE107</f>
        <v>0</v>
      </c>
    </row>
    <row r="108" spans="1:19" x14ac:dyDescent="0.25">
      <c r="A108">
        <f>+data!AI108</f>
        <v>-2.1843578459121576E-2</v>
      </c>
      <c r="B108">
        <f>+data!AJ108</f>
        <v>6.0069840762584335E-2</v>
      </c>
      <c r="C108">
        <f>+data!W108</f>
        <v>0</v>
      </c>
      <c r="D108">
        <f>+data!AQ108</f>
        <v>1</v>
      </c>
      <c r="E108">
        <f>+data!T108</f>
        <v>0</v>
      </c>
      <c r="F108">
        <f>+data!X108</f>
        <v>0</v>
      </c>
      <c r="G108">
        <f>+data!Y108</f>
        <v>0</v>
      </c>
      <c r="H108">
        <f>+data!U108</f>
        <v>1</v>
      </c>
      <c r="I108">
        <f>+data!V108</f>
        <v>1</v>
      </c>
      <c r="J108">
        <f>+data!AS108</f>
        <v>0</v>
      </c>
      <c r="K108">
        <f>+data!AT108</f>
        <v>0</v>
      </c>
      <c r="L108">
        <f>+data!AO108</f>
        <v>0</v>
      </c>
      <c r="M108">
        <f>+data!AN108</f>
        <v>1</v>
      </c>
      <c r="N108">
        <f>+data!AU108</f>
        <v>0</v>
      </c>
      <c r="O108">
        <f>+data!AV108</f>
        <v>1</v>
      </c>
      <c r="P108">
        <f>+data!AD108</f>
        <v>1</v>
      </c>
      <c r="Q108">
        <f>+data!AF108</f>
        <v>7.606884</v>
      </c>
      <c r="R108">
        <f>+data!AG108</f>
        <v>0</v>
      </c>
      <c r="S108">
        <f>+data!AE108</f>
        <v>0</v>
      </c>
    </row>
    <row r="109" spans="1:19" x14ac:dyDescent="0.25">
      <c r="A109">
        <f>+data!AI109</f>
        <v>5.5377210406600402E-2</v>
      </c>
      <c r="B109">
        <f>+data!AJ109</f>
        <v>5.9991977940483769E-2</v>
      </c>
      <c r="C109">
        <f>+data!W109</f>
        <v>0</v>
      </c>
      <c r="D109">
        <f>+data!AQ109</f>
        <v>1</v>
      </c>
      <c r="E109">
        <f>+data!T109</f>
        <v>0</v>
      </c>
      <c r="F109">
        <f>+data!X109</f>
        <v>0</v>
      </c>
      <c r="G109">
        <f>+data!Y109</f>
        <v>0</v>
      </c>
      <c r="H109">
        <f>+data!U109</f>
        <v>1</v>
      </c>
      <c r="I109">
        <f>+data!V109</f>
        <v>1</v>
      </c>
      <c r="J109">
        <f>+data!AS109</f>
        <v>0</v>
      </c>
      <c r="K109">
        <f>+data!AT109</f>
        <v>0</v>
      </c>
      <c r="L109">
        <f>+data!AO109</f>
        <v>0</v>
      </c>
      <c r="M109">
        <f>+data!AN109</f>
        <v>1</v>
      </c>
      <c r="N109">
        <f>+data!AU109</f>
        <v>0</v>
      </c>
      <c r="O109">
        <f>+data!AV109</f>
        <v>1</v>
      </c>
      <c r="P109">
        <f>+data!AD109</f>
        <v>1</v>
      </c>
      <c r="Q109">
        <f>+data!AF109</f>
        <v>7.606884</v>
      </c>
      <c r="R109">
        <f>+data!AG109</f>
        <v>0</v>
      </c>
      <c r="S109">
        <f>+data!AE109</f>
        <v>0</v>
      </c>
    </row>
    <row r="110" spans="1:19" x14ac:dyDescent="0.25">
      <c r="A110">
        <f>+data!AI110</f>
        <v>-4.919022402728547E-2</v>
      </c>
      <c r="B110">
        <f>+data!AJ110</f>
        <v>1.8919316933571333E-2</v>
      </c>
      <c r="C110">
        <f>+data!W110</f>
        <v>0</v>
      </c>
      <c r="D110">
        <f>+data!AQ110</f>
        <v>0</v>
      </c>
      <c r="E110">
        <f>+data!T110</f>
        <v>0</v>
      </c>
      <c r="F110">
        <f>+data!X110</f>
        <v>1</v>
      </c>
      <c r="G110">
        <f>+data!Y110</f>
        <v>0</v>
      </c>
      <c r="H110">
        <f>+data!U110</f>
        <v>1</v>
      </c>
      <c r="I110">
        <f>+data!V110</f>
        <v>1</v>
      </c>
      <c r="J110">
        <f>+data!AS110</f>
        <v>0</v>
      </c>
      <c r="K110">
        <f>+data!AT110</f>
        <v>0</v>
      </c>
      <c r="L110">
        <f>+data!AO110</f>
        <v>0</v>
      </c>
      <c r="M110">
        <f>+data!AN110</f>
        <v>1</v>
      </c>
      <c r="N110">
        <f>+data!AU110</f>
        <v>0</v>
      </c>
      <c r="O110">
        <f>+data!AV110</f>
        <v>0</v>
      </c>
      <c r="P110">
        <f>+data!AD110</f>
        <v>0</v>
      </c>
      <c r="Q110">
        <f>+data!AF110</f>
        <v>7.6063879999999999</v>
      </c>
      <c r="R110">
        <f>+data!AG110</f>
        <v>3.73767</v>
      </c>
      <c r="S110">
        <f>+data!AE110</f>
        <v>0</v>
      </c>
    </row>
    <row r="111" spans="1:19" x14ac:dyDescent="0.25">
      <c r="A111">
        <f>+data!AI111</f>
        <v>-4.7680174054302749E-2</v>
      </c>
      <c r="B111">
        <f>+data!AJ111</f>
        <v>1.8920703989802678E-2</v>
      </c>
      <c r="C111">
        <f>+data!W111</f>
        <v>0</v>
      </c>
      <c r="D111">
        <f>+data!AQ111</f>
        <v>0</v>
      </c>
      <c r="E111">
        <f>+data!T111</f>
        <v>0</v>
      </c>
      <c r="F111">
        <f>+data!X111</f>
        <v>1</v>
      </c>
      <c r="G111">
        <f>+data!Y111</f>
        <v>0</v>
      </c>
      <c r="H111">
        <f>+data!U111</f>
        <v>1</v>
      </c>
      <c r="I111">
        <f>+data!V111</f>
        <v>1</v>
      </c>
      <c r="J111">
        <f>+data!AS111</f>
        <v>0</v>
      </c>
      <c r="K111">
        <f>+data!AT111</f>
        <v>0</v>
      </c>
      <c r="L111">
        <f>+data!AO111</f>
        <v>0</v>
      </c>
      <c r="M111">
        <f>+data!AN111</f>
        <v>1</v>
      </c>
      <c r="N111">
        <f>+data!AU111</f>
        <v>0</v>
      </c>
      <c r="O111">
        <f>+data!AV111</f>
        <v>0</v>
      </c>
      <c r="P111">
        <f>+data!AD111</f>
        <v>0</v>
      </c>
      <c r="Q111">
        <f>+data!AF111</f>
        <v>7.6063879999999999</v>
      </c>
      <c r="R111">
        <f>+data!AG111</f>
        <v>3.73767</v>
      </c>
      <c r="S111">
        <f>+data!AE111</f>
        <v>0</v>
      </c>
    </row>
    <row r="112" spans="1:19" x14ac:dyDescent="0.25">
      <c r="A112">
        <f>+data!AI112</f>
        <v>-3.3419564776367143E-2</v>
      </c>
      <c r="B112">
        <f>+data!AJ112</f>
        <v>2.0278862121582007E-2</v>
      </c>
      <c r="C112">
        <f>+data!W112</f>
        <v>0</v>
      </c>
      <c r="D112">
        <f>+data!AQ112</f>
        <v>0</v>
      </c>
      <c r="E112">
        <f>+data!T112</f>
        <v>0</v>
      </c>
      <c r="F112">
        <f>+data!X112</f>
        <v>1</v>
      </c>
      <c r="G112">
        <f>+data!Y112</f>
        <v>0</v>
      </c>
      <c r="H112">
        <f>+data!U112</f>
        <v>1</v>
      </c>
      <c r="I112">
        <f>+data!V112</f>
        <v>1</v>
      </c>
      <c r="J112">
        <f>+data!AS112</f>
        <v>0</v>
      </c>
      <c r="K112">
        <f>+data!AT112</f>
        <v>0</v>
      </c>
      <c r="L112">
        <f>+data!AO112</f>
        <v>0</v>
      </c>
      <c r="M112">
        <f>+data!AN112</f>
        <v>1</v>
      </c>
      <c r="N112">
        <f>+data!AU112</f>
        <v>0</v>
      </c>
      <c r="O112">
        <f>+data!AV112</f>
        <v>0</v>
      </c>
      <c r="P112">
        <f>+data!AD112</f>
        <v>0</v>
      </c>
      <c r="Q112">
        <f>+data!AF112</f>
        <v>7.6063879999999999</v>
      </c>
      <c r="R112">
        <f>+data!AG112</f>
        <v>3.73767</v>
      </c>
      <c r="S112">
        <f>+data!AE112</f>
        <v>0</v>
      </c>
    </row>
    <row r="113" spans="1:19" x14ac:dyDescent="0.25">
      <c r="A113">
        <f>+data!AI113</f>
        <v>-4.896913751758418E-2</v>
      </c>
      <c r="B113">
        <f>+data!AJ113</f>
        <v>1.9535560179887303E-2</v>
      </c>
      <c r="C113">
        <f>+data!W113</f>
        <v>0</v>
      </c>
      <c r="D113">
        <f>+data!AQ113</f>
        <v>0</v>
      </c>
      <c r="E113">
        <f>+data!T113</f>
        <v>0</v>
      </c>
      <c r="F113">
        <f>+data!X113</f>
        <v>1</v>
      </c>
      <c r="G113">
        <f>+data!Y113</f>
        <v>0</v>
      </c>
      <c r="H113">
        <f>+data!U113</f>
        <v>1</v>
      </c>
      <c r="I113">
        <f>+data!V113</f>
        <v>1</v>
      </c>
      <c r="J113">
        <f>+data!AS113</f>
        <v>0</v>
      </c>
      <c r="K113">
        <f>+data!AT113</f>
        <v>0</v>
      </c>
      <c r="L113">
        <f>+data!AO113</f>
        <v>0</v>
      </c>
      <c r="M113">
        <f>+data!AN113</f>
        <v>1</v>
      </c>
      <c r="N113">
        <f>+data!AU113</f>
        <v>0</v>
      </c>
      <c r="O113">
        <f>+data!AV113</f>
        <v>0</v>
      </c>
      <c r="P113">
        <f>+data!AD113</f>
        <v>0</v>
      </c>
      <c r="Q113">
        <f>+data!AF113</f>
        <v>7.6063879999999999</v>
      </c>
      <c r="R113">
        <f>+data!AG113</f>
        <v>3.73767</v>
      </c>
      <c r="S113">
        <f>+data!AE113</f>
        <v>0</v>
      </c>
    </row>
    <row r="114" spans="1:19" x14ac:dyDescent="0.25">
      <c r="A114">
        <f>+data!AI114</f>
        <v>-3.777802867608944E-2</v>
      </c>
      <c r="B114">
        <f>+data!AJ114</f>
        <v>2.1052771398439932E-2</v>
      </c>
      <c r="C114">
        <f>+data!W114</f>
        <v>0</v>
      </c>
      <c r="D114">
        <f>+data!AQ114</f>
        <v>0</v>
      </c>
      <c r="E114">
        <f>+data!T114</f>
        <v>0</v>
      </c>
      <c r="F114">
        <f>+data!X114</f>
        <v>1</v>
      </c>
      <c r="G114">
        <f>+data!Y114</f>
        <v>0</v>
      </c>
      <c r="H114">
        <f>+data!U114</f>
        <v>1</v>
      </c>
      <c r="I114">
        <f>+data!V114</f>
        <v>1</v>
      </c>
      <c r="J114">
        <f>+data!AS114</f>
        <v>0</v>
      </c>
      <c r="K114">
        <f>+data!AT114</f>
        <v>0</v>
      </c>
      <c r="L114">
        <f>+data!AO114</f>
        <v>0</v>
      </c>
      <c r="M114">
        <f>+data!AN114</f>
        <v>1</v>
      </c>
      <c r="N114">
        <f>+data!AU114</f>
        <v>0</v>
      </c>
      <c r="O114">
        <f>+data!AV114</f>
        <v>0</v>
      </c>
      <c r="P114">
        <f>+data!AD114</f>
        <v>0</v>
      </c>
      <c r="Q114">
        <f>+data!AF114</f>
        <v>7.6063879999999999</v>
      </c>
      <c r="R114">
        <f>+data!AG114</f>
        <v>3.73767</v>
      </c>
      <c r="S114">
        <f>+data!AE114</f>
        <v>0</v>
      </c>
    </row>
    <row r="115" spans="1:19" x14ac:dyDescent="0.25">
      <c r="A115">
        <f>+data!AI115</f>
        <v>-0.19925598638924069</v>
      </c>
      <c r="B115">
        <f>+data!AJ115</f>
        <v>0.16332457900757441</v>
      </c>
      <c r="C115">
        <f>+data!W115</f>
        <v>1</v>
      </c>
      <c r="D115">
        <f>+data!AQ115</f>
        <v>1</v>
      </c>
      <c r="E115">
        <f>+data!T115</f>
        <v>0</v>
      </c>
      <c r="F115">
        <f>+data!X115</f>
        <v>0</v>
      </c>
      <c r="G115">
        <f>+data!Y115</f>
        <v>1</v>
      </c>
      <c r="H115">
        <f>+data!U115</f>
        <v>0</v>
      </c>
      <c r="I115">
        <f>+data!V115</f>
        <v>1</v>
      </c>
      <c r="J115">
        <f>+data!AS115</f>
        <v>0</v>
      </c>
      <c r="K115">
        <f>+data!AT115</f>
        <v>0</v>
      </c>
      <c r="L115">
        <f>+data!AO115</f>
        <v>1</v>
      </c>
      <c r="M115">
        <f>+data!AN115</f>
        <v>0</v>
      </c>
      <c r="N115">
        <f>+data!AU115</f>
        <v>0</v>
      </c>
      <c r="O115">
        <f>+data!AV115</f>
        <v>1</v>
      </c>
      <c r="P115">
        <f>+data!AD115</f>
        <v>1</v>
      </c>
      <c r="Q115">
        <f>+data!AF115</f>
        <v>7.5908519999999999</v>
      </c>
      <c r="R115">
        <f>+data!AG115</f>
        <v>2.197225</v>
      </c>
      <c r="S115">
        <f>+data!AE115</f>
        <v>1</v>
      </c>
    </row>
    <row r="116" spans="1:19" x14ac:dyDescent="0.25">
      <c r="A116">
        <f>+data!AI116</f>
        <v>-0.15883265312363948</v>
      </c>
      <c r="B116">
        <f>+data!AJ116</f>
        <v>4.5158303339073974E-2</v>
      </c>
      <c r="C116">
        <f>+data!W116</f>
        <v>1</v>
      </c>
      <c r="D116">
        <f>+data!AQ116</f>
        <v>0</v>
      </c>
      <c r="E116">
        <f>+data!T116</f>
        <v>1</v>
      </c>
      <c r="F116">
        <f>+data!X116</f>
        <v>0</v>
      </c>
      <c r="G116">
        <f>+data!Y116</f>
        <v>0</v>
      </c>
      <c r="H116">
        <f>+data!U116</f>
        <v>0</v>
      </c>
      <c r="I116">
        <f>+data!V116</f>
        <v>0</v>
      </c>
      <c r="J116">
        <f>+data!AS116</f>
        <v>0</v>
      </c>
      <c r="K116">
        <f>+data!AT116</f>
        <v>0</v>
      </c>
      <c r="L116">
        <f>+data!AO116</f>
        <v>0</v>
      </c>
      <c r="M116">
        <f>+data!AN116</f>
        <v>1</v>
      </c>
      <c r="N116">
        <f>+data!AU116</f>
        <v>0</v>
      </c>
      <c r="O116">
        <f>+data!AV116</f>
        <v>0</v>
      </c>
      <c r="P116">
        <f>+data!AD116</f>
        <v>0</v>
      </c>
      <c r="Q116">
        <f>+data!AF116</f>
        <v>7.6073810000000002</v>
      </c>
      <c r="R116">
        <f>+data!AG116</f>
        <v>1.7917590000000001</v>
      </c>
      <c r="S116">
        <f>+data!AE116</f>
        <v>1</v>
      </c>
    </row>
    <row r="117" spans="1:19" x14ac:dyDescent="0.25">
      <c r="A117">
        <f>+data!AI117</f>
        <v>-0.31792574147867403</v>
      </c>
      <c r="B117">
        <f>+data!AJ117</f>
        <v>4.0876166761543792E-2</v>
      </c>
      <c r="C117">
        <f>+data!W117</f>
        <v>0</v>
      </c>
      <c r="D117">
        <f>+data!AQ117</f>
        <v>0</v>
      </c>
      <c r="E117">
        <f>+data!T117</f>
        <v>1</v>
      </c>
      <c r="F117">
        <f>+data!X117</f>
        <v>0</v>
      </c>
      <c r="G117">
        <f>+data!Y117</f>
        <v>0</v>
      </c>
      <c r="H117">
        <f>+data!U117</f>
        <v>0</v>
      </c>
      <c r="I117">
        <f>+data!V117</f>
        <v>0</v>
      </c>
      <c r="J117">
        <f>+data!AS117</f>
        <v>0</v>
      </c>
      <c r="K117">
        <f>+data!AT117</f>
        <v>0</v>
      </c>
      <c r="L117">
        <f>+data!AO117</f>
        <v>0</v>
      </c>
      <c r="M117">
        <f>+data!AN117</f>
        <v>1</v>
      </c>
      <c r="N117">
        <f>+data!AU117</f>
        <v>0</v>
      </c>
      <c r="O117">
        <f>+data!AV117</f>
        <v>0</v>
      </c>
      <c r="P117">
        <f>+data!AD117</f>
        <v>0</v>
      </c>
      <c r="Q117">
        <f>+data!AF117</f>
        <v>7.6073810000000002</v>
      </c>
      <c r="R117">
        <f>+data!AG117</f>
        <v>1.7917590000000001</v>
      </c>
      <c r="S117">
        <f>+data!AE117</f>
        <v>1</v>
      </c>
    </row>
    <row r="118" spans="1:19" x14ac:dyDescent="0.25">
      <c r="A118">
        <f>+data!AI118</f>
        <v>-0.18330018389016944</v>
      </c>
      <c r="B118">
        <f>+data!AJ118</f>
        <v>4.1103677599613753E-2</v>
      </c>
      <c r="C118">
        <f>+data!W118</f>
        <v>1</v>
      </c>
      <c r="D118">
        <f>+data!AQ118</f>
        <v>0</v>
      </c>
      <c r="E118">
        <f>+data!T118</f>
        <v>1</v>
      </c>
      <c r="F118">
        <f>+data!X118</f>
        <v>0</v>
      </c>
      <c r="G118">
        <f>+data!Y118</f>
        <v>0</v>
      </c>
      <c r="H118">
        <f>+data!U118</f>
        <v>0</v>
      </c>
      <c r="I118">
        <f>+data!V118</f>
        <v>0</v>
      </c>
      <c r="J118">
        <f>+data!AS118</f>
        <v>0</v>
      </c>
      <c r="K118">
        <f>+data!AT118</f>
        <v>0</v>
      </c>
      <c r="L118">
        <f>+data!AO118</f>
        <v>0</v>
      </c>
      <c r="M118">
        <f>+data!AN118</f>
        <v>1</v>
      </c>
      <c r="N118">
        <f>+data!AU118</f>
        <v>0</v>
      </c>
      <c r="O118">
        <f>+data!AV118</f>
        <v>0</v>
      </c>
      <c r="P118">
        <f>+data!AD118</f>
        <v>0</v>
      </c>
      <c r="Q118">
        <f>+data!AF118</f>
        <v>7.6073810000000002</v>
      </c>
      <c r="R118">
        <f>+data!AG118</f>
        <v>1.7917590000000001</v>
      </c>
      <c r="S118">
        <f>+data!AE118</f>
        <v>1</v>
      </c>
    </row>
    <row r="119" spans="1:19" x14ac:dyDescent="0.25">
      <c r="A119">
        <f>+data!AI119</f>
        <v>-0.51515151515151558</v>
      </c>
      <c r="B119">
        <f>+data!AJ119</f>
        <v>0.15151515151515149</v>
      </c>
      <c r="C119">
        <f>+data!W119</f>
        <v>1</v>
      </c>
      <c r="D119">
        <f>+data!AQ119</f>
        <v>1</v>
      </c>
      <c r="E119">
        <f>+data!T119</f>
        <v>0</v>
      </c>
      <c r="F119">
        <f>+data!X119</f>
        <v>1</v>
      </c>
      <c r="G119">
        <f>+data!Y119</f>
        <v>0</v>
      </c>
      <c r="H119">
        <f>+data!U119</f>
        <v>0</v>
      </c>
      <c r="I119">
        <f>+data!V119</f>
        <v>0</v>
      </c>
      <c r="J119">
        <f>+data!AS119</f>
        <v>0</v>
      </c>
      <c r="K119">
        <f>+data!AT119</f>
        <v>0</v>
      </c>
      <c r="L119">
        <f>+data!AO119</f>
        <v>1</v>
      </c>
      <c r="M119">
        <f>+data!AN119</f>
        <v>0</v>
      </c>
      <c r="N119">
        <f>+data!AU119</f>
        <v>0</v>
      </c>
      <c r="O119">
        <f>+data!AV119</f>
        <v>0</v>
      </c>
      <c r="P119">
        <f>+data!AD119</f>
        <v>1</v>
      </c>
      <c r="Q119">
        <f>+data!AF119</f>
        <v>7.5948840000000004</v>
      </c>
      <c r="R119">
        <f>+data!AG119</f>
        <v>3.6109179999999999</v>
      </c>
      <c r="S119">
        <f>+data!AE119</f>
        <v>1</v>
      </c>
    </row>
    <row r="120" spans="1:19" x14ac:dyDescent="0.25">
      <c r="A120">
        <f>+data!AI120</f>
        <v>-0.50335181843910159</v>
      </c>
      <c r="B120">
        <f>+data!AJ120</f>
        <v>0.13494686821423635</v>
      </c>
      <c r="C120">
        <f>+data!W120</f>
        <v>1</v>
      </c>
      <c r="D120">
        <f>+data!AQ120</f>
        <v>1</v>
      </c>
      <c r="E120">
        <f>+data!T120</f>
        <v>0</v>
      </c>
      <c r="F120">
        <f>+data!X120</f>
        <v>1</v>
      </c>
      <c r="G120">
        <f>+data!Y120</f>
        <v>0</v>
      </c>
      <c r="H120">
        <f>+data!U120</f>
        <v>0</v>
      </c>
      <c r="I120">
        <f>+data!V120</f>
        <v>0</v>
      </c>
      <c r="J120">
        <f>+data!AS120</f>
        <v>0</v>
      </c>
      <c r="K120">
        <f>+data!AT120</f>
        <v>0</v>
      </c>
      <c r="L120">
        <f>+data!AO120</f>
        <v>1</v>
      </c>
      <c r="M120">
        <f>+data!AN120</f>
        <v>0</v>
      </c>
      <c r="N120">
        <f>+data!AU120</f>
        <v>0</v>
      </c>
      <c r="O120">
        <f>+data!AV120</f>
        <v>0</v>
      </c>
      <c r="P120">
        <f>+data!AD120</f>
        <v>1</v>
      </c>
      <c r="Q120">
        <f>+data!AF120</f>
        <v>7.5948840000000004</v>
      </c>
      <c r="R120">
        <f>+data!AG120</f>
        <v>3.6109179999999999</v>
      </c>
      <c r="S120">
        <f>+data!AE120</f>
        <v>1</v>
      </c>
    </row>
    <row r="121" spans="1:19" x14ac:dyDescent="0.25">
      <c r="A121">
        <f>+data!AI121</f>
        <v>-0.49208034299014214</v>
      </c>
      <c r="B121">
        <f>+data!AJ121</f>
        <v>0.13939953059210816</v>
      </c>
      <c r="C121">
        <f>+data!W121</f>
        <v>1</v>
      </c>
      <c r="D121">
        <f>+data!AQ121</f>
        <v>1</v>
      </c>
      <c r="E121">
        <f>+data!T121</f>
        <v>0</v>
      </c>
      <c r="F121">
        <f>+data!X121</f>
        <v>1</v>
      </c>
      <c r="G121">
        <f>+data!Y121</f>
        <v>0</v>
      </c>
      <c r="H121">
        <f>+data!U121</f>
        <v>0</v>
      </c>
      <c r="I121">
        <f>+data!V121</f>
        <v>0</v>
      </c>
      <c r="J121">
        <f>+data!AS121</f>
        <v>0</v>
      </c>
      <c r="K121">
        <f>+data!AT121</f>
        <v>0</v>
      </c>
      <c r="L121">
        <f>+data!AO121</f>
        <v>1</v>
      </c>
      <c r="M121">
        <f>+data!AN121</f>
        <v>0</v>
      </c>
      <c r="N121">
        <f>+data!AU121</f>
        <v>0</v>
      </c>
      <c r="O121">
        <f>+data!AV121</f>
        <v>0</v>
      </c>
      <c r="P121">
        <f>+data!AD121</f>
        <v>1</v>
      </c>
      <c r="Q121">
        <f>+data!AF121</f>
        <v>7.5948840000000004</v>
      </c>
      <c r="R121">
        <f>+data!AG121</f>
        <v>3.6109179999999999</v>
      </c>
      <c r="S121">
        <f>+data!AE121</f>
        <v>1</v>
      </c>
    </row>
    <row r="122" spans="1:19" x14ac:dyDescent="0.25">
      <c r="A122">
        <f>+data!AI122</f>
        <v>-5.3134618925811977E-2</v>
      </c>
      <c r="B122">
        <f>+data!AJ122</f>
        <v>0.1765269731754549</v>
      </c>
      <c r="C122">
        <f>+data!W122</f>
        <v>1</v>
      </c>
      <c r="D122">
        <f>+data!AQ122</f>
        <v>1</v>
      </c>
      <c r="E122">
        <f>+data!T122</f>
        <v>0</v>
      </c>
      <c r="F122">
        <f>+data!X122</f>
        <v>1</v>
      </c>
      <c r="G122">
        <f>+data!Y122</f>
        <v>0</v>
      </c>
      <c r="H122">
        <f>+data!U122</f>
        <v>0</v>
      </c>
      <c r="I122">
        <f>+data!V122</f>
        <v>0</v>
      </c>
      <c r="J122">
        <f>+data!AS122</f>
        <v>0</v>
      </c>
      <c r="K122">
        <f>+data!AT122</f>
        <v>0</v>
      </c>
      <c r="L122">
        <f>+data!AO122</f>
        <v>1</v>
      </c>
      <c r="M122">
        <f>+data!AN122</f>
        <v>0</v>
      </c>
      <c r="N122">
        <f>+data!AU122</f>
        <v>0</v>
      </c>
      <c r="O122">
        <f>+data!AV122</f>
        <v>1</v>
      </c>
      <c r="P122">
        <f>+data!AD122</f>
        <v>1</v>
      </c>
      <c r="Q122">
        <f>+data!AF122</f>
        <v>7.5948840000000004</v>
      </c>
      <c r="R122">
        <f>+data!AG122</f>
        <v>3.6109179999999999</v>
      </c>
      <c r="S122">
        <f>+data!AE122</f>
        <v>1</v>
      </c>
    </row>
    <row r="123" spans="1:19" x14ac:dyDescent="0.25">
      <c r="A123">
        <f>+data!AI123</f>
        <v>0.42552865333661166</v>
      </c>
      <c r="B123">
        <f>+data!AJ123</f>
        <v>0.15997317794609447</v>
      </c>
      <c r="C123">
        <f>+data!W123</f>
        <v>1</v>
      </c>
      <c r="D123">
        <f>+data!AQ123</f>
        <v>1</v>
      </c>
      <c r="E123">
        <f>+data!T123</f>
        <v>0</v>
      </c>
      <c r="F123">
        <f>+data!X123</f>
        <v>1</v>
      </c>
      <c r="G123">
        <f>+data!Y123</f>
        <v>0</v>
      </c>
      <c r="H123">
        <f>+data!U123</f>
        <v>0</v>
      </c>
      <c r="I123">
        <f>+data!V123</f>
        <v>0</v>
      </c>
      <c r="J123">
        <f>+data!AS123</f>
        <v>0</v>
      </c>
      <c r="K123">
        <f>+data!AT123</f>
        <v>0</v>
      </c>
      <c r="L123">
        <f>+data!AO123</f>
        <v>1</v>
      </c>
      <c r="M123">
        <f>+data!AN123</f>
        <v>0</v>
      </c>
      <c r="N123">
        <f>+data!AU123</f>
        <v>1</v>
      </c>
      <c r="O123">
        <f>+data!AV123</f>
        <v>0</v>
      </c>
      <c r="P123">
        <f>+data!AD123</f>
        <v>1</v>
      </c>
      <c r="Q123">
        <f>+data!AF123</f>
        <v>7.5948840000000004</v>
      </c>
      <c r="R123">
        <f>+data!AG123</f>
        <v>3.6109179999999999</v>
      </c>
      <c r="S123">
        <f>+data!AE123</f>
        <v>1</v>
      </c>
    </row>
    <row r="124" spans="1:19" x14ac:dyDescent="0.25">
      <c r="A124">
        <f>+data!AI124</f>
        <v>0.38731666757609579</v>
      </c>
      <c r="B124">
        <f>+data!AJ124</f>
        <v>0.14398389129222891</v>
      </c>
      <c r="C124">
        <f>+data!W124</f>
        <v>1</v>
      </c>
      <c r="D124">
        <f>+data!AQ124</f>
        <v>1</v>
      </c>
      <c r="E124">
        <f>+data!T124</f>
        <v>0</v>
      </c>
      <c r="F124">
        <f>+data!X124</f>
        <v>1</v>
      </c>
      <c r="G124">
        <f>+data!Y124</f>
        <v>0</v>
      </c>
      <c r="H124">
        <f>+data!U124</f>
        <v>0</v>
      </c>
      <c r="I124">
        <f>+data!V124</f>
        <v>0</v>
      </c>
      <c r="J124">
        <f>+data!AS124</f>
        <v>0</v>
      </c>
      <c r="K124">
        <f>+data!AT124</f>
        <v>0</v>
      </c>
      <c r="L124">
        <f>+data!AO124</f>
        <v>1</v>
      </c>
      <c r="M124">
        <f>+data!AN124</f>
        <v>0</v>
      </c>
      <c r="N124">
        <f>+data!AU124</f>
        <v>1</v>
      </c>
      <c r="O124">
        <f>+data!AV124</f>
        <v>0</v>
      </c>
      <c r="P124">
        <f>+data!AD124</f>
        <v>1</v>
      </c>
      <c r="Q124">
        <f>+data!AF124</f>
        <v>7.5948840000000004</v>
      </c>
      <c r="R124">
        <f>+data!AG124</f>
        <v>3.6109179999999999</v>
      </c>
      <c r="S124">
        <f>+data!AE124</f>
        <v>1</v>
      </c>
    </row>
    <row r="125" spans="1:19" x14ac:dyDescent="0.25">
      <c r="A125">
        <f>+data!AI125</f>
        <v>0.19928367344841941</v>
      </c>
      <c r="B125">
        <f>+data!AJ125</f>
        <v>0.15691627830584212</v>
      </c>
      <c r="C125">
        <f>+data!W125</f>
        <v>1</v>
      </c>
      <c r="D125">
        <f>+data!AQ125</f>
        <v>1</v>
      </c>
      <c r="E125">
        <f>+data!T125</f>
        <v>0</v>
      </c>
      <c r="F125">
        <f>+data!X125</f>
        <v>1</v>
      </c>
      <c r="G125">
        <f>+data!Y125</f>
        <v>0</v>
      </c>
      <c r="H125">
        <f>+data!U125</f>
        <v>0</v>
      </c>
      <c r="I125">
        <f>+data!V125</f>
        <v>0</v>
      </c>
      <c r="J125">
        <f>+data!AS125</f>
        <v>0</v>
      </c>
      <c r="K125">
        <f>+data!AT125</f>
        <v>0</v>
      </c>
      <c r="L125">
        <f>+data!AO125</f>
        <v>1</v>
      </c>
      <c r="M125">
        <f>+data!AN125</f>
        <v>0</v>
      </c>
      <c r="N125">
        <f>+data!AU125</f>
        <v>1</v>
      </c>
      <c r="O125">
        <f>+data!AV125</f>
        <v>0</v>
      </c>
      <c r="P125">
        <f>+data!AD125</f>
        <v>1</v>
      </c>
      <c r="Q125">
        <f>+data!AF125</f>
        <v>7.5948840000000004</v>
      </c>
      <c r="R125">
        <f>+data!AG125</f>
        <v>3.6109179999999999</v>
      </c>
      <c r="S125">
        <f>+data!AE125</f>
        <v>1</v>
      </c>
    </row>
    <row r="126" spans="1:19" x14ac:dyDescent="0.25">
      <c r="A126">
        <f>+data!AI126</f>
        <v>-0.50698705142062739</v>
      </c>
      <c r="B126">
        <f>+data!AJ126</f>
        <v>0.1362868417797384</v>
      </c>
      <c r="C126">
        <f>+data!W126</f>
        <v>1</v>
      </c>
      <c r="D126">
        <f>+data!AQ126</f>
        <v>0</v>
      </c>
      <c r="E126">
        <f>+data!T126</f>
        <v>1</v>
      </c>
      <c r="F126">
        <f>+data!X126</f>
        <v>1</v>
      </c>
      <c r="G126">
        <f>+data!Y126</f>
        <v>0</v>
      </c>
      <c r="H126">
        <f>+data!U126</f>
        <v>0</v>
      </c>
      <c r="I126">
        <f>+data!V126</f>
        <v>0</v>
      </c>
      <c r="J126">
        <f>+data!AS126</f>
        <v>0</v>
      </c>
      <c r="K126">
        <f>+data!AT126</f>
        <v>0</v>
      </c>
      <c r="L126">
        <f>+data!AO126</f>
        <v>1</v>
      </c>
      <c r="M126">
        <f>+data!AN126</f>
        <v>0</v>
      </c>
      <c r="N126">
        <f>+data!AU126</f>
        <v>0</v>
      </c>
      <c r="O126">
        <f>+data!AV126</f>
        <v>0</v>
      </c>
      <c r="P126">
        <f>+data!AD126</f>
        <v>1</v>
      </c>
      <c r="Q126">
        <f>+data!AF126</f>
        <v>7.5948840000000004</v>
      </c>
      <c r="R126">
        <f>+data!AG126</f>
        <v>3.6109179999999999</v>
      </c>
      <c r="S126">
        <f>+data!AE126</f>
        <v>1</v>
      </c>
    </row>
    <row r="127" spans="1:19" x14ac:dyDescent="0.25">
      <c r="A127">
        <f>+data!AI127</f>
        <v>-0.50115493994616522</v>
      </c>
      <c r="B127">
        <f>+data!AJ127</f>
        <v>0.14037953499892575</v>
      </c>
      <c r="C127">
        <f>+data!W127</f>
        <v>1</v>
      </c>
      <c r="D127">
        <f>+data!AQ127</f>
        <v>0</v>
      </c>
      <c r="E127">
        <f>+data!T127</f>
        <v>1</v>
      </c>
      <c r="F127">
        <f>+data!X127</f>
        <v>1</v>
      </c>
      <c r="G127">
        <f>+data!Y127</f>
        <v>0</v>
      </c>
      <c r="H127">
        <f>+data!U127</f>
        <v>0</v>
      </c>
      <c r="I127">
        <f>+data!V127</f>
        <v>0</v>
      </c>
      <c r="J127">
        <f>+data!AS127</f>
        <v>0</v>
      </c>
      <c r="K127">
        <f>+data!AT127</f>
        <v>0</v>
      </c>
      <c r="L127">
        <f>+data!AO127</f>
        <v>1</v>
      </c>
      <c r="M127">
        <f>+data!AN127</f>
        <v>0</v>
      </c>
      <c r="N127">
        <f>+data!AU127</f>
        <v>0</v>
      </c>
      <c r="O127">
        <f>+data!AV127</f>
        <v>0</v>
      </c>
      <c r="P127">
        <f>+data!AD127</f>
        <v>1</v>
      </c>
      <c r="Q127">
        <f>+data!AF127</f>
        <v>7.5948840000000004</v>
      </c>
      <c r="R127">
        <f>+data!AG127</f>
        <v>3.6109179999999999</v>
      </c>
      <c r="S127">
        <f>+data!AE127</f>
        <v>1</v>
      </c>
    </row>
    <row r="128" spans="1:19" x14ac:dyDescent="0.25">
      <c r="A128">
        <f>+data!AI128</f>
        <v>0.41203531279242739</v>
      </c>
      <c r="B128">
        <f>+data!AJ128</f>
        <v>0.14406829118616338</v>
      </c>
      <c r="C128">
        <f>+data!W128</f>
        <v>1</v>
      </c>
      <c r="D128">
        <f>+data!AQ128</f>
        <v>0</v>
      </c>
      <c r="E128">
        <f>+data!T128</f>
        <v>1</v>
      </c>
      <c r="F128">
        <f>+data!X128</f>
        <v>1</v>
      </c>
      <c r="G128">
        <f>+data!Y128</f>
        <v>0</v>
      </c>
      <c r="H128">
        <f>+data!U128</f>
        <v>0</v>
      </c>
      <c r="I128">
        <f>+data!V128</f>
        <v>0</v>
      </c>
      <c r="J128">
        <f>+data!AS128</f>
        <v>0</v>
      </c>
      <c r="K128">
        <f>+data!AT128</f>
        <v>0</v>
      </c>
      <c r="L128">
        <f>+data!AO128</f>
        <v>1</v>
      </c>
      <c r="M128">
        <f>+data!AN128</f>
        <v>0</v>
      </c>
      <c r="N128">
        <f>+data!AU128</f>
        <v>1</v>
      </c>
      <c r="O128">
        <f>+data!AV128</f>
        <v>0</v>
      </c>
      <c r="P128">
        <f>+data!AD128</f>
        <v>1</v>
      </c>
      <c r="Q128">
        <f>+data!AF128</f>
        <v>7.5948840000000004</v>
      </c>
      <c r="R128">
        <f>+data!AG128</f>
        <v>3.6109179999999999</v>
      </c>
      <c r="S128">
        <f>+data!AE128</f>
        <v>1</v>
      </c>
    </row>
    <row r="129" spans="1:19" x14ac:dyDescent="0.25">
      <c r="A129">
        <f>+data!AI129</f>
        <v>0.2438527056860687</v>
      </c>
      <c r="B129">
        <f>+data!AJ129</f>
        <v>0.15732432624907655</v>
      </c>
      <c r="C129">
        <f>+data!W129</f>
        <v>1</v>
      </c>
      <c r="D129">
        <f>+data!AQ129</f>
        <v>0</v>
      </c>
      <c r="E129">
        <f>+data!T129</f>
        <v>1</v>
      </c>
      <c r="F129">
        <f>+data!X129</f>
        <v>1</v>
      </c>
      <c r="G129">
        <f>+data!Y129</f>
        <v>0</v>
      </c>
      <c r="H129">
        <f>+data!U129</f>
        <v>0</v>
      </c>
      <c r="I129">
        <f>+data!V129</f>
        <v>0</v>
      </c>
      <c r="J129">
        <f>+data!AS129</f>
        <v>0</v>
      </c>
      <c r="K129">
        <f>+data!AT129</f>
        <v>0</v>
      </c>
      <c r="L129">
        <f>+data!AO129</f>
        <v>1</v>
      </c>
      <c r="M129">
        <f>+data!AN129</f>
        <v>0</v>
      </c>
      <c r="N129">
        <f>+data!AU129</f>
        <v>1</v>
      </c>
      <c r="O129">
        <f>+data!AV129</f>
        <v>0</v>
      </c>
      <c r="P129">
        <f>+data!AD129</f>
        <v>1</v>
      </c>
      <c r="Q129">
        <f>+data!AF129</f>
        <v>7.5948840000000004</v>
      </c>
      <c r="R129">
        <f>+data!AG129</f>
        <v>3.6109179999999999</v>
      </c>
      <c r="S129">
        <f>+data!AE129</f>
        <v>1</v>
      </c>
    </row>
    <row r="130" spans="1:19" x14ac:dyDescent="0.25">
      <c r="A130">
        <f>+data!AI130</f>
        <v>-0.51700800716700579</v>
      </c>
      <c r="B130">
        <f>+data!AJ130</f>
        <v>0.13534241025314286</v>
      </c>
      <c r="C130">
        <f>+data!W130</f>
        <v>1</v>
      </c>
      <c r="D130">
        <f>+data!AQ130</f>
        <v>0</v>
      </c>
      <c r="E130">
        <f>+data!T130</f>
        <v>1</v>
      </c>
      <c r="F130">
        <f>+data!X130</f>
        <v>1</v>
      </c>
      <c r="G130">
        <f>+data!Y130</f>
        <v>0</v>
      </c>
      <c r="H130">
        <f>+data!U130</f>
        <v>0</v>
      </c>
      <c r="I130">
        <f>+data!V130</f>
        <v>0</v>
      </c>
      <c r="J130">
        <f>+data!AS130</f>
        <v>0</v>
      </c>
      <c r="K130">
        <f>+data!AT130</f>
        <v>0</v>
      </c>
      <c r="L130">
        <f>+data!AO130</f>
        <v>1</v>
      </c>
      <c r="M130">
        <f>+data!AN130</f>
        <v>0</v>
      </c>
      <c r="N130">
        <f>+data!AU130</f>
        <v>0</v>
      </c>
      <c r="O130">
        <f>+data!AV130</f>
        <v>0</v>
      </c>
      <c r="P130">
        <f>+data!AD130</f>
        <v>1</v>
      </c>
      <c r="Q130">
        <f>+data!AF130</f>
        <v>7.5948840000000004</v>
      </c>
      <c r="R130">
        <f>+data!AG130</f>
        <v>3.6109179999999999</v>
      </c>
      <c r="S130">
        <f>+data!AE130</f>
        <v>1</v>
      </c>
    </row>
    <row r="131" spans="1:19" x14ac:dyDescent="0.25">
      <c r="A131">
        <f>+data!AI131</f>
        <v>-0.51667464010226616</v>
      </c>
      <c r="B131">
        <f>+data!AJ131</f>
        <v>0.13889103228555547</v>
      </c>
      <c r="C131">
        <f>+data!W131</f>
        <v>1</v>
      </c>
      <c r="D131">
        <f>+data!AQ131</f>
        <v>0</v>
      </c>
      <c r="E131">
        <f>+data!T131</f>
        <v>1</v>
      </c>
      <c r="F131">
        <f>+data!X131</f>
        <v>1</v>
      </c>
      <c r="G131">
        <f>+data!Y131</f>
        <v>0</v>
      </c>
      <c r="H131">
        <f>+data!U131</f>
        <v>0</v>
      </c>
      <c r="I131">
        <f>+data!V131</f>
        <v>0</v>
      </c>
      <c r="J131">
        <f>+data!AS131</f>
        <v>0</v>
      </c>
      <c r="K131">
        <f>+data!AT131</f>
        <v>0</v>
      </c>
      <c r="L131">
        <f>+data!AO131</f>
        <v>1</v>
      </c>
      <c r="M131">
        <f>+data!AN131</f>
        <v>0</v>
      </c>
      <c r="N131">
        <f>+data!AU131</f>
        <v>0</v>
      </c>
      <c r="O131">
        <f>+data!AV131</f>
        <v>0</v>
      </c>
      <c r="P131">
        <f>+data!AD131</f>
        <v>1</v>
      </c>
      <c r="Q131">
        <f>+data!AF131</f>
        <v>7.5948840000000004</v>
      </c>
      <c r="R131">
        <f>+data!AG131</f>
        <v>3.6109179999999999</v>
      </c>
      <c r="S131">
        <f>+data!AE131</f>
        <v>1</v>
      </c>
    </row>
    <row r="132" spans="1:19" x14ac:dyDescent="0.25">
      <c r="A132">
        <f>+data!AI132</f>
        <v>0.44126972135587411</v>
      </c>
      <c r="B132">
        <f>+data!AJ132</f>
        <v>0.14188737021089201</v>
      </c>
      <c r="C132">
        <f>+data!W132</f>
        <v>1</v>
      </c>
      <c r="D132">
        <f>+data!AQ132</f>
        <v>0</v>
      </c>
      <c r="E132">
        <f>+data!T132</f>
        <v>1</v>
      </c>
      <c r="F132">
        <f>+data!X132</f>
        <v>1</v>
      </c>
      <c r="G132">
        <f>+data!Y132</f>
        <v>0</v>
      </c>
      <c r="H132">
        <f>+data!U132</f>
        <v>0</v>
      </c>
      <c r="I132">
        <f>+data!V132</f>
        <v>0</v>
      </c>
      <c r="J132">
        <f>+data!AS132</f>
        <v>0</v>
      </c>
      <c r="K132">
        <f>+data!AT132</f>
        <v>0</v>
      </c>
      <c r="L132">
        <f>+data!AO132</f>
        <v>1</v>
      </c>
      <c r="M132">
        <f>+data!AN132</f>
        <v>0</v>
      </c>
      <c r="N132">
        <f>+data!AU132</f>
        <v>1</v>
      </c>
      <c r="O132">
        <f>+data!AV132</f>
        <v>0</v>
      </c>
      <c r="P132">
        <f>+data!AD132</f>
        <v>1</v>
      </c>
      <c r="Q132">
        <f>+data!AF132</f>
        <v>7.5948840000000004</v>
      </c>
      <c r="R132">
        <f>+data!AG132</f>
        <v>3.6109179999999999</v>
      </c>
      <c r="S132">
        <f>+data!AE132</f>
        <v>1</v>
      </c>
    </row>
    <row r="133" spans="1:19" x14ac:dyDescent="0.25">
      <c r="A133">
        <f>+data!AI133</f>
        <v>0.31694708329179128</v>
      </c>
      <c r="B133">
        <f>+data!AJ133</f>
        <v>0.1538578074231996</v>
      </c>
      <c r="C133">
        <f>+data!W133</f>
        <v>1</v>
      </c>
      <c r="D133">
        <f>+data!AQ133</f>
        <v>0</v>
      </c>
      <c r="E133">
        <f>+data!T133</f>
        <v>1</v>
      </c>
      <c r="F133">
        <f>+data!X133</f>
        <v>1</v>
      </c>
      <c r="G133">
        <f>+data!Y133</f>
        <v>0</v>
      </c>
      <c r="H133">
        <f>+data!U133</f>
        <v>0</v>
      </c>
      <c r="I133">
        <f>+data!V133</f>
        <v>0</v>
      </c>
      <c r="J133">
        <f>+data!AS133</f>
        <v>0</v>
      </c>
      <c r="K133">
        <f>+data!AT133</f>
        <v>0</v>
      </c>
      <c r="L133">
        <f>+data!AO133</f>
        <v>1</v>
      </c>
      <c r="M133">
        <f>+data!AN133</f>
        <v>0</v>
      </c>
      <c r="N133">
        <f>+data!AU133</f>
        <v>1</v>
      </c>
      <c r="O133">
        <f>+data!AV133</f>
        <v>0</v>
      </c>
      <c r="P133">
        <f>+data!AD133</f>
        <v>1</v>
      </c>
      <c r="Q133">
        <f>+data!AF133</f>
        <v>7.5948840000000004</v>
      </c>
      <c r="R133">
        <f>+data!AG133</f>
        <v>3.6109179999999999</v>
      </c>
      <c r="S133">
        <f>+data!AE133</f>
        <v>1</v>
      </c>
    </row>
    <row r="134" spans="1:19" x14ac:dyDescent="0.25">
      <c r="A134">
        <f>+data!AI134</f>
        <v>9.5027428626717203E-2</v>
      </c>
      <c r="B134">
        <f>+data!AJ134</f>
        <v>0.17597671967910575</v>
      </c>
      <c r="C134">
        <f>+data!W134</f>
        <v>1</v>
      </c>
      <c r="D134">
        <f>+data!AQ134</f>
        <v>1</v>
      </c>
      <c r="E134">
        <f>+data!T134</f>
        <v>0</v>
      </c>
      <c r="F134">
        <f>+data!X134</f>
        <v>1</v>
      </c>
      <c r="G134">
        <f>+data!Y134</f>
        <v>0</v>
      </c>
      <c r="H134">
        <f>+data!U134</f>
        <v>0</v>
      </c>
      <c r="I134">
        <f>+data!V134</f>
        <v>0</v>
      </c>
      <c r="J134">
        <f>+data!AS134</f>
        <v>0</v>
      </c>
      <c r="K134">
        <f>+data!AT134</f>
        <v>0</v>
      </c>
      <c r="L134">
        <f>+data!AO134</f>
        <v>1</v>
      </c>
      <c r="M134">
        <f>+data!AN134</f>
        <v>0</v>
      </c>
      <c r="N134">
        <f>+data!AU134</f>
        <v>0</v>
      </c>
      <c r="O134">
        <f>+data!AV134</f>
        <v>0</v>
      </c>
      <c r="P134">
        <f>+data!AD134</f>
        <v>1</v>
      </c>
      <c r="Q134">
        <f>+data!AF134</f>
        <v>7.5948840000000004</v>
      </c>
      <c r="R134">
        <f>+data!AG134</f>
        <v>3.6109179999999999</v>
      </c>
      <c r="S134">
        <f>+data!AE134</f>
        <v>1</v>
      </c>
    </row>
    <row r="135" spans="1:19" x14ac:dyDescent="0.25">
      <c r="A135">
        <f>+data!AI135</f>
        <v>-0.13143238630149714</v>
      </c>
      <c r="B135">
        <f>+data!AJ135</f>
        <v>0.17524318173532943</v>
      </c>
      <c r="C135">
        <f>+data!W135</f>
        <v>1</v>
      </c>
      <c r="D135">
        <f>+data!AQ135</f>
        <v>1</v>
      </c>
      <c r="E135">
        <f>+data!T135</f>
        <v>0</v>
      </c>
      <c r="F135">
        <f>+data!X135</f>
        <v>1</v>
      </c>
      <c r="G135">
        <f>+data!Y135</f>
        <v>0</v>
      </c>
      <c r="H135">
        <f>+data!U135</f>
        <v>0</v>
      </c>
      <c r="I135">
        <f>+data!V135</f>
        <v>0</v>
      </c>
      <c r="J135">
        <f>+data!AS135</f>
        <v>0</v>
      </c>
      <c r="K135">
        <f>+data!AT135</f>
        <v>0</v>
      </c>
      <c r="L135">
        <f>+data!AO135</f>
        <v>1</v>
      </c>
      <c r="M135">
        <f>+data!AN135</f>
        <v>0</v>
      </c>
      <c r="N135">
        <f>+data!AU135</f>
        <v>0</v>
      </c>
      <c r="O135">
        <f>+data!AV135</f>
        <v>1</v>
      </c>
      <c r="P135">
        <f>+data!AD135</f>
        <v>1</v>
      </c>
      <c r="Q135">
        <f>+data!AF135</f>
        <v>7.5948840000000004</v>
      </c>
      <c r="R135">
        <f>+data!AG135</f>
        <v>3.6109179999999999</v>
      </c>
      <c r="S135">
        <f>+data!AE135</f>
        <v>1</v>
      </c>
    </row>
    <row r="136" spans="1:19" x14ac:dyDescent="0.25">
      <c r="A136">
        <f>+data!AI136</f>
        <v>0.27531120443120333</v>
      </c>
      <c r="B136">
        <f>+data!AJ136</f>
        <v>0.16994518792049543</v>
      </c>
      <c r="C136">
        <f>+data!W136</f>
        <v>1</v>
      </c>
      <c r="D136">
        <f>+data!AQ136</f>
        <v>1</v>
      </c>
      <c r="E136">
        <f>+data!T136</f>
        <v>0</v>
      </c>
      <c r="F136">
        <f>+data!X136</f>
        <v>1</v>
      </c>
      <c r="G136">
        <f>+data!Y136</f>
        <v>0</v>
      </c>
      <c r="H136">
        <f>+data!U136</f>
        <v>0</v>
      </c>
      <c r="I136">
        <f>+data!V136</f>
        <v>0</v>
      </c>
      <c r="J136">
        <f>+data!AS136</f>
        <v>0</v>
      </c>
      <c r="K136">
        <f>+data!AT136</f>
        <v>0</v>
      </c>
      <c r="L136">
        <f>+data!AO136</f>
        <v>1</v>
      </c>
      <c r="M136">
        <f>+data!AN136</f>
        <v>0</v>
      </c>
      <c r="N136">
        <f>+data!AU136</f>
        <v>1</v>
      </c>
      <c r="O136">
        <f>+data!AV136</f>
        <v>0</v>
      </c>
      <c r="P136">
        <f>+data!AD136</f>
        <v>1</v>
      </c>
      <c r="Q136">
        <f>+data!AF136</f>
        <v>7.5948840000000004</v>
      </c>
      <c r="R136">
        <f>+data!AG136</f>
        <v>3.6109179999999999</v>
      </c>
      <c r="S136">
        <f>+data!AE136</f>
        <v>1</v>
      </c>
    </row>
    <row r="137" spans="1:19" x14ac:dyDescent="0.25">
      <c r="A137">
        <f>+data!AI137</f>
        <v>0.29805749242840807</v>
      </c>
      <c r="B137">
        <f>+data!AJ137</f>
        <v>0.15284999611713251</v>
      </c>
      <c r="C137">
        <f>+data!W137</f>
        <v>1</v>
      </c>
      <c r="D137">
        <f>+data!AQ137</f>
        <v>1</v>
      </c>
      <c r="E137">
        <f>+data!T137</f>
        <v>0</v>
      </c>
      <c r="F137">
        <f>+data!X137</f>
        <v>1</v>
      </c>
      <c r="G137">
        <f>+data!Y137</f>
        <v>0</v>
      </c>
      <c r="H137">
        <f>+data!U137</f>
        <v>0</v>
      </c>
      <c r="I137">
        <f>+data!V137</f>
        <v>0</v>
      </c>
      <c r="J137">
        <f>+data!AS137</f>
        <v>0</v>
      </c>
      <c r="K137">
        <f>+data!AT137</f>
        <v>0</v>
      </c>
      <c r="L137">
        <f>+data!AO137</f>
        <v>1</v>
      </c>
      <c r="M137">
        <f>+data!AN137</f>
        <v>0</v>
      </c>
      <c r="N137">
        <f>+data!AU137</f>
        <v>1</v>
      </c>
      <c r="O137">
        <f>+data!AV137</f>
        <v>0</v>
      </c>
      <c r="P137">
        <f>+data!AD137</f>
        <v>1</v>
      </c>
      <c r="Q137">
        <f>+data!AF137</f>
        <v>7.5948840000000004</v>
      </c>
      <c r="R137">
        <f>+data!AG137</f>
        <v>3.6109179999999999</v>
      </c>
      <c r="S137">
        <f>+data!AE137</f>
        <v>1</v>
      </c>
    </row>
    <row r="138" spans="1:19" x14ac:dyDescent="0.25">
      <c r="A138">
        <f>+data!AI138</f>
        <v>0.15231225557722994</v>
      </c>
      <c r="B138">
        <f>+data!AJ138</f>
        <v>0.16032869008129394</v>
      </c>
      <c r="C138">
        <f>+data!W138</f>
        <v>1</v>
      </c>
      <c r="D138">
        <f>+data!AQ138</f>
        <v>1</v>
      </c>
      <c r="E138">
        <f>+data!T138</f>
        <v>0</v>
      </c>
      <c r="F138">
        <f>+data!X138</f>
        <v>1</v>
      </c>
      <c r="G138">
        <f>+data!Y138</f>
        <v>0</v>
      </c>
      <c r="H138">
        <f>+data!U138</f>
        <v>0</v>
      </c>
      <c r="I138">
        <f>+data!V138</f>
        <v>0</v>
      </c>
      <c r="J138">
        <f>+data!AS138</f>
        <v>0</v>
      </c>
      <c r="K138">
        <f>+data!AT138</f>
        <v>0</v>
      </c>
      <c r="L138">
        <f>+data!AO138</f>
        <v>1</v>
      </c>
      <c r="M138">
        <f>+data!AN138</f>
        <v>0</v>
      </c>
      <c r="N138">
        <f>+data!AU138</f>
        <v>1</v>
      </c>
      <c r="O138">
        <f>+data!AV138</f>
        <v>0</v>
      </c>
      <c r="P138">
        <f>+data!AD138</f>
        <v>1</v>
      </c>
      <c r="Q138">
        <f>+data!AF138</f>
        <v>7.5948840000000004</v>
      </c>
      <c r="R138">
        <f>+data!AG138</f>
        <v>3.6109179999999999</v>
      </c>
      <c r="S138">
        <f>+data!AE138</f>
        <v>1</v>
      </c>
    </row>
    <row r="139" spans="1:19" x14ac:dyDescent="0.25">
      <c r="A139">
        <f>+data!AI139</f>
        <v>0.11432476564832338</v>
      </c>
      <c r="B139">
        <f>+data!AJ139</f>
        <v>0.16332109378331963</v>
      </c>
      <c r="C139">
        <f>+data!W139</f>
        <v>1</v>
      </c>
      <c r="D139">
        <f>+data!AQ139</f>
        <v>1</v>
      </c>
      <c r="E139">
        <f>+data!T139</f>
        <v>0</v>
      </c>
      <c r="F139">
        <f>+data!X139</f>
        <v>1</v>
      </c>
      <c r="G139">
        <f>+data!Y139</f>
        <v>0</v>
      </c>
      <c r="H139">
        <f>+data!U139</f>
        <v>0</v>
      </c>
      <c r="I139">
        <f>+data!V139</f>
        <v>0</v>
      </c>
      <c r="J139">
        <f>+data!AS139</f>
        <v>0</v>
      </c>
      <c r="K139">
        <f>+data!AT139</f>
        <v>0</v>
      </c>
      <c r="L139">
        <f>+data!AO139</f>
        <v>1</v>
      </c>
      <c r="M139">
        <f>+data!AN139</f>
        <v>0</v>
      </c>
      <c r="N139">
        <f>+data!AU139</f>
        <v>1</v>
      </c>
      <c r="O139">
        <f>+data!AV139</f>
        <v>0</v>
      </c>
      <c r="P139">
        <f>+data!AD139</f>
        <v>1</v>
      </c>
      <c r="Q139">
        <f>+data!AF139</f>
        <v>7.5948840000000004</v>
      </c>
      <c r="R139">
        <f>+data!AG139</f>
        <v>3.6109179999999999</v>
      </c>
      <c r="S139">
        <f>+data!AE139</f>
        <v>1</v>
      </c>
    </row>
    <row r="140" spans="1:19" x14ac:dyDescent="0.25">
      <c r="A140">
        <f>+data!AI140</f>
        <v>-3.6500924749938164E-2</v>
      </c>
      <c r="B140">
        <f>+data!AJ140</f>
        <v>1.1887566306869213E-2</v>
      </c>
      <c r="C140">
        <f>+data!W140</f>
        <v>0</v>
      </c>
      <c r="D140">
        <f>+data!AQ140</f>
        <v>0</v>
      </c>
      <c r="E140">
        <f>+data!T140</f>
        <v>0</v>
      </c>
      <c r="F140">
        <f>+data!X140</f>
        <v>0</v>
      </c>
      <c r="G140">
        <f>+data!Y140</f>
        <v>1</v>
      </c>
      <c r="H140">
        <f>+data!U140</f>
        <v>1</v>
      </c>
      <c r="I140">
        <f>+data!V140</f>
        <v>1</v>
      </c>
      <c r="J140">
        <f>+data!AS140</f>
        <v>0</v>
      </c>
      <c r="K140">
        <f>+data!AT140</f>
        <v>0</v>
      </c>
      <c r="L140">
        <f>+data!AO140</f>
        <v>0</v>
      </c>
      <c r="M140">
        <f>+data!AN140</f>
        <v>1</v>
      </c>
      <c r="N140">
        <f>+data!AU140</f>
        <v>0</v>
      </c>
      <c r="O140">
        <f>+data!AV140</f>
        <v>0</v>
      </c>
      <c r="P140">
        <f>+data!AD140</f>
        <v>1</v>
      </c>
      <c r="Q140">
        <f>+data!AF140</f>
        <v>7.6063879999999999</v>
      </c>
      <c r="R140">
        <f>+data!AG140</f>
        <v>4.0943449999999997</v>
      </c>
      <c r="S140">
        <f>+data!AE140</f>
        <v>0</v>
      </c>
    </row>
    <row r="141" spans="1:19" x14ac:dyDescent="0.25">
      <c r="A141">
        <f>+data!AI141</f>
        <v>3.3205028120940122E-3</v>
      </c>
      <c r="B141">
        <f>+data!AJ141</f>
        <v>1.1895427656512613E-2</v>
      </c>
      <c r="C141">
        <f>+data!W141</f>
        <v>0</v>
      </c>
      <c r="D141">
        <f>+data!AQ141</f>
        <v>0</v>
      </c>
      <c r="E141">
        <f>+data!T141</f>
        <v>0</v>
      </c>
      <c r="F141">
        <f>+data!X141</f>
        <v>0</v>
      </c>
      <c r="G141">
        <f>+data!Y141</f>
        <v>1</v>
      </c>
      <c r="H141">
        <f>+data!U141</f>
        <v>1</v>
      </c>
      <c r="I141">
        <f>+data!V141</f>
        <v>1</v>
      </c>
      <c r="J141">
        <f>+data!AS141</f>
        <v>0</v>
      </c>
      <c r="K141">
        <f>+data!AT141</f>
        <v>0</v>
      </c>
      <c r="L141">
        <f>+data!AO141</f>
        <v>0</v>
      </c>
      <c r="M141">
        <f>+data!AN141</f>
        <v>1</v>
      </c>
      <c r="N141">
        <f>+data!AU141</f>
        <v>1</v>
      </c>
      <c r="O141">
        <f>+data!AV141</f>
        <v>0</v>
      </c>
      <c r="P141">
        <f>+data!AD141</f>
        <v>1</v>
      </c>
      <c r="Q141">
        <f>+data!AF141</f>
        <v>7.6063879999999999</v>
      </c>
      <c r="R141">
        <f>+data!AG141</f>
        <v>4.0943449999999997</v>
      </c>
      <c r="S141">
        <f>+data!AE141</f>
        <v>0</v>
      </c>
    </row>
    <row r="142" spans="1:19" x14ac:dyDescent="0.25">
      <c r="A142">
        <f>+data!AI142</f>
        <v>3.9509722721357355E-3</v>
      </c>
      <c r="B142">
        <f>+data!AJ142</f>
        <v>1.1895400389225871E-2</v>
      </c>
      <c r="C142">
        <f>+data!W142</f>
        <v>0</v>
      </c>
      <c r="D142">
        <f>+data!AQ142</f>
        <v>0</v>
      </c>
      <c r="E142">
        <f>+data!T142</f>
        <v>0</v>
      </c>
      <c r="F142">
        <f>+data!X142</f>
        <v>0</v>
      </c>
      <c r="G142">
        <f>+data!Y142</f>
        <v>1</v>
      </c>
      <c r="H142">
        <f>+data!U142</f>
        <v>1</v>
      </c>
      <c r="I142">
        <f>+data!V142</f>
        <v>1</v>
      </c>
      <c r="J142">
        <f>+data!AS142</f>
        <v>0</v>
      </c>
      <c r="K142">
        <f>+data!AT142</f>
        <v>0</v>
      </c>
      <c r="L142">
        <f>+data!AO142</f>
        <v>0</v>
      </c>
      <c r="M142">
        <f>+data!AN142</f>
        <v>1</v>
      </c>
      <c r="N142">
        <f>+data!AU142</f>
        <v>0</v>
      </c>
      <c r="O142">
        <f>+data!AV142</f>
        <v>1</v>
      </c>
      <c r="P142">
        <f>+data!AD142</f>
        <v>1</v>
      </c>
      <c r="Q142">
        <f>+data!AF142</f>
        <v>7.6063879999999999</v>
      </c>
      <c r="R142">
        <f>+data!AG142</f>
        <v>4.0943449999999997</v>
      </c>
      <c r="S142">
        <f>+data!AE142</f>
        <v>0</v>
      </c>
    </row>
    <row r="143" spans="1:19" x14ac:dyDescent="0.25">
      <c r="A143">
        <f>+data!AI143</f>
        <v>-3.7883848302752612E-2</v>
      </c>
      <c r="B143">
        <f>+data!AJ143</f>
        <v>1.1793043686531805E-2</v>
      </c>
      <c r="C143">
        <f>+data!W143</f>
        <v>0</v>
      </c>
      <c r="D143">
        <f>+data!AQ143</f>
        <v>0</v>
      </c>
      <c r="E143">
        <f>+data!T143</f>
        <v>0</v>
      </c>
      <c r="F143">
        <f>+data!X143</f>
        <v>0</v>
      </c>
      <c r="G143">
        <f>+data!Y143</f>
        <v>1</v>
      </c>
      <c r="H143">
        <f>+data!U143</f>
        <v>1</v>
      </c>
      <c r="I143">
        <f>+data!V143</f>
        <v>1</v>
      </c>
      <c r="J143">
        <f>+data!AS143</f>
        <v>0</v>
      </c>
      <c r="K143">
        <f>+data!AT143</f>
        <v>0</v>
      </c>
      <c r="L143">
        <f>+data!AO143</f>
        <v>0</v>
      </c>
      <c r="M143">
        <f>+data!AN143</f>
        <v>1</v>
      </c>
      <c r="N143">
        <f>+data!AU143</f>
        <v>0</v>
      </c>
      <c r="O143">
        <f>+data!AV143</f>
        <v>0</v>
      </c>
      <c r="P143">
        <f>+data!AD143</f>
        <v>1</v>
      </c>
      <c r="Q143">
        <f>+data!AF143</f>
        <v>7.6063879999999999</v>
      </c>
      <c r="R143">
        <f>+data!AG143</f>
        <v>4.0943449999999997</v>
      </c>
      <c r="S143">
        <f>+data!AE143</f>
        <v>0</v>
      </c>
    </row>
    <row r="144" spans="1:19" x14ac:dyDescent="0.25">
      <c r="A144">
        <f>+data!AI144</f>
        <v>9.0465580817230985E-3</v>
      </c>
      <c r="B144">
        <f>+data!AJ144</f>
        <v>1.1801032482725356E-2</v>
      </c>
      <c r="C144">
        <f>+data!W144</f>
        <v>0</v>
      </c>
      <c r="D144">
        <f>+data!AQ144</f>
        <v>0</v>
      </c>
      <c r="E144">
        <f>+data!T144</f>
        <v>0</v>
      </c>
      <c r="F144">
        <f>+data!X144</f>
        <v>0</v>
      </c>
      <c r="G144">
        <f>+data!Y144</f>
        <v>1</v>
      </c>
      <c r="H144">
        <f>+data!U144</f>
        <v>1</v>
      </c>
      <c r="I144">
        <f>+data!V144</f>
        <v>1</v>
      </c>
      <c r="J144">
        <f>+data!AS144</f>
        <v>0</v>
      </c>
      <c r="K144">
        <f>+data!AT144</f>
        <v>0</v>
      </c>
      <c r="L144">
        <f>+data!AO144</f>
        <v>0</v>
      </c>
      <c r="M144">
        <f>+data!AN144</f>
        <v>1</v>
      </c>
      <c r="N144">
        <f>+data!AU144</f>
        <v>1</v>
      </c>
      <c r="O144">
        <f>+data!AV144</f>
        <v>0</v>
      </c>
      <c r="P144">
        <f>+data!AD144</f>
        <v>1</v>
      </c>
      <c r="Q144">
        <f>+data!AF144</f>
        <v>7.6063879999999999</v>
      </c>
      <c r="R144">
        <f>+data!AG144</f>
        <v>4.0943449999999997</v>
      </c>
      <c r="S144">
        <f>+data!AE144</f>
        <v>0</v>
      </c>
    </row>
    <row r="145" spans="1:19" x14ac:dyDescent="0.25">
      <c r="A145">
        <f>+data!AI145</f>
        <v>6.9014709846602844E-5</v>
      </c>
      <c r="B145">
        <f>+data!AJ145</f>
        <v>1.1801515383769086E-2</v>
      </c>
      <c r="C145">
        <f>+data!W145</f>
        <v>0</v>
      </c>
      <c r="D145">
        <f>+data!AQ145</f>
        <v>0</v>
      </c>
      <c r="E145">
        <f>+data!T145</f>
        <v>0</v>
      </c>
      <c r="F145">
        <f>+data!X145</f>
        <v>0</v>
      </c>
      <c r="G145">
        <f>+data!Y145</f>
        <v>1</v>
      </c>
      <c r="H145">
        <f>+data!U145</f>
        <v>1</v>
      </c>
      <c r="I145">
        <f>+data!V145</f>
        <v>1</v>
      </c>
      <c r="J145">
        <f>+data!AS145</f>
        <v>0</v>
      </c>
      <c r="K145">
        <f>+data!AT145</f>
        <v>0</v>
      </c>
      <c r="L145">
        <f>+data!AO145</f>
        <v>0</v>
      </c>
      <c r="M145">
        <f>+data!AN145</f>
        <v>1</v>
      </c>
      <c r="N145">
        <f>+data!AU145</f>
        <v>0</v>
      </c>
      <c r="O145">
        <f>+data!AV145</f>
        <v>1</v>
      </c>
      <c r="P145">
        <f>+data!AD145</f>
        <v>1</v>
      </c>
      <c r="Q145">
        <f>+data!AF145</f>
        <v>7.6063879999999999</v>
      </c>
      <c r="R145">
        <f>+data!AG145</f>
        <v>4.0943449999999997</v>
      </c>
      <c r="S145">
        <f>+data!AE145</f>
        <v>0</v>
      </c>
    </row>
    <row r="146" spans="1:19" x14ac:dyDescent="0.25">
      <c r="A146">
        <f>+data!AI146</f>
        <v>-1.9239945500811359E-2</v>
      </c>
      <c r="B146">
        <f>+data!AJ146</f>
        <v>1.6170276776619138E-2</v>
      </c>
      <c r="C146">
        <f>+data!W146</f>
        <v>1</v>
      </c>
      <c r="D146">
        <f>+data!AQ146</f>
        <v>0</v>
      </c>
      <c r="E146">
        <f>+data!T146</f>
        <v>0</v>
      </c>
      <c r="F146">
        <f>+data!X146</f>
        <v>0</v>
      </c>
      <c r="G146">
        <f>+data!Y146</f>
        <v>1</v>
      </c>
      <c r="H146">
        <f>+data!U146</f>
        <v>1</v>
      </c>
      <c r="I146">
        <f>+data!V146</f>
        <v>1</v>
      </c>
      <c r="J146">
        <f>+data!AS146</f>
        <v>0</v>
      </c>
      <c r="K146">
        <f>+data!AT146</f>
        <v>0</v>
      </c>
      <c r="L146">
        <f>+data!AO146</f>
        <v>0</v>
      </c>
      <c r="M146">
        <f>+data!AN146</f>
        <v>1</v>
      </c>
      <c r="N146">
        <f>+data!AU146</f>
        <v>0</v>
      </c>
      <c r="O146">
        <f>+data!AV146</f>
        <v>0</v>
      </c>
      <c r="P146">
        <f>+data!AD146</f>
        <v>1</v>
      </c>
      <c r="Q146">
        <f>+data!AF146</f>
        <v>7.6063879999999999</v>
      </c>
      <c r="R146">
        <f>+data!AG146</f>
        <v>4.0943449999999997</v>
      </c>
      <c r="S146">
        <f>+data!AE146</f>
        <v>0</v>
      </c>
    </row>
    <row r="147" spans="1:19" x14ac:dyDescent="0.25">
      <c r="A147">
        <f>+data!AI147</f>
        <v>1.914831324693984E-2</v>
      </c>
      <c r="B147">
        <f>+data!AJ147</f>
        <v>1.6170305227430303E-2</v>
      </c>
      <c r="C147">
        <f>+data!W147</f>
        <v>1</v>
      </c>
      <c r="D147">
        <f>+data!AQ147</f>
        <v>0</v>
      </c>
      <c r="E147">
        <f>+data!T147</f>
        <v>0</v>
      </c>
      <c r="F147">
        <f>+data!X147</f>
        <v>0</v>
      </c>
      <c r="G147">
        <f>+data!Y147</f>
        <v>1</v>
      </c>
      <c r="H147">
        <f>+data!U147</f>
        <v>1</v>
      </c>
      <c r="I147">
        <f>+data!V147</f>
        <v>1</v>
      </c>
      <c r="J147">
        <f>+data!AS147</f>
        <v>0</v>
      </c>
      <c r="K147">
        <f>+data!AT147</f>
        <v>0</v>
      </c>
      <c r="L147">
        <f>+data!AO147</f>
        <v>0</v>
      </c>
      <c r="M147">
        <f>+data!AN147</f>
        <v>1</v>
      </c>
      <c r="N147">
        <f>+data!AU147</f>
        <v>1</v>
      </c>
      <c r="O147">
        <f>+data!AV147</f>
        <v>0</v>
      </c>
      <c r="P147">
        <f>+data!AD147</f>
        <v>1</v>
      </c>
      <c r="Q147">
        <f>+data!AF147</f>
        <v>7.6063879999999999</v>
      </c>
      <c r="R147">
        <f>+data!AG147</f>
        <v>4.0943449999999997</v>
      </c>
      <c r="S147">
        <f>+data!AE147</f>
        <v>0</v>
      </c>
    </row>
    <row r="148" spans="1:19" x14ac:dyDescent="0.25">
      <c r="A148">
        <f>+data!AI148</f>
        <v>9.3542486688654621E-3</v>
      </c>
      <c r="B148">
        <f>+data!AJ148</f>
        <v>1.6172562915992457E-2</v>
      </c>
      <c r="C148">
        <f>+data!W148</f>
        <v>1</v>
      </c>
      <c r="D148">
        <f>+data!AQ148</f>
        <v>0</v>
      </c>
      <c r="E148">
        <f>+data!T148</f>
        <v>0</v>
      </c>
      <c r="F148">
        <f>+data!X148</f>
        <v>0</v>
      </c>
      <c r="G148">
        <f>+data!Y148</f>
        <v>1</v>
      </c>
      <c r="H148">
        <f>+data!U148</f>
        <v>1</v>
      </c>
      <c r="I148">
        <f>+data!V148</f>
        <v>1</v>
      </c>
      <c r="J148">
        <f>+data!AS148</f>
        <v>0</v>
      </c>
      <c r="K148">
        <f>+data!AT148</f>
        <v>0</v>
      </c>
      <c r="L148">
        <f>+data!AO148</f>
        <v>0</v>
      </c>
      <c r="M148">
        <f>+data!AN148</f>
        <v>1</v>
      </c>
      <c r="N148">
        <f>+data!AU148</f>
        <v>0</v>
      </c>
      <c r="O148">
        <f>+data!AV148</f>
        <v>1</v>
      </c>
      <c r="P148">
        <f>+data!AD148</f>
        <v>1</v>
      </c>
      <c r="Q148">
        <f>+data!AF148</f>
        <v>7.6063879999999999</v>
      </c>
      <c r="R148">
        <f>+data!AG148</f>
        <v>4.0943449999999997</v>
      </c>
      <c r="S148">
        <f>+data!AE148</f>
        <v>0</v>
      </c>
    </row>
    <row r="149" spans="1:19" x14ac:dyDescent="0.25">
      <c r="A149">
        <f>+data!AI149</f>
        <v>-8.8079352700384889E-2</v>
      </c>
      <c r="B149">
        <f>+data!AJ149</f>
        <v>2.7262656788214368E-2</v>
      </c>
      <c r="C149">
        <f>+data!W149</f>
        <v>0</v>
      </c>
      <c r="D149">
        <f>+data!AQ149</f>
        <v>0</v>
      </c>
      <c r="E149">
        <f>+data!T149</f>
        <v>0</v>
      </c>
      <c r="F149">
        <f>+data!X149</f>
        <v>0</v>
      </c>
      <c r="G149">
        <f>+data!Y149</f>
        <v>1</v>
      </c>
      <c r="H149">
        <f>+data!U149</f>
        <v>1</v>
      </c>
      <c r="I149">
        <f>+data!V149</f>
        <v>1</v>
      </c>
      <c r="J149">
        <f>+data!AS149</f>
        <v>0</v>
      </c>
      <c r="K149">
        <f>+data!AT149</f>
        <v>0</v>
      </c>
      <c r="L149">
        <f>+data!AO149</f>
        <v>0</v>
      </c>
      <c r="M149">
        <f>+data!AN149</f>
        <v>1</v>
      </c>
      <c r="N149">
        <f>+data!AU149</f>
        <v>0</v>
      </c>
      <c r="O149">
        <f>+data!AV149</f>
        <v>0</v>
      </c>
      <c r="P149">
        <f>+data!AD149</f>
        <v>1</v>
      </c>
      <c r="Q149">
        <f>+data!AF149</f>
        <v>7.6063879999999999</v>
      </c>
      <c r="R149">
        <f>+data!AG149</f>
        <v>4.0943449999999997</v>
      </c>
      <c r="S149">
        <f>+data!AE149</f>
        <v>0</v>
      </c>
    </row>
    <row r="150" spans="1:19" x14ac:dyDescent="0.25">
      <c r="A150">
        <f>+data!AI150</f>
        <v>7.0306254372667229E-2</v>
      </c>
      <c r="B150">
        <f>+data!AJ150</f>
        <v>2.7301301646763199E-2</v>
      </c>
      <c r="C150">
        <f>+data!W150</f>
        <v>0</v>
      </c>
      <c r="D150">
        <f>+data!AQ150</f>
        <v>0</v>
      </c>
      <c r="E150">
        <f>+data!T150</f>
        <v>0</v>
      </c>
      <c r="F150">
        <f>+data!X150</f>
        <v>0</v>
      </c>
      <c r="G150">
        <f>+data!Y150</f>
        <v>1</v>
      </c>
      <c r="H150">
        <f>+data!U150</f>
        <v>1</v>
      </c>
      <c r="I150">
        <f>+data!V150</f>
        <v>1</v>
      </c>
      <c r="J150">
        <f>+data!AS150</f>
        <v>0</v>
      </c>
      <c r="K150">
        <f>+data!AT150</f>
        <v>0</v>
      </c>
      <c r="L150">
        <f>+data!AO150</f>
        <v>0</v>
      </c>
      <c r="M150">
        <f>+data!AN150</f>
        <v>1</v>
      </c>
      <c r="N150">
        <f>+data!AU150</f>
        <v>1</v>
      </c>
      <c r="O150">
        <f>+data!AV150</f>
        <v>0</v>
      </c>
      <c r="P150">
        <f>+data!AD150</f>
        <v>1</v>
      </c>
      <c r="Q150">
        <f>+data!AF150</f>
        <v>7.6063879999999999</v>
      </c>
      <c r="R150">
        <f>+data!AG150</f>
        <v>4.0943449999999997</v>
      </c>
      <c r="S150">
        <f>+data!AE150</f>
        <v>0</v>
      </c>
    </row>
    <row r="151" spans="1:19" x14ac:dyDescent="0.25">
      <c r="A151">
        <f>+data!AI151</f>
        <v>1.9680606884986514E-2</v>
      </c>
      <c r="B151">
        <f>+data!AJ151</f>
        <v>2.7363726689936203E-2</v>
      </c>
      <c r="C151">
        <f>+data!W151</f>
        <v>0</v>
      </c>
      <c r="D151">
        <f>+data!AQ151</f>
        <v>0</v>
      </c>
      <c r="E151">
        <f>+data!T151</f>
        <v>0</v>
      </c>
      <c r="F151">
        <f>+data!X151</f>
        <v>0</v>
      </c>
      <c r="G151">
        <f>+data!Y151</f>
        <v>1</v>
      </c>
      <c r="H151">
        <f>+data!U151</f>
        <v>1</v>
      </c>
      <c r="I151">
        <f>+data!V151</f>
        <v>1</v>
      </c>
      <c r="J151">
        <f>+data!AS151</f>
        <v>0</v>
      </c>
      <c r="K151">
        <f>+data!AT151</f>
        <v>0</v>
      </c>
      <c r="L151">
        <f>+data!AO151</f>
        <v>0</v>
      </c>
      <c r="M151">
        <f>+data!AN151</f>
        <v>1</v>
      </c>
      <c r="N151">
        <f>+data!AU151</f>
        <v>0</v>
      </c>
      <c r="O151">
        <f>+data!AV151</f>
        <v>1</v>
      </c>
      <c r="P151">
        <f>+data!AD151</f>
        <v>1</v>
      </c>
      <c r="Q151">
        <f>+data!AF151</f>
        <v>7.6063879999999999</v>
      </c>
      <c r="R151">
        <f>+data!AG151</f>
        <v>4.0943449999999997</v>
      </c>
      <c r="S151">
        <f>+data!AE151</f>
        <v>0</v>
      </c>
    </row>
    <row r="152" spans="1:19" x14ac:dyDescent="0.25">
      <c r="A152">
        <f>+data!AI152</f>
        <v>-7.4301474539651996E-2</v>
      </c>
      <c r="B152">
        <f>+data!AJ152</f>
        <v>2.7141321386010143E-2</v>
      </c>
      <c r="C152">
        <f>+data!W152</f>
        <v>0</v>
      </c>
      <c r="D152">
        <f>+data!AQ152</f>
        <v>0</v>
      </c>
      <c r="E152">
        <f>+data!T152</f>
        <v>0</v>
      </c>
      <c r="F152">
        <f>+data!X152</f>
        <v>0</v>
      </c>
      <c r="G152">
        <f>+data!Y152</f>
        <v>1</v>
      </c>
      <c r="H152">
        <f>+data!U152</f>
        <v>1</v>
      </c>
      <c r="I152">
        <f>+data!V152</f>
        <v>1</v>
      </c>
      <c r="J152">
        <f>+data!AS152</f>
        <v>0</v>
      </c>
      <c r="K152">
        <f>+data!AT152</f>
        <v>0</v>
      </c>
      <c r="L152">
        <f>+data!AO152</f>
        <v>0</v>
      </c>
      <c r="M152">
        <f>+data!AN152</f>
        <v>1</v>
      </c>
      <c r="N152">
        <f>+data!AU152</f>
        <v>0</v>
      </c>
      <c r="O152">
        <f>+data!AV152</f>
        <v>0</v>
      </c>
      <c r="P152">
        <f>+data!AD152</f>
        <v>1</v>
      </c>
      <c r="Q152">
        <f>+data!AF152</f>
        <v>7.6063879999999999</v>
      </c>
      <c r="R152">
        <f>+data!AG152</f>
        <v>4.0943449999999997</v>
      </c>
      <c r="S152">
        <f>+data!AE152</f>
        <v>0</v>
      </c>
    </row>
    <row r="153" spans="1:19" x14ac:dyDescent="0.25">
      <c r="A153">
        <f>+data!AI153</f>
        <v>9.1125797204334238E-3</v>
      </c>
      <c r="B153">
        <f>+data!AJ153</f>
        <v>2.7215422654985728E-2</v>
      </c>
      <c r="C153">
        <f>+data!W153</f>
        <v>0</v>
      </c>
      <c r="D153">
        <f>+data!AQ153</f>
        <v>0</v>
      </c>
      <c r="E153">
        <f>+data!T153</f>
        <v>0</v>
      </c>
      <c r="F153">
        <f>+data!X153</f>
        <v>0</v>
      </c>
      <c r="G153">
        <f>+data!Y153</f>
        <v>1</v>
      </c>
      <c r="H153">
        <f>+data!U153</f>
        <v>1</v>
      </c>
      <c r="I153">
        <f>+data!V153</f>
        <v>1</v>
      </c>
      <c r="J153">
        <f>+data!AS153</f>
        <v>0</v>
      </c>
      <c r="K153">
        <f>+data!AT153</f>
        <v>0</v>
      </c>
      <c r="L153">
        <f>+data!AO153</f>
        <v>0</v>
      </c>
      <c r="M153">
        <f>+data!AN153</f>
        <v>1</v>
      </c>
      <c r="N153">
        <f>+data!AU153</f>
        <v>1</v>
      </c>
      <c r="O153">
        <f>+data!AV153</f>
        <v>0</v>
      </c>
      <c r="P153">
        <f>+data!AD153</f>
        <v>1</v>
      </c>
      <c r="Q153">
        <f>+data!AF153</f>
        <v>7.6063879999999999</v>
      </c>
      <c r="R153">
        <f>+data!AG153</f>
        <v>4.0943449999999997</v>
      </c>
      <c r="S153">
        <f>+data!AE153</f>
        <v>0</v>
      </c>
    </row>
    <row r="154" spans="1:19" x14ac:dyDescent="0.25">
      <c r="A154">
        <f>+data!AI154</f>
        <v>8.3116582155920282E-3</v>
      </c>
      <c r="B154">
        <f>+data!AJ154</f>
        <v>2.7215612571786091E-2</v>
      </c>
      <c r="C154">
        <f>+data!W154</f>
        <v>0</v>
      </c>
      <c r="D154">
        <f>+data!AQ154</f>
        <v>0</v>
      </c>
      <c r="E154">
        <f>+data!T154</f>
        <v>0</v>
      </c>
      <c r="F154">
        <f>+data!X154</f>
        <v>0</v>
      </c>
      <c r="G154">
        <f>+data!Y154</f>
        <v>1</v>
      </c>
      <c r="H154">
        <f>+data!U154</f>
        <v>1</v>
      </c>
      <c r="I154">
        <f>+data!V154</f>
        <v>1</v>
      </c>
      <c r="J154">
        <f>+data!AS154</f>
        <v>0</v>
      </c>
      <c r="K154">
        <f>+data!AT154</f>
        <v>0</v>
      </c>
      <c r="L154">
        <f>+data!AO154</f>
        <v>0</v>
      </c>
      <c r="M154">
        <f>+data!AN154</f>
        <v>1</v>
      </c>
      <c r="N154">
        <f>+data!AU154</f>
        <v>0</v>
      </c>
      <c r="O154">
        <f>+data!AV154</f>
        <v>1</v>
      </c>
      <c r="P154">
        <f>+data!AD154</f>
        <v>1</v>
      </c>
      <c r="Q154">
        <f>+data!AF154</f>
        <v>7.6063879999999999</v>
      </c>
      <c r="R154">
        <f>+data!AG154</f>
        <v>4.0943449999999997</v>
      </c>
      <c r="S154">
        <f>+data!AE154</f>
        <v>0</v>
      </c>
    </row>
    <row r="155" spans="1:19" x14ac:dyDescent="0.25">
      <c r="A155">
        <f>+data!AI155</f>
        <v>-5.2800158008731432E-2</v>
      </c>
      <c r="B155">
        <f>+data!AJ155</f>
        <v>3.6884320905621E-2</v>
      </c>
      <c r="C155">
        <f>+data!W155</f>
        <v>1</v>
      </c>
      <c r="D155">
        <f>+data!AQ155</f>
        <v>0</v>
      </c>
      <c r="E155">
        <f>+data!T155</f>
        <v>0</v>
      </c>
      <c r="F155">
        <f>+data!X155</f>
        <v>0</v>
      </c>
      <c r="G155">
        <f>+data!Y155</f>
        <v>1</v>
      </c>
      <c r="H155">
        <f>+data!U155</f>
        <v>1</v>
      </c>
      <c r="I155">
        <f>+data!V155</f>
        <v>1</v>
      </c>
      <c r="J155">
        <f>+data!AS155</f>
        <v>0</v>
      </c>
      <c r="K155">
        <f>+data!AT155</f>
        <v>0</v>
      </c>
      <c r="L155">
        <f>+data!AO155</f>
        <v>0</v>
      </c>
      <c r="M155">
        <f>+data!AN155</f>
        <v>1</v>
      </c>
      <c r="N155">
        <f>+data!AU155</f>
        <v>0</v>
      </c>
      <c r="O155">
        <f>+data!AV155</f>
        <v>0</v>
      </c>
      <c r="P155">
        <f>+data!AD155</f>
        <v>1</v>
      </c>
      <c r="Q155">
        <f>+data!AF155</f>
        <v>7.6063879999999999</v>
      </c>
      <c r="R155">
        <f>+data!AG155</f>
        <v>4.0943449999999997</v>
      </c>
      <c r="S155">
        <f>+data!AE155</f>
        <v>0</v>
      </c>
    </row>
    <row r="156" spans="1:19" x14ac:dyDescent="0.25">
      <c r="A156">
        <f>+data!AI156</f>
        <v>-8.6600478255030207E-3</v>
      </c>
      <c r="B156">
        <f>+data!AJ156</f>
        <v>3.6934457703544601E-2</v>
      </c>
      <c r="C156">
        <f>+data!W156</f>
        <v>1</v>
      </c>
      <c r="D156">
        <f>+data!AQ156</f>
        <v>0</v>
      </c>
      <c r="E156">
        <f>+data!T156</f>
        <v>0</v>
      </c>
      <c r="F156">
        <f>+data!X156</f>
        <v>0</v>
      </c>
      <c r="G156">
        <f>+data!Y156</f>
        <v>1</v>
      </c>
      <c r="H156">
        <f>+data!U156</f>
        <v>1</v>
      </c>
      <c r="I156">
        <f>+data!V156</f>
        <v>1</v>
      </c>
      <c r="J156">
        <f>+data!AS156</f>
        <v>0</v>
      </c>
      <c r="K156">
        <f>+data!AT156</f>
        <v>0</v>
      </c>
      <c r="L156">
        <f>+data!AO156</f>
        <v>0</v>
      </c>
      <c r="M156">
        <f>+data!AN156</f>
        <v>1</v>
      </c>
      <c r="N156">
        <f>+data!AU156</f>
        <v>1</v>
      </c>
      <c r="O156">
        <f>+data!AV156</f>
        <v>0</v>
      </c>
      <c r="P156">
        <f>+data!AD156</f>
        <v>1</v>
      </c>
      <c r="Q156">
        <f>+data!AF156</f>
        <v>7.6063879999999999</v>
      </c>
      <c r="R156">
        <f>+data!AG156</f>
        <v>4.0943449999999997</v>
      </c>
      <c r="S156">
        <f>+data!AE156</f>
        <v>0</v>
      </c>
    </row>
    <row r="157" spans="1:19" x14ac:dyDescent="0.25">
      <c r="A157">
        <f>+data!AI157</f>
        <v>-1.0658553733644873E-2</v>
      </c>
      <c r="B157">
        <f>+data!AJ157</f>
        <v>3.6933744654147539E-2</v>
      </c>
      <c r="C157">
        <f>+data!W157</f>
        <v>1</v>
      </c>
      <c r="D157">
        <f>+data!AQ157</f>
        <v>0</v>
      </c>
      <c r="E157">
        <f>+data!T157</f>
        <v>0</v>
      </c>
      <c r="F157">
        <f>+data!X157</f>
        <v>0</v>
      </c>
      <c r="G157">
        <f>+data!Y157</f>
        <v>1</v>
      </c>
      <c r="H157">
        <f>+data!U157</f>
        <v>1</v>
      </c>
      <c r="I157">
        <f>+data!V157</f>
        <v>1</v>
      </c>
      <c r="J157">
        <f>+data!AS157</f>
        <v>0</v>
      </c>
      <c r="K157">
        <f>+data!AT157</f>
        <v>0</v>
      </c>
      <c r="L157">
        <f>+data!AO157</f>
        <v>0</v>
      </c>
      <c r="M157">
        <f>+data!AN157</f>
        <v>1</v>
      </c>
      <c r="N157">
        <f>+data!AU157</f>
        <v>0</v>
      </c>
      <c r="O157">
        <f>+data!AV157</f>
        <v>1</v>
      </c>
      <c r="P157">
        <f>+data!AD157</f>
        <v>1</v>
      </c>
      <c r="Q157">
        <f>+data!AF157</f>
        <v>7.6063879999999999</v>
      </c>
      <c r="R157">
        <f>+data!AG157</f>
        <v>4.0943449999999997</v>
      </c>
      <c r="S157">
        <f>+data!AE157</f>
        <v>0</v>
      </c>
    </row>
    <row r="158" spans="1:19" x14ac:dyDescent="0.25">
      <c r="A158">
        <f>+data!AI158</f>
        <v>-6.9958515793376377E-2</v>
      </c>
      <c r="B158">
        <f>+data!AJ158</f>
        <v>3.4751297490409991E-2</v>
      </c>
      <c r="C158">
        <f>+data!W158</f>
        <v>0</v>
      </c>
      <c r="D158">
        <f>+data!AQ158</f>
        <v>0</v>
      </c>
      <c r="E158">
        <f>+data!T158</f>
        <v>0</v>
      </c>
      <c r="F158">
        <f>+data!X158</f>
        <v>0</v>
      </c>
      <c r="G158">
        <f>+data!Y158</f>
        <v>1</v>
      </c>
      <c r="H158">
        <f>+data!U158</f>
        <v>1</v>
      </c>
      <c r="I158">
        <f>+data!V158</f>
        <v>1</v>
      </c>
      <c r="J158">
        <f>+data!AS158</f>
        <v>0</v>
      </c>
      <c r="K158">
        <f>+data!AT158</f>
        <v>0</v>
      </c>
      <c r="L158">
        <f>+data!AO158</f>
        <v>0</v>
      </c>
      <c r="M158">
        <f>+data!AN158</f>
        <v>1</v>
      </c>
      <c r="N158">
        <f>+data!AU158</f>
        <v>0</v>
      </c>
      <c r="O158">
        <f>+data!AV158</f>
        <v>0</v>
      </c>
      <c r="P158">
        <f>+data!AD158</f>
        <v>1</v>
      </c>
      <c r="Q158">
        <f>+data!AF158</f>
        <v>7.6063879999999999</v>
      </c>
      <c r="R158">
        <f>+data!AG158</f>
        <v>4.0943449999999997</v>
      </c>
      <c r="S158">
        <f>+data!AE158</f>
        <v>0</v>
      </c>
    </row>
    <row r="159" spans="1:19" x14ac:dyDescent="0.25">
      <c r="A159">
        <f>+data!AI159</f>
        <v>-1.1797995004597271E-2</v>
      </c>
      <c r="B159">
        <f>+data!AJ159</f>
        <v>3.483422612671238E-2</v>
      </c>
      <c r="C159">
        <f>+data!W159</f>
        <v>0</v>
      </c>
      <c r="D159">
        <f>+data!AQ159</f>
        <v>0</v>
      </c>
      <c r="E159">
        <f>+data!T159</f>
        <v>0</v>
      </c>
      <c r="F159">
        <f>+data!X159</f>
        <v>0</v>
      </c>
      <c r="G159">
        <f>+data!Y159</f>
        <v>1</v>
      </c>
      <c r="H159">
        <f>+data!U159</f>
        <v>1</v>
      </c>
      <c r="I159">
        <f>+data!V159</f>
        <v>1</v>
      </c>
      <c r="J159">
        <f>+data!AS159</f>
        <v>0</v>
      </c>
      <c r="K159">
        <f>+data!AT159</f>
        <v>0</v>
      </c>
      <c r="L159">
        <f>+data!AO159</f>
        <v>0</v>
      </c>
      <c r="M159">
        <f>+data!AN159</f>
        <v>1</v>
      </c>
      <c r="N159">
        <f>+data!AU159</f>
        <v>1</v>
      </c>
      <c r="O159">
        <f>+data!AV159</f>
        <v>0</v>
      </c>
      <c r="P159">
        <f>+data!AD159</f>
        <v>1</v>
      </c>
      <c r="Q159">
        <f>+data!AF159</f>
        <v>7.6063879999999999</v>
      </c>
      <c r="R159">
        <f>+data!AG159</f>
        <v>4.0943449999999997</v>
      </c>
      <c r="S159">
        <f>+data!AE159</f>
        <v>0</v>
      </c>
    </row>
    <row r="160" spans="1:19" x14ac:dyDescent="0.25">
      <c r="A160">
        <f>+data!AI160</f>
        <v>-1.7257406586946931E-2</v>
      </c>
      <c r="B160">
        <f>+data!AJ160</f>
        <v>3.4831462836039682E-2</v>
      </c>
      <c r="C160">
        <f>+data!W160</f>
        <v>0</v>
      </c>
      <c r="D160">
        <f>+data!AQ160</f>
        <v>0</v>
      </c>
      <c r="E160">
        <f>+data!T160</f>
        <v>0</v>
      </c>
      <c r="F160">
        <f>+data!X160</f>
        <v>0</v>
      </c>
      <c r="G160">
        <f>+data!Y160</f>
        <v>1</v>
      </c>
      <c r="H160">
        <f>+data!U160</f>
        <v>1</v>
      </c>
      <c r="I160">
        <f>+data!V160</f>
        <v>1</v>
      </c>
      <c r="J160">
        <f>+data!AS160</f>
        <v>0</v>
      </c>
      <c r="K160">
        <f>+data!AT160</f>
        <v>0</v>
      </c>
      <c r="L160">
        <f>+data!AO160</f>
        <v>0</v>
      </c>
      <c r="M160">
        <f>+data!AN160</f>
        <v>1</v>
      </c>
      <c r="N160">
        <f>+data!AU160</f>
        <v>0</v>
      </c>
      <c r="O160">
        <f>+data!AV160</f>
        <v>1</v>
      </c>
      <c r="P160">
        <f>+data!AD160</f>
        <v>1</v>
      </c>
      <c r="Q160">
        <f>+data!AF160</f>
        <v>7.6063879999999999</v>
      </c>
      <c r="R160">
        <f>+data!AG160</f>
        <v>4.0943449999999997</v>
      </c>
      <c r="S160">
        <f>+data!AE160</f>
        <v>0</v>
      </c>
    </row>
    <row r="161" spans="1:19" x14ac:dyDescent="0.25">
      <c r="A161">
        <f>+data!AI161</f>
        <v>-6.4998675681022688E-2</v>
      </c>
      <c r="B161">
        <f>+data!AJ161</f>
        <v>3.4430315617540716E-2</v>
      </c>
      <c r="C161">
        <f>+data!W161</f>
        <v>0</v>
      </c>
      <c r="D161">
        <f>+data!AQ161</f>
        <v>0</v>
      </c>
      <c r="E161">
        <f>+data!T161</f>
        <v>0</v>
      </c>
      <c r="F161">
        <f>+data!X161</f>
        <v>0</v>
      </c>
      <c r="G161">
        <f>+data!Y161</f>
        <v>1</v>
      </c>
      <c r="H161">
        <f>+data!U161</f>
        <v>1</v>
      </c>
      <c r="I161">
        <f>+data!V161</f>
        <v>1</v>
      </c>
      <c r="J161">
        <f>+data!AS161</f>
        <v>0</v>
      </c>
      <c r="K161">
        <f>+data!AT161</f>
        <v>0</v>
      </c>
      <c r="L161">
        <f>+data!AO161</f>
        <v>0</v>
      </c>
      <c r="M161">
        <f>+data!AN161</f>
        <v>1</v>
      </c>
      <c r="N161">
        <f>+data!AU161</f>
        <v>0</v>
      </c>
      <c r="O161">
        <f>+data!AV161</f>
        <v>0</v>
      </c>
      <c r="P161">
        <f>+data!AD161</f>
        <v>1</v>
      </c>
      <c r="Q161">
        <f>+data!AF161</f>
        <v>7.6063879999999999</v>
      </c>
      <c r="R161">
        <f>+data!AG161</f>
        <v>4.0943449999999997</v>
      </c>
      <c r="S161">
        <f>+data!AE161</f>
        <v>0</v>
      </c>
    </row>
    <row r="162" spans="1:19" x14ac:dyDescent="0.25">
      <c r="A162">
        <f>+data!AI162</f>
        <v>1.505532631326063E-2</v>
      </c>
      <c r="B162">
        <f>+data!AJ162</f>
        <v>3.4499367439846274E-2</v>
      </c>
      <c r="C162">
        <f>+data!W162</f>
        <v>0</v>
      </c>
      <c r="D162">
        <f>+data!AQ162</f>
        <v>0</v>
      </c>
      <c r="E162">
        <f>+data!T162</f>
        <v>0</v>
      </c>
      <c r="F162">
        <f>+data!X162</f>
        <v>0</v>
      </c>
      <c r="G162">
        <f>+data!Y162</f>
        <v>1</v>
      </c>
      <c r="H162">
        <f>+data!U162</f>
        <v>1</v>
      </c>
      <c r="I162">
        <f>+data!V162</f>
        <v>1</v>
      </c>
      <c r="J162">
        <f>+data!AS162</f>
        <v>0</v>
      </c>
      <c r="K162">
        <f>+data!AT162</f>
        <v>0</v>
      </c>
      <c r="L162">
        <f>+data!AO162</f>
        <v>0</v>
      </c>
      <c r="M162">
        <f>+data!AN162</f>
        <v>1</v>
      </c>
      <c r="N162">
        <f>+data!AU162</f>
        <v>1</v>
      </c>
      <c r="O162">
        <f>+data!AV162</f>
        <v>0</v>
      </c>
      <c r="P162">
        <f>+data!AD162</f>
        <v>1</v>
      </c>
      <c r="Q162">
        <f>+data!AF162</f>
        <v>7.6063879999999999</v>
      </c>
      <c r="R162">
        <f>+data!AG162</f>
        <v>4.0943449999999997</v>
      </c>
      <c r="S162">
        <f>+data!AE162</f>
        <v>0</v>
      </c>
    </row>
    <row r="163" spans="1:19" x14ac:dyDescent="0.25">
      <c r="A163">
        <f>+data!AI163</f>
        <v>5.4901168417876591E-4</v>
      </c>
      <c r="B163">
        <f>+data!AJ163</f>
        <v>3.4503272767234749E-2</v>
      </c>
      <c r="C163">
        <f>+data!W163</f>
        <v>0</v>
      </c>
      <c r="D163">
        <f>+data!AQ163</f>
        <v>0</v>
      </c>
      <c r="E163">
        <f>+data!T163</f>
        <v>0</v>
      </c>
      <c r="F163">
        <f>+data!X163</f>
        <v>0</v>
      </c>
      <c r="G163">
        <f>+data!Y163</f>
        <v>1</v>
      </c>
      <c r="H163">
        <f>+data!U163</f>
        <v>1</v>
      </c>
      <c r="I163">
        <f>+data!V163</f>
        <v>1</v>
      </c>
      <c r="J163">
        <f>+data!AS163</f>
        <v>0</v>
      </c>
      <c r="K163">
        <f>+data!AT163</f>
        <v>0</v>
      </c>
      <c r="L163">
        <f>+data!AO163</f>
        <v>0</v>
      </c>
      <c r="M163">
        <f>+data!AN163</f>
        <v>1</v>
      </c>
      <c r="N163">
        <f>+data!AU163</f>
        <v>0</v>
      </c>
      <c r="O163">
        <f>+data!AV163</f>
        <v>1</v>
      </c>
      <c r="P163">
        <f>+data!AD163</f>
        <v>1</v>
      </c>
      <c r="Q163">
        <f>+data!AF163</f>
        <v>7.6063879999999999</v>
      </c>
      <c r="R163">
        <f>+data!AG163</f>
        <v>4.0943449999999997</v>
      </c>
      <c r="S163">
        <f>+data!AE163</f>
        <v>0</v>
      </c>
    </row>
    <row r="164" spans="1:19" x14ac:dyDescent="0.25">
      <c r="A164">
        <f>+data!AI164</f>
        <v>-9.1993225072220363E-3</v>
      </c>
      <c r="B164">
        <f>+data!AJ164</f>
        <v>4.6878739351871201E-2</v>
      </c>
      <c r="C164">
        <f>+data!W164</f>
        <v>1</v>
      </c>
      <c r="D164">
        <f>+data!AQ164</f>
        <v>0</v>
      </c>
      <c r="E164">
        <f>+data!T164</f>
        <v>0</v>
      </c>
      <c r="F164">
        <f>+data!X164</f>
        <v>0</v>
      </c>
      <c r="G164">
        <f>+data!Y164</f>
        <v>1</v>
      </c>
      <c r="H164">
        <f>+data!U164</f>
        <v>1</v>
      </c>
      <c r="I164">
        <f>+data!V164</f>
        <v>1</v>
      </c>
      <c r="J164">
        <f>+data!AS164</f>
        <v>0</v>
      </c>
      <c r="K164">
        <f>+data!AT164</f>
        <v>0</v>
      </c>
      <c r="L164">
        <f>+data!AO164</f>
        <v>0</v>
      </c>
      <c r="M164">
        <f>+data!AN164</f>
        <v>1</v>
      </c>
      <c r="N164">
        <f>+data!AU164</f>
        <v>0</v>
      </c>
      <c r="O164">
        <f>+data!AV164</f>
        <v>0</v>
      </c>
      <c r="P164">
        <f>+data!AD164</f>
        <v>1</v>
      </c>
      <c r="Q164">
        <f>+data!AF164</f>
        <v>7.6063879999999999</v>
      </c>
      <c r="R164">
        <f>+data!AG164</f>
        <v>4.0943449999999997</v>
      </c>
      <c r="S164">
        <f>+data!AE164</f>
        <v>0</v>
      </c>
    </row>
    <row r="165" spans="1:19" x14ac:dyDescent="0.25">
      <c r="A165">
        <f>+data!AI165</f>
        <v>1.207445748752865E-2</v>
      </c>
      <c r="B165">
        <f>+data!AJ165</f>
        <v>4.6877305539817102E-2</v>
      </c>
      <c r="C165">
        <f>+data!W165</f>
        <v>1</v>
      </c>
      <c r="D165">
        <f>+data!AQ165</f>
        <v>0</v>
      </c>
      <c r="E165">
        <f>+data!T165</f>
        <v>0</v>
      </c>
      <c r="F165">
        <f>+data!X165</f>
        <v>0</v>
      </c>
      <c r="G165">
        <f>+data!Y165</f>
        <v>1</v>
      </c>
      <c r="H165">
        <f>+data!U165</f>
        <v>1</v>
      </c>
      <c r="I165">
        <f>+data!V165</f>
        <v>1</v>
      </c>
      <c r="J165">
        <f>+data!AS165</f>
        <v>0</v>
      </c>
      <c r="K165">
        <f>+data!AT165</f>
        <v>0</v>
      </c>
      <c r="L165">
        <f>+data!AO165</f>
        <v>0</v>
      </c>
      <c r="M165">
        <f>+data!AN165</f>
        <v>1</v>
      </c>
      <c r="N165">
        <f>+data!AU165</f>
        <v>1</v>
      </c>
      <c r="O165">
        <f>+data!AV165</f>
        <v>0</v>
      </c>
      <c r="P165">
        <f>+data!AD165</f>
        <v>1</v>
      </c>
      <c r="Q165">
        <f>+data!AF165</f>
        <v>7.6063879999999999</v>
      </c>
      <c r="R165">
        <f>+data!AG165</f>
        <v>4.0943449999999997</v>
      </c>
      <c r="S165">
        <f>+data!AE165</f>
        <v>0</v>
      </c>
    </row>
    <row r="166" spans="1:19" x14ac:dyDescent="0.25">
      <c r="A166">
        <f>+data!AI166</f>
        <v>-1.0506690317740845E-2</v>
      </c>
      <c r="B166">
        <f>+data!AJ166</f>
        <v>4.6878135428231577E-2</v>
      </c>
      <c r="C166">
        <f>+data!W166</f>
        <v>1</v>
      </c>
      <c r="D166">
        <f>+data!AQ166</f>
        <v>0</v>
      </c>
      <c r="E166">
        <f>+data!T166</f>
        <v>0</v>
      </c>
      <c r="F166">
        <f>+data!X166</f>
        <v>0</v>
      </c>
      <c r="G166">
        <f>+data!Y166</f>
        <v>1</v>
      </c>
      <c r="H166">
        <f>+data!U166</f>
        <v>1</v>
      </c>
      <c r="I166">
        <f>+data!V166</f>
        <v>1</v>
      </c>
      <c r="J166">
        <f>+data!AS166</f>
        <v>0</v>
      </c>
      <c r="K166">
        <f>+data!AT166</f>
        <v>0</v>
      </c>
      <c r="L166">
        <f>+data!AO166</f>
        <v>0</v>
      </c>
      <c r="M166">
        <f>+data!AN166</f>
        <v>1</v>
      </c>
      <c r="N166">
        <f>+data!AU166</f>
        <v>0</v>
      </c>
      <c r="O166">
        <f>+data!AV166</f>
        <v>1</v>
      </c>
      <c r="P166">
        <f>+data!AD166</f>
        <v>1</v>
      </c>
      <c r="Q166">
        <f>+data!AF166</f>
        <v>7.6063879999999999</v>
      </c>
      <c r="R166">
        <f>+data!AG166</f>
        <v>4.0943449999999997</v>
      </c>
      <c r="S166">
        <f>+data!AE166</f>
        <v>0</v>
      </c>
    </row>
    <row r="167" spans="1:19" x14ac:dyDescent="0.25">
      <c r="A167">
        <f>+data!AI167</f>
        <v>-1.6872019915159603E-2</v>
      </c>
      <c r="B167">
        <f>+data!AJ167</f>
        <v>1.6843030190219464E-2</v>
      </c>
      <c r="C167">
        <f>+data!W167</f>
        <v>0</v>
      </c>
      <c r="D167">
        <f>+data!AQ167</f>
        <v>0</v>
      </c>
      <c r="E167">
        <f>+data!T167</f>
        <v>0</v>
      </c>
      <c r="F167">
        <f>+data!X167</f>
        <v>0</v>
      </c>
      <c r="G167">
        <f>+data!Y167</f>
        <v>1</v>
      </c>
      <c r="H167">
        <f>+data!U167</f>
        <v>1</v>
      </c>
      <c r="I167">
        <f>+data!V167</f>
        <v>1</v>
      </c>
      <c r="J167">
        <f>+data!AS167</f>
        <v>0</v>
      </c>
      <c r="K167">
        <f>+data!AT167</f>
        <v>0</v>
      </c>
      <c r="L167">
        <f>+data!AO167</f>
        <v>0</v>
      </c>
      <c r="M167">
        <f>+data!AN167</f>
        <v>1</v>
      </c>
      <c r="N167">
        <f>+data!AU167</f>
        <v>0</v>
      </c>
      <c r="O167">
        <f>+data!AV167</f>
        <v>0</v>
      </c>
      <c r="P167">
        <f>+data!AD167</f>
        <v>1</v>
      </c>
      <c r="Q167">
        <f>+data!AF167</f>
        <v>7.6063879999999999</v>
      </c>
      <c r="R167">
        <f>+data!AG167</f>
        <v>4.0943449999999997</v>
      </c>
      <c r="S167">
        <f>+data!AE167</f>
        <v>0</v>
      </c>
    </row>
    <row r="168" spans="1:19" x14ac:dyDescent="0.25">
      <c r="A168">
        <f>+data!AI168</f>
        <v>1.2031577647584829E-2</v>
      </c>
      <c r="B168">
        <f>+data!AJ168</f>
        <v>1.6844208706618759E-2</v>
      </c>
      <c r="C168">
        <f>+data!W168</f>
        <v>0</v>
      </c>
      <c r="D168">
        <f>+data!AQ168</f>
        <v>0</v>
      </c>
      <c r="E168">
        <f>+data!T168</f>
        <v>0</v>
      </c>
      <c r="F168">
        <f>+data!X168</f>
        <v>0</v>
      </c>
      <c r="G168">
        <f>+data!Y168</f>
        <v>1</v>
      </c>
      <c r="H168">
        <f>+data!U168</f>
        <v>1</v>
      </c>
      <c r="I168">
        <f>+data!V168</f>
        <v>1</v>
      </c>
      <c r="J168">
        <f>+data!AS168</f>
        <v>0</v>
      </c>
      <c r="K168">
        <f>+data!AT168</f>
        <v>0</v>
      </c>
      <c r="L168">
        <f>+data!AO168</f>
        <v>0</v>
      </c>
      <c r="M168">
        <f>+data!AN168</f>
        <v>1</v>
      </c>
      <c r="N168">
        <f>+data!AU168</f>
        <v>1</v>
      </c>
      <c r="O168">
        <f>+data!AV168</f>
        <v>0</v>
      </c>
      <c r="P168">
        <f>+data!AD168</f>
        <v>1</v>
      </c>
      <c r="Q168">
        <f>+data!AF168</f>
        <v>7.6063879999999999</v>
      </c>
      <c r="R168">
        <f>+data!AG168</f>
        <v>4.0943449999999997</v>
      </c>
      <c r="S168">
        <f>+data!AE168</f>
        <v>0</v>
      </c>
    </row>
    <row r="169" spans="1:19" x14ac:dyDescent="0.25">
      <c r="A169">
        <f>+data!AI169</f>
        <v>2.3268058225628444E-2</v>
      </c>
      <c r="B169">
        <f>+data!AJ169</f>
        <v>1.6840867317150655E-2</v>
      </c>
      <c r="C169">
        <f>+data!W169</f>
        <v>0</v>
      </c>
      <c r="D169">
        <f>+data!AQ169</f>
        <v>0</v>
      </c>
      <c r="E169">
        <f>+data!T169</f>
        <v>0</v>
      </c>
      <c r="F169">
        <f>+data!X169</f>
        <v>0</v>
      </c>
      <c r="G169">
        <f>+data!Y169</f>
        <v>1</v>
      </c>
      <c r="H169">
        <f>+data!U169</f>
        <v>1</v>
      </c>
      <c r="I169">
        <f>+data!V169</f>
        <v>1</v>
      </c>
      <c r="J169">
        <f>+data!AS169</f>
        <v>0</v>
      </c>
      <c r="K169">
        <f>+data!AT169</f>
        <v>0</v>
      </c>
      <c r="L169">
        <f>+data!AO169</f>
        <v>0</v>
      </c>
      <c r="M169">
        <f>+data!AN169</f>
        <v>1</v>
      </c>
      <c r="N169">
        <f>+data!AU169</f>
        <v>0</v>
      </c>
      <c r="O169">
        <f>+data!AV169</f>
        <v>1</v>
      </c>
      <c r="P169">
        <f>+data!AD169</f>
        <v>1</v>
      </c>
      <c r="Q169">
        <f>+data!AF169</f>
        <v>7.6063879999999999</v>
      </c>
      <c r="R169">
        <f>+data!AG169</f>
        <v>4.0943449999999997</v>
      </c>
      <c r="S169">
        <f>+data!AE169</f>
        <v>0</v>
      </c>
    </row>
    <row r="170" spans="1:19" x14ac:dyDescent="0.25">
      <c r="A170">
        <f>+data!AI170</f>
        <v>-7.6510097288983326E-3</v>
      </c>
      <c r="B170">
        <f>+data!AJ170</f>
        <v>1.6726690234901871E-2</v>
      </c>
      <c r="C170">
        <f>+data!W170</f>
        <v>0</v>
      </c>
      <c r="D170">
        <f>+data!AQ170</f>
        <v>0</v>
      </c>
      <c r="E170">
        <f>+data!T170</f>
        <v>0</v>
      </c>
      <c r="F170">
        <f>+data!X170</f>
        <v>0</v>
      </c>
      <c r="G170">
        <f>+data!Y170</f>
        <v>1</v>
      </c>
      <c r="H170">
        <f>+data!U170</f>
        <v>1</v>
      </c>
      <c r="I170">
        <f>+data!V170</f>
        <v>1</v>
      </c>
      <c r="J170">
        <f>+data!AS170</f>
        <v>0</v>
      </c>
      <c r="K170">
        <f>+data!AT170</f>
        <v>0</v>
      </c>
      <c r="L170">
        <f>+data!AO170</f>
        <v>0</v>
      </c>
      <c r="M170">
        <f>+data!AN170</f>
        <v>1</v>
      </c>
      <c r="N170">
        <f>+data!AU170</f>
        <v>0</v>
      </c>
      <c r="O170">
        <f>+data!AV170</f>
        <v>0</v>
      </c>
      <c r="P170">
        <f>+data!AD170</f>
        <v>1</v>
      </c>
      <c r="Q170">
        <f>+data!AF170</f>
        <v>7.6063879999999999</v>
      </c>
      <c r="R170">
        <f>+data!AG170</f>
        <v>4.0943449999999997</v>
      </c>
      <c r="S170">
        <f>+data!AE170</f>
        <v>0</v>
      </c>
    </row>
    <row r="171" spans="1:19" x14ac:dyDescent="0.25">
      <c r="A171">
        <f>+data!AI171</f>
        <v>1.9941204606489828E-2</v>
      </c>
      <c r="B171">
        <f>+data!AJ171</f>
        <v>1.6723853703525811E-2</v>
      </c>
      <c r="C171">
        <f>+data!W171</f>
        <v>0</v>
      </c>
      <c r="D171">
        <f>+data!AQ171</f>
        <v>0</v>
      </c>
      <c r="E171">
        <f>+data!T171</f>
        <v>0</v>
      </c>
      <c r="F171">
        <f>+data!X171</f>
        <v>0</v>
      </c>
      <c r="G171">
        <f>+data!Y171</f>
        <v>1</v>
      </c>
      <c r="H171">
        <f>+data!U171</f>
        <v>1</v>
      </c>
      <c r="I171">
        <f>+data!V171</f>
        <v>1</v>
      </c>
      <c r="J171">
        <f>+data!AS171</f>
        <v>0</v>
      </c>
      <c r="K171">
        <f>+data!AT171</f>
        <v>0</v>
      </c>
      <c r="L171">
        <f>+data!AO171</f>
        <v>0</v>
      </c>
      <c r="M171">
        <f>+data!AN171</f>
        <v>1</v>
      </c>
      <c r="N171">
        <f>+data!AU171</f>
        <v>1</v>
      </c>
      <c r="O171">
        <f>+data!AV171</f>
        <v>0</v>
      </c>
      <c r="P171">
        <f>+data!AD171</f>
        <v>1</v>
      </c>
      <c r="Q171">
        <f>+data!AF171</f>
        <v>7.6063879999999999</v>
      </c>
      <c r="R171">
        <f>+data!AG171</f>
        <v>4.0943449999999997</v>
      </c>
      <c r="S171">
        <f>+data!AE171</f>
        <v>0</v>
      </c>
    </row>
    <row r="172" spans="1:19" x14ac:dyDescent="0.25">
      <c r="A172">
        <f>+data!AI172</f>
        <v>-6.6305923487157111E-4</v>
      </c>
      <c r="B172">
        <f>+data!AJ172</f>
        <v>1.6727176152441906E-2</v>
      </c>
      <c r="C172">
        <f>+data!W172</f>
        <v>0</v>
      </c>
      <c r="D172">
        <f>+data!AQ172</f>
        <v>0</v>
      </c>
      <c r="E172">
        <f>+data!T172</f>
        <v>0</v>
      </c>
      <c r="F172">
        <f>+data!X172</f>
        <v>0</v>
      </c>
      <c r="G172">
        <f>+data!Y172</f>
        <v>1</v>
      </c>
      <c r="H172">
        <f>+data!U172</f>
        <v>1</v>
      </c>
      <c r="I172">
        <f>+data!V172</f>
        <v>1</v>
      </c>
      <c r="J172">
        <f>+data!AS172</f>
        <v>0</v>
      </c>
      <c r="K172">
        <f>+data!AT172</f>
        <v>0</v>
      </c>
      <c r="L172">
        <f>+data!AO172</f>
        <v>0</v>
      </c>
      <c r="M172">
        <f>+data!AN172</f>
        <v>1</v>
      </c>
      <c r="N172">
        <f>+data!AU172</f>
        <v>0</v>
      </c>
      <c r="O172">
        <f>+data!AV172</f>
        <v>1</v>
      </c>
      <c r="P172">
        <f>+data!AD172</f>
        <v>1</v>
      </c>
      <c r="Q172">
        <f>+data!AF172</f>
        <v>7.6063879999999999</v>
      </c>
      <c r="R172">
        <f>+data!AG172</f>
        <v>4.0943449999999997</v>
      </c>
      <c r="S172">
        <f>+data!AE172</f>
        <v>0</v>
      </c>
    </row>
    <row r="173" spans="1:19" x14ac:dyDescent="0.25">
      <c r="A173">
        <f>+data!AI173</f>
        <v>1.2044591198744094E-2</v>
      </c>
      <c r="B173">
        <f>+data!AJ173</f>
        <v>2.2580299544019147E-2</v>
      </c>
      <c r="C173">
        <f>+data!W173</f>
        <v>1</v>
      </c>
      <c r="D173">
        <f>+data!AQ173</f>
        <v>0</v>
      </c>
      <c r="E173">
        <f>+data!T173</f>
        <v>0</v>
      </c>
      <c r="F173">
        <f>+data!X173</f>
        <v>0</v>
      </c>
      <c r="G173">
        <f>+data!Y173</f>
        <v>1</v>
      </c>
      <c r="H173">
        <f>+data!U173</f>
        <v>1</v>
      </c>
      <c r="I173">
        <f>+data!V173</f>
        <v>1</v>
      </c>
      <c r="J173">
        <f>+data!AS173</f>
        <v>0</v>
      </c>
      <c r="K173">
        <f>+data!AT173</f>
        <v>0</v>
      </c>
      <c r="L173">
        <f>+data!AO173</f>
        <v>0</v>
      </c>
      <c r="M173">
        <f>+data!AN173</f>
        <v>1</v>
      </c>
      <c r="N173">
        <f>+data!AU173</f>
        <v>0</v>
      </c>
      <c r="O173">
        <f>+data!AV173</f>
        <v>0</v>
      </c>
      <c r="P173">
        <f>+data!AD173</f>
        <v>1</v>
      </c>
      <c r="Q173">
        <f>+data!AF173</f>
        <v>7.6063879999999999</v>
      </c>
      <c r="R173">
        <f>+data!AG173</f>
        <v>4.0943449999999997</v>
      </c>
      <c r="S173">
        <f>+data!AE173</f>
        <v>0</v>
      </c>
    </row>
    <row r="174" spans="1:19" x14ac:dyDescent="0.25">
      <c r="A174">
        <f>+data!AI174</f>
        <v>2.9058604829224205E-2</v>
      </c>
      <c r="B174">
        <f>+data!AJ174</f>
        <v>2.2572401472896839E-2</v>
      </c>
      <c r="C174">
        <f>+data!W174</f>
        <v>1</v>
      </c>
      <c r="D174">
        <f>+data!AQ174</f>
        <v>0</v>
      </c>
      <c r="E174">
        <f>+data!T174</f>
        <v>0</v>
      </c>
      <c r="F174">
        <f>+data!X174</f>
        <v>0</v>
      </c>
      <c r="G174">
        <f>+data!Y174</f>
        <v>1</v>
      </c>
      <c r="H174">
        <f>+data!U174</f>
        <v>1</v>
      </c>
      <c r="I174">
        <f>+data!V174</f>
        <v>1</v>
      </c>
      <c r="J174">
        <f>+data!AS174</f>
        <v>0</v>
      </c>
      <c r="K174">
        <f>+data!AT174</f>
        <v>0</v>
      </c>
      <c r="L174">
        <f>+data!AO174</f>
        <v>0</v>
      </c>
      <c r="M174">
        <f>+data!AN174</f>
        <v>1</v>
      </c>
      <c r="N174">
        <f>+data!AU174</f>
        <v>1</v>
      </c>
      <c r="O174">
        <f>+data!AV174</f>
        <v>0</v>
      </c>
      <c r="P174">
        <f>+data!AD174</f>
        <v>1</v>
      </c>
      <c r="Q174">
        <f>+data!AF174</f>
        <v>7.6063879999999999</v>
      </c>
      <c r="R174">
        <f>+data!AG174</f>
        <v>4.0943449999999997</v>
      </c>
      <c r="S174">
        <f>+data!AE174</f>
        <v>0</v>
      </c>
    </row>
    <row r="175" spans="1:19" x14ac:dyDescent="0.25">
      <c r="A175">
        <f>+data!AI175</f>
        <v>1.2224241742372471E-2</v>
      </c>
      <c r="B175">
        <f>+data!AJ175</f>
        <v>2.2580250312797454E-2</v>
      </c>
      <c r="C175">
        <f>+data!W175</f>
        <v>1</v>
      </c>
      <c r="D175">
        <f>+data!AQ175</f>
        <v>0</v>
      </c>
      <c r="E175">
        <f>+data!T175</f>
        <v>0</v>
      </c>
      <c r="F175">
        <f>+data!X175</f>
        <v>0</v>
      </c>
      <c r="G175">
        <f>+data!Y175</f>
        <v>1</v>
      </c>
      <c r="H175">
        <f>+data!U175</f>
        <v>1</v>
      </c>
      <c r="I175">
        <f>+data!V175</f>
        <v>1</v>
      </c>
      <c r="J175">
        <f>+data!AS175</f>
        <v>0</v>
      </c>
      <c r="K175">
        <f>+data!AT175</f>
        <v>0</v>
      </c>
      <c r="L175">
        <f>+data!AO175</f>
        <v>0</v>
      </c>
      <c r="M175">
        <f>+data!AN175</f>
        <v>1</v>
      </c>
      <c r="N175">
        <f>+data!AU175</f>
        <v>0</v>
      </c>
      <c r="O175">
        <f>+data!AV175</f>
        <v>1</v>
      </c>
      <c r="P175">
        <f>+data!AD175</f>
        <v>1</v>
      </c>
      <c r="Q175">
        <f>+data!AF175</f>
        <v>7.6063879999999999</v>
      </c>
      <c r="R175">
        <f>+data!AG175</f>
        <v>4.0943449999999997</v>
      </c>
      <c r="S175">
        <f>+data!AE175</f>
        <v>0</v>
      </c>
    </row>
    <row r="176" spans="1:19" x14ac:dyDescent="0.25">
      <c r="A176">
        <f>+data!AI176</f>
        <v>-6.6240512993612369E-3</v>
      </c>
      <c r="B176">
        <f>+data!AJ176</f>
        <v>3.4218544795145869E-2</v>
      </c>
      <c r="C176">
        <f>+data!W176</f>
        <v>0</v>
      </c>
      <c r="D176">
        <f>+data!AQ176</f>
        <v>0</v>
      </c>
      <c r="E176">
        <f>+data!T176</f>
        <v>0</v>
      </c>
      <c r="F176">
        <f>+data!X176</f>
        <v>0</v>
      </c>
      <c r="G176">
        <f>+data!Y176</f>
        <v>1</v>
      </c>
      <c r="H176">
        <f>+data!U176</f>
        <v>1</v>
      </c>
      <c r="I176">
        <f>+data!V176</f>
        <v>1</v>
      </c>
      <c r="J176">
        <f>+data!AS176</f>
        <v>0</v>
      </c>
      <c r="K176">
        <f>+data!AT176</f>
        <v>0</v>
      </c>
      <c r="L176">
        <f>+data!AO176</f>
        <v>0</v>
      </c>
      <c r="M176">
        <f>+data!AN176</f>
        <v>1</v>
      </c>
      <c r="N176">
        <f>+data!AU176</f>
        <v>0</v>
      </c>
      <c r="O176">
        <f>+data!AV176</f>
        <v>0</v>
      </c>
      <c r="P176">
        <f>+data!AD176</f>
        <v>1</v>
      </c>
      <c r="Q176">
        <f>+data!AF176</f>
        <v>7.6063879999999999</v>
      </c>
      <c r="R176">
        <f>+data!AG176</f>
        <v>4.0943449999999997</v>
      </c>
      <c r="S176">
        <f>+data!AE176</f>
        <v>0</v>
      </c>
    </row>
    <row r="177" spans="1:19" x14ac:dyDescent="0.25">
      <c r="A177">
        <f>+data!AI177</f>
        <v>-4.8931675335949498E-3</v>
      </c>
      <c r="B177">
        <f>+data!AJ177</f>
        <v>3.4218885881194615E-2</v>
      </c>
      <c r="C177">
        <f>+data!W177</f>
        <v>0</v>
      </c>
      <c r="D177">
        <f>+data!AQ177</f>
        <v>0</v>
      </c>
      <c r="E177">
        <f>+data!T177</f>
        <v>0</v>
      </c>
      <c r="F177">
        <f>+data!X177</f>
        <v>0</v>
      </c>
      <c r="G177">
        <f>+data!Y177</f>
        <v>1</v>
      </c>
      <c r="H177">
        <f>+data!U177</f>
        <v>1</v>
      </c>
      <c r="I177">
        <f>+data!V177</f>
        <v>1</v>
      </c>
      <c r="J177">
        <f>+data!AS177</f>
        <v>0</v>
      </c>
      <c r="K177">
        <f>+data!AT177</f>
        <v>0</v>
      </c>
      <c r="L177">
        <f>+data!AO177</f>
        <v>0</v>
      </c>
      <c r="M177">
        <f>+data!AN177</f>
        <v>1</v>
      </c>
      <c r="N177">
        <f>+data!AU177</f>
        <v>1</v>
      </c>
      <c r="O177">
        <f>+data!AV177</f>
        <v>0</v>
      </c>
      <c r="P177">
        <f>+data!AD177</f>
        <v>1</v>
      </c>
      <c r="Q177">
        <f>+data!AF177</f>
        <v>7.6063879999999999</v>
      </c>
      <c r="R177">
        <f>+data!AG177</f>
        <v>4.0943449999999997</v>
      </c>
      <c r="S177">
        <f>+data!AE177</f>
        <v>0</v>
      </c>
    </row>
    <row r="178" spans="1:19" x14ac:dyDescent="0.25">
      <c r="A178">
        <f>+data!AI178</f>
        <v>-3.6885132550442394E-2</v>
      </c>
      <c r="B178">
        <f>+data!AJ178</f>
        <v>3.4196009720323085E-2</v>
      </c>
      <c r="C178">
        <f>+data!W178</f>
        <v>0</v>
      </c>
      <c r="D178">
        <f>+data!AQ178</f>
        <v>0</v>
      </c>
      <c r="E178">
        <f>+data!T178</f>
        <v>0</v>
      </c>
      <c r="F178">
        <f>+data!X178</f>
        <v>0</v>
      </c>
      <c r="G178">
        <f>+data!Y178</f>
        <v>1</v>
      </c>
      <c r="H178">
        <f>+data!U178</f>
        <v>1</v>
      </c>
      <c r="I178">
        <f>+data!V178</f>
        <v>1</v>
      </c>
      <c r="J178">
        <f>+data!AS178</f>
        <v>0</v>
      </c>
      <c r="K178">
        <f>+data!AT178</f>
        <v>0</v>
      </c>
      <c r="L178">
        <f>+data!AO178</f>
        <v>0</v>
      </c>
      <c r="M178">
        <f>+data!AN178</f>
        <v>1</v>
      </c>
      <c r="N178">
        <f>+data!AU178</f>
        <v>0</v>
      </c>
      <c r="O178">
        <f>+data!AV178</f>
        <v>1</v>
      </c>
      <c r="P178">
        <f>+data!AD178</f>
        <v>1</v>
      </c>
      <c r="Q178">
        <f>+data!AF178</f>
        <v>7.6063879999999999</v>
      </c>
      <c r="R178">
        <f>+data!AG178</f>
        <v>4.0943449999999997</v>
      </c>
      <c r="S178">
        <f>+data!AE178</f>
        <v>0</v>
      </c>
    </row>
    <row r="179" spans="1:19" x14ac:dyDescent="0.25">
      <c r="A179">
        <f>+data!AI179</f>
        <v>-4.9775134570822005E-3</v>
      </c>
      <c r="B179">
        <f>+data!AJ179</f>
        <v>3.3728745034354211E-2</v>
      </c>
      <c r="C179">
        <f>+data!W179</f>
        <v>0</v>
      </c>
      <c r="D179">
        <f>+data!AQ179</f>
        <v>0</v>
      </c>
      <c r="E179">
        <f>+data!T179</f>
        <v>0</v>
      </c>
      <c r="F179">
        <f>+data!X179</f>
        <v>0</v>
      </c>
      <c r="G179">
        <f>+data!Y179</f>
        <v>1</v>
      </c>
      <c r="H179">
        <f>+data!U179</f>
        <v>1</v>
      </c>
      <c r="I179">
        <f>+data!V179</f>
        <v>1</v>
      </c>
      <c r="J179">
        <f>+data!AS179</f>
        <v>0</v>
      </c>
      <c r="K179">
        <f>+data!AT179</f>
        <v>0</v>
      </c>
      <c r="L179">
        <f>+data!AO179</f>
        <v>0</v>
      </c>
      <c r="M179">
        <f>+data!AN179</f>
        <v>1</v>
      </c>
      <c r="N179">
        <f>+data!AU179</f>
        <v>0</v>
      </c>
      <c r="O179">
        <f>+data!AV179</f>
        <v>0</v>
      </c>
      <c r="P179">
        <f>+data!AD179</f>
        <v>1</v>
      </c>
      <c r="Q179">
        <f>+data!AF179</f>
        <v>7.6063879999999999</v>
      </c>
      <c r="R179">
        <f>+data!AG179</f>
        <v>4.0943449999999997</v>
      </c>
      <c r="S179">
        <f>+data!AE179</f>
        <v>0</v>
      </c>
    </row>
    <row r="180" spans="1:19" x14ac:dyDescent="0.25">
      <c r="A180">
        <f>+data!AI180</f>
        <v>4.6348505224483534E-2</v>
      </c>
      <c r="B180">
        <f>+data!AJ180</f>
        <v>3.3692915167663949E-2</v>
      </c>
      <c r="C180">
        <f>+data!W180</f>
        <v>0</v>
      </c>
      <c r="D180">
        <f>+data!AQ180</f>
        <v>0</v>
      </c>
      <c r="E180">
        <f>+data!T180</f>
        <v>0</v>
      </c>
      <c r="F180">
        <f>+data!X180</f>
        <v>0</v>
      </c>
      <c r="G180">
        <f>+data!Y180</f>
        <v>1</v>
      </c>
      <c r="H180">
        <f>+data!U180</f>
        <v>1</v>
      </c>
      <c r="I180">
        <f>+data!V180</f>
        <v>1</v>
      </c>
      <c r="J180">
        <f>+data!AS180</f>
        <v>0</v>
      </c>
      <c r="K180">
        <f>+data!AT180</f>
        <v>0</v>
      </c>
      <c r="L180">
        <f>+data!AO180</f>
        <v>0</v>
      </c>
      <c r="M180">
        <f>+data!AN180</f>
        <v>1</v>
      </c>
      <c r="N180">
        <f>+data!AU180</f>
        <v>1</v>
      </c>
      <c r="O180">
        <f>+data!AV180</f>
        <v>0</v>
      </c>
      <c r="P180">
        <f>+data!AD180</f>
        <v>1</v>
      </c>
      <c r="Q180">
        <f>+data!AF180</f>
        <v>7.6063879999999999</v>
      </c>
      <c r="R180">
        <f>+data!AG180</f>
        <v>4.0943449999999997</v>
      </c>
      <c r="S180">
        <f>+data!AE180</f>
        <v>0</v>
      </c>
    </row>
    <row r="181" spans="1:19" x14ac:dyDescent="0.25">
      <c r="A181">
        <f>+data!AI181</f>
        <v>-4.1234048895301773E-2</v>
      </c>
      <c r="B181">
        <f>+data!AJ181</f>
        <v>3.370047671875475E-2</v>
      </c>
      <c r="C181">
        <f>+data!W181</f>
        <v>0</v>
      </c>
      <c r="D181">
        <f>+data!AQ181</f>
        <v>0</v>
      </c>
      <c r="E181">
        <f>+data!T181</f>
        <v>0</v>
      </c>
      <c r="F181">
        <f>+data!X181</f>
        <v>0</v>
      </c>
      <c r="G181">
        <f>+data!Y181</f>
        <v>1</v>
      </c>
      <c r="H181">
        <f>+data!U181</f>
        <v>1</v>
      </c>
      <c r="I181">
        <f>+data!V181</f>
        <v>1</v>
      </c>
      <c r="J181">
        <f>+data!AS181</f>
        <v>0</v>
      </c>
      <c r="K181">
        <f>+data!AT181</f>
        <v>0</v>
      </c>
      <c r="L181">
        <f>+data!AO181</f>
        <v>0</v>
      </c>
      <c r="M181">
        <f>+data!AN181</f>
        <v>1</v>
      </c>
      <c r="N181">
        <f>+data!AU181</f>
        <v>0</v>
      </c>
      <c r="O181">
        <f>+data!AV181</f>
        <v>1</v>
      </c>
      <c r="P181">
        <f>+data!AD181</f>
        <v>1</v>
      </c>
      <c r="Q181">
        <f>+data!AF181</f>
        <v>7.6063879999999999</v>
      </c>
      <c r="R181">
        <f>+data!AG181</f>
        <v>4.0943449999999997</v>
      </c>
      <c r="S181">
        <f>+data!AE181</f>
        <v>0</v>
      </c>
    </row>
    <row r="182" spans="1:19" x14ac:dyDescent="0.25">
      <c r="A182">
        <f>+data!AI182</f>
        <v>2.5286472619347865E-3</v>
      </c>
      <c r="B182">
        <f>+data!AJ182</f>
        <v>4.6675853576184471E-2</v>
      </c>
      <c r="C182">
        <f>+data!W182</f>
        <v>1</v>
      </c>
      <c r="D182">
        <f>+data!AQ182</f>
        <v>0</v>
      </c>
      <c r="E182">
        <f>+data!T182</f>
        <v>0</v>
      </c>
      <c r="F182">
        <f>+data!X182</f>
        <v>0</v>
      </c>
      <c r="G182">
        <f>+data!Y182</f>
        <v>1</v>
      </c>
      <c r="H182">
        <f>+data!U182</f>
        <v>1</v>
      </c>
      <c r="I182">
        <f>+data!V182</f>
        <v>1</v>
      </c>
      <c r="J182">
        <f>+data!AS182</f>
        <v>0</v>
      </c>
      <c r="K182">
        <f>+data!AT182</f>
        <v>0</v>
      </c>
      <c r="L182">
        <f>+data!AO182</f>
        <v>0</v>
      </c>
      <c r="M182">
        <f>+data!AN182</f>
        <v>1</v>
      </c>
      <c r="N182">
        <f>+data!AU182</f>
        <v>0</v>
      </c>
      <c r="O182">
        <f>+data!AV182</f>
        <v>0</v>
      </c>
      <c r="P182">
        <f>+data!AD182</f>
        <v>1</v>
      </c>
      <c r="Q182">
        <f>+data!AF182</f>
        <v>7.6063879999999999</v>
      </c>
      <c r="R182">
        <f>+data!AG182</f>
        <v>4.0943449999999997</v>
      </c>
      <c r="S182">
        <f>+data!AE182</f>
        <v>0</v>
      </c>
    </row>
    <row r="183" spans="1:19" x14ac:dyDescent="0.25">
      <c r="A183">
        <f>+data!AI183</f>
        <v>2.9844084173472164E-2</v>
      </c>
      <c r="B183">
        <f>+data!AJ183</f>
        <v>4.6655211727634767E-2</v>
      </c>
      <c r="C183">
        <f>+data!W183</f>
        <v>1</v>
      </c>
      <c r="D183">
        <f>+data!AQ183</f>
        <v>0</v>
      </c>
      <c r="E183">
        <f>+data!T183</f>
        <v>0</v>
      </c>
      <c r="F183">
        <f>+data!X183</f>
        <v>0</v>
      </c>
      <c r="G183">
        <f>+data!Y183</f>
        <v>1</v>
      </c>
      <c r="H183">
        <f>+data!U183</f>
        <v>1</v>
      </c>
      <c r="I183">
        <f>+data!V183</f>
        <v>1</v>
      </c>
      <c r="J183">
        <f>+data!AS183</f>
        <v>0</v>
      </c>
      <c r="K183">
        <f>+data!AT183</f>
        <v>0</v>
      </c>
      <c r="L183">
        <f>+data!AO183</f>
        <v>0</v>
      </c>
      <c r="M183">
        <f>+data!AN183</f>
        <v>1</v>
      </c>
      <c r="N183">
        <f>+data!AU183</f>
        <v>1</v>
      </c>
      <c r="O183">
        <f>+data!AV183</f>
        <v>0</v>
      </c>
      <c r="P183">
        <f>+data!AD183</f>
        <v>1</v>
      </c>
      <c r="Q183">
        <f>+data!AF183</f>
        <v>7.6063879999999999</v>
      </c>
      <c r="R183">
        <f>+data!AG183</f>
        <v>4.0943449999999997</v>
      </c>
      <c r="S183">
        <f>+data!AE183</f>
        <v>0</v>
      </c>
    </row>
    <row r="184" spans="1:19" x14ac:dyDescent="0.25">
      <c r="A184">
        <f>+data!AI184</f>
        <v>4.926329538762652E-2</v>
      </c>
      <c r="B184">
        <f>+data!AJ184</f>
        <v>4.6619330047169845E-2</v>
      </c>
      <c r="C184">
        <f>+data!W184</f>
        <v>1</v>
      </c>
      <c r="D184">
        <f>+data!AQ184</f>
        <v>0</v>
      </c>
      <c r="E184">
        <f>+data!T184</f>
        <v>0</v>
      </c>
      <c r="F184">
        <f>+data!X184</f>
        <v>0</v>
      </c>
      <c r="G184">
        <f>+data!Y184</f>
        <v>1</v>
      </c>
      <c r="H184">
        <f>+data!U184</f>
        <v>1</v>
      </c>
      <c r="I184">
        <f>+data!V184</f>
        <v>1</v>
      </c>
      <c r="J184">
        <f>+data!AS184</f>
        <v>0</v>
      </c>
      <c r="K184">
        <f>+data!AT184</f>
        <v>0</v>
      </c>
      <c r="L184">
        <f>+data!AO184</f>
        <v>0</v>
      </c>
      <c r="M184">
        <f>+data!AN184</f>
        <v>1</v>
      </c>
      <c r="N184">
        <f>+data!AU184</f>
        <v>0</v>
      </c>
      <c r="O184">
        <f>+data!AV184</f>
        <v>1</v>
      </c>
      <c r="P184">
        <f>+data!AD184</f>
        <v>1</v>
      </c>
      <c r="Q184">
        <f>+data!AF184</f>
        <v>7.6063879999999999</v>
      </c>
      <c r="R184">
        <f>+data!AG184</f>
        <v>4.0943449999999997</v>
      </c>
      <c r="S184">
        <f>+data!AE184</f>
        <v>0</v>
      </c>
    </row>
    <row r="185" spans="1:19" x14ac:dyDescent="0.25">
      <c r="A185">
        <f>+data!AI185</f>
        <v>-0.13000682599206762</v>
      </c>
      <c r="B185">
        <f>+data!AJ185</f>
        <v>3.5965960244512117E-2</v>
      </c>
      <c r="C185">
        <f>+data!W185</f>
        <v>0</v>
      </c>
      <c r="D185">
        <f>+data!AQ185</f>
        <v>0</v>
      </c>
      <c r="E185">
        <f>+data!T185</f>
        <v>0</v>
      </c>
      <c r="F185">
        <f>+data!X185</f>
        <v>0</v>
      </c>
      <c r="G185">
        <f>+data!Y185</f>
        <v>1</v>
      </c>
      <c r="H185">
        <f>+data!U185</f>
        <v>1</v>
      </c>
      <c r="I185">
        <f>+data!V185</f>
        <v>1</v>
      </c>
      <c r="J185">
        <f>+data!AS185</f>
        <v>0</v>
      </c>
      <c r="K185">
        <f>+data!AT185</f>
        <v>0</v>
      </c>
      <c r="L185">
        <f>+data!AO185</f>
        <v>0</v>
      </c>
      <c r="M185">
        <f>+data!AN185</f>
        <v>1</v>
      </c>
      <c r="N185">
        <f>+data!AU185</f>
        <v>0</v>
      </c>
      <c r="O185">
        <f>+data!AV185</f>
        <v>0</v>
      </c>
      <c r="P185">
        <f>+data!AD185</f>
        <v>1</v>
      </c>
      <c r="Q185">
        <f>+data!AF185</f>
        <v>7.6063879999999999</v>
      </c>
      <c r="R185">
        <f>+data!AG185</f>
        <v>4.0943449999999997</v>
      </c>
      <c r="S185">
        <f>+data!AE185</f>
        <v>0</v>
      </c>
    </row>
    <row r="186" spans="1:19" x14ac:dyDescent="0.25">
      <c r="A186">
        <f>+data!AI186</f>
        <v>6.7181319771663542E-2</v>
      </c>
      <c r="B186">
        <f>+data!AJ186</f>
        <v>3.6191862095492251E-2</v>
      </c>
      <c r="C186">
        <f>+data!W186</f>
        <v>0</v>
      </c>
      <c r="D186">
        <f>+data!AQ186</f>
        <v>0</v>
      </c>
      <c r="E186">
        <f>+data!T186</f>
        <v>0</v>
      </c>
      <c r="F186">
        <f>+data!X186</f>
        <v>0</v>
      </c>
      <c r="G186">
        <f>+data!Y186</f>
        <v>1</v>
      </c>
      <c r="H186">
        <f>+data!U186</f>
        <v>1</v>
      </c>
      <c r="I186">
        <f>+data!V186</f>
        <v>1</v>
      </c>
      <c r="J186">
        <f>+data!AS186</f>
        <v>0</v>
      </c>
      <c r="K186">
        <f>+data!AT186</f>
        <v>0</v>
      </c>
      <c r="L186">
        <f>+data!AO186</f>
        <v>0</v>
      </c>
      <c r="M186">
        <f>+data!AN186</f>
        <v>1</v>
      </c>
      <c r="N186">
        <f>+data!AU186</f>
        <v>1</v>
      </c>
      <c r="O186">
        <f>+data!AV186</f>
        <v>0</v>
      </c>
      <c r="P186">
        <f>+data!AD186</f>
        <v>1</v>
      </c>
      <c r="Q186">
        <f>+data!AF186</f>
        <v>7.6063879999999999</v>
      </c>
      <c r="R186">
        <f>+data!AG186</f>
        <v>4.0943449999999997</v>
      </c>
      <c r="S186">
        <f>+data!AE186</f>
        <v>0</v>
      </c>
    </row>
    <row r="187" spans="1:19" x14ac:dyDescent="0.25">
      <c r="A187">
        <f>+data!AI187</f>
        <v>4.6468835092928061E-2</v>
      </c>
      <c r="B187">
        <f>+data!AJ187</f>
        <v>3.6234627364128434E-2</v>
      </c>
      <c r="C187">
        <f>+data!W187</f>
        <v>0</v>
      </c>
      <c r="D187">
        <f>+data!AQ187</f>
        <v>0</v>
      </c>
      <c r="E187">
        <f>+data!T187</f>
        <v>0</v>
      </c>
      <c r="F187">
        <f>+data!X187</f>
        <v>0</v>
      </c>
      <c r="G187">
        <f>+data!Y187</f>
        <v>1</v>
      </c>
      <c r="H187">
        <f>+data!U187</f>
        <v>1</v>
      </c>
      <c r="I187">
        <f>+data!V187</f>
        <v>1</v>
      </c>
      <c r="J187">
        <f>+data!AS187</f>
        <v>0</v>
      </c>
      <c r="K187">
        <f>+data!AT187</f>
        <v>0</v>
      </c>
      <c r="L187">
        <f>+data!AO187</f>
        <v>0</v>
      </c>
      <c r="M187">
        <f>+data!AN187</f>
        <v>1</v>
      </c>
      <c r="N187">
        <f>+data!AU187</f>
        <v>0</v>
      </c>
      <c r="O187">
        <f>+data!AV187</f>
        <v>1</v>
      </c>
      <c r="P187">
        <f>+data!AD187</f>
        <v>1</v>
      </c>
      <c r="Q187">
        <f>+data!AF187</f>
        <v>7.6063879999999999</v>
      </c>
      <c r="R187">
        <f>+data!AG187</f>
        <v>4.0943449999999997</v>
      </c>
      <c r="S187">
        <f>+data!AE187</f>
        <v>0</v>
      </c>
    </row>
    <row r="188" spans="1:19" x14ac:dyDescent="0.25">
      <c r="A188">
        <f>+data!AI188</f>
        <v>-0.12094597276758184</v>
      </c>
      <c r="B188">
        <f>+data!AJ188</f>
        <v>3.5796202362873293E-2</v>
      </c>
      <c r="C188">
        <f>+data!W188</f>
        <v>0</v>
      </c>
      <c r="D188">
        <f>+data!AQ188</f>
        <v>0</v>
      </c>
      <c r="E188">
        <f>+data!T188</f>
        <v>0</v>
      </c>
      <c r="F188">
        <f>+data!X188</f>
        <v>0</v>
      </c>
      <c r="G188">
        <f>+data!Y188</f>
        <v>1</v>
      </c>
      <c r="H188">
        <f>+data!U188</f>
        <v>1</v>
      </c>
      <c r="I188">
        <f>+data!V188</f>
        <v>1</v>
      </c>
      <c r="J188">
        <f>+data!AS188</f>
        <v>0</v>
      </c>
      <c r="K188">
        <f>+data!AT188</f>
        <v>0</v>
      </c>
      <c r="L188">
        <f>+data!AO188</f>
        <v>0</v>
      </c>
      <c r="M188">
        <f>+data!AN188</f>
        <v>1</v>
      </c>
      <c r="N188">
        <f>+data!AU188</f>
        <v>0</v>
      </c>
      <c r="O188">
        <f>+data!AV188</f>
        <v>0</v>
      </c>
      <c r="P188">
        <f>+data!AD188</f>
        <v>1</v>
      </c>
      <c r="Q188">
        <f>+data!AF188</f>
        <v>7.6063879999999999</v>
      </c>
      <c r="R188">
        <f>+data!AG188</f>
        <v>4.0943449999999997</v>
      </c>
      <c r="S188">
        <f>+data!AE188</f>
        <v>0</v>
      </c>
    </row>
    <row r="189" spans="1:19" x14ac:dyDescent="0.25">
      <c r="A189">
        <f>+data!AI189</f>
        <v>8.5066920781044705E-3</v>
      </c>
      <c r="B189">
        <f>+data!AJ189</f>
        <v>3.605961752225903E-2</v>
      </c>
      <c r="C189">
        <f>+data!W189</f>
        <v>0</v>
      </c>
      <c r="D189">
        <f>+data!AQ189</f>
        <v>0</v>
      </c>
      <c r="E189">
        <f>+data!T189</f>
        <v>0</v>
      </c>
      <c r="F189">
        <f>+data!X189</f>
        <v>0</v>
      </c>
      <c r="G189">
        <f>+data!Y189</f>
        <v>1</v>
      </c>
      <c r="H189">
        <f>+data!U189</f>
        <v>1</v>
      </c>
      <c r="I189">
        <f>+data!V189</f>
        <v>1</v>
      </c>
      <c r="J189">
        <f>+data!AS189</f>
        <v>0</v>
      </c>
      <c r="K189">
        <f>+data!AT189</f>
        <v>0</v>
      </c>
      <c r="L189">
        <f>+data!AO189</f>
        <v>0</v>
      </c>
      <c r="M189">
        <f>+data!AN189</f>
        <v>1</v>
      </c>
      <c r="N189">
        <f>+data!AU189</f>
        <v>1</v>
      </c>
      <c r="O189">
        <f>+data!AV189</f>
        <v>0</v>
      </c>
      <c r="P189">
        <f>+data!AD189</f>
        <v>1</v>
      </c>
      <c r="Q189">
        <f>+data!AF189</f>
        <v>7.6063879999999999</v>
      </c>
      <c r="R189">
        <f>+data!AG189</f>
        <v>4.0943449999999997</v>
      </c>
      <c r="S189">
        <f>+data!AE189</f>
        <v>0</v>
      </c>
    </row>
    <row r="190" spans="1:19" x14ac:dyDescent="0.25">
      <c r="A190">
        <f>+data!AI190</f>
        <v>2.6451028959931257E-2</v>
      </c>
      <c r="B190">
        <f>+data!AJ190</f>
        <v>3.6048304954242598E-2</v>
      </c>
      <c r="C190">
        <f>+data!W190</f>
        <v>0</v>
      </c>
      <c r="D190">
        <f>+data!AQ190</f>
        <v>0</v>
      </c>
      <c r="E190">
        <f>+data!T190</f>
        <v>0</v>
      </c>
      <c r="F190">
        <f>+data!X190</f>
        <v>0</v>
      </c>
      <c r="G190">
        <f>+data!Y190</f>
        <v>1</v>
      </c>
      <c r="H190">
        <f>+data!U190</f>
        <v>1</v>
      </c>
      <c r="I190">
        <f>+data!V190</f>
        <v>1</v>
      </c>
      <c r="J190">
        <f>+data!AS190</f>
        <v>0</v>
      </c>
      <c r="K190">
        <f>+data!AT190</f>
        <v>0</v>
      </c>
      <c r="L190">
        <f>+data!AO190</f>
        <v>0</v>
      </c>
      <c r="M190">
        <f>+data!AN190</f>
        <v>1</v>
      </c>
      <c r="N190">
        <f>+data!AU190</f>
        <v>0</v>
      </c>
      <c r="O190">
        <f>+data!AV190</f>
        <v>1</v>
      </c>
      <c r="P190">
        <f>+data!AD190</f>
        <v>1</v>
      </c>
      <c r="Q190">
        <f>+data!AF190</f>
        <v>7.6063879999999999</v>
      </c>
      <c r="R190">
        <f>+data!AG190</f>
        <v>4.0943449999999997</v>
      </c>
      <c r="S190">
        <f>+data!AE190</f>
        <v>0</v>
      </c>
    </row>
    <row r="191" spans="1:19" x14ac:dyDescent="0.25">
      <c r="A191">
        <f>+data!AI191</f>
        <v>-0.17313351472820351</v>
      </c>
      <c r="B191">
        <f>+data!AJ191</f>
        <v>4.8700089768568676E-2</v>
      </c>
      <c r="C191">
        <f>+data!W191</f>
        <v>1</v>
      </c>
      <c r="D191">
        <f>+data!AQ191</f>
        <v>0</v>
      </c>
      <c r="E191">
        <f>+data!T191</f>
        <v>0</v>
      </c>
      <c r="F191">
        <f>+data!X191</f>
        <v>0</v>
      </c>
      <c r="G191">
        <f>+data!Y191</f>
        <v>1</v>
      </c>
      <c r="H191">
        <f>+data!U191</f>
        <v>1</v>
      </c>
      <c r="I191">
        <f>+data!V191</f>
        <v>1</v>
      </c>
      <c r="J191">
        <f>+data!AS191</f>
        <v>0</v>
      </c>
      <c r="K191">
        <f>+data!AT191</f>
        <v>0</v>
      </c>
      <c r="L191">
        <f>+data!AO191</f>
        <v>0</v>
      </c>
      <c r="M191">
        <f>+data!AN191</f>
        <v>1</v>
      </c>
      <c r="N191">
        <f>+data!AU191</f>
        <v>0</v>
      </c>
      <c r="O191">
        <f>+data!AV191</f>
        <v>0</v>
      </c>
      <c r="P191">
        <f>+data!AD191</f>
        <v>1</v>
      </c>
      <c r="Q191">
        <f>+data!AF191</f>
        <v>7.6063879999999999</v>
      </c>
      <c r="R191">
        <f>+data!AG191</f>
        <v>4.0943449999999997</v>
      </c>
      <c r="S191">
        <f>+data!AE191</f>
        <v>0</v>
      </c>
    </row>
    <row r="192" spans="1:19" x14ac:dyDescent="0.25">
      <c r="A192">
        <f>+data!AI192</f>
        <v>7.6625133745806026E-2</v>
      </c>
      <c r="B192">
        <f>+data!AJ192</f>
        <v>4.9301442642650385E-2</v>
      </c>
      <c r="C192">
        <f>+data!W192</f>
        <v>1</v>
      </c>
      <c r="D192">
        <f>+data!AQ192</f>
        <v>0</v>
      </c>
      <c r="E192">
        <f>+data!T192</f>
        <v>0</v>
      </c>
      <c r="F192">
        <f>+data!X192</f>
        <v>0</v>
      </c>
      <c r="G192">
        <f>+data!Y192</f>
        <v>1</v>
      </c>
      <c r="H192">
        <f>+data!U192</f>
        <v>1</v>
      </c>
      <c r="I192">
        <f>+data!V192</f>
        <v>1</v>
      </c>
      <c r="J192">
        <f>+data!AS192</f>
        <v>0</v>
      </c>
      <c r="K192">
        <f>+data!AT192</f>
        <v>0</v>
      </c>
      <c r="L192">
        <f>+data!AO192</f>
        <v>0</v>
      </c>
      <c r="M192">
        <f>+data!AN192</f>
        <v>1</v>
      </c>
      <c r="N192">
        <f>+data!AU192</f>
        <v>1</v>
      </c>
      <c r="O192">
        <f>+data!AV192</f>
        <v>0</v>
      </c>
      <c r="P192">
        <f>+data!AD192</f>
        <v>1</v>
      </c>
      <c r="Q192">
        <f>+data!AF192</f>
        <v>7.6063879999999999</v>
      </c>
      <c r="R192">
        <f>+data!AG192</f>
        <v>4.0943449999999997</v>
      </c>
      <c r="S192">
        <f>+data!AE192</f>
        <v>0</v>
      </c>
    </row>
    <row r="193" spans="1:19" x14ac:dyDescent="0.25">
      <c r="A193">
        <f>+data!AI193</f>
        <v>9.9726166351581144E-2</v>
      </c>
      <c r="B193">
        <f>+data!AJ193</f>
        <v>4.9200321319662003E-2</v>
      </c>
      <c r="C193">
        <f>+data!W193</f>
        <v>1</v>
      </c>
      <c r="D193">
        <f>+data!AQ193</f>
        <v>0</v>
      </c>
      <c r="E193">
        <f>+data!T193</f>
        <v>0</v>
      </c>
      <c r="F193">
        <f>+data!X193</f>
        <v>0</v>
      </c>
      <c r="G193">
        <f>+data!Y193</f>
        <v>1</v>
      </c>
      <c r="H193">
        <f>+data!U193</f>
        <v>1</v>
      </c>
      <c r="I193">
        <f>+data!V193</f>
        <v>1</v>
      </c>
      <c r="J193">
        <f>+data!AS193</f>
        <v>0</v>
      </c>
      <c r="K193">
        <f>+data!AT193</f>
        <v>0</v>
      </c>
      <c r="L193">
        <f>+data!AO193</f>
        <v>0</v>
      </c>
      <c r="M193">
        <f>+data!AN193</f>
        <v>1</v>
      </c>
      <c r="N193">
        <f>+data!AU193</f>
        <v>0</v>
      </c>
      <c r="O193">
        <f>+data!AV193</f>
        <v>1</v>
      </c>
      <c r="P193">
        <f>+data!AD193</f>
        <v>1</v>
      </c>
      <c r="Q193">
        <f>+data!AF193</f>
        <v>7.6063879999999999</v>
      </c>
      <c r="R193">
        <f>+data!AG193</f>
        <v>4.0943449999999997</v>
      </c>
      <c r="S193">
        <f>+data!AE193</f>
        <v>0</v>
      </c>
    </row>
    <row r="194" spans="1:19" x14ac:dyDescent="0.25">
      <c r="A194">
        <f>+data!AI194</f>
        <v>-2.92099950254429E-2</v>
      </c>
      <c r="B194">
        <f>+data!AJ194</f>
        <v>1.2594439413567589E-2</v>
      </c>
      <c r="C194">
        <f>+data!W194</f>
        <v>0</v>
      </c>
      <c r="D194">
        <f>+data!AQ194</f>
        <v>0</v>
      </c>
      <c r="E194">
        <f>+data!T194</f>
        <v>0</v>
      </c>
      <c r="F194">
        <f>+data!X194</f>
        <v>0</v>
      </c>
      <c r="G194">
        <f>+data!Y194</f>
        <v>1</v>
      </c>
      <c r="H194">
        <f>+data!U194</f>
        <v>1</v>
      </c>
      <c r="I194">
        <f>+data!V194</f>
        <v>1</v>
      </c>
      <c r="J194">
        <f>+data!AS194</f>
        <v>0</v>
      </c>
      <c r="K194">
        <f>+data!AT194</f>
        <v>0</v>
      </c>
      <c r="L194">
        <f>+data!AO194</f>
        <v>0</v>
      </c>
      <c r="M194">
        <f>+data!AN194</f>
        <v>1</v>
      </c>
      <c r="N194">
        <f>+data!AU194</f>
        <v>0</v>
      </c>
      <c r="O194">
        <f>+data!AV194</f>
        <v>0</v>
      </c>
      <c r="P194">
        <f>+data!AD194</f>
        <v>1</v>
      </c>
      <c r="Q194">
        <f>+data!AF194</f>
        <v>7.6063879999999999</v>
      </c>
      <c r="R194">
        <f>+data!AG194</f>
        <v>4.0943449999999997</v>
      </c>
      <c r="S194">
        <f>+data!AE194</f>
        <v>0</v>
      </c>
    </row>
    <row r="195" spans="1:19" x14ac:dyDescent="0.25">
      <c r="A195">
        <f>+data!AI195</f>
        <v>3.7167598180934485E-5</v>
      </c>
      <c r="B195">
        <f>+data!AJ195</f>
        <v>1.2599815783336788E-2</v>
      </c>
      <c r="C195">
        <f>+data!W195</f>
        <v>0</v>
      </c>
      <c r="D195">
        <f>+data!AQ195</f>
        <v>0</v>
      </c>
      <c r="E195">
        <f>+data!T195</f>
        <v>0</v>
      </c>
      <c r="F195">
        <f>+data!X195</f>
        <v>0</v>
      </c>
      <c r="G195">
        <f>+data!Y195</f>
        <v>1</v>
      </c>
      <c r="H195">
        <f>+data!U195</f>
        <v>1</v>
      </c>
      <c r="I195">
        <f>+data!V195</f>
        <v>1</v>
      </c>
      <c r="J195">
        <f>+data!AS195</f>
        <v>0</v>
      </c>
      <c r="K195">
        <f>+data!AT195</f>
        <v>0</v>
      </c>
      <c r="L195">
        <f>+data!AO195</f>
        <v>0</v>
      </c>
      <c r="M195">
        <f>+data!AN195</f>
        <v>1</v>
      </c>
      <c r="N195">
        <f>+data!AU195</f>
        <v>1</v>
      </c>
      <c r="O195">
        <f>+data!AV195</f>
        <v>0</v>
      </c>
      <c r="P195">
        <f>+data!AD195</f>
        <v>1</v>
      </c>
      <c r="Q195">
        <f>+data!AF195</f>
        <v>7.6063879999999999</v>
      </c>
      <c r="R195">
        <f>+data!AG195</f>
        <v>4.0943449999999997</v>
      </c>
      <c r="S195">
        <f>+data!AE195</f>
        <v>0</v>
      </c>
    </row>
    <row r="196" spans="1:19" x14ac:dyDescent="0.25">
      <c r="A196">
        <f>+data!AI196</f>
        <v>1.100954110711394E-3</v>
      </c>
      <c r="B196">
        <f>+data!AJ196</f>
        <v>1.2599808155919287E-2</v>
      </c>
      <c r="C196">
        <f>+data!W196</f>
        <v>0</v>
      </c>
      <c r="D196">
        <f>+data!AQ196</f>
        <v>0</v>
      </c>
      <c r="E196">
        <f>+data!T196</f>
        <v>0</v>
      </c>
      <c r="F196">
        <f>+data!X196</f>
        <v>0</v>
      </c>
      <c r="G196">
        <f>+data!Y196</f>
        <v>1</v>
      </c>
      <c r="H196">
        <f>+data!U196</f>
        <v>1</v>
      </c>
      <c r="I196">
        <f>+data!V196</f>
        <v>1</v>
      </c>
      <c r="J196">
        <f>+data!AS196</f>
        <v>0</v>
      </c>
      <c r="K196">
        <f>+data!AT196</f>
        <v>0</v>
      </c>
      <c r="L196">
        <f>+data!AO196</f>
        <v>0</v>
      </c>
      <c r="M196">
        <f>+data!AN196</f>
        <v>1</v>
      </c>
      <c r="N196">
        <f>+data!AU196</f>
        <v>0</v>
      </c>
      <c r="O196">
        <f>+data!AV196</f>
        <v>1</v>
      </c>
      <c r="P196">
        <f>+data!AD196</f>
        <v>1</v>
      </c>
      <c r="Q196">
        <f>+data!AF196</f>
        <v>7.6063879999999999</v>
      </c>
      <c r="R196">
        <f>+data!AG196</f>
        <v>4.0943449999999997</v>
      </c>
      <c r="S196">
        <f>+data!AE196</f>
        <v>0</v>
      </c>
    </row>
    <row r="197" spans="1:19" x14ac:dyDescent="0.25">
      <c r="A197">
        <f>+data!AI197</f>
        <v>-2.8649995926720538E-2</v>
      </c>
      <c r="B197">
        <f>+data!AJ197</f>
        <v>1.2491941351935021E-2</v>
      </c>
      <c r="C197">
        <f>+data!W197</f>
        <v>0</v>
      </c>
      <c r="D197">
        <f>+data!AQ197</f>
        <v>0</v>
      </c>
      <c r="E197">
        <f>+data!T197</f>
        <v>0</v>
      </c>
      <c r="F197">
        <f>+data!X197</f>
        <v>0</v>
      </c>
      <c r="G197">
        <f>+data!Y197</f>
        <v>1</v>
      </c>
      <c r="H197">
        <f>+data!U197</f>
        <v>1</v>
      </c>
      <c r="I197">
        <f>+data!V197</f>
        <v>1</v>
      </c>
      <c r="J197">
        <f>+data!AS197</f>
        <v>0</v>
      </c>
      <c r="K197">
        <f>+data!AT197</f>
        <v>0</v>
      </c>
      <c r="L197">
        <f>+data!AO197</f>
        <v>0</v>
      </c>
      <c r="M197">
        <f>+data!AN197</f>
        <v>1</v>
      </c>
      <c r="N197">
        <f>+data!AU197</f>
        <v>0</v>
      </c>
      <c r="O197">
        <f>+data!AV197</f>
        <v>0</v>
      </c>
      <c r="P197">
        <f>+data!AD197</f>
        <v>1</v>
      </c>
      <c r="Q197">
        <f>+data!AF197</f>
        <v>7.6063879999999999</v>
      </c>
      <c r="R197">
        <f>+data!AG197</f>
        <v>4.0943449999999997</v>
      </c>
      <c r="S197">
        <f>+data!AE197</f>
        <v>0</v>
      </c>
    </row>
    <row r="198" spans="1:19" x14ac:dyDescent="0.25">
      <c r="A198">
        <f>+data!AI198</f>
        <v>9.644941991925695E-3</v>
      </c>
      <c r="B198">
        <f>+data!AJ198</f>
        <v>1.2496490059103724E-2</v>
      </c>
      <c r="C198">
        <f>+data!W198</f>
        <v>0</v>
      </c>
      <c r="D198">
        <f>+data!AQ198</f>
        <v>0</v>
      </c>
      <c r="E198">
        <f>+data!T198</f>
        <v>0</v>
      </c>
      <c r="F198">
        <f>+data!X198</f>
        <v>0</v>
      </c>
      <c r="G198">
        <f>+data!Y198</f>
        <v>1</v>
      </c>
      <c r="H198">
        <f>+data!U198</f>
        <v>1</v>
      </c>
      <c r="I198">
        <f>+data!V198</f>
        <v>1</v>
      </c>
      <c r="J198">
        <f>+data!AS198</f>
        <v>0</v>
      </c>
      <c r="K198">
        <f>+data!AT198</f>
        <v>0</v>
      </c>
      <c r="L198">
        <f>+data!AO198</f>
        <v>0</v>
      </c>
      <c r="M198">
        <f>+data!AN198</f>
        <v>1</v>
      </c>
      <c r="N198">
        <f>+data!AU198</f>
        <v>1</v>
      </c>
      <c r="O198">
        <f>+data!AV198</f>
        <v>0</v>
      </c>
      <c r="P198">
        <f>+data!AD198</f>
        <v>1</v>
      </c>
      <c r="Q198">
        <f>+data!AF198</f>
        <v>7.6063879999999999</v>
      </c>
      <c r="R198">
        <f>+data!AG198</f>
        <v>4.0943449999999997</v>
      </c>
      <c r="S198">
        <f>+data!AE198</f>
        <v>0</v>
      </c>
    </row>
    <row r="199" spans="1:19" x14ac:dyDescent="0.25">
      <c r="A199">
        <f>+data!AI199</f>
        <v>-2.5456914690540552E-3</v>
      </c>
      <c r="B199">
        <f>+data!AJ199</f>
        <v>1.2497030848083544E-2</v>
      </c>
      <c r="C199">
        <f>+data!W199</f>
        <v>0</v>
      </c>
      <c r="D199">
        <f>+data!AQ199</f>
        <v>0</v>
      </c>
      <c r="E199">
        <f>+data!T199</f>
        <v>0</v>
      </c>
      <c r="F199">
        <f>+data!X199</f>
        <v>0</v>
      </c>
      <c r="G199">
        <f>+data!Y199</f>
        <v>1</v>
      </c>
      <c r="H199">
        <f>+data!U199</f>
        <v>1</v>
      </c>
      <c r="I199">
        <f>+data!V199</f>
        <v>1</v>
      </c>
      <c r="J199">
        <f>+data!AS199</f>
        <v>0</v>
      </c>
      <c r="K199">
        <f>+data!AT199</f>
        <v>0</v>
      </c>
      <c r="L199">
        <f>+data!AO199</f>
        <v>0</v>
      </c>
      <c r="M199">
        <f>+data!AN199</f>
        <v>1</v>
      </c>
      <c r="N199">
        <f>+data!AU199</f>
        <v>0</v>
      </c>
      <c r="O199">
        <f>+data!AV199</f>
        <v>1</v>
      </c>
      <c r="P199">
        <f>+data!AD199</f>
        <v>1</v>
      </c>
      <c r="Q199">
        <f>+data!AF199</f>
        <v>7.6063879999999999</v>
      </c>
      <c r="R199">
        <f>+data!AG199</f>
        <v>4.0943449999999997</v>
      </c>
      <c r="S199">
        <f>+data!AE199</f>
        <v>0</v>
      </c>
    </row>
    <row r="200" spans="1:19" x14ac:dyDescent="0.25">
      <c r="A200">
        <f>+data!AI200</f>
        <v>-1.2460666176313933E-2</v>
      </c>
      <c r="B200">
        <f>+data!AJ200</f>
        <v>1.713341599243166E-2</v>
      </c>
      <c r="C200">
        <f>+data!W200</f>
        <v>1</v>
      </c>
      <c r="D200">
        <f>+data!AQ200</f>
        <v>0</v>
      </c>
      <c r="E200">
        <f>+data!T200</f>
        <v>0</v>
      </c>
      <c r="F200">
        <f>+data!X200</f>
        <v>0</v>
      </c>
      <c r="G200">
        <f>+data!Y200</f>
        <v>1</v>
      </c>
      <c r="H200">
        <f>+data!U200</f>
        <v>1</v>
      </c>
      <c r="I200">
        <f>+data!V200</f>
        <v>1</v>
      </c>
      <c r="J200">
        <f>+data!AS200</f>
        <v>0</v>
      </c>
      <c r="K200">
        <f>+data!AT200</f>
        <v>0</v>
      </c>
      <c r="L200">
        <f>+data!AO200</f>
        <v>0</v>
      </c>
      <c r="M200">
        <f>+data!AN200</f>
        <v>1</v>
      </c>
      <c r="N200">
        <f>+data!AU200</f>
        <v>0</v>
      </c>
      <c r="O200">
        <f>+data!AV200</f>
        <v>0</v>
      </c>
      <c r="P200">
        <f>+data!AD200</f>
        <v>1</v>
      </c>
      <c r="Q200">
        <f>+data!AF200</f>
        <v>7.6063879999999999</v>
      </c>
      <c r="R200">
        <f>+data!AG200</f>
        <v>4.0943449999999997</v>
      </c>
      <c r="S200">
        <f>+data!AE200</f>
        <v>0</v>
      </c>
    </row>
    <row r="201" spans="1:19" x14ac:dyDescent="0.25">
      <c r="A201">
        <f>+data!AI201</f>
        <v>1.8625908174048939E-2</v>
      </c>
      <c r="B201">
        <f>+data!AJ201</f>
        <v>1.7131773795601088E-2</v>
      </c>
      <c r="C201">
        <f>+data!W201</f>
        <v>1</v>
      </c>
      <c r="D201">
        <f>+data!AQ201</f>
        <v>0</v>
      </c>
      <c r="E201">
        <f>+data!T201</f>
        <v>0</v>
      </c>
      <c r="F201">
        <f>+data!X201</f>
        <v>0</v>
      </c>
      <c r="G201">
        <f>+data!Y201</f>
        <v>1</v>
      </c>
      <c r="H201">
        <f>+data!U201</f>
        <v>1</v>
      </c>
      <c r="I201">
        <f>+data!V201</f>
        <v>1</v>
      </c>
      <c r="J201">
        <f>+data!AS201</f>
        <v>0</v>
      </c>
      <c r="K201">
        <f>+data!AT201</f>
        <v>0</v>
      </c>
      <c r="L201">
        <f>+data!AO201</f>
        <v>0</v>
      </c>
      <c r="M201">
        <f>+data!AN201</f>
        <v>1</v>
      </c>
      <c r="N201">
        <f>+data!AU201</f>
        <v>1</v>
      </c>
      <c r="O201">
        <f>+data!AV201</f>
        <v>0</v>
      </c>
      <c r="P201">
        <f>+data!AD201</f>
        <v>1</v>
      </c>
      <c r="Q201">
        <f>+data!AF201</f>
        <v>7.6063879999999999</v>
      </c>
      <c r="R201">
        <f>+data!AG201</f>
        <v>4.0943449999999997</v>
      </c>
      <c r="S201">
        <f>+data!AE201</f>
        <v>0</v>
      </c>
    </row>
    <row r="202" spans="1:19" x14ac:dyDescent="0.25">
      <c r="A202">
        <f>+data!AI202</f>
        <v>6.1225281716988178E-3</v>
      </c>
      <c r="B202">
        <f>+data!AJ202</f>
        <v>1.7134425130690686E-2</v>
      </c>
      <c r="C202">
        <f>+data!W202</f>
        <v>1</v>
      </c>
      <c r="D202">
        <f>+data!AQ202</f>
        <v>0</v>
      </c>
      <c r="E202">
        <f>+data!T202</f>
        <v>0</v>
      </c>
      <c r="F202">
        <f>+data!X202</f>
        <v>0</v>
      </c>
      <c r="G202">
        <f>+data!Y202</f>
        <v>1</v>
      </c>
      <c r="H202">
        <f>+data!U202</f>
        <v>1</v>
      </c>
      <c r="I202">
        <f>+data!V202</f>
        <v>1</v>
      </c>
      <c r="J202">
        <f>+data!AS202</f>
        <v>0</v>
      </c>
      <c r="K202">
        <f>+data!AT202</f>
        <v>0</v>
      </c>
      <c r="L202">
        <f>+data!AO202</f>
        <v>0</v>
      </c>
      <c r="M202">
        <f>+data!AN202</f>
        <v>1</v>
      </c>
      <c r="N202">
        <f>+data!AU202</f>
        <v>0</v>
      </c>
      <c r="O202">
        <f>+data!AV202</f>
        <v>1</v>
      </c>
      <c r="P202">
        <f>+data!AD202</f>
        <v>1</v>
      </c>
      <c r="Q202">
        <f>+data!AF202</f>
        <v>7.6063879999999999</v>
      </c>
      <c r="R202">
        <f>+data!AG202</f>
        <v>4.0943449999999997</v>
      </c>
      <c r="S202">
        <f>+data!AE202</f>
        <v>0</v>
      </c>
    </row>
    <row r="203" spans="1:19" x14ac:dyDescent="0.25">
      <c r="A203">
        <f>+data!AI203</f>
        <v>-3.2828172461096178E-2</v>
      </c>
      <c r="B203">
        <f>+data!AJ203</f>
        <v>1.2505970461369972E-2</v>
      </c>
      <c r="C203">
        <f>+data!W203</f>
        <v>0</v>
      </c>
      <c r="D203">
        <f>+data!AQ203</f>
        <v>0</v>
      </c>
      <c r="E203">
        <f>+data!T203</f>
        <v>0</v>
      </c>
      <c r="F203">
        <f>+data!X203</f>
        <v>0</v>
      </c>
      <c r="G203">
        <f>+data!Y203</f>
        <v>1</v>
      </c>
      <c r="H203">
        <f>+data!U203</f>
        <v>1</v>
      </c>
      <c r="I203">
        <f>+data!V203</f>
        <v>1</v>
      </c>
      <c r="J203">
        <f>+data!AS203</f>
        <v>0</v>
      </c>
      <c r="K203">
        <f>+data!AT203</f>
        <v>0</v>
      </c>
      <c r="L203">
        <f>+data!AO203</f>
        <v>0</v>
      </c>
      <c r="M203">
        <f>+data!AN203</f>
        <v>1</v>
      </c>
      <c r="N203">
        <f>+data!AU203</f>
        <v>0</v>
      </c>
      <c r="O203">
        <f>+data!AV203</f>
        <v>0</v>
      </c>
      <c r="P203">
        <f>+data!AD203</f>
        <v>1</v>
      </c>
      <c r="Q203">
        <f>+data!AF203</f>
        <v>7.6063879999999999</v>
      </c>
      <c r="R203">
        <f>+data!AG203</f>
        <v>4.0943449999999997</v>
      </c>
      <c r="S203">
        <f>+data!AE203</f>
        <v>0</v>
      </c>
    </row>
    <row r="204" spans="1:19" x14ac:dyDescent="0.25">
      <c r="A204">
        <f>+data!AI204</f>
        <v>9.6940801688991263E-3</v>
      </c>
      <c r="B204">
        <f>+data!AJ204</f>
        <v>1.2512126729625617E-2</v>
      </c>
      <c r="C204">
        <f>+data!W204</f>
        <v>0</v>
      </c>
      <c r="D204">
        <f>+data!AQ204</f>
        <v>0</v>
      </c>
      <c r="E204">
        <f>+data!T204</f>
        <v>0</v>
      </c>
      <c r="F204">
        <f>+data!X204</f>
        <v>0</v>
      </c>
      <c r="G204">
        <f>+data!Y204</f>
        <v>1</v>
      </c>
      <c r="H204">
        <f>+data!U204</f>
        <v>1</v>
      </c>
      <c r="I204">
        <f>+data!V204</f>
        <v>1</v>
      </c>
      <c r="J204">
        <f>+data!AS204</f>
        <v>0</v>
      </c>
      <c r="K204">
        <f>+data!AT204</f>
        <v>0</v>
      </c>
      <c r="L204">
        <f>+data!AO204</f>
        <v>0</v>
      </c>
      <c r="M204">
        <f>+data!AN204</f>
        <v>1</v>
      </c>
      <c r="N204">
        <f>+data!AU204</f>
        <v>1</v>
      </c>
      <c r="O204">
        <f>+data!AV204</f>
        <v>0</v>
      </c>
      <c r="P204">
        <f>+data!AD204</f>
        <v>1</v>
      </c>
      <c r="Q204">
        <f>+data!AF204</f>
        <v>7.6063879999999999</v>
      </c>
      <c r="R204">
        <f>+data!AG204</f>
        <v>4.0943449999999997</v>
      </c>
      <c r="S204">
        <f>+data!AE204</f>
        <v>0</v>
      </c>
    </row>
    <row r="205" spans="1:19" x14ac:dyDescent="0.25">
      <c r="A205">
        <f>+data!AI205</f>
        <v>2.7554971052098972E-3</v>
      </c>
      <c r="B205">
        <f>+data!AJ205</f>
        <v>1.251266718267445E-2</v>
      </c>
      <c r="C205">
        <f>+data!W205</f>
        <v>0</v>
      </c>
      <c r="D205">
        <f>+data!AQ205</f>
        <v>0</v>
      </c>
      <c r="E205">
        <f>+data!T205</f>
        <v>0</v>
      </c>
      <c r="F205">
        <f>+data!X205</f>
        <v>0</v>
      </c>
      <c r="G205">
        <f>+data!Y205</f>
        <v>1</v>
      </c>
      <c r="H205">
        <f>+data!U205</f>
        <v>1</v>
      </c>
      <c r="I205">
        <f>+data!V205</f>
        <v>1</v>
      </c>
      <c r="J205">
        <f>+data!AS205</f>
        <v>0</v>
      </c>
      <c r="K205">
        <f>+data!AT205</f>
        <v>0</v>
      </c>
      <c r="L205">
        <f>+data!AO205</f>
        <v>0</v>
      </c>
      <c r="M205">
        <f>+data!AN205</f>
        <v>1</v>
      </c>
      <c r="N205">
        <f>+data!AU205</f>
        <v>0</v>
      </c>
      <c r="O205">
        <f>+data!AV205</f>
        <v>1</v>
      </c>
      <c r="P205">
        <f>+data!AD205</f>
        <v>1</v>
      </c>
      <c r="Q205">
        <f>+data!AF205</f>
        <v>7.6063879999999999</v>
      </c>
      <c r="R205">
        <f>+data!AG205</f>
        <v>4.0943449999999997</v>
      </c>
      <c r="S205">
        <f>+data!AE205</f>
        <v>0</v>
      </c>
    </row>
    <row r="206" spans="1:19" x14ac:dyDescent="0.25">
      <c r="A206">
        <f>+data!AI206</f>
        <v>-1.9771835053150902E-2</v>
      </c>
      <c r="B206">
        <f>+data!AJ206</f>
        <v>1.2403911576631683E-2</v>
      </c>
      <c r="C206">
        <f>+data!W206</f>
        <v>0</v>
      </c>
      <c r="D206">
        <f>+data!AQ206</f>
        <v>0</v>
      </c>
      <c r="E206">
        <f>+data!T206</f>
        <v>0</v>
      </c>
      <c r="F206">
        <f>+data!X206</f>
        <v>0</v>
      </c>
      <c r="G206">
        <f>+data!Y206</f>
        <v>1</v>
      </c>
      <c r="H206">
        <f>+data!U206</f>
        <v>1</v>
      </c>
      <c r="I206">
        <f>+data!V206</f>
        <v>1</v>
      </c>
      <c r="J206">
        <f>+data!AS206</f>
        <v>0</v>
      </c>
      <c r="K206">
        <f>+data!AT206</f>
        <v>0</v>
      </c>
      <c r="L206">
        <f>+data!AO206</f>
        <v>0</v>
      </c>
      <c r="M206">
        <f>+data!AN206</f>
        <v>1</v>
      </c>
      <c r="N206">
        <f>+data!AU206</f>
        <v>0</v>
      </c>
      <c r="O206">
        <f>+data!AV206</f>
        <v>0</v>
      </c>
      <c r="P206">
        <f>+data!AD206</f>
        <v>1</v>
      </c>
      <c r="Q206">
        <f>+data!AF206</f>
        <v>7.6063879999999999</v>
      </c>
      <c r="R206">
        <f>+data!AG206</f>
        <v>4.0943449999999997</v>
      </c>
      <c r="S206">
        <f>+data!AE206</f>
        <v>0</v>
      </c>
    </row>
    <row r="207" spans="1:19" x14ac:dyDescent="0.25">
      <c r="A207">
        <f>+data!AI207</f>
        <v>1.4468246230645673E-2</v>
      </c>
      <c r="B207">
        <f>+data!AJ207</f>
        <v>1.2405038212015274E-2</v>
      </c>
      <c r="C207">
        <f>+data!W207</f>
        <v>0</v>
      </c>
      <c r="D207">
        <f>+data!AQ207</f>
        <v>0</v>
      </c>
      <c r="E207">
        <f>+data!T207</f>
        <v>0</v>
      </c>
      <c r="F207">
        <f>+data!X207</f>
        <v>0</v>
      </c>
      <c r="G207">
        <f>+data!Y207</f>
        <v>1</v>
      </c>
      <c r="H207">
        <f>+data!U207</f>
        <v>1</v>
      </c>
      <c r="I207">
        <f>+data!V207</f>
        <v>1</v>
      </c>
      <c r="J207">
        <f>+data!AS207</f>
        <v>0</v>
      </c>
      <c r="K207">
        <f>+data!AT207</f>
        <v>0</v>
      </c>
      <c r="L207">
        <f>+data!AO207</f>
        <v>0</v>
      </c>
      <c r="M207">
        <f>+data!AN207</f>
        <v>1</v>
      </c>
      <c r="N207">
        <f>+data!AU207</f>
        <v>1</v>
      </c>
      <c r="O207">
        <f>+data!AV207</f>
        <v>0</v>
      </c>
      <c r="P207">
        <f>+data!AD207</f>
        <v>1</v>
      </c>
      <c r="Q207">
        <f>+data!AF207</f>
        <v>7.6063879999999999</v>
      </c>
      <c r="R207">
        <f>+data!AG207</f>
        <v>4.0943449999999997</v>
      </c>
      <c r="S207">
        <f>+data!AE207</f>
        <v>0</v>
      </c>
    </row>
    <row r="208" spans="1:19" x14ac:dyDescent="0.25">
      <c r="A208">
        <f>+data!AI208</f>
        <v>-3.2304420309996729E-3</v>
      </c>
      <c r="B208">
        <f>+data!AJ208</f>
        <v>1.2406272055222147E-2</v>
      </c>
      <c r="C208">
        <f>+data!W208</f>
        <v>0</v>
      </c>
      <c r="D208">
        <f>+data!AQ208</f>
        <v>0</v>
      </c>
      <c r="E208">
        <f>+data!T208</f>
        <v>0</v>
      </c>
      <c r="F208">
        <f>+data!X208</f>
        <v>0</v>
      </c>
      <c r="G208">
        <f>+data!Y208</f>
        <v>1</v>
      </c>
      <c r="H208">
        <f>+data!U208</f>
        <v>1</v>
      </c>
      <c r="I208">
        <f>+data!V208</f>
        <v>1</v>
      </c>
      <c r="J208">
        <f>+data!AS208</f>
        <v>0</v>
      </c>
      <c r="K208">
        <f>+data!AT208</f>
        <v>0</v>
      </c>
      <c r="L208">
        <f>+data!AO208</f>
        <v>0</v>
      </c>
      <c r="M208">
        <f>+data!AN208</f>
        <v>1</v>
      </c>
      <c r="N208">
        <f>+data!AU208</f>
        <v>0</v>
      </c>
      <c r="O208">
        <f>+data!AV208</f>
        <v>1</v>
      </c>
      <c r="P208">
        <f>+data!AD208</f>
        <v>1</v>
      </c>
      <c r="Q208">
        <f>+data!AF208</f>
        <v>7.6063879999999999</v>
      </c>
      <c r="R208">
        <f>+data!AG208</f>
        <v>4.0943449999999997</v>
      </c>
      <c r="S208">
        <f>+data!AE208</f>
        <v>0</v>
      </c>
    </row>
    <row r="209" spans="1:19" x14ac:dyDescent="0.25">
      <c r="A209">
        <f>+data!AI209</f>
        <v>-1.6193941144815451E-2</v>
      </c>
      <c r="B209">
        <f>+data!AJ209</f>
        <v>5.2479505543800223E-2</v>
      </c>
      <c r="C209">
        <f>+data!W209</f>
        <v>1</v>
      </c>
      <c r="D209">
        <f>+data!AQ209</f>
        <v>0</v>
      </c>
      <c r="E209">
        <f>+data!T209</f>
        <v>0</v>
      </c>
      <c r="F209">
        <f>+data!X209</f>
        <v>0</v>
      </c>
      <c r="G209">
        <f>+data!Y209</f>
        <v>1</v>
      </c>
      <c r="H209">
        <f>+data!U209</f>
        <v>1</v>
      </c>
      <c r="I209">
        <f>+data!V209</f>
        <v>1</v>
      </c>
      <c r="J209">
        <f>+data!AS209</f>
        <v>0</v>
      </c>
      <c r="K209">
        <f>+data!AT209</f>
        <v>0</v>
      </c>
      <c r="L209">
        <f>+data!AO209</f>
        <v>0</v>
      </c>
      <c r="M209">
        <f>+data!AN209</f>
        <v>1</v>
      </c>
      <c r="N209">
        <f>+data!AU209</f>
        <v>0</v>
      </c>
      <c r="O209">
        <f>+data!AV209</f>
        <v>0</v>
      </c>
      <c r="P209">
        <f>+data!AD209</f>
        <v>1</v>
      </c>
      <c r="Q209">
        <f>+data!AF209</f>
        <v>7.6063879999999999</v>
      </c>
      <c r="R209">
        <f>+data!AG209</f>
        <v>4.0943449999999997</v>
      </c>
      <c r="S209">
        <f>+data!AE209</f>
        <v>0</v>
      </c>
    </row>
    <row r="210" spans="1:19" x14ac:dyDescent="0.25">
      <c r="A210">
        <f>+data!AI210</f>
        <v>6.9885650046946537E-2</v>
      </c>
      <c r="B210">
        <f>+data!AJ210</f>
        <v>5.2358059359931014E-2</v>
      </c>
      <c r="C210">
        <f>+data!W210</f>
        <v>1</v>
      </c>
      <c r="D210">
        <f>+data!AQ210</f>
        <v>0</v>
      </c>
      <c r="E210">
        <f>+data!T210</f>
        <v>0</v>
      </c>
      <c r="F210">
        <f>+data!X210</f>
        <v>0</v>
      </c>
      <c r="G210">
        <f>+data!Y210</f>
        <v>1</v>
      </c>
      <c r="H210">
        <f>+data!U210</f>
        <v>1</v>
      </c>
      <c r="I210">
        <f>+data!V210</f>
        <v>1</v>
      </c>
      <c r="J210">
        <f>+data!AS210</f>
        <v>0</v>
      </c>
      <c r="K210">
        <f>+data!AT210</f>
        <v>0</v>
      </c>
      <c r="L210">
        <f>+data!AO210</f>
        <v>0</v>
      </c>
      <c r="M210">
        <f>+data!AN210</f>
        <v>1</v>
      </c>
      <c r="N210">
        <f>+data!AU210</f>
        <v>1</v>
      </c>
      <c r="O210">
        <f>+data!AV210</f>
        <v>0</v>
      </c>
      <c r="P210">
        <f>+data!AD210</f>
        <v>1</v>
      </c>
      <c r="Q210">
        <f>+data!AF210</f>
        <v>7.6063879999999999</v>
      </c>
      <c r="R210">
        <f>+data!AG210</f>
        <v>4.0943449999999997</v>
      </c>
      <c r="S210">
        <f>+data!AE210</f>
        <v>0</v>
      </c>
    </row>
    <row r="211" spans="1:19" x14ac:dyDescent="0.25">
      <c r="A211">
        <f>+data!AI211</f>
        <v>3.8945471765943492E-2</v>
      </c>
      <c r="B211">
        <f>+data!AJ211</f>
        <v>5.2446568644803904E-2</v>
      </c>
      <c r="C211">
        <f>+data!W211</f>
        <v>1</v>
      </c>
      <c r="D211">
        <f>+data!AQ211</f>
        <v>0</v>
      </c>
      <c r="E211">
        <f>+data!T211</f>
        <v>0</v>
      </c>
      <c r="F211">
        <f>+data!X211</f>
        <v>0</v>
      </c>
      <c r="G211">
        <f>+data!Y211</f>
        <v>1</v>
      </c>
      <c r="H211">
        <f>+data!U211</f>
        <v>1</v>
      </c>
      <c r="I211">
        <f>+data!V211</f>
        <v>1</v>
      </c>
      <c r="J211">
        <f>+data!AS211</f>
        <v>0</v>
      </c>
      <c r="K211">
        <f>+data!AT211</f>
        <v>0</v>
      </c>
      <c r="L211">
        <f>+data!AO211</f>
        <v>0</v>
      </c>
      <c r="M211">
        <f>+data!AN211</f>
        <v>1</v>
      </c>
      <c r="N211">
        <f>+data!AU211</f>
        <v>0</v>
      </c>
      <c r="O211">
        <f>+data!AV211</f>
        <v>1</v>
      </c>
      <c r="P211">
        <f>+data!AD211</f>
        <v>1</v>
      </c>
      <c r="Q211">
        <f>+data!AF211</f>
        <v>7.6063879999999999</v>
      </c>
      <c r="R211">
        <f>+data!AG211</f>
        <v>4.0943449999999997</v>
      </c>
      <c r="S211">
        <f>+data!AE211</f>
        <v>0</v>
      </c>
    </row>
    <row r="212" spans="1:19" x14ac:dyDescent="0.25">
      <c r="A212">
        <f>+data!AI212</f>
        <v>-3.1064968529544261E-2</v>
      </c>
      <c r="B212">
        <f>+data!AJ212</f>
        <v>1.2506675641764572E-2</v>
      </c>
      <c r="C212">
        <f>+data!W212</f>
        <v>0</v>
      </c>
      <c r="D212">
        <f>+data!AQ212</f>
        <v>0</v>
      </c>
      <c r="E212">
        <f>+data!T212</f>
        <v>0</v>
      </c>
      <c r="F212">
        <f>+data!X212</f>
        <v>0</v>
      </c>
      <c r="G212">
        <f>+data!Y212</f>
        <v>1</v>
      </c>
      <c r="H212">
        <f>+data!U212</f>
        <v>1</v>
      </c>
      <c r="I212">
        <f>+data!V212</f>
        <v>1</v>
      </c>
      <c r="J212">
        <f>+data!AS212</f>
        <v>0</v>
      </c>
      <c r="K212">
        <f>+data!AT212</f>
        <v>0</v>
      </c>
      <c r="L212">
        <f>+data!AO212</f>
        <v>0</v>
      </c>
      <c r="M212">
        <f>+data!AN212</f>
        <v>1</v>
      </c>
      <c r="N212">
        <f>+data!AU212</f>
        <v>0</v>
      </c>
      <c r="O212">
        <f>+data!AV212</f>
        <v>0</v>
      </c>
      <c r="P212">
        <f>+data!AD212</f>
        <v>1</v>
      </c>
      <c r="Q212">
        <f>+data!AF212</f>
        <v>7.6063879999999999</v>
      </c>
      <c r="R212">
        <f>+data!AG212</f>
        <v>4.0943449999999997</v>
      </c>
      <c r="S212">
        <f>+data!AE212</f>
        <v>0</v>
      </c>
    </row>
    <row r="213" spans="1:19" x14ac:dyDescent="0.25">
      <c r="A213">
        <f>+data!AI213</f>
        <v>9.7482488257563671E-3</v>
      </c>
      <c r="B213">
        <f>+data!AJ213</f>
        <v>1.2512120140338631E-2</v>
      </c>
      <c r="C213">
        <f>+data!W213</f>
        <v>0</v>
      </c>
      <c r="D213">
        <f>+data!AQ213</f>
        <v>0</v>
      </c>
      <c r="E213">
        <f>+data!T213</f>
        <v>0</v>
      </c>
      <c r="F213">
        <f>+data!X213</f>
        <v>0</v>
      </c>
      <c r="G213">
        <f>+data!Y213</f>
        <v>1</v>
      </c>
      <c r="H213">
        <f>+data!U213</f>
        <v>1</v>
      </c>
      <c r="I213">
        <f>+data!V213</f>
        <v>1</v>
      </c>
      <c r="J213">
        <f>+data!AS213</f>
        <v>0</v>
      </c>
      <c r="K213">
        <f>+data!AT213</f>
        <v>0</v>
      </c>
      <c r="L213">
        <f>+data!AO213</f>
        <v>0</v>
      </c>
      <c r="M213">
        <f>+data!AN213</f>
        <v>1</v>
      </c>
      <c r="N213">
        <f>+data!AU213</f>
        <v>1</v>
      </c>
      <c r="O213">
        <f>+data!AV213</f>
        <v>0</v>
      </c>
      <c r="P213">
        <f>+data!AD213</f>
        <v>1</v>
      </c>
      <c r="Q213">
        <f>+data!AF213</f>
        <v>7.6063879999999999</v>
      </c>
      <c r="R213">
        <f>+data!AG213</f>
        <v>4.0943449999999997</v>
      </c>
      <c r="S213">
        <f>+data!AE213</f>
        <v>0</v>
      </c>
    </row>
    <row r="214" spans="1:19" x14ac:dyDescent="0.25">
      <c r="A214">
        <f>+data!AI214</f>
        <v>3.7903206521063266E-3</v>
      </c>
      <c r="B214">
        <f>+data!AJ214</f>
        <v>1.2512624803338958E-2</v>
      </c>
      <c r="C214">
        <f>+data!W214</f>
        <v>0</v>
      </c>
      <c r="D214">
        <f>+data!AQ214</f>
        <v>0</v>
      </c>
      <c r="E214">
        <f>+data!T214</f>
        <v>0</v>
      </c>
      <c r="F214">
        <f>+data!X214</f>
        <v>0</v>
      </c>
      <c r="G214">
        <f>+data!Y214</f>
        <v>1</v>
      </c>
      <c r="H214">
        <f>+data!U214</f>
        <v>1</v>
      </c>
      <c r="I214">
        <f>+data!V214</f>
        <v>1</v>
      </c>
      <c r="J214">
        <f>+data!AS214</f>
        <v>0</v>
      </c>
      <c r="K214">
        <f>+data!AT214</f>
        <v>0</v>
      </c>
      <c r="L214">
        <f>+data!AO214</f>
        <v>0</v>
      </c>
      <c r="M214">
        <f>+data!AN214</f>
        <v>1</v>
      </c>
      <c r="N214">
        <f>+data!AU214</f>
        <v>0</v>
      </c>
      <c r="O214">
        <f>+data!AV214</f>
        <v>1</v>
      </c>
      <c r="P214">
        <f>+data!AD214</f>
        <v>1</v>
      </c>
      <c r="Q214">
        <f>+data!AF214</f>
        <v>7.6063879999999999</v>
      </c>
      <c r="R214">
        <f>+data!AG214</f>
        <v>4.0943449999999997</v>
      </c>
      <c r="S214">
        <f>+data!AE214</f>
        <v>0</v>
      </c>
    </row>
    <row r="215" spans="1:19" x14ac:dyDescent="0.25">
      <c r="A215">
        <f>+data!AI215</f>
        <v>-2.0706754040479523E-2</v>
      </c>
      <c r="B215">
        <f>+data!AJ215</f>
        <v>1.2403676774555384E-2</v>
      </c>
      <c r="C215">
        <f>+data!W215</f>
        <v>0</v>
      </c>
      <c r="D215">
        <f>+data!AQ215</f>
        <v>0</v>
      </c>
      <c r="E215">
        <f>+data!T215</f>
        <v>0</v>
      </c>
      <c r="F215">
        <f>+data!X215</f>
        <v>0</v>
      </c>
      <c r="G215">
        <f>+data!Y215</f>
        <v>1</v>
      </c>
      <c r="H215">
        <f>+data!U215</f>
        <v>1</v>
      </c>
      <c r="I215">
        <f>+data!V215</f>
        <v>1</v>
      </c>
      <c r="J215">
        <f>+data!AS215</f>
        <v>0</v>
      </c>
      <c r="K215">
        <f>+data!AT215</f>
        <v>0</v>
      </c>
      <c r="L215">
        <f>+data!AO215</f>
        <v>0</v>
      </c>
      <c r="M215">
        <f>+data!AN215</f>
        <v>1</v>
      </c>
      <c r="N215">
        <f>+data!AU215</f>
        <v>0</v>
      </c>
      <c r="O215">
        <f>+data!AV215</f>
        <v>0</v>
      </c>
      <c r="P215">
        <f>+data!AD215</f>
        <v>1</v>
      </c>
      <c r="Q215">
        <f>+data!AF215</f>
        <v>7.6063879999999999</v>
      </c>
      <c r="R215">
        <f>+data!AG215</f>
        <v>4.0943449999999997</v>
      </c>
      <c r="S215">
        <f>+data!AE215</f>
        <v>0</v>
      </c>
    </row>
    <row r="216" spans="1:19" x14ac:dyDescent="0.25">
      <c r="A216">
        <f>+data!AI216</f>
        <v>1.4446705251127265E-2</v>
      </c>
      <c r="B216">
        <f>+data!AJ216</f>
        <v>1.2405042076102124E-2</v>
      </c>
      <c r="C216">
        <f>+data!W216</f>
        <v>0</v>
      </c>
      <c r="D216">
        <f>+data!AQ216</f>
        <v>0</v>
      </c>
      <c r="E216">
        <f>+data!T216</f>
        <v>0</v>
      </c>
      <c r="F216">
        <f>+data!X216</f>
        <v>0</v>
      </c>
      <c r="G216">
        <f>+data!Y216</f>
        <v>1</v>
      </c>
      <c r="H216">
        <f>+data!U216</f>
        <v>1</v>
      </c>
      <c r="I216">
        <f>+data!V216</f>
        <v>1</v>
      </c>
      <c r="J216">
        <f>+data!AS216</f>
        <v>0</v>
      </c>
      <c r="K216">
        <f>+data!AT216</f>
        <v>0</v>
      </c>
      <c r="L216">
        <f>+data!AO216</f>
        <v>0</v>
      </c>
      <c r="M216">
        <f>+data!AN216</f>
        <v>1</v>
      </c>
      <c r="N216">
        <f>+data!AU216</f>
        <v>1</v>
      </c>
      <c r="O216">
        <f>+data!AV216</f>
        <v>0</v>
      </c>
      <c r="P216">
        <f>+data!AD216</f>
        <v>1</v>
      </c>
      <c r="Q216">
        <f>+data!AF216</f>
        <v>7.6063879999999999</v>
      </c>
      <c r="R216">
        <f>+data!AG216</f>
        <v>4.0943449999999997</v>
      </c>
      <c r="S216">
        <f>+data!AE216</f>
        <v>0</v>
      </c>
    </row>
    <row r="217" spans="1:19" x14ac:dyDescent="0.25">
      <c r="A217">
        <f>+data!AI217</f>
        <v>-2.733589418280113E-3</v>
      </c>
      <c r="B217">
        <f>+data!AJ217</f>
        <v>1.2406290436809743E-2</v>
      </c>
      <c r="C217">
        <f>+data!W217</f>
        <v>0</v>
      </c>
      <c r="D217">
        <f>+data!AQ217</f>
        <v>0</v>
      </c>
      <c r="E217">
        <f>+data!T217</f>
        <v>0</v>
      </c>
      <c r="F217">
        <f>+data!X217</f>
        <v>0</v>
      </c>
      <c r="G217">
        <f>+data!Y217</f>
        <v>1</v>
      </c>
      <c r="H217">
        <f>+data!U217</f>
        <v>1</v>
      </c>
      <c r="I217">
        <f>+data!V217</f>
        <v>1</v>
      </c>
      <c r="J217">
        <f>+data!AS217</f>
        <v>0</v>
      </c>
      <c r="K217">
        <f>+data!AT217</f>
        <v>0</v>
      </c>
      <c r="L217">
        <f>+data!AO217</f>
        <v>0</v>
      </c>
      <c r="M217">
        <f>+data!AN217</f>
        <v>1</v>
      </c>
      <c r="N217">
        <f>+data!AU217</f>
        <v>0</v>
      </c>
      <c r="O217">
        <f>+data!AV217</f>
        <v>1</v>
      </c>
      <c r="P217">
        <f>+data!AD217</f>
        <v>1</v>
      </c>
      <c r="Q217">
        <f>+data!AF217</f>
        <v>7.6063879999999999</v>
      </c>
      <c r="R217">
        <f>+data!AG217</f>
        <v>4.0943449999999997</v>
      </c>
      <c r="S217">
        <f>+data!AE217</f>
        <v>0</v>
      </c>
    </row>
    <row r="218" spans="1:19" x14ac:dyDescent="0.25">
      <c r="A218">
        <f>+data!AI218</f>
        <v>-1.6014959388491921E-2</v>
      </c>
      <c r="B218">
        <f>+data!AJ218</f>
        <v>1.6362781924785894E-2</v>
      </c>
      <c r="C218">
        <f>+data!W218</f>
        <v>1</v>
      </c>
      <c r="D218">
        <f>+data!AQ218</f>
        <v>0</v>
      </c>
      <c r="E218">
        <f>+data!T218</f>
        <v>0</v>
      </c>
      <c r="F218">
        <f>+data!X218</f>
        <v>0</v>
      </c>
      <c r="G218">
        <f>+data!Y218</f>
        <v>1</v>
      </c>
      <c r="H218">
        <f>+data!U218</f>
        <v>1</v>
      </c>
      <c r="I218">
        <f>+data!V218</f>
        <v>1</v>
      </c>
      <c r="J218">
        <f>+data!AS218</f>
        <v>0</v>
      </c>
      <c r="K218">
        <f>+data!AT218</f>
        <v>0</v>
      </c>
      <c r="L218">
        <f>+data!AO218</f>
        <v>0</v>
      </c>
      <c r="M218">
        <f>+data!AN218</f>
        <v>1</v>
      </c>
      <c r="N218">
        <f>+data!AU218</f>
        <v>0</v>
      </c>
      <c r="O218">
        <f>+data!AV218</f>
        <v>0</v>
      </c>
      <c r="P218">
        <f>+data!AD218</f>
        <v>1</v>
      </c>
      <c r="Q218">
        <f>+data!AF218</f>
        <v>7.6063879999999999</v>
      </c>
      <c r="R218">
        <f>+data!AG218</f>
        <v>4.0943449999999997</v>
      </c>
      <c r="S218">
        <f>+data!AE218</f>
        <v>0</v>
      </c>
    </row>
    <row r="219" spans="1:19" x14ac:dyDescent="0.25">
      <c r="A219">
        <f>+data!AI219</f>
        <v>2.1716557000245745E-2</v>
      </c>
      <c r="B219">
        <f>+data!AJ219</f>
        <v>1.6361021316518259E-2</v>
      </c>
      <c r="C219">
        <f>+data!W219</f>
        <v>1</v>
      </c>
      <c r="D219">
        <f>+data!AQ219</f>
        <v>0</v>
      </c>
      <c r="E219">
        <f>+data!T219</f>
        <v>0</v>
      </c>
      <c r="F219">
        <f>+data!X219</f>
        <v>0</v>
      </c>
      <c r="G219">
        <f>+data!Y219</f>
        <v>1</v>
      </c>
      <c r="H219">
        <f>+data!U219</f>
        <v>1</v>
      </c>
      <c r="I219">
        <f>+data!V219</f>
        <v>1</v>
      </c>
      <c r="J219">
        <f>+data!AS219</f>
        <v>0</v>
      </c>
      <c r="K219">
        <f>+data!AT219</f>
        <v>0</v>
      </c>
      <c r="L219">
        <f>+data!AO219</f>
        <v>0</v>
      </c>
      <c r="M219">
        <f>+data!AN219</f>
        <v>1</v>
      </c>
      <c r="N219">
        <f>+data!AU219</f>
        <v>1</v>
      </c>
      <c r="O219">
        <f>+data!AV219</f>
        <v>0</v>
      </c>
      <c r="P219">
        <f>+data!AD219</f>
        <v>1</v>
      </c>
      <c r="Q219">
        <f>+data!AF219</f>
        <v>7.6063879999999999</v>
      </c>
      <c r="R219">
        <f>+data!AG219</f>
        <v>4.0943449999999997</v>
      </c>
      <c r="S219">
        <f>+data!AE219</f>
        <v>0</v>
      </c>
    </row>
    <row r="220" spans="1:19" x14ac:dyDescent="0.25">
      <c r="A220">
        <f>+data!AI220</f>
        <v>9.3135237630513172E-3</v>
      </c>
      <c r="B220">
        <f>+data!AJ220</f>
        <v>1.6364170908481468E-2</v>
      </c>
      <c r="C220">
        <f>+data!W220</f>
        <v>1</v>
      </c>
      <c r="D220">
        <f>+data!AQ220</f>
        <v>0</v>
      </c>
      <c r="E220">
        <f>+data!T220</f>
        <v>0</v>
      </c>
      <c r="F220">
        <f>+data!X220</f>
        <v>0</v>
      </c>
      <c r="G220">
        <f>+data!Y220</f>
        <v>1</v>
      </c>
      <c r="H220">
        <f>+data!U220</f>
        <v>1</v>
      </c>
      <c r="I220">
        <f>+data!V220</f>
        <v>1</v>
      </c>
      <c r="J220">
        <f>+data!AS220</f>
        <v>0</v>
      </c>
      <c r="K220">
        <f>+data!AT220</f>
        <v>0</v>
      </c>
      <c r="L220">
        <f>+data!AO220</f>
        <v>0</v>
      </c>
      <c r="M220">
        <f>+data!AN220</f>
        <v>1</v>
      </c>
      <c r="N220">
        <f>+data!AU220</f>
        <v>0</v>
      </c>
      <c r="O220">
        <f>+data!AV220</f>
        <v>1</v>
      </c>
      <c r="P220">
        <f>+data!AD220</f>
        <v>1</v>
      </c>
      <c r="Q220">
        <f>+data!AF220</f>
        <v>7.6063879999999999</v>
      </c>
      <c r="R220">
        <f>+data!AG220</f>
        <v>4.0943449999999997</v>
      </c>
      <c r="S220">
        <f>+data!AE220</f>
        <v>0</v>
      </c>
    </row>
    <row r="221" spans="1:19" x14ac:dyDescent="0.25">
      <c r="A221">
        <f>+data!AI221</f>
        <v>-8.6046910794319892E-2</v>
      </c>
      <c r="B221">
        <f>+data!AJ221</f>
        <v>3.6849156953509023E-2</v>
      </c>
      <c r="C221">
        <f>+data!W221</f>
        <v>1</v>
      </c>
      <c r="D221">
        <f>+data!AQ221</f>
        <v>0</v>
      </c>
      <c r="E221">
        <f>+data!T221</f>
        <v>0</v>
      </c>
      <c r="F221">
        <f>+data!X221</f>
        <v>0</v>
      </c>
      <c r="G221">
        <f>+data!Y221</f>
        <v>1</v>
      </c>
      <c r="H221">
        <f>+data!U221</f>
        <v>1</v>
      </c>
      <c r="I221">
        <f>+data!V221</f>
        <v>1</v>
      </c>
      <c r="J221">
        <f>+data!AS221</f>
        <v>0</v>
      </c>
      <c r="K221">
        <f>+data!AT221</f>
        <v>0</v>
      </c>
      <c r="L221">
        <f>+data!AO221</f>
        <v>0</v>
      </c>
      <c r="M221">
        <f>+data!AN221</f>
        <v>1</v>
      </c>
      <c r="N221">
        <f>+data!AU221</f>
        <v>0</v>
      </c>
      <c r="O221">
        <f>+data!AV221</f>
        <v>0</v>
      </c>
      <c r="P221">
        <f>+data!AD221</f>
        <v>1</v>
      </c>
      <c r="Q221">
        <f>+data!AF221</f>
        <v>7.6063879999999999</v>
      </c>
      <c r="R221">
        <f>+data!AG221</f>
        <v>4.0943449999999997</v>
      </c>
      <c r="S221">
        <f>+data!AE221</f>
        <v>0</v>
      </c>
    </row>
    <row r="222" spans="1:19" x14ac:dyDescent="0.25">
      <c r="A222">
        <f>+data!AI222</f>
        <v>1.6591214557406635E-2</v>
      </c>
      <c r="B222">
        <f>+data!AJ222</f>
        <v>3.6981245137612584E-2</v>
      </c>
      <c r="C222">
        <f>+data!W222</f>
        <v>1</v>
      </c>
      <c r="D222">
        <f>+data!AQ222</f>
        <v>0</v>
      </c>
      <c r="E222">
        <f>+data!T222</f>
        <v>0</v>
      </c>
      <c r="F222">
        <f>+data!X222</f>
        <v>0</v>
      </c>
      <c r="G222">
        <f>+data!Y222</f>
        <v>1</v>
      </c>
      <c r="H222">
        <f>+data!U222</f>
        <v>1</v>
      </c>
      <c r="I222">
        <f>+data!V222</f>
        <v>1</v>
      </c>
      <c r="J222">
        <f>+data!AS222</f>
        <v>0</v>
      </c>
      <c r="K222">
        <f>+data!AT222</f>
        <v>0</v>
      </c>
      <c r="L222">
        <f>+data!AO222</f>
        <v>0</v>
      </c>
      <c r="M222">
        <f>+data!AN222</f>
        <v>1</v>
      </c>
      <c r="N222">
        <f>+data!AU222</f>
        <v>1</v>
      </c>
      <c r="O222">
        <f>+data!AV222</f>
        <v>0</v>
      </c>
      <c r="P222">
        <f>+data!AD222</f>
        <v>1</v>
      </c>
      <c r="Q222">
        <f>+data!AF222</f>
        <v>7.6063879999999999</v>
      </c>
      <c r="R222">
        <f>+data!AG222</f>
        <v>4.0943449999999997</v>
      </c>
      <c r="S222">
        <f>+data!AE222</f>
        <v>0</v>
      </c>
    </row>
    <row r="223" spans="1:19" x14ac:dyDescent="0.25">
      <c r="A223">
        <f>+data!AI223</f>
        <v>-1.7117514278661743E-2</v>
      </c>
      <c r="B223">
        <f>+data!AJ223</f>
        <v>3.6980917005646978E-2</v>
      </c>
      <c r="C223">
        <f>+data!W223</f>
        <v>1</v>
      </c>
      <c r="D223">
        <f>+data!AQ223</f>
        <v>0</v>
      </c>
      <c r="E223">
        <f>+data!T223</f>
        <v>0</v>
      </c>
      <c r="F223">
        <f>+data!X223</f>
        <v>0</v>
      </c>
      <c r="G223">
        <f>+data!Y223</f>
        <v>1</v>
      </c>
      <c r="H223">
        <f>+data!U223</f>
        <v>1</v>
      </c>
      <c r="I223">
        <f>+data!V223</f>
        <v>1</v>
      </c>
      <c r="J223">
        <f>+data!AS223</f>
        <v>0</v>
      </c>
      <c r="K223">
        <f>+data!AT223</f>
        <v>0</v>
      </c>
      <c r="L223">
        <f>+data!AO223</f>
        <v>0</v>
      </c>
      <c r="M223">
        <f>+data!AN223</f>
        <v>1</v>
      </c>
      <c r="N223">
        <f>+data!AU223</f>
        <v>0</v>
      </c>
      <c r="O223">
        <f>+data!AV223</f>
        <v>1</v>
      </c>
      <c r="P223">
        <f>+data!AD223</f>
        <v>1</v>
      </c>
      <c r="Q223">
        <f>+data!AF223</f>
        <v>7.6063879999999999</v>
      </c>
      <c r="R223">
        <f>+data!AG223</f>
        <v>4.0943449999999997</v>
      </c>
      <c r="S223">
        <f>+data!AE223</f>
        <v>0</v>
      </c>
    </row>
    <row r="224" spans="1:19" x14ac:dyDescent="0.25">
      <c r="A224">
        <f>+data!AI224</f>
        <v>-9.0965592235208392E-2</v>
      </c>
      <c r="B224">
        <f>+data!AJ224</f>
        <v>3.680782430907719E-2</v>
      </c>
      <c r="C224">
        <f>+data!W224</f>
        <v>1</v>
      </c>
      <c r="D224">
        <f>+data!AQ224</f>
        <v>0</v>
      </c>
      <c r="E224">
        <f>+data!T224</f>
        <v>0</v>
      </c>
      <c r="F224">
        <f>+data!X224</f>
        <v>0</v>
      </c>
      <c r="G224">
        <f>+data!Y224</f>
        <v>1</v>
      </c>
      <c r="H224">
        <f>+data!U224</f>
        <v>1</v>
      </c>
      <c r="I224">
        <f>+data!V224</f>
        <v>1</v>
      </c>
      <c r="J224">
        <f>+data!AS224</f>
        <v>0</v>
      </c>
      <c r="K224">
        <f>+data!AT224</f>
        <v>0</v>
      </c>
      <c r="L224">
        <f>+data!AO224</f>
        <v>0</v>
      </c>
      <c r="M224">
        <f>+data!AN224</f>
        <v>1</v>
      </c>
      <c r="N224">
        <f>+data!AU224</f>
        <v>0</v>
      </c>
      <c r="O224">
        <f>+data!AV224</f>
        <v>0</v>
      </c>
      <c r="P224">
        <f>+data!AD224</f>
        <v>1</v>
      </c>
      <c r="Q224">
        <f>+data!AF224</f>
        <v>7.6063879999999999</v>
      </c>
      <c r="R224">
        <f>+data!AG224</f>
        <v>4.0943449999999997</v>
      </c>
      <c r="S224">
        <f>+data!AE224</f>
        <v>0</v>
      </c>
    </row>
    <row r="225" spans="1:19" x14ac:dyDescent="0.25">
      <c r="A225">
        <f>+data!AI225</f>
        <v>2.6992803271570609E-2</v>
      </c>
      <c r="B225">
        <f>+data!AJ225</f>
        <v>3.6947595967468994E-2</v>
      </c>
      <c r="C225">
        <f>+data!W225</f>
        <v>1</v>
      </c>
      <c r="D225">
        <f>+data!AQ225</f>
        <v>0</v>
      </c>
      <c r="E225">
        <f>+data!T225</f>
        <v>0</v>
      </c>
      <c r="F225">
        <f>+data!X225</f>
        <v>0</v>
      </c>
      <c r="G225">
        <f>+data!Y225</f>
        <v>1</v>
      </c>
      <c r="H225">
        <f>+data!U225</f>
        <v>1</v>
      </c>
      <c r="I225">
        <f>+data!V225</f>
        <v>1</v>
      </c>
      <c r="J225">
        <f>+data!AS225</f>
        <v>0</v>
      </c>
      <c r="K225">
        <f>+data!AT225</f>
        <v>0</v>
      </c>
      <c r="L225">
        <f>+data!AO225</f>
        <v>0</v>
      </c>
      <c r="M225">
        <f>+data!AN225</f>
        <v>1</v>
      </c>
      <c r="N225">
        <f>+data!AU225</f>
        <v>1</v>
      </c>
      <c r="O225">
        <f>+data!AV225</f>
        <v>0</v>
      </c>
      <c r="P225">
        <f>+data!AD225</f>
        <v>1</v>
      </c>
      <c r="Q225">
        <f>+data!AF225</f>
        <v>7.6063879999999999</v>
      </c>
      <c r="R225">
        <f>+data!AG225</f>
        <v>4.0943449999999997</v>
      </c>
      <c r="S225">
        <f>+data!AE225</f>
        <v>0</v>
      </c>
    </row>
    <row r="226" spans="1:19" x14ac:dyDescent="0.25">
      <c r="A226">
        <f>+data!AI226</f>
        <v>1.3201856160134225E-2</v>
      </c>
      <c r="B226">
        <f>+data!AJ226</f>
        <v>3.6957842453857651E-2</v>
      </c>
      <c r="C226">
        <f>+data!W226</f>
        <v>1</v>
      </c>
      <c r="D226">
        <f>+data!AQ226</f>
        <v>0</v>
      </c>
      <c r="E226">
        <f>+data!T226</f>
        <v>0</v>
      </c>
      <c r="F226">
        <f>+data!X226</f>
        <v>0</v>
      </c>
      <c r="G226">
        <f>+data!Y226</f>
        <v>1</v>
      </c>
      <c r="H226">
        <f>+data!U226</f>
        <v>1</v>
      </c>
      <c r="I226">
        <f>+data!V226</f>
        <v>1</v>
      </c>
      <c r="J226">
        <f>+data!AS226</f>
        <v>0</v>
      </c>
      <c r="K226">
        <f>+data!AT226</f>
        <v>0</v>
      </c>
      <c r="L226">
        <f>+data!AO226</f>
        <v>0</v>
      </c>
      <c r="M226">
        <f>+data!AN226</f>
        <v>1</v>
      </c>
      <c r="N226">
        <f>+data!AU226</f>
        <v>0</v>
      </c>
      <c r="O226">
        <f>+data!AV226</f>
        <v>1</v>
      </c>
      <c r="P226">
        <f>+data!AD226</f>
        <v>1</v>
      </c>
      <c r="Q226">
        <f>+data!AF226</f>
        <v>7.6063879999999999</v>
      </c>
      <c r="R226">
        <f>+data!AG226</f>
        <v>4.0943449999999997</v>
      </c>
      <c r="S226">
        <f>+data!AE226</f>
        <v>0</v>
      </c>
    </row>
    <row r="227" spans="1:19" x14ac:dyDescent="0.25">
      <c r="A227">
        <f>+data!AI227</f>
        <v>-2.3489405781827503E-2</v>
      </c>
      <c r="B227">
        <f>+data!AJ227</f>
        <v>4.6867788038690253E-2</v>
      </c>
      <c r="C227">
        <f>+data!W227</f>
        <v>1</v>
      </c>
      <c r="D227">
        <f>+data!AQ227</f>
        <v>0</v>
      </c>
      <c r="E227">
        <f>+data!T227</f>
        <v>0</v>
      </c>
      <c r="F227">
        <f>+data!X227</f>
        <v>0</v>
      </c>
      <c r="G227">
        <f>+data!Y227</f>
        <v>1</v>
      </c>
      <c r="H227">
        <f>+data!U227</f>
        <v>1</v>
      </c>
      <c r="I227">
        <f>+data!V227</f>
        <v>1</v>
      </c>
      <c r="J227">
        <f>+data!AS227</f>
        <v>0</v>
      </c>
      <c r="K227">
        <f>+data!AT227</f>
        <v>0</v>
      </c>
      <c r="L227">
        <f>+data!AO227</f>
        <v>0</v>
      </c>
      <c r="M227">
        <f>+data!AN227</f>
        <v>1</v>
      </c>
      <c r="N227">
        <f>+data!AU227</f>
        <v>0</v>
      </c>
      <c r="O227">
        <f>+data!AV227</f>
        <v>0</v>
      </c>
      <c r="P227">
        <f>+data!AD227</f>
        <v>1</v>
      </c>
      <c r="Q227">
        <f>+data!AF227</f>
        <v>7.6063879999999999</v>
      </c>
      <c r="R227">
        <f>+data!AG227</f>
        <v>4.0943449999999997</v>
      </c>
      <c r="S227">
        <f>+data!AE227</f>
        <v>0</v>
      </c>
    </row>
    <row r="228" spans="1:19" x14ac:dyDescent="0.25">
      <c r="A228">
        <f>+data!AI228</f>
        <v>2.59846955258084E-4</v>
      </c>
      <c r="B228">
        <f>+data!AJ228</f>
        <v>4.6880721511145987E-2</v>
      </c>
      <c r="C228">
        <f>+data!W228</f>
        <v>1</v>
      </c>
      <c r="D228">
        <f>+data!AQ228</f>
        <v>0</v>
      </c>
      <c r="E228">
        <f>+data!T228</f>
        <v>0</v>
      </c>
      <c r="F228">
        <f>+data!X228</f>
        <v>0</v>
      </c>
      <c r="G228">
        <f>+data!Y228</f>
        <v>1</v>
      </c>
      <c r="H228">
        <f>+data!U228</f>
        <v>1</v>
      </c>
      <c r="I228">
        <f>+data!V228</f>
        <v>1</v>
      </c>
      <c r="J228">
        <f>+data!AS228</f>
        <v>0</v>
      </c>
      <c r="K228">
        <f>+data!AT228</f>
        <v>0</v>
      </c>
      <c r="L228">
        <f>+data!AO228</f>
        <v>0</v>
      </c>
      <c r="M228">
        <f>+data!AN228</f>
        <v>1</v>
      </c>
      <c r="N228">
        <f>+data!AU228</f>
        <v>1</v>
      </c>
      <c r="O228">
        <f>+data!AV228</f>
        <v>0</v>
      </c>
      <c r="P228">
        <f>+data!AD228</f>
        <v>1</v>
      </c>
      <c r="Q228">
        <f>+data!AF228</f>
        <v>7.6063879999999999</v>
      </c>
      <c r="R228">
        <f>+data!AG228</f>
        <v>4.0943449999999997</v>
      </c>
      <c r="S228">
        <f>+data!AE228</f>
        <v>0</v>
      </c>
    </row>
    <row r="229" spans="1:19" x14ac:dyDescent="0.25">
      <c r="A229">
        <f>+data!AI229</f>
        <v>-9.8109557978881545E-3</v>
      </c>
      <c r="B229">
        <f>+data!AJ229</f>
        <v>4.6878466790982579E-2</v>
      </c>
      <c r="C229">
        <f>+data!W229</f>
        <v>1</v>
      </c>
      <c r="D229">
        <f>+data!AQ229</f>
        <v>0</v>
      </c>
      <c r="E229">
        <f>+data!T229</f>
        <v>0</v>
      </c>
      <c r="F229">
        <f>+data!X229</f>
        <v>0</v>
      </c>
      <c r="G229">
        <f>+data!Y229</f>
        <v>1</v>
      </c>
      <c r="H229">
        <f>+data!U229</f>
        <v>1</v>
      </c>
      <c r="I229">
        <f>+data!V229</f>
        <v>1</v>
      </c>
      <c r="J229">
        <f>+data!AS229</f>
        <v>0</v>
      </c>
      <c r="K229">
        <f>+data!AT229</f>
        <v>0</v>
      </c>
      <c r="L229">
        <f>+data!AO229</f>
        <v>0</v>
      </c>
      <c r="M229">
        <f>+data!AN229</f>
        <v>1</v>
      </c>
      <c r="N229">
        <f>+data!AU229</f>
        <v>0</v>
      </c>
      <c r="O229">
        <f>+data!AV229</f>
        <v>1</v>
      </c>
      <c r="P229">
        <f>+data!AD229</f>
        <v>1</v>
      </c>
      <c r="Q229">
        <f>+data!AF229</f>
        <v>7.6063879999999999</v>
      </c>
      <c r="R229">
        <f>+data!AG229</f>
        <v>4.0943449999999997</v>
      </c>
      <c r="S229">
        <f>+data!AE229</f>
        <v>0</v>
      </c>
    </row>
    <row r="230" spans="1:19" x14ac:dyDescent="0.25">
      <c r="A230">
        <f>+data!AI230</f>
        <v>-2.5825605717529499E-3</v>
      </c>
      <c r="B230">
        <f>+data!AJ230</f>
        <v>4.6932168935764976E-2</v>
      </c>
      <c r="C230">
        <f>+data!W230</f>
        <v>1</v>
      </c>
      <c r="D230">
        <f>+data!AQ230</f>
        <v>0</v>
      </c>
      <c r="E230">
        <f>+data!T230</f>
        <v>0</v>
      </c>
      <c r="F230">
        <f>+data!X230</f>
        <v>0</v>
      </c>
      <c r="G230">
        <f>+data!Y230</f>
        <v>1</v>
      </c>
      <c r="H230">
        <f>+data!U230</f>
        <v>1</v>
      </c>
      <c r="I230">
        <f>+data!V230</f>
        <v>1</v>
      </c>
      <c r="J230">
        <f>+data!AS230</f>
        <v>0</v>
      </c>
      <c r="K230">
        <f>+data!AT230</f>
        <v>0</v>
      </c>
      <c r="L230">
        <f>+data!AO230</f>
        <v>0</v>
      </c>
      <c r="M230">
        <f>+data!AN230</f>
        <v>1</v>
      </c>
      <c r="N230">
        <f>+data!AU230</f>
        <v>0</v>
      </c>
      <c r="O230">
        <f>+data!AV230</f>
        <v>0</v>
      </c>
      <c r="P230">
        <f>+data!AD230</f>
        <v>1</v>
      </c>
      <c r="Q230">
        <f>+data!AF230</f>
        <v>7.6063879999999999</v>
      </c>
      <c r="R230">
        <f>+data!AG230</f>
        <v>4.0943449999999997</v>
      </c>
      <c r="S230">
        <f>+data!AE230</f>
        <v>0</v>
      </c>
    </row>
    <row r="231" spans="1:19" x14ac:dyDescent="0.25">
      <c r="A231">
        <f>+data!AI231</f>
        <v>3.6833983124844125E-3</v>
      </c>
      <c r="B231">
        <f>+data!AJ231</f>
        <v>4.6932007069954457E-2</v>
      </c>
      <c r="C231">
        <f>+data!W231</f>
        <v>1</v>
      </c>
      <c r="D231">
        <f>+data!AQ231</f>
        <v>0</v>
      </c>
      <c r="E231">
        <f>+data!T231</f>
        <v>0</v>
      </c>
      <c r="F231">
        <f>+data!X231</f>
        <v>0</v>
      </c>
      <c r="G231">
        <f>+data!Y231</f>
        <v>1</v>
      </c>
      <c r="H231">
        <f>+data!U231</f>
        <v>1</v>
      </c>
      <c r="I231">
        <f>+data!V231</f>
        <v>1</v>
      </c>
      <c r="J231">
        <f>+data!AS231</f>
        <v>0</v>
      </c>
      <c r="K231">
        <f>+data!AT231</f>
        <v>0</v>
      </c>
      <c r="L231">
        <f>+data!AO231</f>
        <v>0</v>
      </c>
      <c r="M231">
        <f>+data!AN231</f>
        <v>1</v>
      </c>
      <c r="N231">
        <f>+data!AU231</f>
        <v>1</v>
      </c>
      <c r="O231">
        <f>+data!AV231</f>
        <v>0</v>
      </c>
      <c r="P231">
        <f>+data!AD231</f>
        <v>1</v>
      </c>
      <c r="Q231">
        <f>+data!AF231</f>
        <v>7.6063879999999999</v>
      </c>
      <c r="R231">
        <f>+data!AG231</f>
        <v>4.0943449999999997</v>
      </c>
      <c r="S231">
        <f>+data!AE231</f>
        <v>0</v>
      </c>
    </row>
    <row r="232" spans="1:19" x14ac:dyDescent="0.25">
      <c r="A232">
        <f>+data!AI232</f>
        <v>1.2557274940692406E-2</v>
      </c>
      <c r="B232">
        <f>+data!AJ232</f>
        <v>4.6928625035031167E-2</v>
      </c>
      <c r="C232">
        <f>+data!W232</f>
        <v>1</v>
      </c>
      <c r="D232">
        <f>+data!AQ232</f>
        <v>0</v>
      </c>
      <c r="E232">
        <f>+data!T232</f>
        <v>0</v>
      </c>
      <c r="F232">
        <f>+data!X232</f>
        <v>0</v>
      </c>
      <c r="G232">
        <f>+data!Y232</f>
        <v>1</v>
      </c>
      <c r="H232">
        <f>+data!U232</f>
        <v>1</v>
      </c>
      <c r="I232">
        <f>+data!V232</f>
        <v>1</v>
      </c>
      <c r="J232">
        <f>+data!AS232</f>
        <v>0</v>
      </c>
      <c r="K232">
        <f>+data!AT232</f>
        <v>0</v>
      </c>
      <c r="L232">
        <f>+data!AO232</f>
        <v>0</v>
      </c>
      <c r="M232">
        <f>+data!AN232</f>
        <v>1</v>
      </c>
      <c r="N232">
        <f>+data!AU232</f>
        <v>0</v>
      </c>
      <c r="O232">
        <f>+data!AV232</f>
        <v>1</v>
      </c>
      <c r="P232">
        <f>+data!AD232</f>
        <v>1</v>
      </c>
      <c r="Q232">
        <f>+data!AF232</f>
        <v>7.6063879999999999</v>
      </c>
      <c r="R232">
        <f>+data!AG232</f>
        <v>4.0943449999999997</v>
      </c>
      <c r="S232">
        <f>+data!AE232</f>
        <v>0</v>
      </c>
    </row>
    <row r="233" spans="1:19" x14ac:dyDescent="0.25">
      <c r="A233">
        <f>+data!AI233</f>
        <v>-3.1056249236573338E-2</v>
      </c>
      <c r="B233">
        <f>+data!AJ233</f>
        <v>2.2657868111323524E-2</v>
      </c>
      <c r="C233">
        <f>+data!W233</f>
        <v>1</v>
      </c>
      <c r="D233">
        <f>+data!AQ233</f>
        <v>0</v>
      </c>
      <c r="E233">
        <f>+data!T233</f>
        <v>0</v>
      </c>
      <c r="F233">
        <f>+data!X233</f>
        <v>0</v>
      </c>
      <c r="G233">
        <f>+data!Y233</f>
        <v>1</v>
      </c>
      <c r="H233">
        <f>+data!U233</f>
        <v>1</v>
      </c>
      <c r="I233">
        <f>+data!V233</f>
        <v>1</v>
      </c>
      <c r="J233">
        <f>+data!AS233</f>
        <v>0</v>
      </c>
      <c r="K233">
        <f>+data!AT233</f>
        <v>0</v>
      </c>
      <c r="L233">
        <f>+data!AO233</f>
        <v>0</v>
      </c>
      <c r="M233">
        <f>+data!AN233</f>
        <v>1</v>
      </c>
      <c r="N233">
        <f>+data!AU233</f>
        <v>0</v>
      </c>
      <c r="O233">
        <f>+data!AV233</f>
        <v>0</v>
      </c>
      <c r="P233">
        <f>+data!AD233</f>
        <v>1</v>
      </c>
      <c r="Q233">
        <f>+data!AF233</f>
        <v>7.6063879999999999</v>
      </c>
      <c r="R233">
        <f>+data!AG233</f>
        <v>4.0943449999999997</v>
      </c>
      <c r="S233">
        <f>+data!AE233</f>
        <v>0</v>
      </c>
    </row>
    <row r="234" spans="1:19" x14ac:dyDescent="0.25">
      <c r="A234">
        <f>+data!AI234</f>
        <v>2.8493599695312465E-2</v>
      </c>
      <c r="B234">
        <f>+data!AJ234</f>
        <v>2.2659598570752941E-2</v>
      </c>
      <c r="C234">
        <f>+data!W234</f>
        <v>1</v>
      </c>
      <c r="D234">
        <f>+data!AQ234</f>
        <v>0</v>
      </c>
      <c r="E234">
        <f>+data!T234</f>
        <v>0</v>
      </c>
      <c r="F234">
        <f>+data!X234</f>
        <v>0</v>
      </c>
      <c r="G234">
        <f>+data!Y234</f>
        <v>1</v>
      </c>
      <c r="H234">
        <f>+data!U234</f>
        <v>1</v>
      </c>
      <c r="I234">
        <f>+data!V234</f>
        <v>1</v>
      </c>
      <c r="J234">
        <f>+data!AS234</f>
        <v>0</v>
      </c>
      <c r="K234">
        <f>+data!AT234</f>
        <v>0</v>
      </c>
      <c r="L234">
        <f>+data!AO234</f>
        <v>0</v>
      </c>
      <c r="M234">
        <f>+data!AN234</f>
        <v>1</v>
      </c>
      <c r="N234">
        <f>+data!AU234</f>
        <v>1</v>
      </c>
      <c r="O234">
        <f>+data!AV234</f>
        <v>0</v>
      </c>
      <c r="P234">
        <f>+data!AD234</f>
        <v>1</v>
      </c>
      <c r="Q234">
        <f>+data!AF234</f>
        <v>7.6063879999999999</v>
      </c>
      <c r="R234">
        <f>+data!AG234</f>
        <v>4.0943449999999997</v>
      </c>
      <c r="S234">
        <f>+data!AE234</f>
        <v>0</v>
      </c>
    </row>
    <row r="235" spans="1:19" x14ac:dyDescent="0.25">
      <c r="A235">
        <f>+data!AI235</f>
        <v>-5.6402884983254411E-3</v>
      </c>
      <c r="B235">
        <f>+data!AJ235</f>
        <v>2.2668442089737301E-2</v>
      </c>
      <c r="C235">
        <f>+data!W235</f>
        <v>1</v>
      </c>
      <c r="D235">
        <f>+data!AQ235</f>
        <v>0</v>
      </c>
      <c r="E235">
        <f>+data!T235</f>
        <v>0</v>
      </c>
      <c r="F235">
        <f>+data!X235</f>
        <v>0</v>
      </c>
      <c r="G235">
        <f>+data!Y235</f>
        <v>1</v>
      </c>
      <c r="H235">
        <f>+data!U235</f>
        <v>1</v>
      </c>
      <c r="I235">
        <f>+data!V235</f>
        <v>1</v>
      </c>
      <c r="J235">
        <f>+data!AS235</f>
        <v>0</v>
      </c>
      <c r="K235">
        <f>+data!AT235</f>
        <v>0</v>
      </c>
      <c r="L235">
        <f>+data!AO235</f>
        <v>0</v>
      </c>
      <c r="M235">
        <f>+data!AN235</f>
        <v>1</v>
      </c>
      <c r="N235">
        <f>+data!AU235</f>
        <v>0</v>
      </c>
      <c r="O235">
        <f>+data!AV235</f>
        <v>1</v>
      </c>
      <c r="P235">
        <f>+data!AD235</f>
        <v>1</v>
      </c>
      <c r="Q235">
        <f>+data!AF235</f>
        <v>7.6063879999999999</v>
      </c>
      <c r="R235">
        <f>+data!AG235</f>
        <v>4.0943449999999997</v>
      </c>
      <c r="S235">
        <f>+data!AE235</f>
        <v>0</v>
      </c>
    </row>
    <row r="236" spans="1:19" x14ac:dyDescent="0.25">
      <c r="A236">
        <f>+data!AI236</f>
        <v>-3.0708696092980579E-2</v>
      </c>
      <c r="B236">
        <f>+data!AJ236</f>
        <v>2.2629058940920408E-2</v>
      </c>
      <c r="C236">
        <f>+data!W236</f>
        <v>1</v>
      </c>
      <c r="D236">
        <f>+data!AQ236</f>
        <v>0</v>
      </c>
      <c r="E236">
        <f>+data!T236</f>
        <v>0</v>
      </c>
      <c r="F236">
        <f>+data!X236</f>
        <v>0</v>
      </c>
      <c r="G236">
        <f>+data!Y236</f>
        <v>1</v>
      </c>
      <c r="H236">
        <f>+data!U236</f>
        <v>1</v>
      </c>
      <c r="I236">
        <f>+data!V236</f>
        <v>1</v>
      </c>
      <c r="J236">
        <f>+data!AS236</f>
        <v>0</v>
      </c>
      <c r="K236">
        <f>+data!AT236</f>
        <v>0</v>
      </c>
      <c r="L236">
        <f>+data!AO236</f>
        <v>0</v>
      </c>
      <c r="M236">
        <f>+data!AN236</f>
        <v>1</v>
      </c>
      <c r="N236">
        <f>+data!AU236</f>
        <v>0</v>
      </c>
      <c r="O236">
        <f>+data!AV236</f>
        <v>0</v>
      </c>
      <c r="P236">
        <f>+data!AD236</f>
        <v>1</v>
      </c>
      <c r="Q236">
        <f>+data!AF236</f>
        <v>7.6063879999999999</v>
      </c>
      <c r="R236">
        <f>+data!AG236</f>
        <v>4.0943449999999997</v>
      </c>
      <c r="S236">
        <f>+data!AE236</f>
        <v>0</v>
      </c>
    </row>
    <row r="237" spans="1:19" x14ac:dyDescent="0.25">
      <c r="A237">
        <f>+data!AI237</f>
        <v>3.5233953452481565E-2</v>
      </c>
      <c r="B237">
        <f>+data!AJ237</f>
        <v>2.2625679161548423E-2</v>
      </c>
      <c r="C237">
        <f>+data!W237</f>
        <v>1</v>
      </c>
      <c r="D237">
        <f>+data!AQ237</f>
        <v>0</v>
      </c>
      <c r="E237">
        <f>+data!T237</f>
        <v>0</v>
      </c>
      <c r="F237">
        <f>+data!X237</f>
        <v>0</v>
      </c>
      <c r="G237">
        <f>+data!Y237</f>
        <v>1</v>
      </c>
      <c r="H237">
        <f>+data!U237</f>
        <v>1</v>
      </c>
      <c r="I237">
        <f>+data!V237</f>
        <v>1</v>
      </c>
      <c r="J237">
        <f>+data!AS237</f>
        <v>0</v>
      </c>
      <c r="K237">
        <f>+data!AT237</f>
        <v>0</v>
      </c>
      <c r="L237">
        <f>+data!AO237</f>
        <v>0</v>
      </c>
      <c r="M237">
        <f>+data!AN237</f>
        <v>1</v>
      </c>
      <c r="N237">
        <f>+data!AU237</f>
        <v>1</v>
      </c>
      <c r="O237">
        <f>+data!AV237</f>
        <v>0</v>
      </c>
      <c r="P237">
        <f>+data!AD237</f>
        <v>1</v>
      </c>
      <c r="Q237">
        <f>+data!AF237</f>
        <v>7.6063879999999999</v>
      </c>
      <c r="R237">
        <f>+data!AG237</f>
        <v>4.0943449999999997</v>
      </c>
      <c r="S237">
        <f>+data!AE237</f>
        <v>0</v>
      </c>
    </row>
    <row r="238" spans="1:19" x14ac:dyDescent="0.25">
      <c r="A238">
        <f>+data!AI238</f>
        <v>4.5565276674859028E-3</v>
      </c>
      <c r="B238">
        <f>+data!AJ238</f>
        <v>2.2639501342639382E-2</v>
      </c>
      <c r="C238">
        <f>+data!W238</f>
        <v>1</v>
      </c>
      <c r="D238">
        <f>+data!AQ238</f>
        <v>0</v>
      </c>
      <c r="E238">
        <f>+data!T238</f>
        <v>0</v>
      </c>
      <c r="F238">
        <f>+data!X238</f>
        <v>0</v>
      </c>
      <c r="G238">
        <f>+data!Y238</f>
        <v>1</v>
      </c>
      <c r="H238">
        <f>+data!U238</f>
        <v>1</v>
      </c>
      <c r="I238">
        <f>+data!V238</f>
        <v>1</v>
      </c>
      <c r="J238">
        <f>+data!AS238</f>
        <v>0</v>
      </c>
      <c r="K238">
        <f>+data!AT238</f>
        <v>0</v>
      </c>
      <c r="L238">
        <f>+data!AO238</f>
        <v>0</v>
      </c>
      <c r="M238">
        <f>+data!AN238</f>
        <v>1</v>
      </c>
      <c r="N238">
        <f>+data!AU238</f>
        <v>0</v>
      </c>
      <c r="O238">
        <f>+data!AV238</f>
        <v>1</v>
      </c>
      <c r="P238">
        <f>+data!AD238</f>
        <v>1</v>
      </c>
      <c r="Q238">
        <f>+data!AF238</f>
        <v>7.6063879999999999</v>
      </c>
      <c r="R238">
        <f>+data!AG238</f>
        <v>4.0943449999999997</v>
      </c>
      <c r="S238">
        <f>+data!AE238</f>
        <v>0</v>
      </c>
    </row>
    <row r="239" spans="1:19" x14ac:dyDescent="0.25">
      <c r="A239">
        <f>+data!AI239</f>
        <v>-2.1605685545929725E-2</v>
      </c>
      <c r="B239">
        <f>+data!AJ239</f>
        <v>4.7077169142156636E-2</v>
      </c>
      <c r="C239">
        <f>+data!W239</f>
        <v>1</v>
      </c>
      <c r="D239">
        <f>+data!AQ239</f>
        <v>0</v>
      </c>
      <c r="E239">
        <f>+data!T239</f>
        <v>0</v>
      </c>
      <c r="F239">
        <f>+data!X239</f>
        <v>0</v>
      </c>
      <c r="G239">
        <f>+data!Y239</f>
        <v>1</v>
      </c>
      <c r="H239">
        <f>+data!U239</f>
        <v>1</v>
      </c>
      <c r="I239">
        <f>+data!V239</f>
        <v>1</v>
      </c>
      <c r="J239">
        <f>+data!AS239</f>
        <v>0</v>
      </c>
      <c r="K239">
        <f>+data!AT239</f>
        <v>0</v>
      </c>
      <c r="L239">
        <f>+data!AO239</f>
        <v>0</v>
      </c>
      <c r="M239">
        <f>+data!AN239</f>
        <v>1</v>
      </c>
      <c r="N239">
        <f>+data!AU239</f>
        <v>0</v>
      </c>
      <c r="O239">
        <f>+data!AV239</f>
        <v>0</v>
      </c>
      <c r="P239">
        <f>+data!AD239</f>
        <v>1</v>
      </c>
      <c r="Q239">
        <f>+data!AF239</f>
        <v>7.6063879999999999</v>
      </c>
      <c r="R239">
        <f>+data!AG239</f>
        <v>4.0943449999999997</v>
      </c>
      <c r="S239">
        <f>+data!AE239</f>
        <v>0</v>
      </c>
    </row>
    <row r="240" spans="1:19" x14ac:dyDescent="0.25">
      <c r="A240">
        <f>+data!AI240</f>
        <v>3.5772979239450102E-2</v>
      </c>
      <c r="B240">
        <f>+data!AJ240</f>
        <v>4.705802178733532E-2</v>
      </c>
      <c r="C240">
        <f>+data!W240</f>
        <v>1</v>
      </c>
      <c r="D240">
        <f>+data!AQ240</f>
        <v>0</v>
      </c>
      <c r="E240">
        <f>+data!T240</f>
        <v>0</v>
      </c>
      <c r="F240">
        <f>+data!X240</f>
        <v>0</v>
      </c>
      <c r="G240">
        <f>+data!Y240</f>
        <v>1</v>
      </c>
      <c r="H240">
        <f>+data!U240</f>
        <v>1</v>
      </c>
      <c r="I240">
        <f>+data!V240</f>
        <v>1</v>
      </c>
      <c r="J240">
        <f>+data!AS240</f>
        <v>0</v>
      </c>
      <c r="K240">
        <f>+data!AT240</f>
        <v>0</v>
      </c>
      <c r="L240">
        <f>+data!AO240</f>
        <v>0</v>
      </c>
      <c r="M240">
        <f>+data!AN240</f>
        <v>1</v>
      </c>
      <c r="N240">
        <f>+data!AU240</f>
        <v>1</v>
      </c>
      <c r="O240">
        <f>+data!AV240</f>
        <v>0</v>
      </c>
      <c r="P240">
        <f>+data!AD240</f>
        <v>1</v>
      </c>
      <c r="Q240">
        <f>+data!AF240</f>
        <v>7.6063879999999999</v>
      </c>
      <c r="R240">
        <f>+data!AG240</f>
        <v>4.0943449999999997</v>
      </c>
      <c r="S240">
        <f>+data!AE240</f>
        <v>0</v>
      </c>
    </row>
    <row r="241" spans="1:19" x14ac:dyDescent="0.25">
      <c r="A241">
        <f>+data!AI241</f>
        <v>4.9214323926996893E-2</v>
      </c>
      <c r="B241">
        <f>+data!AJ241</f>
        <v>4.7031101431064613E-2</v>
      </c>
      <c r="C241">
        <f>+data!W241</f>
        <v>1</v>
      </c>
      <c r="D241">
        <f>+data!AQ241</f>
        <v>0</v>
      </c>
      <c r="E241">
        <f>+data!T241</f>
        <v>0</v>
      </c>
      <c r="F241">
        <f>+data!X241</f>
        <v>0</v>
      </c>
      <c r="G241">
        <f>+data!Y241</f>
        <v>1</v>
      </c>
      <c r="H241">
        <f>+data!U241</f>
        <v>1</v>
      </c>
      <c r="I241">
        <f>+data!V241</f>
        <v>1</v>
      </c>
      <c r="J241">
        <f>+data!AS241</f>
        <v>0</v>
      </c>
      <c r="K241">
        <f>+data!AT241</f>
        <v>0</v>
      </c>
      <c r="L241">
        <f>+data!AO241</f>
        <v>0</v>
      </c>
      <c r="M241">
        <f>+data!AN241</f>
        <v>1</v>
      </c>
      <c r="N241">
        <f>+data!AU241</f>
        <v>0</v>
      </c>
      <c r="O241">
        <f>+data!AV241</f>
        <v>1</v>
      </c>
      <c r="P241">
        <f>+data!AD241</f>
        <v>1</v>
      </c>
      <c r="Q241">
        <f>+data!AF241</f>
        <v>7.6063879999999999</v>
      </c>
      <c r="R241">
        <f>+data!AG241</f>
        <v>4.0943449999999997</v>
      </c>
      <c r="S241">
        <f>+data!AE241</f>
        <v>0</v>
      </c>
    </row>
    <row r="242" spans="1:19" x14ac:dyDescent="0.25">
      <c r="A242">
        <f>+data!AI242</f>
        <v>-7.3476245499973364E-2</v>
      </c>
      <c r="B242">
        <f>+data!AJ242</f>
        <v>4.6651584444427532E-2</v>
      </c>
      <c r="C242">
        <f>+data!W242</f>
        <v>1</v>
      </c>
      <c r="D242">
        <f>+data!AQ242</f>
        <v>0</v>
      </c>
      <c r="E242">
        <f>+data!T242</f>
        <v>0</v>
      </c>
      <c r="F242">
        <f>+data!X242</f>
        <v>0</v>
      </c>
      <c r="G242">
        <f>+data!Y242</f>
        <v>1</v>
      </c>
      <c r="H242">
        <f>+data!U242</f>
        <v>1</v>
      </c>
      <c r="I242">
        <f>+data!V242</f>
        <v>1</v>
      </c>
      <c r="J242">
        <f>+data!AS242</f>
        <v>0</v>
      </c>
      <c r="K242">
        <f>+data!AT242</f>
        <v>0</v>
      </c>
      <c r="L242">
        <f>+data!AO242</f>
        <v>0</v>
      </c>
      <c r="M242">
        <f>+data!AN242</f>
        <v>1</v>
      </c>
      <c r="N242">
        <f>+data!AU242</f>
        <v>0</v>
      </c>
      <c r="O242">
        <f>+data!AV242</f>
        <v>0</v>
      </c>
      <c r="P242">
        <f>+data!AD242</f>
        <v>1</v>
      </c>
      <c r="Q242">
        <f>+data!AF242</f>
        <v>7.6063879999999999</v>
      </c>
      <c r="R242">
        <f>+data!AG242</f>
        <v>4.0943449999999997</v>
      </c>
      <c r="S242">
        <f>+data!AE242</f>
        <v>0</v>
      </c>
    </row>
    <row r="243" spans="1:19" x14ac:dyDescent="0.25">
      <c r="A243">
        <f>+data!AI243</f>
        <v>1.2762825849523847E-2</v>
      </c>
      <c r="B243">
        <f>+data!AJ243</f>
        <v>4.6774216987397046E-2</v>
      </c>
      <c r="C243">
        <f>+data!W243</f>
        <v>1</v>
      </c>
      <c r="D243">
        <f>+data!AQ243</f>
        <v>0</v>
      </c>
      <c r="E243">
        <f>+data!T243</f>
        <v>0</v>
      </c>
      <c r="F243">
        <f>+data!X243</f>
        <v>0</v>
      </c>
      <c r="G243">
        <f>+data!Y243</f>
        <v>1</v>
      </c>
      <c r="H243">
        <f>+data!U243</f>
        <v>1</v>
      </c>
      <c r="I243">
        <f>+data!V243</f>
        <v>1</v>
      </c>
      <c r="J243">
        <f>+data!AS243</f>
        <v>0</v>
      </c>
      <c r="K243">
        <f>+data!AT243</f>
        <v>0</v>
      </c>
      <c r="L243">
        <f>+data!AO243</f>
        <v>0</v>
      </c>
      <c r="M243">
        <f>+data!AN243</f>
        <v>1</v>
      </c>
      <c r="N243">
        <f>+data!AU243</f>
        <v>1</v>
      </c>
      <c r="O243">
        <f>+data!AV243</f>
        <v>0</v>
      </c>
      <c r="P243">
        <f>+data!AD243</f>
        <v>1</v>
      </c>
      <c r="Q243">
        <f>+data!AF243</f>
        <v>7.6063879999999999</v>
      </c>
      <c r="R243">
        <f>+data!AG243</f>
        <v>4.0943449999999997</v>
      </c>
      <c r="S243">
        <f>+data!AE243</f>
        <v>0</v>
      </c>
    </row>
    <row r="244" spans="1:19" x14ac:dyDescent="0.25">
      <c r="A244">
        <f>+data!AI244</f>
        <v>5.7503026108855E-2</v>
      </c>
      <c r="B244">
        <f>+data!AJ244</f>
        <v>4.6700624869619928E-2</v>
      </c>
      <c r="C244">
        <f>+data!W244</f>
        <v>1</v>
      </c>
      <c r="D244">
        <f>+data!AQ244</f>
        <v>0</v>
      </c>
      <c r="E244">
        <f>+data!T244</f>
        <v>0</v>
      </c>
      <c r="F244">
        <f>+data!X244</f>
        <v>0</v>
      </c>
      <c r="G244">
        <f>+data!Y244</f>
        <v>1</v>
      </c>
      <c r="H244">
        <f>+data!U244</f>
        <v>1</v>
      </c>
      <c r="I244">
        <f>+data!V244</f>
        <v>1</v>
      </c>
      <c r="J244">
        <f>+data!AS244</f>
        <v>0</v>
      </c>
      <c r="K244">
        <f>+data!AT244</f>
        <v>0</v>
      </c>
      <c r="L244">
        <f>+data!AO244</f>
        <v>0</v>
      </c>
      <c r="M244">
        <f>+data!AN244</f>
        <v>1</v>
      </c>
      <c r="N244">
        <f>+data!AU244</f>
        <v>0</v>
      </c>
      <c r="O244">
        <f>+data!AV244</f>
        <v>1</v>
      </c>
      <c r="P244">
        <f>+data!AD244</f>
        <v>1</v>
      </c>
      <c r="Q244">
        <f>+data!AF244</f>
        <v>7.6063879999999999</v>
      </c>
      <c r="R244">
        <f>+data!AG244</f>
        <v>4.0943449999999997</v>
      </c>
      <c r="S244">
        <f>+data!AE244</f>
        <v>0</v>
      </c>
    </row>
    <row r="245" spans="1:19" x14ac:dyDescent="0.25">
      <c r="A245">
        <f>+data!AI245</f>
        <v>-0.68660570305172031</v>
      </c>
      <c r="B245">
        <f>+data!AJ245</f>
        <v>0.17136261237129308</v>
      </c>
      <c r="C245">
        <f>+data!W245</f>
        <v>0</v>
      </c>
      <c r="D245">
        <f>+data!AQ245</f>
        <v>1</v>
      </c>
      <c r="E245">
        <f>+data!T245</f>
        <v>0</v>
      </c>
      <c r="F245">
        <f>+data!X245</f>
        <v>0</v>
      </c>
      <c r="G245">
        <f>+data!Y245</f>
        <v>1</v>
      </c>
      <c r="H245">
        <f>+data!U245</f>
        <v>0</v>
      </c>
      <c r="I245">
        <f>+data!V245</f>
        <v>1</v>
      </c>
      <c r="J245">
        <f>+data!AS245</f>
        <v>0</v>
      </c>
      <c r="K245">
        <f>+data!AT245</f>
        <v>0</v>
      </c>
      <c r="L245">
        <f>+data!AO245</f>
        <v>0</v>
      </c>
      <c r="M245">
        <f>+data!AN245</f>
        <v>0</v>
      </c>
      <c r="N245">
        <f>+data!AU245</f>
        <v>1</v>
      </c>
      <c r="O245">
        <f>+data!AV245</f>
        <v>0</v>
      </c>
      <c r="P245">
        <f>+data!AD245</f>
        <v>1</v>
      </c>
      <c r="Q245">
        <f>+data!AF245</f>
        <v>7.5883240000000001</v>
      </c>
      <c r="R245">
        <f>+data!AG245</f>
        <v>4.0604430000000002</v>
      </c>
      <c r="S245">
        <f>+data!AE245</f>
        <v>1</v>
      </c>
    </row>
    <row r="246" spans="1:19" x14ac:dyDescent="0.25">
      <c r="A246">
        <f>+data!AI246</f>
        <v>-0.29803928705498955</v>
      </c>
      <c r="B246">
        <f>+data!AJ246</f>
        <v>0.22499044218857059</v>
      </c>
      <c r="C246">
        <f>+data!W246</f>
        <v>0</v>
      </c>
      <c r="D246">
        <f>+data!AQ246</f>
        <v>1</v>
      </c>
      <c r="E246">
        <f>+data!T246</f>
        <v>0</v>
      </c>
      <c r="F246">
        <f>+data!X246</f>
        <v>0</v>
      </c>
      <c r="G246">
        <f>+data!Y246</f>
        <v>1</v>
      </c>
      <c r="H246">
        <f>+data!U246</f>
        <v>0</v>
      </c>
      <c r="I246">
        <f>+data!V246</f>
        <v>1</v>
      </c>
      <c r="J246">
        <f>+data!AS246</f>
        <v>0</v>
      </c>
      <c r="K246">
        <f>+data!AT246</f>
        <v>0</v>
      </c>
      <c r="L246">
        <f>+data!AO246</f>
        <v>0</v>
      </c>
      <c r="M246">
        <f>+data!AN246</f>
        <v>0</v>
      </c>
      <c r="N246">
        <f>+data!AU246</f>
        <v>0</v>
      </c>
      <c r="O246">
        <f>+data!AV246</f>
        <v>1</v>
      </c>
      <c r="P246">
        <f>+data!AD246</f>
        <v>1</v>
      </c>
      <c r="Q246">
        <f>+data!AF246</f>
        <v>7.5883240000000001</v>
      </c>
      <c r="R246">
        <f>+data!AG246</f>
        <v>4.0604430000000002</v>
      </c>
      <c r="S246">
        <f>+data!AE246</f>
        <v>1</v>
      </c>
    </row>
    <row r="247" spans="1:19" x14ac:dyDescent="0.25">
      <c r="A247">
        <f>+data!AI247</f>
        <v>0.619130209643864</v>
      </c>
      <c r="B247">
        <f>+data!AJ247</f>
        <v>0.15400771502981783</v>
      </c>
      <c r="C247">
        <f>+data!W247</f>
        <v>0</v>
      </c>
      <c r="D247">
        <f>+data!AQ247</f>
        <v>0</v>
      </c>
      <c r="E247">
        <f>+data!T247</f>
        <v>1</v>
      </c>
      <c r="F247">
        <f>+data!X247</f>
        <v>0</v>
      </c>
      <c r="G247">
        <f>+data!Y247</f>
        <v>1</v>
      </c>
      <c r="H247">
        <f>+data!U247</f>
        <v>1</v>
      </c>
      <c r="I247">
        <f>+data!V247</f>
        <v>0</v>
      </c>
      <c r="J247">
        <f>+data!AS247</f>
        <v>0</v>
      </c>
      <c r="K247">
        <f>+data!AT247</f>
        <v>0</v>
      </c>
      <c r="L247">
        <f>+data!AO247</f>
        <v>0</v>
      </c>
      <c r="M247">
        <f>+data!AN247</f>
        <v>0</v>
      </c>
      <c r="N247">
        <f>+data!AU247</f>
        <v>0</v>
      </c>
      <c r="O247">
        <f>+data!AV247</f>
        <v>1</v>
      </c>
      <c r="P247">
        <f>+data!AD247</f>
        <v>1</v>
      </c>
      <c r="Q247">
        <f>+data!AF247</f>
        <v>7.5958899999999998</v>
      </c>
      <c r="R247">
        <f>+data!AG247</f>
        <v>4.3944489999999998</v>
      </c>
      <c r="S247">
        <f>+data!AE247</f>
        <v>1</v>
      </c>
    </row>
    <row r="248" spans="1:19" x14ac:dyDescent="0.25">
      <c r="A248">
        <f>+data!AI248</f>
        <v>0.42887651301607527</v>
      </c>
      <c r="B248">
        <f>+data!AJ248</f>
        <v>0.17716408480701337</v>
      </c>
      <c r="C248">
        <f>+data!W248</f>
        <v>0</v>
      </c>
      <c r="D248">
        <f>+data!AQ248</f>
        <v>0</v>
      </c>
      <c r="E248">
        <f>+data!T248</f>
        <v>1</v>
      </c>
      <c r="F248">
        <f>+data!X248</f>
        <v>0</v>
      </c>
      <c r="G248">
        <f>+data!Y248</f>
        <v>1</v>
      </c>
      <c r="H248">
        <f>+data!U248</f>
        <v>1</v>
      </c>
      <c r="I248">
        <f>+data!V248</f>
        <v>0</v>
      </c>
      <c r="J248">
        <f>+data!AS248</f>
        <v>0</v>
      </c>
      <c r="K248">
        <f>+data!AT248</f>
        <v>0</v>
      </c>
      <c r="L248">
        <f>+data!AO248</f>
        <v>0</v>
      </c>
      <c r="M248">
        <f>+data!AN248</f>
        <v>0</v>
      </c>
      <c r="N248">
        <f>+data!AU248</f>
        <v>0</v>
      </c>
      <c r="O248">
        <f>+data!AV248</f>
        <v>1</v>
      </c>
      <c r="P248">
        <f>+data!AD248</f>
        <v>1</v>
      </c>
      <c r="Q248">
        <f>+data!AF248</f>
        <v>7.5958899999999998</v>
      </c>
      <c r="R248">
        <f>+data!AG248</f>
        <v>4.3944489999999998</v>
      </c>
      <c r="S248">
        <f>+data!AE248</f>
        <v>1</v>
      </c>
    </row>
    <row r="249" spans="1:19" x14ac:dyDescent="0.25">
      <c r="A249">
        <f>+data!AI249</f>
        <v>0.44773042105819943</v>
      </c>
      <c r="B249">
        <f>+data!AJ249</f>
        <v>0.17536088833065719</v>
      </c>
      <c r="C249">
        <f>+data!W249</f>
        <v>0</v>
      </c>
      <c r="D249">
        <f>+data!AQ249</f>
        <v>0</v>
      </c>
      <c r="E249">
        <f>+data!T249</f>
        <v>1</v>
      </c>
      <c r="F249">
        <f>+data!X249</f>
        <v>0</v>
      </c>
      <c r="G249">
        <f>+data!Y249</f>
        <v>1</v>
      </c>
      <c r="H249">
        <f>+data!U249</f>
        <v>1</v>
      </c>
      <c r="I249">
        <f>+data!V249</f>
        <v>0</v>
      </c>
      <c r="J249">
        <f>+data!AS249</f>
        <v>0</v>
      </c>
      <c r="K249">
        <f>+data!AT249</f>
        <v>0</v>
      </c>
      <c r="L249">
        <f>+data!AO249</f>
        <v>0</v>
      </c>
      <c r="M249">
        <f>+data!AN249</f>
        <v>0</v>
      </c>
      <c r="N249">
        <f>+data!AU249</f>
        <v>0</v>
      </c>
      <c r="O249">
        <f>+data!AV249</f>
        <v>1</v>
      </c>
      <c r="P249">
        <f>+data!AD249</f>
        <v>1</v>
      </c>
      <c r="Q249">
        <f>+data!AF249</f>
        <v>7.5958899999999998</v>
      </c>
      <c r="R249">
        <f>+data!AG249</f>
        <v>4.3944489999999998</v>
      </c>
      <c r="S249">
        <f>+data!AE249</f>
        <v>1</v>
      </c>
    </row>
    <row r="250" spans="1:19" x14ac:dyDescent="0.25">
      <c r="A250">
        <f>+data!AI250</f>
        <v>-0.33184688965809339</v>
      </c>
      <c r="B250">
        <f>+data!AJ250</f>
        <v>0.20111932706551117</v>
      </c>
      <c r="C250">
        <f>+data!W250</f>
        <v>0</v>
      </c>
      <c r="D250">
        <f>+data!AQ250</f>
        <v>1</v>
      </c>
      <c r="E250">
        <f>+data!T250</f>
        <v>0</v>
      </c>
      <c r="F250">
        <f>+data!X250</f>
        <v>0</v>
      </c>
      <c r="G250">
        <f>+data!Y250</f>
        <v>0</v>
      </c>
      <c r="H250">
        <f>+data!U250</f>
        <v>0</v>
      </c>
      <c r="I250">
        <f>+data!V250</f>
        <v>1</v>
      </c>
      <c r="J250">
        <f>+data!AS250</f>
        <v>0</v>
      </c>
      <c r="K250">
        <f>+data!AT250</f>
        <v>0</v>
      </c>
      <c r="L250">
        <f>+data!AO250</f>
        <v>0</v>
      </c>
      <c r="M250">
        <f>+data!AN250</f>
        <v>0</v>
      </c>
      <c r="N250">
        <f>+data!AU250</f>
        <v>0</v>
      </c>
      <c r="O250">
        <f>+data!AV250</f>
        <v>1</v>
      </c>
      <c r="P250">
        <f>+data!AD250</f>
        <v>1</v>
      </c>
      <c r="Q250">
        <f>+data!AF250</f>
        <v>7.5873100000000004</v>
      </c>
      <c r="R250">
        <f>+data!AG250</f>
        <v>1.3862939999999999</v>
      </c>
      <c r="S250">
        <f>+data!AE250</f>
        <v>1</v>
      </c>
    </row>
    <row r="251" spans="1:19" x14ac:dyDescent="0.25">
      <c r="A251">
        <f>+data!AI251</f>
        <v>-0.60650539109758261</v>
      </c>
      <c r="B251">
        <f>+data!AJ251</f>
        <v>0.23972545102671253</v>
      </c>
      <c r="C251">
        <f>+data!W251</f>
        <v>0</v>
      </c>
      <c r="D251">
        <f>+data!AQ251</f>
        <v>1</v>
      </c>
      <c r="E251">
        <f>+data!T251</f>
        <v>0</v>
      </c>
      <c r="F251">
        <f>+data!X251</f>
        <v>0</v>
      </c>
      <c r="G251">
        <f>+data!Y251</f>
        <v>0</v>
      </c>
      <c r="H251">
        <f>+data!U251</f>
        <v>0</v>
      </c>
      <c r="I251">
        <f>+data!V251</f>
        <v>1</v>
      </c>
      <c r="J251">
        <f>+data!AS251</f>
        <v>0</v>
      </c>
      <c r="K251">
        <f>+data!AT251</f>
        <v>0</v>
      </c>
      <c r="L251">
        <f>+data!AO251</f>
        <v>0</v>
      </c>
      <c r="M251">
        <f>+data!AN251</f>
        <v>0</v>
      </c>
      <c r="N251">
        <f>+data!AU251</f>
        <v>0</v>
      </c>
      <c r="O251">
        <f>+data!AV251</f>
        <v>1</v>
      </c>
      <c r="P251">
        <f>+data!AD251</f>
        <v>1</v>
      </c>
      <c r="Q251">
        <f>+data!AF251</f>
        <v>7.5873100000000004</v>
      </c>
      <c r="R251">
        <f>+data!AG251</f>
        <v>1.3862939999999999</v>
      </c>
      <c r="S251">
        <f>+data!AE251</f>
        <v>1</v>
      </c>
    </row>
    <row r="252" spans="1:19" x14ac:dyDescent="0.25">
      <c r="A252">
        <f>+data!AI252</f>
        <v>-0.13473799205480338</v>
      </c>
      <c r="B252">
        <f>+data!AJ252</f>
        <v>0.31334416756931022</v>
      </c>
      <c r="C252">
        <f>+data!W252</f>
        <v>0</v>
      </c>
      <c r="D252">
        <f>+data!AQ252</f>
        <v>1</v>
      </c>
      <c r="E252">
        <f>+data!T252</f>
        <v>0</v>
      </c>
      <c r="F252">
        <f>+data!X252</f>
        <v>0</v>
      </c>
      <c r="G252">
        <f>+data!Y252</f>
        <v>0</v>
      </c>
      <c r="H252">
        <f>+data!U252</f>
        <v>0</v>
      </c>
      <c r="I252">
        <f>+data!V252</f>
        <v>1</v>
      </c>
      <c r="J252">
        <f>+data!AS252</f>
        <v>0</v>
      </c>
      <c r="K252">
        <f>+data!AT252</f>
        <v>0</v>
      </c>
      <c r="L252">
        <f>+data!AO252</f>
        <v>0</v>
      </c>
      <c r="M252">
        <f>+data!AN252</f>
        <v>0</v>
      </c>
      <c r="N252">
        <f>+data!AU252</f>
        <v>0</v>
      </c>
      <c r="O252">
        <f>+data!AV252</f>
        <v>1</v>
      </c>
      <c r="P252">
        <f>+data!AD252</f>
        <v>1</v>
      </c>
      <c r="Q252">
        <f>+data!AF252</f>
        <v>7.5873100000000004</v>
      </c>
      <c r="R252">
        <f>+data!AG252</f>
        <v>1.3862939999999999</v>
      </c>
      <c r="S252">
        <f>+data!AE252</f>
        <v>1</v>
      </c>
    </row>
    <row r="253" spans="1:19" x14ac:dyDescent="0.25">
      <c r="A253">
        <f>+data!AI253</f>
        <v>-0.3303654394655689</v>
      </c>
      <c r="B253">
        <f>+data!AJ253</f>
        <v>0.33370246410663523</v>
      </c>
      <c r="C253">
        <f>+data!W253</f>
        <v>0</v>
      </c>
      <c r="D253">
        <f>+data!AQ253</f>
        <v>1</v>
      </c>
      <c r="E253">
        <f>+data!T253</f>
        <v>0</v>
      </c>
      <c r="F253">
        <f>+data!X253</f>
        <v>0</v>
      </c>
      <c r="G253">
        <f>+data!Y253</f>
        <v>0</v>
      </c>
      <c r="H253">
        <f>+data!U253</f>
        <v>0</v>
      </c>
      <c r="I253">
        <f>+data!V253</f>
        <v>1</v>
      </c>
      <c r="J253">
        <f>+data!AS253</f>
        <v>0</v>
      </c>
      <c r="K253">
        <f>+data!AT253</f>
        <v>0</v>
      </c>
      <c r="L253">
        <f>+data!AO253</f>
        <v>0</v>
      </c>
      <c r="M253">
        <f>+data!AN253</f>
        <v>0</v>
      </c>
      <c r="N253">
        <f>+data!AU253</f>
        <v>0</v>
      </c>
      <c r="O253">
        <f>+data!AV253</f>
        <v>1</v>
      </c>
      <c r="P253">
        <f>+data!AD253</f>
        <v>1</v>
      </c>
      <c r="Q253">
        <f>+data!AF253</f>
        <v>7.5873100000000004</v>
      </c>
      <c r="R253">
        <f>+data!AG253</f>
        <v>1.3862939999999999</v>
      </c>
      <c r="S253">
        <f>+data!AE253</f>
        <v>1</v>
      </c>
    </row>
    <row r="254" spans="1:19" x14ac:dyDescent="0.25">
      <c r="A254">
        <f>+data!AI254</f>
        <v>-0.3614250714571598</v>
      </c>
      <c r="B254">
        <f>+data!AJ254</f>
        <v>0.19441908093445825</v>
      </c>
      <c r="C254">
        <f>+data!W254</f>
        <v>0</v>
      </c>
      <c r="D254">
        <f>+data!AQ254</f>
        <v>1</v>
      </c>
      <c r="E254">
        <f>+data!T254</f>
        <v>0</v>
      </c>
      <c r="F254">
        <f>+data!X254</f>
        <v>0</v>
      </c>
      <c r="G254">
        <f>+data!Y254</f>
        <v>1</v>
      </c>
      <c r="H254">
        <f>+data!U254</f>
        <v>1</v>
      </c>
      <c r="I254">
        <f>+data!V254</f>
        <v>1</v>
      </c>
      <c r="J254">
        <f>+data!AS254</f>
        <v>0</v>
      </c>
      <c r="K254">
        <f>+data!AT254</f>
        <v>0</v>
      </c>
      <c r="L254">
        <f>+data!AO254</f>
        <v>0</v>
      </c>
      <c r="M254">
        <f>+data!AN254</f>
        <v>0</v>
      </c>
      <c r="N254">
        <f>+data!AU254</f>
        <v>1</v>
      </c>
      <c r="O254">
        <f>+data!AV254</f>
        <v>0</v>
      </c>
      <c r="P254">
        <f>+data!AD254</f>
        <v>1</v>
      </c>
      <c r="Q254">
        <f>+data!AF254</f>
        <v>7.5989000000000004</v>
      </c>
      <c r="R254">
        <f>+data!AG254</f>
        <v>3.3322050000000001</v>
      </c>
      <c r="S254">
        <f>+data!AE254</f>
        <v>1</v>
      </c>
    </row>
    <row r="255" spans="1:19" x14ac:dyDescent="0.25">
      <c r="A255">
        <f>+data!AI255</f>
        <v>-0.39142854440151853</v>
      </c>
      <c r="B255">
        <f>+data!AJ255</f>
        <v>0.19187673745172384</v>
      </c>
      <c r="C255">
        <f>+data!W255</f>
        <v>0</v>
      </c>
      <c r="D255">
        <f>+data!AQ255</f>
        <v>1</v>
      </c>
      <c r="E255">
        <f>+data!T255</f>
        <v>0</v>
      </c>
      <c r="F255">
        <f>+data!X255</f>
        <v>1</v>
      </c>
      <c r="G255">
        <f>+data!Y255</f>
        <v>0</v>
      </c>
      <c r="H255">
        <f>+data!U255</f>
        <v>1</v>
      </c>
      <c r="I255">
        <f>+data!V255</f>
        <v>1</v>
      </c>
      <c r="J255">
        <f>+data!AS255</f>
        <v>0</v>
      </c>
      <c r="K255">
        <f>+data!AT255</f>
        <v>0</v>
      </c>
      <c r="L255">
        <f>+data!AO255</f>
        <v>0</v>
      </c>
      <c r="M255">
        <f>+data!AN255</f>
        <v>0</v>
      </c>
      <c r="N255">
        <f>+data!AU255</f>
        <v>1</v>
      </c>
      <c r="O255">
        <f>+data!AV255</f>
        <v>0</v>
      </c>
      <c r="P255">
        <f>+data!AD255</f>
        <v>1</v>
      </c>
      <c r="Q255">
        <f>+data!AF255</f>
        <v>7.5989000000000004</v>
      </c>
      <c r="R255">
        <f>+data!AG255</f>
        <v>3.3322050000000001</v>
      </c>
      <c r="S255">
        <f>+data!AE255</f>
        <v>1</v>
      </c>
    </row>
    <row r="256" spans="1:19" x14ac:dyDescent="0.25">
      <c r="A256">
        <f>+data!AI256</f>
        <v>-0.48989454231909985</v>
      </c>
      <c r="B256">
        <f>+data!AJ256</f>
        <v>0.1817790509532837</v>
      </c>
      <c r="C256">
        <f>+data!W256</f>
        <v>0</v>
      </c>
      <c r="D256">
        <f>+data!AQ256</f>
        <v>1</v>
      </c>
      <c r="E256">
        <f>+data!T256</f>
        <v>0</v>
      </c>
      <c r="F256">
        <f>+data!X256</f>
        <v>0</v>
      </c>
      <c r="G256">
        <f>+data!Y256</f>
        <v>0</v>
      </c>
      <c r="H256">
        <f>+data!U256</f>
        <v>1</v>
      </c>
      <c r="I256">
        <f>+data!V256</f>
        <v>1</v>
      </c>
      <c r="J256">
        <f>+data!AS256</f>
        <v>0</v>
      </c>
      <c r="K256">
        <f>+data!AT256</f>
        <v>0</v>
      </c>
      <c r="L256">
        <f>+data!AO256</f>
        <v>0</v>
      </c>
      <c r="M256">
        <f>+data!AN256</f>
        <v>0</v>
      </c>
      <c r="N256">
        <f>+data!AU256</f>
        <v>1</v>
      </c>
      <c r="O256">
        <f>+data!AV256</f>
        <v>0</v>
      </c>
      <c r="P256">
        <f>+data!AD256</f>
        <v>1</v>
      </c>
      <c r="Q256">
        <f>+data!AF256</f>
        <v>7.5989000000000004</v>
      </c>
      <c r="R256">
        <f>+data!AG256</f>
        <v>3.3322050000000001</v>
      </c>
      <c r="S256">
        <f>+data!AE256</f>
        <v>1</v>
      </c>
    </row>
    <row r="257" spans="1:19" x14ac:dyDescent="0.25">
      <c r="A257">
        <f>+data!AI257</f>
        <v>-2.1994677931832844E-2</v>
      </c>
      <c r="B257">
        <f>+data!AJ257</f>
        <v>0.19995161756211677</v>
      </c>
      <c r="C257">
        <f>+data!W257</f>
        <v>1</v>
      </c>
      <c r="D257">
        <f>+data!AQ257</f>
        <v>0</v>
      </c>
      <c r="E257">
        <f>+data!T257</f>
        <v>0</v>
      </c>
      <c r="F257">
        <f>+data!X257</f>
        <v>0</v>
      </c>
      <c r="G257">
        <f>+data!Y257</f>
        <v>1</v>
      </c>
      <c r="H257">
        <f>+data!U257</f>
        <v>0</v>
      </c>
      <c r="I257">
        <f>+data!V257</f>
        <v>1</v>
      </c>
      <c r="J257">
        <f>+data!AS257</f>
        <v>1</v>
      </c>
      <c r="K257">
        <f>+data!AT257</f>
        <v>0</v>
      </c>
      <c r="L257">
        <f>+data!AO257</f>
        <v>0</v>
      </c>
      <c r="M257">
        <f>+data!AN257</f>
        <v>0</v>
      </c>
      <c r="N257">
        <f>+data!AU257</f>
        <v>0</v>
      </c>
      <c r="O257">
        <f>+data!AV257</f>
        <v>0</v>
      </c>
      <c r="P257">
        <f>+data!AD257</f>
        <v>0</v>
      </c>
      <c r="Q257">
        <f>+data!AF257</f>
        <v>7.5938780000000001</v>
      </c>
      <c r="R257">
        <f>+data!AG257</f>
        <v>3.2188759999999998</v>
      </c>
      <c r="S257">
        <f>+data!AE257</f>
        <v>1</v>
      </c>
    </row>
    <row r="258" spans="1:19" x14ac:dyDescent="0.25">
      <c r="A258">
        <f>+data!AI258</f>
        <v>-3.1983628572184196E-2</v>
      </c>
      <c r="B258">
        <f>+data!AJ258</f>
        <v>0.19989767857615123</v>
      </c>
      <c r="C258">
        <f>+data!W258</f>
        <v>1</v>
      </c>
      <c r="D258">
        <f>+data!AQ258</f>
        <v>0</v>
      </c>
      <c r="E258">
        <f>+data!T258</f>
        <v>0</v>
      </c>
      <c r="F258">
        <f>+data!X258</f>
        <v>1</v>
      </c>
      <c r="G258">
        <f>+data!Y258</f>
        <v>0</v>
      </c>
      <c r="H258">
        <f>+data!U258</f>
        <v>0</v>
      </c>
      <c r="I258">
        <f>+data!V258</f>
        <v>1</v>
      </c>
      <c r="J258">
        <f>+data!AS258</f>
        <v>1</v>
      </c>
      <c r="K258">
        <f>+data!AT258</f>
        <v>0</v>
      </c>
      <c r="L258">
        <f>+data!AO258</f>
        <v>0</v>
      </c>
      <c r="M258">
        <f>+data!AN258</f>
        <v>0</v>
      </c>
      <c r="N258">
        <f>+data!AU258</f>
        <v>0</v>
      </c>
      <c r="O258">
        <f>+data!AV258</f>
        <v>0</v>
      </c>
      <c r="P258">
        <f>+data!AD258</f>
        <v>0</v>
      </c>
      <c r="Q258">
        <f>+data!AF258</f>
        <v>7.5938780000000001</v>
      </c>
      <c r="R258">
        <f>+data!AG258</f>
        <v>3.2188759999999998</v>
      </c>
      <c r="S258">
        <f>+data!AE258</f>
        <v>1</v>
      </c>
    </row>
    <row r="259" spans="1:19" x14ac:dyDescent="0.25">
      <c r="A259">
        <f>+data!AI259</f>
        <v>-4.9937616943892232E-2</v>
      </c>
      <c r="B259">
        <f>+data!AJ259</f>
        <v>0.19975046777556893</v>
      </c>
      <c r="C259">
        <f>+data!W259</f>
        <v>1</v>
      </c>
      <c r="D259">
        <f>+data!AQ259</f>
        <v>0</v>
      </c>
      <c r="E259">
        <f>+data!T259</f>
        <v>0</v>
      </c>
      <c r="F259">
        <f>+data!X259</f>
        <v>0</v>
      </c>
      <c r="G259">
        <f>+data!Y259</f>
        <v>0</v>
      </c>
      <c r="H259">
        <f>+data!U259</f>
        <v>0</v>
      </c>
      <c r="I259">
        <f>+data!V259</f>
        <v>1</v>
      </c>
      <c r="J259">
        <f>+data!AS259</f>
        <v>1</v>
      </c>
      <c r="K259">
        <f>+data!AT259</f>
        <v>0</v>
      </c>
      <c r="L259">
        <f>+data!AO259</f>
        <v>0</v>
      </c>
      <c r="M259">
        <f>+data!AN259</f>
        <v>0</v>
      </c>
      <c r="N259">
        <f>+data!AU259</f>
        <v>0</v>
      </c>
      <c r="O259">
        <f>+data!AV259</f>
        <v>0</v>
      </c>
      <c r="P259">
        <f>+data!AD259</f>
        <v>0</v>
      </c>
      <c r="Q259">
        <f>+data!AF259</f>
        <v>7.5938780000000001</v>
      </c>
      <c r="R259">
        <f>+data!AG259</f>
        <v>3.2188759999999998</v>
      </c>
      <c r="S259">
        <f>+data!AE259</f>
        <v>1</v>
      </c>
    </row>
    <row r="260" spans="1:19" x14ac:dyDescent="0.25">
      <c r="A260">
        <f>+data!AI260</f>
        <v>1.1999136093300803E-2</v>
      </c>
      <c r="B260">
        <f>+data!AJ260</f>
        <v>0.19998560155501341</v>
      </c>
      <c r="C260">
        <f>+data!W260</f>
        <v>1</v>
      </c>
      <c r="D260">
        <f>+data!AQ260</f>
        <v>0</v>
      </c>
      <c r="E260">
        <f>+data!T260</f>
        <v>0</v>
      </c>
      <c r="F260">
        <f>+data!X260</f>
        <v>0</v>
      </c>
      <c r="G260">
        <f>+data!Y260</f>
        <v>1</v>
      </c>
      <c r="H260">
        <f>+data!U260</f>
        <v>0</v>
      </c>
      <c r="I260">
        <f>+data!V260</f>
        <v>1</v>
      </c>
      <c r="J260">
        <f>+data!AS260</f>
        <v>0</v>
      </c>
      <c r="K260">
        <f>+data!AT260</f>
        <v>1</v>
      </c>
      <c r="L260">
        <f>+data!AO260</f>
        <v>0</v>
      </c>
      <c r="M260">
        <f>+data!AN260</f>
        <v>0</v>
      </c>
      <c r="N260">
        <f>+data!AU260</f>
        <v>0</v>
      </c>
      <c r="O260">
        <f>+data!AV260</f>
        <v>0</v>
      </c>
      <c r="P260">
        <f>+data!AD260</f>
        <v>0</v>
      </c>
      <c r="Q260">
        <f>+data!AF260</f>
        <v>7.5938780000000001</v>
      </c>
      <c r="R260">
        <f>+data!AG260</f>
        <v>3.2188759999999998</v>
      </c>
      <c r="S260">
        <f>+data!AE260</f>
        <v>1</v>
      </c>
    </row>
    <row r="261" spans="1:19" x14ac:dyDescent="0.25">
      <c r="A261">
        <f>+data!AI261</f>
        <v>4.9937616943892232E-2</v>
      </c>
      <c r="B261">
        <f>+data!AJ261</f>
        <v>0.19975046777556893</v>
      </c>
      <c r="C261">
        <f>+data!W261</f>
        <v>1</v>
      </c>
      <c r="D261">
        <f>+data!AQ261</f>
        <v>0</v>
      </c>
      <c r="E261">
        <f>+data!T261</f>
        <v>0</v>
      </c>
      <c r="F261">
        <f>+data!X261</f>
        <v>1</v>
      </c>
      <c r="G261">
        <f>+data!Y261</f>
        <v>0</v>
      </c>
      <c r="H261">
        <f>+data!U261</f>
        <v>0</v>
      </c>
      <c r="I261">
        <f>+data!V261</f>
        <v>1</v>
      </c>
      <c r="J261">
        <f>+data!AS261</f>
        <v>0</v>
      </c>
      <c r="K261">
        <f>+data!AT261</f>
        <v>1</v>
      </c>
      <c r="L261">
        <f>+data!AO261</f>
        <v>0</v>
      </c>
      <c r="M261">
        <f>+data!AN261</f>
        <v>0</v>
      </c>
      <c r="N261">
        <f>+data!AU261</f>
        <v>0</v>
      </c>
      <c r="O261">
        <f>+data!AV261</f>
        <v>0</v>
      </c>
      <c r="P261">
        <f>+data!AD261</f>
        <v>0</v>
      </c>
      <c r="Q261">
        <f>+data!AF261</f>
        <v>7.5938780000000001</v>
      </c>
      <c r="R261">
        <f>+data!AG261</f>
        <v>3.2188759999999998</v>
      </c>
      <c r="S261">
        <f>+data!AE261</f>
        <v>1</v>
      </c>
    </row>
    <row r="262" spans="1:19" x14ac:dyDescent="0.25">
      <c r="A262">
        <f>+data!AI262</f>
        <v>-3.597669465035494E-2</v>
      </c>
      <c r="B262">
        <f>+data!AJ262</f>
        <v>0.19987052583530523</v>
      </c>
      <c r="C262">
        <f>+data!W262</f>
        <v>1</v>
      </c>
      <c r="D262">
        <f>+data!AQ262</f>
        <v>0</v>
      </c>
      <c r="E262">
        <f>+data!T262</f>
        <v>0</v>
      </c>
      <c r="F262">
        <f>+data!X262</f>
        <v>0</v>
      </c>
      <c r="G262">
        <f>+data!Y262</f>
        <v>0</v>
      </c>
      <c r="H262">
        <f>+data!U262</f>
        <v>0</v>
      </c>
      <c r="I262">
        <f>+data!V262</f>
        <v>1</v>
      </c>
      <c r="J262">
        <f>+data!AS262</f>
        <v>0</v>
      </c>
      <c r="K262">
        <f>+data!AT262</f>
        <v>1</v>
      </c>
      <c r="L262">
        <f>+data!AO262</f>
        <v>0</v>
      </c>
      <c r="M262">
        <f>+data!AN262</f>
        <v>0</v>
      </c>
      <c r="N262">
        <f>+data!AU262</f>
        <v>0</v>
      </c>
      <c r="O262">
        <f>+data!AV262</f>
        <v>0</v>
      </c>
      <c r="P262">
        <f>+data!AD262</f>
        <v>0</v>
      </c>
      <c r="Q262">
        <f>+data!AF262</f>
        <v>7.5938780000000001</v>
      </c>
      <c r="R262">
        <f>+data!AG262</f>
        <v>3.2188759999999998</v>
      </c>
      <c r="S262">
        <f>+data!AE262</f>
        <v>1</v>
      </c>
    </row>
    <row r="263" spans="1:19" x14ac:dyDescent="0.25">
      <c r="A263">
        <f>+data!AI263</f>
        <v>-8.4822039103573513E-2</v>
      </c>
      <c r="B263">
        <f>+data!AJ263</f>
        <v>3.6190736684191364E-2</v>
      </c>
      <c r="C263">
        <f>+data!W263</f>
        <v>1</v>
      </c>
      <c r="D263">
        <f>+data!AQ263</f>
        <v>0</v>
      </c>
      <c r="E263">
        <f>+data!T263</f>
        <v>0</v>
      </c>
      <c r="F263">
        <f>+data!X263</f>
        <v>0</v>
      </c>
      <c r="G263">
        <f>+data!Y263</f>
        <v>0</v>
      </c>
      <c r="H263">
        <f>+data!U263</f>
        <v>0</v>
      </c>
      <c r="I263">
        <f>+data!V263</f>
        <v>0</v>
      </c>
      <c r="J263">
        <f>+data!AS263</f>
        <v>0</v>
      </c>
      <c r="K263">
        <f>+data!AT263</f>
        <v>0</v>
      </c>
      <c r="L263">
        <f>+data!AO263</f>
        <v>0</v>
      </c>
      <c r="M263">
        <f>+data!AN263</f>
        <v>1</v>
      </c>
      <c r="N263">
        <f>+data!AU263</f>
        <v>1</v>
      </c>
      <c r="O263">
        <f>+data!AV263</f>
        <v>0</v>
      </c>
      <c r="P263">
        <f>+data!AD263</f>
        <v>1</v>
      </c>
      <c r="Q263">
        <f>+data!AF263</f>
        <v>7.6043960000000004</v>
      </c>
      <c r="R263">
        <f>+data!AG263</f>
        <v>4.6913479999999996</v>
      </c>
      <c r="S263">
        <f>+data!AE263</f>
        <v>1</v>
      </c>
    </row>
    <row r="264" spans="1:19" x14ac:dyDescent="0.25">
      <c r="A264">
        <f>+data!AI264</f>
        <v>-0.10192473887666402</v>
      </c>
      <c r="B264">
        <f>+data!AJ264</f>
        <v>3.52816403803837E-2</v>
      </c>
      <c r="C264">
        <f>+data!W264</f>
        <v>1</v>
      </c>
      <c r="D264">
        <f>+data!AQ264</f>
        <v>0</v>
      </c>
      <c r="E264">
        <f>+data!T264</f>
        <v>0</v>
      </c>
      <c r="F264">
        <f>+data!X264</f>
        <v>0</v>
      </c>
      <c r="G264">
        <f>+data!Y264</f>
        <v>0</v>
      </c>
      <c r="H264">
        <f>+data!U264</f>
        <v>0</v>
      </c>
      <c r="I264">
        <f>+data!V264</f>
        <v>0</v>
      </c>
      <c r="J264">
        <f>+data!AS264</f>
        <v>0</v>
      </c>
      <c r="K264">
        <f>+data!AT264</f>
        <v>0</v>
      </c>
      <c r="L264">
        <f>+data!AO264</f>
        <v>0</v>
      </c>
      <c r="M264">
        <f>+data!AN264</f>
        <v>1</v>
      </c>
      <c r="N264">
        <f>+data!AU264</f>
        <v>0</v>
      </c>
      <c r="O264">
        <f>+data!AV264</f>
        <v>0</v>
      </c>
      <c r="P264">
        <f>+data!AD264</f>
        <v>1</v>
      </c>
      <c r="Q264">
        <f>+data!AF264</f>
        <v>7.6043960000000004</v>
      </c>
      <c r="R264">
        <f>+data!AG264</f>
        <v>4.6913479999999996</v>
      </c>
      <c r="S264">
        <f>+data!AE264</f>
        <v>1</v>
      </c>
    </row>
    <row r="265" spans="1:19" x14ac:dyDescent="0.25">
      <c r="A265">
        <f>+data!AI265</f>
        <v>-0.12994442454726302</v>
      </c>
      <c r="B265">
        <f>+data!AJ265</f>
        <v>2.887653878828067E-2</v>
      </c>
      <c r="C265">
        <f>+data!W265</f>
        <v>1</v>
      </c>
      <c r="D265">
        <f>+data!AQ265</f>
        <v>0</v>
      </c>
      <c r="E265">
        <f>+data!T265</f>
        <v>0</v>
      </c>
      <c r="F265">
        <f>+data!X265</f>
        <v>0</v>
      </c>
      <c r="G265">
        <f>+data!Y265</f>
        <v>0</v>
      </c>
      <c r="H265">
        <f>+data!U265</f>
        <v>0</v>
      </c>
      <c r="I265">
        <f>+data!V265</f>
        <v>0</v>
      </c>
      <c r="J265">
        <f>+data!AS265</f>
        <v>0</v>
      </c>
      <c r="K265">
        <f>+data!AT265</f>
        <v>0</v>
      </c>
      <c r="L265">
        <f>+data!AO265</f>
        <v>0</v>
      </c>
      <c r="M265">
        <f>+data!AN265</f>
        <v>1</v>
      </c>
      <c r="N265">
        <f>+data!AU265</f>
        <v>0</v>
      </c>
      <c r="O265">
        <f>+data!AV265</f>
        <v>0</v>
      </c>
      <c r="P265">
        <f>+data!AD265</f>
        <v>1</v>
      </c>
      <c r="Q265">
        <f>+data!AF265</f>
        <v>7.6043960000000004</v>
      </c>
      <c r="R265">
        <f>+data!AG265</f>
        <v>4.6913479999999996</v>
      </c>
      <c r="S265">
        <f>+data!AE265</f>
        <v>1</v>
      </c>
    </row>
    <row r="266" spans="1:19" x14ac:dyDescent="0.25">
      <c r="A266">
        <f>+data!AI266</f>
        <v>-0.15785671740094684</v>
      </c>
      <c r="B266">
        <f>+data!AJ266</f>
        <v>0.10295003308757401</v>
      </c>
      <c r="C266">
        <f>+data!W266</f>
        <v>1</v>
      </c>
      <c r="D266">
        <f>+data!AQ266</f>
        <v>0</v>
      </c>
      <c r="E266">
        <f>+data!T266</f>
        <v>0</v>
      </c>
      <c r="F266">
        <f>+data!X266</f>
        <v>0</v>
      </c>
      <c r="G266">
        <f>+data!Y266</f>
        <v>0</v>
      </c>
      <c r="H266">
        <f>+data!U266</f>
        <v>0</v>
      </c>
      <c r="I266">
        <f>+data!V266</f>
        <v>0</v>
      </c>
      <c r="J266">
        <f>+data!AS266</f>
        <v>0</v>
      </c>
      <c r="K266">
        <f>+data!AT266</f>
        <v>0</v>
      </c>
      <c r="L266">
        <f>+data!AO266</f>
        <v>0</v>
      </c>
      <c r="M266">
        <f>+data!AN266</f>
        <v>1</v>
      </c>
      <c r="N266">
        <f>+data!AU266</f>
        <v>1</v>
      </c>
      <c r="O266">
        <f>+data!AV266</f>
        <v>0</v>
      </c>
      <c r="P266">
        <f>+data!AD266</f>
        <v>1</v>
      </c>
      <c r="Q266">
        <f>+data!AF266</f>
        <v>7.6043960000000004</v>
      </c>
      <c r="R266">
        <f>+data!AG266</f>
        <v>4.6913479999999996</v>
      </c>
      <c r="S266">
        <f>+data!AE266</f>
        <v>1</v>
      </c>
    </row>
    <row r="267" spans="1:19" x14ac:dyDescent="0.25">
      <c r="A267">
        <f>+data!AI267</f>
        <v>-0.33796318470968728</v>
      </c>
      <c r="B267">
        <f>+data!AJ267</f>
        <v>9.6560909917053503E-2</v>
      </c>
      <c r="C267">
        <f>+data!W267</f>
        <v>1</v>
      </c>
      <c r="D267">
        <f>+data!AQ267</f>
        <v>0</v>
      </c>
      <c r="E267">
        <f>+data!T267</f>
        <v>0</v>
      </c>
      <c r="F267">
        <f>+data!X267</f>
        <v>0</v>
      </c>
      <c r="G267">
        <f>+data!Y267</f>
        <v>0</v>
      </c>
      <c r="H267">
        <f>+data!U267</f>
        <v>0</v>
      </c>
      <c r="I267">
        <f>+data!V267</f>
        <v>0</v>
      </c>
      <c r="J267">
        <f>+data!AS267</f>
        <v>0</v>
      </c>
      <c r="K267">
        <f>+data!AT267</f>
        <v>0</v>
      </c>
      <c r="L267">
        <f>+data!AO267</f>
        <v>0</v>
      </c>
      <c r="M267">
        <f>+data!AN267</f>
        <v>1</v>
      </c>
      <c r="N267">
        <f>+data!AU267</f>
        <v>0</v>
      </c>
      <c r="O267">
        <f>+data!AV267</f>
        <v>0</v>
      </c>
      <c r="P267">
        <f>+data!AD267</f>
        <v>1</v>
      </c>
      <c r="Q267">
        <f>+data!AF267</f>
        <v>7.6043960000000004</v>
      </c>
      <c r="R267">
        <f>+data!AG267</f>
        <v>4.6913479999999996</v>
      </c>
      <c r="S267">
        <f>+data!AE267</f>
        <v>1</v>
      </c>
    </row>
    <row r="268" spans="1:19" x14ac:dyDescent="0.25">
      <c r="A268">
        <f>+data!AI268</f>
        <v>-0.24886078369838058</v>
      </c>
      <c r="B268">
        <f>+data!AJ268</f>
        <v>8.0711605523799121E-2</v>
      </c>
      <c r="C268">
        <f>+data!W268</f>
        <v>1</v>
      </c>
      <c r="D268">
        <f>+data!AQ268</f>
        <v>0</v>
      </c>
      <c r="E268">
        <f>+data!T268</f>
        <v>0</v>
      </c>
      <c r="F268">
        <f>+data!X268</f>
        <v>0</v>
      </c>
      <c r="G268">
        <f>+data!Y268</f>
        <v>0</v>
      </c>
      <c r="H268">
        <f>+data!U268</f>
        <v>0</v>
      </c>
      <c r="I268">
        <f>+data!V268</f>
        <v>0</v>
      </c>
      <c r="J268">
        <f>+data!AS268</f>
        <v>0</v>
      </c>
      <c r="K268">
        <f>+data!AT268</f>
        <v>0</v>
      </c>
      <c r="L268">
        <f>+data!AO268</f>
        <v>0</v>
      </c>
      <c r="M268">
        <f>+data!AN268</f>
        <v>1</v>
      </c>
      <c r="N268">
        <f>+data!AU268</f>
        <v>0</v>
      </c>
      <c r="O268">
        <f>+data!AV268</f>
        <v>0</v>
      </c>
      <c r="P268">
        <f>+data!AD268</f>
        <v>1</v>
      </c>
      <c r="Q268">
        <f>+data!AF268</f>
        <v>7.6043960000000004</v>
      </c>
      <c r="R268">
        <f>+data!AG268</f>
        <v>4.6913479999999996</v>
      </c>
      <c r="S268">
        <f>+data!AE268</f>
        <v>1</v>
      </c>
    </row>
    <row r="269" spans="1:19" x14ac:dyDescent="0.25">
      <c r="A269">
        <f>+data!AI269</f>
        <v>-0.11736725171603017</v>
      </c>
      <c r="B269">
        <f>+data!AJ269</f>
        <v>3.9534232156978585E-2</v>
      </c>
      <c r="C269">
        <f>+data!W269</f>
        <v>1</v>
      </c>
      <c r="D269">
        <f>+data!AQ269</f>
        <v>0</v>
      </c>
      <c r="E269">
        <f>+data!T269</f>
        <v>0</v>
      </c>
      <c r="F269">
        <f>+data!X269</f>
        <v>0</v>
      </c>
      <c r="G269">
        <f>+data!Y269</f>
        <v>0</v>
      </c>
      <c r="H269">
        <f>+data!U269</f>
        <v>0</v>
      </c>
      <c r="I269">
        <f>+data!V269</f>
        <v>0</v>
      </c>
      <c r="J269">
        <f>+data!AS269</f>
        <v>0</v>
      </c>
      <c r="K269">
        <f>+data!AT269</f>
        <v>0</v>
      </c>
      <c r="L269">
        <f>+data!AO269</f>
        <v>0</v>
      </c>
      <c r="M269">
        <f>+data!AN269</f>
        <v>1</v>
      </c>
      <c r="N269">
        <f>+data!AU269</f>
        <v>1</v>
      </c>
      <c r="O269">
        <f>+data!AV269</f>
        <v>0</v>
      </c>
      <c r="P269">
        <f>+data!AD269</f>
        <v>1</v>
      </c>
      <c r="Q269">
        <f>+data!AF269</f>
        <v>7.6043960000000004</v>
      </c>
      <c r="R269">
        <f>+data!AG269</f>
        <v>4.6913479999999996</v>
      </c>
      <c r="S269">
        <f>+data!AE269</f>
        <v>1</v>
      </c>
    </row>
    <row r="270" spans="1:19" x14ac:dyDescent="0.25">
      <c r="A270">
        <f>+data!AI270</f>
        <v>-0.12033867710005118</v>
      </c>
      <c r="B270">
        <f>+data!AJ270</f>
        <v>3.8818928096790703E-2</v>
      </c>
      <c r="C270">
        <f>+data!W270</f>
        <v>1</v>
      </c>
      <c r="D270">
        <f>+data!AQ270</f>
        <v>0</v>
      </c>
      <c r="E270">
        <f>+data!T270</f>
        <v>0</v>
      </c>
      <c r="F270">
        <f>+data!X270</f>
        <v>0</v>
      </c>
      <c r="G270">
        <f>+data!Y270</f>
        <v>0</v>
      </c>
      <c r="H270">
        <f>+data!U270</f>
        <v>0</v>
      </c>
      <c r="I270">
        <f>+data!V270</f>
        <v>0</v>
      </c>
      <c r="J270">
        <f>+data!AS270</f>
        <v>0</v>
      </c>
      <c r="K270">
        <f>+data!AT270</f>
        <v>0</v>
      </c>
      <c r="L270">
        <f>+data!AO270</f>
        <v>0</v>
      </c>
      <c r="M270">
        <f>+data!AN270</f>
        <v>1</v>
      </c>
      <c r="N270">
        <f>+data!AU270</f>
        <v>0</v>
      </c>
      <c r="O270">
        <f>+data!AV270</f>
        <v>0</v>
      </c>
      <c r="P270">
        <f>+data!AD270</f>
        <v>1</v>
      </c>
      <c r="Q270">
        <f>+data!AF270</f>
        <v>7.6043960000000004</v>
      </c>
      <c r="R270">
        <f>+data!AG270</f>
        <v>4.6913479999999996</v>
      </c>
      <c r="S270">
        <f>+data!AE270</f>
        <v>1</v>
      </c>
    </row>
    <row r="271" spans="1:19" x14ac:dyDescent="0.25">
      <c r="A271">
        <f>+data!AI271</f>
        <v>-0.14380226403356616</v>
      </c>
      <c r="B271">
        <f>+data!AJ271</f>
        <v>3.1956058674125813E-2</v>
      </c>
      <c r="C271">
        <f>+data!W271</f>
        <v>1</v>
      </c>
      <c r="D271">
        <f>+data!AQ271</f>
        <v>0</v>
      </c>
      <c r="E271">
        <f>+data!T271</f>
        <v>0</v>
      </c>
      <c r="F271">
        <f>+data!X271</f>
        <v>0</v>
      </c>
      <c r="G271">
        <f>+data!Y271</f>
        <v>0</v>
      </c>
      <c r="H271">
        <f>+data!U271</f>
        <v>0</v>
      </c>
      <c r="I271">
        <f>+data!V271</f>
        <v>0</v>
      </c>
      <c r="J271">
        <f>+data!AS271</f>
        <v>0</v>
      </c>
      <c r="K271">
        <f>+data!AT271</f>
        <v>0</v>
      </c>
      <c r="L271">
        <f>+data!AO271</f>
        <v>0</v>
      </c>
      <c r="M271">
        <f>+data!AN271</f>
        <v>1</v>
      </c>
      <c r="N271">
        <f>+data!AU271</f>
        <v>0</v>
      </c>
      <c r="O271">
        <f>+data!AV271</f>
        <v>0</v>
      </c>
      <c r="P271">
        <f>+data!AD271</f>
        <v>1</v>
      </c>
      <c r="Q271">
        <f>+data!AF271</f>
        <v>7.6043960000000004</v>
      </c>
      <c r="R271">
        <f>+data!AG271</f>
        <v>4.6913479999999996</v>
      </c>
      <c r="S271">
        <f>+data!AE271</f>
        <v>1</v>
      </c>
    </row>
    <row r="272" spans="1:19" x14ac:dyDescent="0.25">
      <c r="A272">
        <f>+data!AI272</f>
        <v>-0.14056187114809379</v>
      </c>
      <c r="B272">
        <f>+data!AJ272</f>
        <v>0.11432365520044961</v>
      </c>
      <c r="C272">
        <f>+data!W272</f>
        <v>1</v>
      </c>
      <c r="D272">
        <f>+data!AQ272</f>
        <v>0</v>
      </c>
      <c r="E272">
        <f>+data!T272</f>
        <v>0</v>
      </c>
      <c r="F272">
        <f>+data!X272</f>
        <v>0</v>
      </c>
      <c r="G272">
        <f>+data!Y272</f>
        <v>0</v>
      </c>
      <c r="H272">
        <f>+data!U272</f>
        <v>0</v>
      </c>
      <c r="I272">
        <f>+data!V272</f>
        <v>0</v>
      </c>
      <c r="J272">
        <f>+data!AS272</f>
        <v>0</v>
      </c>
      <c r="K272">
        <f>+data!AT272</f>
        <v>0</v>
      </c>
      <c r="L272">
        <f>+data!AO272</f>
        <v>0</v>
      </c>
      <c r="M272">
        <f>+data!AN272</f>
        <v>1</v>
      </c>
      <c r="N272">
        <f>+data!AU272</f>
        <v>1</v>
      </c>
      <c r="O272">
        <f>+data!AV272</f>
        <v>0</v>
      </c>
      <c r="P272">
        <f>+data!AD272</f>
        <v>1</v>
      </c>
      <c r="Q272">
        <f>+data!AF272</f>
        <v>7.6043960000000004</v>
      </c>
      <c r="R272">
        <f>+data!AG272</f>
        <v>4.6913479999999996</v>
      </c>
      <c r="S272">
        <f>+data!AE272</f>
        <v>1</v>
      </c>
    </row>
    <row r="273" spans="1:19" x14ac:dyDescent="0.25">
      <c r="A273">
        <f>+data!AI273</f>
        <v>-0.23298555275493182</v>
      </c>
      <c r="B273">
        <f>+data!AJ273</f>
        <v>0.10872659128563486</v>
      </c>
      <c r="C273">
        <f>+data!W273</f>
        <v>1</v>
      </c>
      <c r="D273">
        <f>+data!AQ273</f>
        <v>0</v>
      </c>
      <c r="E273">
        <f>+data!T273</f>
        <v>0</v>
      </c>
      <c r="F273">
        <f>+data!X273</f>
        <v>0</v>
      </c>
      <c r="G273">
        <f>+data!Y273</f>
        <v>0</v>
      </c>
      <c r="H273">
        <f>+data!U273</f>
        <v>0</v>
      </c>
      <c r="I273">
        <f>+data!V273</f>
        <v>0</v>
      </c>
      <c r="J273">
        <f>+data!AS273</f>
        <v>0</v>
      </c>
      <c r="K273">
        <f>+data!AT273</f>
        <v>0</v>
      </c>
      <c r="L273">
        <f>+data!AO273</f>
        <v>0</v>
      </c>
      <c r="M273">
        <f>+data!AN273</f>
        <v>1</v>
      </c>
      <c r="N273">
        <f>+data!AU273</f>
        <v>0</v>
      </c>
      <c r="O273">
        <f>+data!AV273</f>
        <v>0</v>
      </c>
      <c r="P273">
        <f>+data!AD273</f>
        <v>1</v>
      </c>
      <c r="Q273">
        <f>+data!AF273</f>
        <v>7.6043960000000004</v>
      </c>
      <c r="R273">
        <f>+data!AG273</f>
        <v>4.6913479999999996</v>
      </c>
      <c r="S273">
        <f>+data!AE273</f>
        <v>1</v>
      </c>
    </row>
    <row r="274" spans="1:19" x14ac:dyDescent="0.25">
      <c r="A274">
        <f>+data!AI274</f>
        <v>-0.20674871839915421</v>
      </c>
      <c r="B274">
        <f>+data!AJ274</f>
        <v>9.0452564299629973E-2</v>
      </c>
      <c r="C274">
        <f>+data!W274</f>
        <v>1</v>
      </c>
      <c r="D274">
        <f>+data!AQ274</f>
        <v>0</v>
      </c>
      <c r="E274">
        <f>+data!T274</f>
        <v>0</v>
      </c>
      <c r="F274">
        <f>+data!X274</f>
        <v>0</v>
      </c>
      <c r="G274">
        <f>+data!Y274</f>
        <v>0</v>
      </c>
      <c r="H274">
        <f>+data!U274</f>
        <v>0</v>
      </c>
      <c r="I274">
        <f>+data!V274</f>
        <v>0</v>
      </c>
      <c r="J274">
        <f>+data!AS274</f>
        <v>0</v>
      </c>
      <c r="K274">
        <f>+data!AT274</f>
        <v>0</v>
      </c>
      <c r="L274">
        <f>+data!AO274</f>
        <v>0</v>
      </c>
      <c r="M274">
        <f>+data!AN274</f>
        <v>1</v>
      </c>
      <c r="N274">
        <f>+data!AU274</f>
        <v>0</v>
      </c>
      <c r="O274">
        <f>+data!AV274</f>
        <v>0</v>
      </c>
      <c r="P274">
        <f>+data!AD274</f>
        <v>1</v>
      </c>
      <c r="Q274">
        <f>+data!AF274</f>
        <v>7.6043960000000004</v>
      </c>
      <c r="R274">
        <f>+data!AG274</f>
        <v>4.6913479999999996</v>
      </c>
      <c r="S274">
        <f>+data!AE274</f>
        <v>1</v>
      </c>
    </row>
    <row r="275" spans="1:19" x14ac:dyDescent="0.25">
      <c r="A275">
        <f>+data!AI275</f>
        <v>-0.16888567663231033</v>
      </c>
      <c r="B275">
        <f>+data!AJ275</f>
        <v>5.4589309618524554E-2</v>
      </c>
      <c r="C275">
        <f>+data!W275</f>
        <v>1</v>
      </c>
      <c r="D275">
        <f>+data!AQ275</f>
        <v>0</v>
      </c>
      <c r="E275">
        <f>+data!T275</f>
        <v>0</v>
      </c>
      <c r="F275">
        <f>+data!X275</f>
        <v>0</v>
      </c>
      <c r="G275">
        <f>+data!Y275</f>
        <v>0</v>
      </c>
      <c r="H275">
        <f>+data!U275</f>
        <v>0</v>
      </c>
      <c r="I275">
        <f>+data!V275</f>
        <v>0</v>
      </c>
      <c r="J275">
        <f>+data!AS275</f>
        <v>0</v>
      </c>
      <c r="K275">
        <f>+data!AT275</f>
        <v>0</v>
      </c>
      <c r="L275">
        <f>+data!AO275</f>
        <v>0</v>
      </c>
      <c r="M275">
        <f>+data!AN275</f>
        <v>1</v>
      </c>
      <c r="N275">
        <f>+data!AU275</f>
        <v>1</v>
      </c>
      <c r="O275">
        <f>+data!AV275</f>
        <v>0</v>
      </c>
      <c r="P275">
        <f>+data!AD275</f>
        <v>1</v>
      </c>
      <c r="Q275">
        <f>+data!AF275</f>
        <v>7.6043960000000004</v>
      </c>
      <c r="R275">
        <f>+data!AG275</f>
        <v>4.6913479999999996</v>
      </c>
      <c r="S275">
        <f>+data!AE275</f>
        <v>1</v>
      </c>
    </row>
    <row r="276" spans="1:19" x14ac:dyDescent="0.25">
      <c r="A276">
        <f>+data!AI276</f>
        <v>-0.16441088298745926</v>
      </c>
      <c r="B276">
        <f>+data!AJ276</f>
        <v>5.4135290739773169E-2</v>
      </c>
      <c r="C276">
        <f>+data!W276</f>
        <v>1</v>
      </c>
      <c r="D276">
        <f>+data!AQ276</f>
        <v>0</v>
      </c>
      <c r="E276">
        <f>+data!T276</f>
        <v>0</v>
      </c>
      <c r="F276">
        <f>+data!X276</f>
        <v>0</v>
      </c>
      <c r="G276">
        <f>+data!Y276</f>
        <v>0</v>
      </c>
      <c r="H276">
        <f>+data!U276</f>
        <v>0</v>
      </c>
      <c r="I276">
        <f>+data!V276</f>
        <v>0</v>
      </c>
      <c r="J276">
        <f>+data!AS276</f>
        <v>0</v>
      </c>
      <c r="K276">
        <f>+data!AT276</f>
        <v>0</v>
      </c>
      <c r="L276">
        <f>+data!AO276</f>
        <v>0</v>
      </c>
      <c r="M276">
        <f>+data!AN276</f>
        <v>1</v>
      </c>
      <c r="N276">
        <f>+data!AU276</f>
        <v>0</v>
      </c>
      <c r="O276">
        <f>+data!AV276</f>
        <v>0</v>
      </c>
      <c r="P276">
        <f>+data!AD276</f>
        <v>1</v>
      </c>
      <c r="Q276">
        <f>+data!AF276</f>
        <v>7.6043960000000004</v>
      </c>
      <c r="R276">
        <f>+data!AG276</f>
        <v>4.6913479999999996</v>
      </c>
      <c r="S276">
        <f>+data!AE276</f>
        <v>1</v>
      </c>
    </row>
    <row r="277" spans="1:19" x14ac:dyDescent="0.25">
      <c r="A277">
        <f>+data!AI277</f>
        <v>-0.19173707615826943</v>
      </c>
      <c r="B277">
        <f>+data!AJ277</f>
        <v>4.4247017574985247E-2</v>
      </c>
      <c r="C277">
        <f>+data!W277</f>
        <v>1</v>
      </c>
      <c r="D277">
        <f>+data!AQ277</f>
        <v>0</v>
      </c>
      <c r="E277">
        <f>+data!T277</f>
        <v>0</v>
      </c>
      <c r="F277">
        <f>+data!X277</f>
        <v>0</v>
      </c>
      <c r="G277">
        <f>+data!Y277</f>
        <v>0</v>
      </c>
      <c r="H277">
        <f>+data!U277</f>
        <v>0</v>
      </c>
      <c r="I277">
        <f>+data!V277</f>
        <v>0</v>
      </c>
      <c r="J277">
        <f>+data!AS277</f>
        <v>0</v>
      </c>
      <c r="K277">
        <f>+data!AT277</f>
        <v>0</v>
      </c>
      <c r="L277">
        <f>+data!AO277</f>
        <v>0</v>
      </c>
      <c r="M277">
        <f>+data!AN277</f>
        <v>1</v>
      </c>
      <c r="N277">
        <f>+data!AU277</f>
        <v>0</v>
      </c>
      <c r="O277">
        <f>+data!AV277</f>
        <v>0</v>
      </c>
      <c r="P277">
        <f>+data!AD277</f>
        <v>1</v>
      </c>
      <c r="Q277">
        <f>+data!AF277</f>
        <v>7.6043960000000004</v>
      </c>
      <c r="R277">
        <f>+data!AG277</f>
        <v>4.6913479999999996</v>
      </c>
      <c r="S277">
        <f>+data!AE277</f>
        <v>1</v>
      </c>
    </row>
    <row r="278" spans="1:19" x14ac:dyDescent="0.25">
      <c r="A278">
        <f>+data!AI278</f>
        <v>-0.11772406552166934</v>
      </c>
      <c r="B278">
        <f>+data!AJ278</f>
        <v>4.050720534078945E-2</v>
      </c>
      <c r="C278">
        <f>+data!W278</f>
        <v>1</v>
      </c>
      <c r="D278">
        <f>+data!AQ278</f>
        <v>0</v>
      </c>
      <c r="E278">
        <f>+data!T278</f>
        <v>0</v>
      </c>
      <c r="F278">
        <f>+data!X278</f>
        <v>0</v>
      </c>
      <c r="G278">
        <f>+data!Y278</f>
        <v>0</v>
      </c>
      <c r="H278">
        <f>+data!U278</f>
        <v>0</v>
      </c>
      <c r="I278">
        <f>+data!V278</f>
        <v>0</v>
      </c>
      <c r="J278">
        <f>+data!AS278</f>
        <v>0</v>
      </c>
      <c r="K278">
        <f>+data!AT278</f>
        <v>0</v>
      </c>
      <c r="L278">
        <f>+data!AO278</f>
        <v>0</v>
      </c>
      <c r="M278">
        <f>+data!AN278</f>
        <v>1</v>
      </c>
      <c r="N278">
        <f>+data!AU278</f>
        <v>1</v>
      </c>
      <c r="O278">
        <f>+data!AV278</f>
        <v>0</v>
      </c>
      <c r="P278">
        <f>+data!AD278</f>
        <v>1</v>
      </c>
      <c r="Q278">
        <f>+data!AF278</f>
        <v>7.6043960000000004</v>
      </c>
      <c r="R278">
        <f>+data!AG278</f>
        <v>4.6913479999999996</v>
      </c>
      <c r="S278">
        <f>+data!AE278</f>
        <v>1</v>
      </c>
    </row>
    <row r="279" spans="1:19" x14ac:dyDescent="0.25">
      <c r="A279">
        <f>+data!AI279</f>
        <v>-0.1297349385243031</v>
      </c>
      <c r="B279">
        <f>+data!AJ279</f>
        <v>3.9757481160673527E-2</v>
      </c>
      <c r="C279">
        <f>+data!W279</f>
        <v>1</v>
      </c>
      <c r="D279">
        <f>+data!AQ279</f>
        <v>0</v>
      </c>
      <c r="E279">
        <f>+data!T279</f>
        <v>0</v>
      </c>
      <c r="F279">
        <f>+data!X279</f>
        <v>0</v>
      </c>
      <c r="G279">
        <f>+data!Y279</f>
        <v>0</v>
      </c>
      <c r="H279">
        <f>+data!U279</f>
        <v>0</v>
      </c>
      <c r="I279">
        <f>+data!V279</f>
        <v>0</v>
      </c>
      <c r="J279">
        <f>+data!AS279</f>
        <v>0</v>
      </c>
      <c r="K279">
        <f>+data!AT279</f>
        <v>0</v>
      </c>
      <c r="L279">
        <f>+data!AO279</f>
        <v>0</v>
      </c>
      <c r="M279">
        <f>+data!AN279</f>
        <v>1</v>
      </c>
      <c r="N279">
        <f>+data!AU279</f>
        <v>0</v>
      </c>
      <c r="O279">
        <f>+data!AV279</f>
        <v>0</v>
      </c>
      <c r="P279">
        <f>+data!AD279</f>
        <v>1</v>
      </c>
      <c r="Q279">
        <f>+data!AF279</f>
        <v>7.6043960000000004</v>
      </c>
      <c r="R279">
        <f>+data!AG279</f>
        <v>4.6913479999999996</v>
      </c>
      <c r="S279">
        <f>+data!AE279</f>
        <v>1</v>
      </c>
    </row>
    <row r="280" spans="1:19" x14ac:dyDescent="0.25">
      <c r="A280">
        <f>+data!AI280</f>
        <v>-0.14470506683950041</v>
      </c>
      <c r="B280">
        <f>+data!AJ280</f>
        <v>3.2675337673435577E-2</v>
      </c>
      <c r="C280">
        <f>+data!W280</f>
        <v>1</v>
      </c>
      <c r="D280">
        <f>+data!AQ280</f>
        <v>0</v>
      </c>
      <c r="E280">
        <f>+data!T280</f>
        <v>0</v>
      </c>
      <c r="F280">
        <f>+data!X280</f>
        <v>0</v>
      </c>
      <c r="G280">
        <f>+data!Y280</f>
        <v>0</v>
      </c>
      <c r="H280">
        <f>+data!U280</f>
        <v>0</v>
      </c>
      <c r="I280">
        <f>+data!V280</f>
        <v>0</v>
      </c>
      <c r="J280">
        <f>+data!AS280</f>
        <v>0</v>
      </c>
      <c r="K280">
        <f>+data!AT280</f>
        <v>0</v>
      </c>
      <c r="L280">
        <f>+data!AO280</f>
        <v>0</v>
      </c>
      <c r="M280">
        <f>+data!AN280</f>
        <v>1</v>
      </c>
      <c r="N280">
        <f>+data!AU280</f>
        <v>0</v>
      </c>
      <c r="O280">
        <f>+data!AV280</f>
        <v>0</v>
      </c>
      <c r="P280">
        <f>+data!AD280</f>
        <v>1</v>
      </c>
      <c r="Q280">
        <f>+data!AF280</f>
        <v>7.6043960000000004</v>
      </c>
      <c r="R280">
        <f>+data!AG280</f>
        <v>4.6913479999999996</v>
      </c>
      <c r="S280">
        <f>+data!AE280</f>
        <v>1</v>
      </c>
    </row>
    <row r="281" spans="1:19" x14ac:dyDescent="0.25">
      <c r="A281">
        <f>+data!AI281</f>
        <v>-0.29739499950303344</v>
      </c>
      <c r="B281">
        <f>+data!AJ281</f>
        <v>0.10417225971292698</v>
      </c>
      <c r="C281">
        <f>+data!W281</f>
        <v>1</v>
      </c>
      <c r="D281">
        <f>+data!AQ281</f>
        <v>0</v>
      </c>
      <c r="E281">
        <f>+data!T281</f>
        <v>0</v>
      </c>
      <c r="F281">
        <f>+data!X281</f>
        <v>0</v>
      </c>
      <c r="G281">
        <f>+data!Y281</f>
        <v>0</v>
      </c>
      <c r="H281">
        <f>+data!U281</f>
        <v>0</v>
      </c>
      <c r="I281">
        <f>+data!V281</f>
        <v>0</v>
      </c>
      <c r="J281">
        <f>+data!AS281</f>
        <v>0</v>
      </c>
      <c r="K281">
        <f>+data!AT281</f>
        <v>0</v>
      </c>
      <c r="L281">
        <f>+data!AO281</f>
        <v>0</v>
      </c>
      <c r="M281">
        <f>+data!AN281</f>
        <v>1</v>
      </c>
      <c r="N281">
        <f>+data!AU281</f>
        <v>1</v>
      </c>
      <c r="O281">
        <f>+data!AV281</f>
        <v>0</v>
      </c>
      <c r="P281">
        <f>+data!AD281</f>
        <v>1</v>
      </c>
      <c r="Q281">
        <f>+data!AF281</f>
        <v>7.6043960000000004</v>
      </c>
      <c r="R281">
        <f>+data!AG281</f>
        <v>4.6913479999999996</v>
      </c>
      <c r="S281">
        <f>+data!AE281</f>
        <v>1</v>
      </c>
    </row>
    <row r="282" spans="1:19" x14ac:dyDescent="0.25">
      <c r="A282">
        <f>+data!AI282</f>
        <v>-0.22441325656912095</v>
      </c>
      <c r="B282">
        <f>+data!AJ282</f>
        <v>0.1050823979172868</v>
      </c>
      <c r="C282">
        <f>+data!W282</f>
        <v>1</v>
      </c>
      <c r="D282">
        <f>+data!AQ282</f>
        <v>0</v>
      </c>
      <c r="E282">
        <f>+data!T282</f>
        <v>0</v>
      </c>
      <c r="F282">
        <f>+data!X282</f>
        <v>0</v>
      </c>
      <c r="G282">
        <f>+data!Y282</f>
        <v>0</v>
      </c>
      <c r="H282">
        <f>+data!U282</f>
        <v>0</v>
      </c>
      <c r="I282">
        <f>+data!V282</f>
        <v>0</v>
      </c>
      <c r="J282">
        <f>+data!AS282</f>
        <v>0</v>
      </c>
      <c r="K282">
        <f>+data!AT282</f>
        <v>0</v>
      </c>
      <c r="L282">
        <f>+data!AO282</f>
        <v>0</v>
      </c>
      <c r="M282">
        <f>+data!AN282</f>
        <v>1</v>
      </c>
      <c r="N282">
        <f>+data!AU282</f>
        <v>0</v>
      </c>
      <c r="O282">
        <f>+data!AV282</f>
        <v>0</v>
      </c>
      <c r="P282">
        <f>+data!AD282</f>
        <v>1</v>
      </c>
      <c r="Q282">
        <f>+data!AF282</f>
        <v>7.6043960000000004</v>
      </c>
      <c r="R282">
        <f>+data!AG282</f>
        <v>4.6913479999999996</v>
      </c>
      <c r="S282">
        <f>+data!AE282</f>
        <v>1</v>
      </c>
    </row>
    <row r="283" spans="1:19" x14ac:dyDescent="0.25">
      <c r="A283">
        <f>+data!AI283</f>
        <v>-0.27462813793118562</v>
      </c>
      <c r="B283">
        <f>+data!AJ283</f>
        <v>8.465980191863616E-2</v>
      </c>
      <c r="C283">
        <f>+data!W283</f>
        <v>1</v>
      </c>
      <c r="D283">
        <f>+data!AQ283</f>
        <v>0</v>
      </c>
      <c r="E283">
        <f>+data!T283</f>
        <v>0</v>
      </c>
      <c r="F283">
        <f>+data!X283</f>
        <v>0</v>
      </c>
      <c r="G283">
        <f>+data!Y283</f>
        <v>0</v>
      </c>
      <c r="H283">
        <f>+data!U283</f>
        <v>0</v>
      </c>
      <c r="I283">
        <f>+data!V283</f>
        <v>0</v>
      </c>
      <c r="J283">
        <f>+data!AS283</f>
        <v>0</v>
      </c>
      <c r="K283">
        <f>+data!AT283</f>
        <v>0</v>
      </c>
      <c r="L283">
        <f>+data!AO283</f>
        <v>0</v>
      </c>
      <c r="M283">
        <f>+data!AN283</f>
        <v>1</v>
      </c>
      <c r="N283">
        <f>+data!AU283</f>
        <v>0</v>
      </c>
      <c r="O283">
        <f>+data!AV283</f>
        <v>0</v>
      </c>
      <c r="P283">
        <f>+data!AD283</f>
        <v>1</v>
      </c>
      <c r="Q283">
        <f>+data!AF283</f>
        <v>7.6043960000000004</v>
      </c>
      <c r="R283">
        <f>+data!AG283</f>
        <v>4.6913479999999996</v>
      </c>
      <c r="S283">
        <f>+data!AE283</f>
        <v>1</v>
      </c>
    </row>
    <row r="284" spans="1:19" x14ac:dyDescent="0.25">
      <c r="A284">
        <f>+data!AI284</f>
        <v>-0.19915800029274944</v>
      </c>
      <c r="B284">
        <f>+data!AJ284</f>
        <v>5.5479728652980197E-2</v>
      </c>
      <c r="C284">
        <f>+data!W284</f>
        <v>1</v>
      </c>
      <c r="D284">
        <f>+data!AQ284</f>
        <v>0</v>
      </c>
      <c r="E284">
        <f>+data!T284</f>
        <v>0</v>
      </c>
      <c r="F284">
        <f>+data!X284</f>
        <v>0</v>
      </c>
      <c r="G284">
        <f>+data!Y284</f>
        <v>0</v>
      </c>
      <c r="H284">
        <f>+data!U284</f>
        <v>0</v>
      </c>
      <c r="I284">
        <f>+data!V284</f>
        <v>0</v>
      </c>
      <c r="J284">
        <f>+data!AS284</f>
        <v>0</v>
      </c>
      <c r="K284">
        <f>+data!AT284</f>
        <v>0</v>
      </c>
      <c r="L284">
        <f>+data!AO284</f>
        <v>0</v>
      </c>
      <c r="M284">
        <f>+data!AN284</f>
        <v>1</v>
      </c>
      <c r="N284">
        <f>+data!AU284</f>
        <v>1</v>
      </c>
      <c r="O284">
        <f>+data!AV284</f>
        <v>0</v>
      </c>
      <c r="P284">
        <f>+data!AD284</f>
        <v>1</v>
      </c>
      <c r="Q284">
        <f>+data!AF284</f>
        <v>7.6043960000000004</v>
      </c>
      <c r="R284">
        <f>+data!AG284</f>
        <v>4.6913479999999996</v>
      </c>
      <c r="S284">
        <f>+data!AE284</f>
        <v>1</v>
      </c>
    </row>
    <row r="285" spans="1:19" x14ac:dyDescent="0.25">
      <c r="A285">
        <f>+data!AI285</f>
        <v>-0.12308915976732189</v>
      </c>
      <c r="B285">
        <f>+data!AJ285</f>
        <v>5.5390121895294846E-2</v>
      </c>
      <c r="C285">
        <f>+data!W285</f>
        <v>1</v>
      </c>
      <c r="D285">
        <f>+data!AQ285</f>
        <v>0</v>
      </c>
      <c r="E285">
        <f>+data!T285</f>
        <v>0</v>
      </c>
      <c r="F285">
        <f>+data!X285</f>
        <v>0</v>
      </c>
      <c r="G285">
        <f>+data!Y285</f>
        <v>0</v>
      </c>
      <c r="H285">
        <f>+data!U285</f>
        <v>0</v>
      </c>
      <c r="I285">
        <f>+data!V285</f>
        <v>0</v>
      </c>
      <c r="J285">
        <f>+data!AS285</f>
        <v>0</v>
      </c>
      <c r="K285">
        <f>+data!AT285</f>
        <v>0</v>
      </c>
      <c r="L285">
        <f>+data!AO285</f>
        <v>0</v>
      </c>
      <c r="M285">
        <f>+data!AN285</f>
        <v>1</v>
      </c>
      <c r="N285">
        <f>+data!AU285</f>
        <v>0</v>
      </c>
      <c r="O285">
        <f>+data!AV285</f>
        <v>0</v>
      </c>
      <c r="P285">
        <f>+data!AD285</f>
        <v>1</v>
      </c>
      <c r="Q285">
        <f>+data!AF285</f>
        <v>7.6043960000000004</v>
      </c>
      <c r="R285">
        <f>+data!AG285</f>
        <v>4.6913479999999996</v>
      </c>
      <c r="S285">
        <f>+data!AE285</f>
        <v>1</v>
      </c>
    </row>
    <row r="286" spans="1:19" x14ac:dyDescent="0.25">
      <c r="A286">
        <f>+data!AI286</f>
        <v>-0.2118729864061778</v>
      </c>
      <c r="B286">
        <f>+data!AJ286</f>
        <v>4.5079358809825061E-2</v>
      </c>
      <c r="C286">
        <f>+data!W286</f>
        <v>1</v>
      </c>
      <c r="D286">
        <f>+data!AQ286</f>
        <v>0</v>
      </c>
      <c r="E286">
        <f>+data!T286</f>
        <v>0</v>
      </c>
      <c r="F286">
        <f>+data!X286</f>
        <v>0</v>
      </c>
      <c r="G286">
        <f>+data!Y286</f>
        <v>0</v>
      </c>
      <c r="H286">
        <f>+data!U286</f>
        <v>0</v>
      </c>
      <c r="I286">
        <f>+data!V286</f>
        <v>0</v>
      </c>
      <c r="J286">
        <f>+data!AS286</f>
        <v>0</v>
      </c>
      <c r="K286">
        <f>+data!AT286</f>
        <v>0</v>
      </c>
      <c r="L286">
        <f>+data!AO286</f>
        <v>0</v>
      </c>
      <c r="M286">
        <f>+data!AN286</f>
        <v>1</v>
      </c>
      <c r="N286">
        <f>+data!AU286</f>
        <v>0</v>
      </c>
      <c r="O286">
        <f>+data!AV286</f>
        <v>0</v>
      </c>
      <c r="P286">
        <f>+data!AD286</f>
        <v>1</v>
      </c>
      <c r="Q286">
        <f>+data!AF286</f>
        <v>7.6043960000000004</v>
      </c>
      <c r="R286">
        <f>+data!AG286</f>
        <v>4.6913479999999996</v>
      </c>
      <c r="S286">
        <f>+data!AE286</f>
        <v>1</v>
      </c>
    </row>
    <row r="287" spans="1:19" x14ac:dyDescent="0.25">
      <c r="A287">
        <f>+data!AI287</f>
        <v>3.8055425628730169E-2</v>
      </c>
      <c r="B287">
        <f>+data!AJ287</f>
        <v>5.7312387995075556E-2</v>
      </c>
      <c r="C287">
        <f>+data!W287</f>
        <v>1</v>
      </c>
      <c r="D287">
        <f>+data!AQ287</f>
        <v>0</v>
      </c>
      <c r="E287">
        <f>+data!T287</f>
        <v>0</v>
      </c>
      <c r="F287">
        <f>+data!X287</f>
        <v>0</v>
      </c>
      <c r="G287">
        <f>+data!Y287</f>
        <v>0</v>
      </c>
      <c r="H287">
        <f>+data!U287</f>
        <v>0</v>
      </c>
      <c r="I287">
        <f>+data!V287</f>
        <v>0</v>
      </c>
      <c r="J287">
        <f>+data!AS287</f>
        <v>0</v>
      </c>
      <c r="K287">
        <f>+data!AT287</f>
        <v>0</v>
      </c>
      <c r="L287">
        <f>+data!AO287</f>
        <v>0</v>
      </c>
      <c r="M287">
        <f>+data!AN287</f>
        <v>1</v>
      </c>
      <c r="N287">
        <f>+data!AU287</f>
        <v>1</v>
      </c>
      <c r="O287">
        <f>+data!AV287</f>
        <v>0</v>
      </c>
      <c r="P287">
        <f>+data!AD287</f>
        <v>1</v>
      </c>
      <c r="Q287">
        <f>+data!AF287</f>
        <v>7.6043960000000004</v>
      </c>
      <c r="R287">
        <f>+data!AG287</f>
        <v>4.6913479999999996</v>
      </c>
      <c r="S287">
        <f>+data!AE287</f>
        <v>1</v>
      </c>
    </row>
    <row r="288" spans="1:19" x14ac:dyDescent="0.25">
      <c r="A288">
        <f>+data!AI288</f>
        <v>-0.10484642539189931</v>
      </c>
      <c r="B288">
        <f>+data!AJ288</f>
        <v>5.5506931089829049E-2</v>
      </c>
      <c r="C288">
        <f>+data!W288</f>
        <v>1</v>
      </c>
      <c r="D288">
        <f>+data!AQ288</f>
        <v>0</v>
      </c>
      <c r="E288">
        <f>+data!T288</f>
        <v>0</v>
      </c>
      <c r="F288">
        <f>+data!X288</f>
        <v>0</v>
      </c>
      <c r="G288">
        <f>+data!Y288</f>
        <v>0</v>
      </c>
      <c r="H288">
        <f>+data!U288</f>
        <v>0</v>
      </c>
      <c r="I288">
        <f>+data!V288</f>
        <v>0</v>
      </c>
      <c r="J288">
        <f>+data!AS288</f>
        <v>0</v>
      </c>
      <c r="K288">
        <f>+data!AT288</f>
        <v>0</v>
      </c>
      <c r="L288">
        <f>+data!AO288</f>
        <v>0</v>
      </c>
      <c r="M288">
        <f>+data!AN288</f>
        <v>1</v>
      </c>
      <c r="N288">
        <f>+data!AU288</f>
        <v>0</v>
      </c>
      <c r="O288">
        <f>+data!AV288</f>
        <v>0</v>
      </c>
      <c r="P288">
        <f>+data!AD288</f>
        <v>1</v>
      </c>
      <c r="Q288">
        <f>+data!AF288</f>
        <v>7.6043960000000004</v>
      </c>
      <c r="R288">
        <f>+data!AG288</f>
        <v>4.6913479999999996</v>
      </c>
      <c r="S288">
        <f>+data!AE288</f>
        <v>1</v>
      </c>
    </row>
    <row r="289" spans="1:19" x14ac:dyDescent="0.25">
      <c r="A289">
        <f>+data!AI289</f>
        <v>-9.6823554498723652E-2</v>
      </c>
      <c r="B289">
        <f>+data!AJ289</f>
        <v>4.6106454523201737E-2</v>
      </c>
      <c r="C289">
        <f>+data!W289</f>
        <v>1</v>
      </c>
      <c r="D289">
        <f>+data!AQ289</f>
        <v>0</v>
      </c>
      <c r="E289">
        <f>+data!T289</f>
        <v>0</v>
      </c>
      <c r="F289">
        <f>+data!X289</f>
        <v>0</v>
      </c>
      <c r="G289">
        <f>+data!Y289</f>
        <v>0</v>
      </c>
      <c r="H289">
        <f>+data!U289</f>
        <v>0</v>
      </c>
      <c r="I289">
        <f>+data!V289</f>
        <v>0</v>
      </c>
      <c r="J289">
        <f>+data!AS289</f>
        <v>0</v>
      </c>
      <c r="K289">
        <f>+data!AT289</f>
        <v>0</v>
      </c>
      <c r="L289">
        <f>+data!AO289</f>
        <v>0</v>
      </c>
      <c r="M289">
        <f>+data!AN289</f>
        <v>1</v>
      </c>
      <c r="N289">
        <f>+data!AU289</f>
        <v>0</v>
      </c>
      <c r="O289">
        <f>+data!AV289</f>
        <v>0</v>
      </c>
      <c r="P289">
        <f>+data!AD289</f>
        <v>1</v>
      </c>
      <c r="Q289">
        <f>+data!AF289</f>
        <v>7.6043960000000004</v>
      </c>
      <c r="R289">
        <f>+data!AG289</f>
        <v>4.6913479999999996</v>
      </c>
      <c r="S289">
        <f>+data!AE289</f>
        <v>1</v>
      </c>
    </row>
    <row r="290" spans="1:19" x14ac:dyDescent="0.25">
      <c r="A290">
        <f>+data!AI290</f>
        <v>6.1173823422157991E-2</v>
      </c>
      <c r="B290">
        <f>+data!AJ290</f>
        <v>0.18534755454773244</v>
      </c>
      <c r="C290">
        <f>+data!W290</f>
        <v>1</v>
      </c>
      <c r="D290">
        <f>+data!AQ290</f>
        <v>0</v>
      </c>
      <c r="E290">
        <f>+data!T290</f>
        <v>0</v>
      </c>
      <c r="F290">
        <f>+data!X290</f>
        <v>0</v>
      </c>
      <c r="G290">
        <f>+data!Y290</f>
        <v>0</v>
      </c>
      <c r="H290">
        <f>+data!U290</f>
        <v>0</v>
      </c>
      <c r="I290">
        <f>+data!V290</f>
        <v>0</v>
      </c>
      <c r="J290">
        <f>+data!AS290</f>
        <v>0</v>
      </c>
      <c r="K290">
        <f>+data!AT290</f>
        <v>0</v>
      </c>
      <c r="L290">
        <f>+data!AO290</f>
        <v>0</v>
      </c>
      <c r="M290">
        <f>+data!AN290</f>
        <v>1</v>
      </c>
      <c r="N290">
        <f>+data!AU290</f>
        <v>1</v>
      </c>
      <c r="O290">
        <f>+data!AV290</f>
        <v>0</v>
      </c>
      <c r="P290">
        <f>+data!AD290</f>
        <v>1</v>
      </c>
      <c r="Q290">
        <f>+data!AF290</f>
        <v>7.6043960000000004</v>
      </c>
      <c r="R290">
        <f>+data!AG290</f>
        <v>4.6913479999999996</v>
      </c>
      <c r="S290">
        <f>+data!AE290</f>
        <v>1</v>
      </c>
    </row>
    <row r="291" spans="1:19" x14ac:dyDescent="0.25">
      <c r="A291">
        <f>+data!AI291</f>
        <v>-8.4187001810092348E-3</v>
      </c>
      <c r="B291">
        <f>+data!AJ291</f>
        <v>0.17959893719486367</v>
      </c>
      <c r="C291">
        <f>+data!W291</f>
        <v>1</v>
      </c>
      <c r="D291">
        <f>+data!AQ291</f>
        <v>0</v>
      </c>
      <c r="E291">
        <f>+data!T291</f>
        <v>0</v>
      </c>
      <c r="F291">
        <f>+data!X291</f>
        <v>0</v>
      </c>
      <c r="G291">
        <f>+data!Y291</f>
        <v>0</v>
      </c>
      <c r="H291">
        <f>+data!U291</f>
        <v>0</v>
      </c>
      <c r="I291">
        <f>+data!V291</f>
        <v>0</v>
      </c>
      <c r="J291">
        <f>+data!AS291</f>
        <v>0</v>
      </c>
      <c r="K291">
        <f>+data!AT291</f>
        <v>0</v>
      </c>
      <c r="L291">
        <f>+data!AO291</f>
        <v>0</v>
      </c>
      <c r="M291">
        <f>+data!AN291</f>
        <v>1</v>
      </c>
      <c r="N291">
        <f>+data!AU291</f>
        <v>0</v>
      </c>
      <c r="O291">
        <f>+data!AV291</f>
        <v>0</v>
      </c>
      <c r="P291">
        <f>+data!AD291</f>
        <v>1</v>
      </c>
      <c r="Q291">
        <f>+data!AF291</f>
        <v>7.6043960000000004</v>
      </c>
      <c r="R291">
        <f>+data!AG291</f>
        <v>4.6913479999999996</v>
      </c>
      <c r="S291">
        <f>+data!AE291</f>
        <v>1</v>
      </c>
    </row>
    <row r="292" spans="1:19" x14ac:dyDescent="0.25">
      <c r="A292">
        <f>+data!AI292</f>
        <v>-3.9842490807265409E-2</v>
      </c>
      <c r="B292">
        <f>+data!AJ292</f>
        <v>0.15604975566178952</v>
      </c>
      <c r="C292">
        <f>+data!W292</f>
        <v>1</v>
      </c>
      <c r="D292">
        <f>+data!AQ292</f>
        <v>0</v>
      </c>
      <c r="E292">
        <f>+data!T292</f>
        <v>0</v>
      </c>
      <c r="F292">
        <f>+data!X292</f>
        <v>0</v>
      </c>
      <c r="G292">
        <f>+data!Y292</f>
        <v>0</v>
      </c>
      <c r="H292">
        <f>+data!U292</f>
        <v>0</v>
      </c>
      <c r="I292">
        <f>+data!V292</f>
        <v>0</v>
      </c>
      <c r="J292">
        <f>+data!AS292</f>
        <v>0</v>
      </c>
      <c r="K292">
        <f>+data!AT292</f>
        <v>0</v>
      </c>
      <c r="L292">
        <f>+data!AO292</f>
        <v>0</v>
      </c>
      <c r="M292">
        <f>+data!AN292</f>
        <v>1</v>
      </c>
      <c r="N292">
        <f>+data!AU292</f>
        <v>0</v>
      </c>
      <c r="O292">
        <f>+data!AV292</f>
        <v>0</v>
      </c>
      <c r="P292">
        <f>+data!AD292</f>
        <v>1</v>
      </c>
      <c r="Q292">
        <f>+data!AF292</f>
        <v>7.6043960000000004</v>
      </c>
      <c r="R292">
        <f>+data!AG292</f>
        <v>4.6913479999999996</v>
      </c>
      <c r="S292">
        <f>+data!AE292</f>
        <v>1</v>
      </c>
    </row>
    <row r="293" spans="1:19" x14ac:dyDescent="0.25">
      <c r="A293">
        <f>+data!AI293</f>
        <v>-9.3069858083140361E-2</v>
      </c>
      <c r="B293">
        <f>+data!AJ293</f>
        <v>4.2610296471799196E-2</v>
      </c>
      <c r="C293">
        <f>+data!W293</f>
        <v>1</v>
      </c>
      <c r="D293">
        <f>+data!AQ293</f>
        <v>0</v>
      </c>
      <c r="E293">
        <f>+data!T293</f>
        <v>0</v>
      </c>
      <c r="F293">
        <f>+data!X293</f>
        <v>0</v>
      </c>
      <c r="G293">
        <f>+data!Y293</f>
        <v>0</v>
      </c>
      <c r="H293">
        <f>+data!U293</f>
        <v>0</v>
      </c>
      <c r="I293">
        <f>+data!V293</f>
        <v>0</v>
      </c>
      <c r="J293">
        <f>+data!AS293</f>
        <v>0</v>
      </c>
      <c r="K293">
        <f>+data!AT293</f>
        <v>0</v>
      </c>
      <c r="L293">
        <f>+data!AO293</f>
        <v>0</v>
      </c>
      <c r="M293">
        <f>+data!AN293</f>
        <v>1</v>
      </c>
      <c r="N293">
        <f>+data!AU293</f>
        <v>1</v>
      </c>
      <c r="O293">
        <f>+data!AV293</f>
        <v>0</v>
      </c>
      <c r="P293">
        <f>+data!AD293</f>
        <v>1</v>
      </c>
      <c r="Q293">
        <f>+data!AF293</f>
        <v>7.6043960000000004</v>
      </c>
      <c r="R293">
        <f>+data!AG293</f>
        <v>4.6913479999999996</v>
      </c>
      <c r="S293">
        <f>+data!AE293</f>
        <v>1</v>
      </c>
    </row>
    <row r="294" spans="1:19" x14ac:dyDescent="0.25">
      <c r="A294">
        <f>+data!AI294</f>
        <v>-9.8864318319899391E-2</v>
      </c>
      <c r="B294">
        <f>+data!AJ294</f>
        <v>4.1827211596880506E-2</v>
      </c>
      <c r="C294">
        <f>+data!W294</f>
        <v>1</v>
      </c>
      <c r="D294">
        <f>+data!AQ294</f>
        <v>0</v>
      </c>
      <c r="E294">
        <f>+data!T294</f>
        <v>0</v>
      </c>
      <c r="F294">
        <f>+data!X294</f>
        <v>0</v>
      </c>
      <c r="G294">
        <f>+data!Y294</f>
        <v>0</v>
      </c>
      <c r="H294">
        <f>+data!U294</f>
        <v>0</v>
      </c>
      <c r="I294">
        <f>+data!V294</f>
        <v>0</v>
      </c>
      <c r="J294">
        <f>+data!AS294</f>
        <v>0</v>
      </c>
      <c r="K294">
        <f>+data!AT294</f>
        <v>0</v>
      </c>
      <c r="L294">
        <f>+data!AO294</f>
        <v>0</v>
      </c>
      <c r="M294">
        <f>+data!AN294</f>
        <v>1</v>
      </c>
      <c r="N294">
        <f>+data!AU294</f>
        <v>0</v>
      </c>
      <c r="O294">
        <f>+data!AV294</f>
        <v>0</v>
      </c>
      <c r="P294">
        <f>+data!AD294</f>
        <v>1</v>
      </c>
      <c r="Q294">
        <f>+data!AF294</f>
        <v>7.6043960000000004</v>
      </c>
      <c r="R294">
        <f>+data!AG294</f>
        <v>4.6913479999999996</v>
      </c>
      <c r="S294">
        <f>+data!AE294</f>
        <v>1</v>
      </c>
    </row>
    <row r="295" spans="1:19" x14ac:dyDescent="0.25">
      <c r="A295">
        <f>+data!AI295</f>
        <v>-0.12866391723419951</v>
      </c>
      <c r="B295">
        <f>+data!AJ295</f>
        <v>3.4463549259160585E-2</v>
      </c>
      <c r="C295">
        <f>+data!W295</f>
        <v>1</v>
      </c>
      <c r="D295">
        <f>+data!AQ295</f>
        <v>0</v>
      </c>
      <c r="E295">
        <f>+data!T295</f>
        <v>0</v>
      </c>
      <c r="F295">
        <f>+data!X295</f>
        <v>0</v>
      </c>
      <c r="G295">
        <f>+data!Y295</f>
        <v>0</v>
      </c>
      <c r="H295">
        <f>+data!U295</f>
        <v>0</v>
      </c>
      <c r="I295">
        <f>+data!V295</f>
        <v>0</v>
      </c>
      <c r="J295">
        <f>+data!AS295</f>
        <v>0</v>
      </c>
      <c r="K295">
        <f>+data!AT295</f>
        <v>0</v>
      </c>
      <c r="L295">
        <f>+data!AO295</f>
        <v>0</v>
      </c>
      <c r="M295">
        <f>+data!AN295</f>
        <v>1</v>
      </c>
      <c r="N295">
        <f>+data!AU295</f>
        <v>0</v>
      </c>
      <c r="O295">
        <f>+data!AV295</f>
        <v>0</v>
      </c>
      <c r="P295">
        <f>+data!AD295</f>
        <v>1</v>
      </c>
      <c r="Q295">
        <f>+data!AF295</f>
        <v>7.6043960000000004</v>
      </c>
      <c r="R295">
        <f>+data!AG295</f>
        <v>4.6913479999999996</v>
      </c>
      <c r="S295">
        <f>+data!AE295</f>
        <v>1</v>
      </c>
    </row>
    <row r="296" spans="1:19" x14ac:dyDescent="0.25">
      <c r="A296">
        <f>+data!AI296</f>
        <v>-5.0329404137372073E-2</v>
      </c>
      <c r="B296">
        <f>+data!AJ296</f>
        <v>7.1520732195212947E-2</v>
      </c>
      <c r="C296">
        <f>+data!W296</f>
        <v>1</v>
      </c>
      <c r="D296">
        <f>+data!AQ296</f>
        <v>0</v>
      </c>
      <c r="E296">
        <f>+data!T296</f>
        <v>0</v>
      </c>
      <c r="F296">
        <f>+data!X296</f>
        <v>0</v>
      </c>
      <c r="G296">
        <f>+data!Y296</f>
        <v>0</v>
      </c>
      <c r="H296">
        <f>+data!U296</f>
        <v>0</v>
      </c>
      <c r="I296">
        <f>+data!V296</f>
        <v>0</v>
      </c>
      <c r="J296">
        <f>+data!AS296</f>
        <v>0</v>
      </c>
      <c r="K296">
        <f>+data!AT296</f>
        <v>0</v>
      </c>
      <c r="L296">
        <f>+data!AO296</f>
        <v>0</v>
      </c>
      <c r="M296">
        <f>+data!AN296</f>
        <v>1</v>
      </c>
      <c r="N296">
        <f>+data!AU296</f>
        <v>1</v>
      </c>
      <c r="O296">
        <f>+data!AV296</f>
        <v>0</v>
      </c>
      <c r="P296">
        <f>+data!AD296</f>
        <v>1</v>
      </c>
      <c r="Q296">
        <f>+data!AF296</f>
        <v>7.6043960000000004</v>
      </c>
      <c r="R296">
        <f>+data!AG296</f>
        <v>4.6913479999999996</v>
      </c>
      <c r="S296">
        <f>+data!AE296</f>
        <v>1</v>
      </c>
    </row>
    <row r="297" spans="1:19" x14ac:dyDescent="0.25">
      <c r="A297">
        <f>+data!AI297</f>
        <v>-0.11534708249969794</v>
      </c>
      <c r="B297">
        <f>+data!AJ297</f>
        <v>6.9208249499818769E-2</v>
      </c>
      <c r="C297">
        <f>+data!W297</f>
        <v>1</v>
      </c>
      <c r="D297">
        <f>+data!AQ297</f>
        <v>0</v>
      </c>
      <c r="E297">
        <f>+data!T297</f>
        <v>0</v>
      </c>
      <c r="F297">
        <f>+data!X297</f>
        <v>0</v>
      </c>
      <c r="G297">
        <f>+data!Y297</f>
        <v>0</v>
      </c>
      <c r="H297">
        <f>+data!U297</f>
        <v>0</v>
      </c>
      <c r="I297">
        <f>+data!V297</f>
        <v>0</v>
      </c>
      <c r="J297">
        <f>+data!AS297</f>
        <v>0</v>
      </c>
      <c r="K297">
        <f>+data!AT297</f>
        <v>0</v>
      </c>
      <c r="L297">
        <f>+data!AO297</f>
        <v>0</v>
      </c>
      <c r="M297">
        <f>+data!AN297</f>
        <v>1</v>
      </c>
      <c r="N297">
        <f>+data!AU297</f>
        <v>0</v>
      </c>
      <c r="O297">
        <f>+data!AV297</f>
        <v>0</v>
      </c>
      <c r="P297">
        <f>+data!AD297</f>
        <v>1</v>
      </c>
      <c r="Q297">
        <f>+data!AF297</f>
        <v>7.6043960000000004</v>
      </c>
      <c r="R297">
        <f>+data!AG297</f>
        <v>4.6913479999999996</v>
      </c>
      <c r="S297">
        <f>+data!AE297</f>
        <v>1</v>
      </c>
    </row>
    <row r="298" spans="1:19" x14ac:dyDescent="0.25">
      <c r="A298">
        <f>+data!AI298</f>
        <v>-7.7363935270327325E-2</v>
      </c>
      <c r="B298">
        <f>+data!AJ298</f>
        <v>5.7182039112850636E-2</v>
      </c>
      <c r="C298">
        <f>+data!W298</f>
        <v>1</v>
      </c>
      <c r="D298">
        <f>+data!AQ298</f>
        <v>0</v>
      </c>
      <c r="E298">
        <f>+data!T298</f>
        <v>0</v>
      </c>
      <c r="F298">
        <f>+data!X298</f>
        <v>0</v>
      </c>
      <c r="G298">
        <f>+data!Y298</f>
        <v>0</v>
      </c>
      <c r="H298">
        <f>+data!U298</f>
        <v>0</v>
      </c>
      <c r="I298">
        <f>+data!V298</f>
        <v>0</v>
      </c>
      <c r="J298">
        <f>+data!AS298</f>
        <v>0</v>
      </c>
      <c r="K298">
        <f>+data!AT298</f>
        <v>0</v>
      </c>
      <c r="L298">
        <f>+data!AO298</f>
        <v>0</v>
      </c>
      <c r="M298">
        <f>+data!AN298</f>
        <v>1</v>
      </c>
      <c r="N298">
        <f>+data!AU298</f>
        <v>0</v>
      </c>
      <c r="O298">
        <f>+data!AV298</f>
        <v>0</v>
      </c>
      <c r="P298">
        <f>+data!AD298</f>
        <v>1</v>
      </c>
      <c r="Q298">
        <f>+data!AF298</f>
        <v>7.6043960000000004</v>
      </c>
      <c r="R298">
        <f>+data!AG298</f>
        <v>4.6913479999999996</v>
      </c>
      <c r="S298">
        <f>+data!AE298</f>
        <v>1</v>
      </c>
    </row>
    <row r="299" spans="1:19" x14ac:dyDescent="0.25">
      <c r="A299">
        <f>+data!AI299</f>
        <v>-0.33410493930404878</v>
      </c>
      <c r="B299">
        <f>+data!AJ299</f>
        <v>0.19653231723767553</v>
      </c>
      <c r="C299">
        <f>+data!W299</f>
        <v>0</v>
      </c>
      <c r="D299">
        <f>+data!AQ299</f>
        <v>1</v>
      </c>
      <c r="E299">
        <f>+data!T299</f>
        <v>0</v>
      </c>
      <c r="F299">
        <f>+data!X299</f>
        <v>0</v>
      </c>
      <c r="G299">
        <f>+data!Y299</f>
        <v>1</v>
      </c>
      <c r="H299">
        <f>+data!U299</f>
        <v>0</v>
      </c>
      <c r="I299">
        <f>+data!V299</f>
        <v>0</v>
      </c>
      <c r="J299">
        <f>+data!AS299</f>
        <v>0</v>
      </c>
      <c r="K299">
        <f>+data!AT299</f>
        <v>0</v>
      </c>
      <c r="L299">
        <f>+data!AO299</f>
        <v>0</v>
      </c>
      <c r="M299">
        <f>+data!AN299</f>
        <v>0</v>
      </c>
      <c r="N299">
        <f>+data!AU299</f>
        <v>1</v>
      </c>
      <c r="O299">
        <f>+data!AV299</f>
        <v>0</v>
      </c>
      <c r="P299">
        <f>+data!AD299</f>
        <v>1</v>
      </c>
      <c r="Q299">
        <f>+data!AF299</f>
        <v>7.5973959999999998</v>
      </c>
      <c r="R299">
        <f>+data!AG299</f>
        <v>2.5649489999999999</v>
      </c>
      <c r="S299">
        <f>+data!AE299</f>
        <v>1</v>
      </c>
    </row>
    <row r="300" spans="1:19" x14ac:dyDescent="0.25">
      <c r="A300">
        <f>+data!AI300</f>
        <v>-0.68906393355528939</v>
      </c>
      <c r="B300">
        <f>+data!AJ300</f>
        <v>0.15111051174458121</v>
      </c>
      <c r="C300">
        <f>+data!W300</f>
        <v>0</v>
      </c>
      <c r="D300">
        <f>+data!AQ300</f>
        <v>1</v>
      </c>
      <c r="E300">
        <f>+data!T300</f>
        <v>0</v>
      </c>
      <c r="F300">
        <f>+data!X300</f>
        <v>0</v>
      </c>
      <c r="G300">
        <f>+data!Y300</f>
        <v>1</v>
      </c>
      <c r="H300">
        <f>+data!U300</f>
        <v>0</v>
      </c>
      <c r="I300">
        <f>+data!V300</f>
        <v>0</v>
      </c>
      <c r="J300">
        <f>+data!AS300</f>
        <v>0</v>
      </c>
      <c r="K300">
        <f>+data!AT300</f>
        <v>0</v>
      </c>
      <c r="L300">
        <f>+data!AO300</f>
        <v>0</v>
      </c>
      <c r="M300">
        <f>+data!AN300</f>
        <v>0</v>
      </c>
      <c r="N300">
        <f>+data!AU300</f>
        <v>0</v>
      </c>
      <c r="O300">
        <f>+data!AV300</f>
        <v>1</v>
      </c>
      <c r="P300">
        <f>+data!AD300</f>
        <v>1</v>
      </c>
      <c r="Q300">
        <f>+data!AF300</f>
        <v>7.5973959999999998</v>
      </c>
      <c r="R300">
        <f>+data!AG300</f>
        <v>2.5649489999999999</v>
      </c>
      <c r="S300">
        <f>+data!AE300</f>
        <v>1</v>
      </c>
    </row>
    <row r="301" spans="1:19" x14ac:dyDescent="0.25">
      <c r="A301">
        <f>+data!AI301</f>
        <v>4.1666666666666671E-2</v>
      </c>
      <c r="B301">
        <f>+data!AJ301</f>
        <v>0.20833333333333334</v>
      </c>
      <c r="C301">
        <f>+data!W301</f>
        <v>0</v>
      </c>
      <c r="D301">
        <f>+data!AQ301</f>
        <v>1</v>
      </c>
      <c r="E301">
        <f>+data!T301</f>
        <v>0</v>
      </c>
      <c r="F301">
        <f>+data!X301</f>
        <v>0</v>
      </c>
      <c r="G301">
        <f>+data!Y301</f>
        <v>1</v>
      </c>
      <c r="H301">
        <f>+data!U301</f>
        <v>0</v>
      </c>
      <c r="I301">
        <f>+data!V301</f>
        <v>0</v>
      </c>
      <c r="J301">
        <f>+data!AS301</f>
        <v>0</v>
      </c>
      <c r="K301">
        <f>+data!AT301</f>
        <v>0</v>
      </c>
      <c r="L301">
        <f>+data!AO301</f>
        <v>0</v>
      </c>
      <c r="M301">
        <f>+data!AN301</f>
        <v>0</v>
      </c>
      <c r="N301">
        <f>+data!AU301</f>
        <v>1</v>
      </c>
      <c r="O301">
        <f>+data!AV301</f>
        <v>0</v>
      </c>
      <c r="P301">
        <f>+data!AD301</f>
        <v>1</v>
      </c>
      <c r="Q301">
        <f>+data!AF301</f>
        <v>7.5973959999999998</v>
      </c>
      <c r="R301">
        <f>+data!AG301</f>
        <v>2.5649489999999999</v>
      </c>
      <c r="S301">
        <f>+data!AE301</f>
        <v>1</v>
      </c>
    </row>
    <row r="302" spans="1:19" x14ac:dyDescent="0.25">
      <c r="A302">
        <f>+data!AI302</f>
        <v>-0.27154147989670735</v>
      </c>
      <c r="B302">
        <f>+data!AJ302</f>
        <v>0.12125437152620265</v>
      </c>
      <c r="C302">
        <f>+data!W302</f>
        <v>1</v>
      </c>
      <c r="D302">
        <f>+data!AQ302</f>
        <v>1</v>
      </c>
      <c r="E302">
        <f>+data!T302</f>
        <v>0</v>
      </c>
      <c r="F302">
        <f>+data!X302</f>
        <v>1</v>
      </c>
      <c r="G302">
        <f>+data!Y302</f>
        <v>0</v>
      </c>
      <c r="H302">
        <f>+data!U302</f>
        <v>0</v>
      </c>
      <c r="I302">
        <f>+data!V302</f>
        <v>1</v>
      </c>
      <c r="J302">
        <f>+data!AS302</f>
        <v>0</v>
      </c>
      <c r="K302">
        <f>+data!AT302</f>
        <v>0</v>
      </c>
      <c r="L302">
        <f>+data!AO302</f>
        <v>1</v>
      </c>
      <c r="M302">
        <f>+data!AN302</f>
        <v>0</v>
      </c>
      <c r="N302">
        <f>+data!AU302</f>
        <v>1</v>
      </c>
      <c r="O302">
        <f>+data!AV302</f>
        <v>0</v>
      </c>
      <c r="P302">
        <f>+data!AD302</f>
        <v>1</v>
      </c>
      <c r="Q302">
        <f>+data!AF302</f>
        <v>7.5898409999999998</v>
      </c>
      <c r="R302">
        <f>+data!AG302</f>
        <v>3.091043</v>
      </c>
      <c r="S302">
        <f>+data!AE302</f>
        <v>1</v>
      </c>
    </row>
    <row r="303" spans="1:19" x14ac:dyDescent="0.25">
      <c r="A303">
        <f>+data!AI303</f>
        <v>-0.57044653712738302</v>
      </c>
      <c r="B303">
        <f>+data!AJ303</f>
        <v>0.19359045377626119</v>
      </c>
      <c r="C303">
        <f>+data!W303</f>
        <v>1</v>
      </c>
      <c r="D303">
        <f>+data!AQ303</f>
        <v>1</v>
      </c>
      <c r="E303">
        <f>+data!T303</f>
        <v>0</v>
      </c>
      <c r="F303">
        <f>+data!X303</f>
        <v>1</v>
      </c>
      <c r="G303">
        <f>+data!Y303</f>
        <v>0</v>
      </c>
      <c r="H303">
        <f>+data!U303</f>
        <v>0</v>
      </c>
      <c r="I303">
        <f>+data!V303</f>
        <v>1</v>
      </c>
      <c r="J303">
        <f>+data!AS303</f>
        <v>0</v>
      </c>
      <c r="K303">
        <f>+data!AT303</f>
        <v>0</v>
      </c>
      <c r="L303">
        <f>+data!AO303</f>
        <v>1</v>
      </c>
      <c r="M303">
        <f>+data!AN303</f>
        <v>0</v>
      </c>
      <c r="N303">
        <f>+data!AU303</f>
        <v>1</v>
      </c>
      <c r="O303">
        <f>+data!AV303</f>
        <v>0</v>
      </c>
      <c r="P303">
        <f>+data!AD303</f>
        <v>1</v>
      </c>
      <c r="Q303">
        <f>+data!AF303</f>
        <v>7.5898409999999998</v>
      </c>
      <c r="R303">
        <f>+data!AG303</f>
        <v>3.091043</v>
      </c>
      <c r="S303">
        <f>+data!AE303</f>
        <v>1</v>
      </c>
    </row>
    <row r="304" spans="1:19" x14ac:dyDescent="0.25">
      <c r="A304">
        <f>+data!AI304</f>
        <v>-0.22178001004366346</v>
      </c>
      <c r="B304">
        <f>+data!AJ304</f>
        <v>0.17802749105545773</v>
      </c>
      <c r="C304">
        <f>+data!W304</f>
        <v>1</v>
      </c>
      <c r="D304">
        <f>+data!AQ304</f>
        <v>1</v>
      </c>
      <c r="E304">
        <f>+data!T304</f>
        <v>0</v>
      </c>
      <c r="F304">
        <f>+data!X304</f>
        <v>1</v>
      </c>
      <c r="G304">
        <f>+data!Y304</f>
        <v>0</v>
      </c>
      <c r="H304">
        <f>+data!U304</f>
        <v>0</v>
      </c>
      <c r="I304">
        <f>+data!V304</f>
        <v>1</v>
      </c>
      <c r="J304">
        <f>+data!AS304</f>
        <v>0</v>
      </c>
      <c r="K304">
        <f>+data!AT304</f>
        <v>0</v>
      </c>
      <c r="L304">
        <f>+data!AO304</f>
        <v>1</v>
      </c>
      <c r="M304">
        <f>+data!AN304</f>
        <v>0</v>
      </c>
      <c r="N304">
        <f>+data!AU304</f>
        <v>1</v>
      </c>
      <c r="O304">
        <f>+data!AV304</f>
        <v>0</v>
      </c>
      <c r="P304">
        <f>+data!AD304</f>
        <v>1</v>
      </c>
      <c r="Q304">
        <f>+data!AF304</f>
        <v>7.5898409999999998</v>
      </c>
      <c r="R304">
        <f>+data!AG304</f>
        <v>3.091043</v>
      </c>
      <c r="S304">
        <f>+data!AE304</f>
        <v>1</v>
      </c>
    </row>
    <row r="305" spans="1:19" x14ac:dyDescent="0.25">
      <c r="A305">
        <f>+data!AI305</f>
        <v>-0.22227543908740943</v>
      </c>
      <c r="B305">
        <f>+data!AJ305</f>
        <v>0.1228364268640947</v>
      </c>
      <c r="C305">
        <f>+data!W305</f>
        <v>1</v>
      </c>
      <c r="D305">
        <f>+data!AQ305</f>
        <v>1</v>
      </c>
      <c r="E305">
        <f>+data!T305</f>
        <v>0</v>
      </c>
      <c r="F305">
        <f>+data!X305</f>
        <v>1</v>
      </c>
      <c r="G305">
        <f>+data!Y305</f>
        <v>0</v>
      </c>
      <c r="H305">
        <f>+data!U305</f>
        <v>0</v>
      </c>
      <c r="I305">
        <f>+data!V305</f>
        <v>1</v>
      </c>
      <c r="J305">
        <f>+data!AS305</f>
        <v>0</v>
      </c>
      <c r="K305">
        <f>+data!AT305</f>
        <v>0</v>
      </c>
      <c r="L305">
        <f>+data!AO305</f>
        <v>1</v>
      </c>
      <c r="M305">
        <f>+data!AN305</f>
        <v>0</v>
      </c>
      <c r="N305">
        <f>+data!AU305</f>
        <v>0</v>
      </c>
      <c r="O305">
        <f>+data!AV305</f>
        <v>0</v>
      </c>
      <c r="P305">
        <f>+data!AD305</f>
        <v>1</v>
      </c>
      <c r="Q305">
        <f>+data!AF305</f>
        <v>7.5898409999999998</v>
      </c>
      <c r="R305">
        <f>+data!AG305</f>
        <v>3.091043</v>
      </c>
      <c r="S305">
        <f>+data!AE305</f>
        <v>1</v>
      </c>
    </row>
    <row r="306" spans="1:19" x14ac:dyDescent="0.25">
      <c r="A306">
        <f>+data!AI306</f>
        <v>-0.25480835272226215</v>
      </c>
      <c r="B306">
        <f>+data!AJ306</f>
        <v>0.22792209967722732</v>
      </c>
      <c r="C306">
        <f>+data!W306</f>
        <v>1</v>
      </c>
      <c r="D306">
        <f>+data!AQ306</f>
        <v>1</v>
      </c>
      <c r="E306">
        <f>+data!T306</f>
        <v>0</v>
      </c>
      <c r="F306">
        <f>+data!X306</f>
        <v>1</v>
      </c>
      <c r="G306">
        <f>+data!Y306</f>
        <v>0</v>
      </c>
      <c r="H306">
        <f>+data!U306</f>
        <v>0</v>
      </c>
      <c r="I306">
        <f>+data!V306</f>
        <v>1</v>
      </c>
      <c r="J306">
        <f>+data!AS306</f>
        <v>0</v>
      </c>
      <c r="K306">
        <f>+data!AT306</f>
        <v>0</v>
      </c>
      <c r="L306">
        <f>+data!AO306</f>
        <v>1</v>
      </c>
      <c r="M306">
        <f>+data!AN306</f>
        <v>0</v>
      </c>
      <c r="N306">
        <f>+data!AU306</f>
        <v>0</v>
      </c>
      <c r="O306">
        <f>+data!AV306</f>
        <v>0</v>
      </c>
      <c r="P306">
        <f>+data!AD306</f>
        <v>1</v>
      </c>
      <c r="Q306">
        <f>+data!AF306</f>
        <v>7.5898409999999998</v>
      </c>
      <c r="R306">
        <f>+data!AG306</f>
        <v>3.091043</v>
      </c>
      <c r="S306">
        <f>+data!AE306</f>
        <v>1</v>
      </c>
    </row>
    <row r="307" spans="1:19" x14ac:dyDescent="0.25">
      <c r="A307">
        <f>+data!AI307</f>
        <v>-0.17600562109689241</v>
      </c>
      <c r="B307">
        <f>+data!AJ307</f>
        <v>0.17972404971161549</v>
      </c>
      <c r="C307">
        <f>+data!W307</f>
        <v>1</v>
      </c>
      <c r="D307">
        <f>+data!AQ307</f>
        <v>1</v>
      </c>
      <c r="E307">
        <f>+data!T307</f>
        <v>0</v>
      </c>
      <c r="F307">
        <f>+data!X307</f>
        <v>1</v>
      </c>
      <c r="G307">
        <f>+data!Y307</f>
        <v>0</v>
      </c>
      <c r="H307">
        <f>+data!U307</f>
        <v>0</v>
      </c>
      <c r="I307">
        <f>+data!V307</f>
        <v>1</v>
      </c>
      <c r="J307">
        <f>+data!AS307</f>
        <v>0</v>
      </c>
      <c r="K307">
        <f>+data!AT307</f>
        <v>0</v>
      </c>
      <c r="L307">
        <f>+data!AO307</f>
        <v>1</v>
      </c>
      <c r="M307">
        <f>+data!AN307</f>
        <v>0</v>
      </c>
      <c r="N307">
        <f>+data!AU307</f>
        <v>0</v>
      </c>
      <c r="O307">
        <f>+data!AV307</f>
        <v>0</v>
      </c>
      <c r="P307">
        <f>+data!AD307</f>
        <v>1</v>
      </c>
      <c r="Q307">
        <f>+data!AF307</f>
        <v>7.5898409999999998</v>
      </c>
      <c r="R307">
        <f>+data!AG307</f>
        <v>3.091043</v>
      </c>
      <c r="S307">
        <f>+data!AE307</f>
        <v>1</v>
      </c>
    </row>
    <row r="308" spans="1:19" x14ac:dyDescent="0.25">
      <c r="A308">
        <f>+data!AI308</f>
        <v>0.13045796904827081</v>
      </c>
      <c r="B308">
        <f>+data!AJ308</f>
        <v>0.17807036651114336</v>
      </c>
      <c r="C308">
        <f>+data!W308</f>
        <v>1</v>
      </c>
      <c r="D308">
        <f>+data!AQ308</f>
        <v>1</v>
      </c>
      <c r="E308">
        <f>+data!T308</f>
        <v>0</v>
      </c>
      <c r="F308">
        <f>+data!X308</f>
        <v>1</v>
      </c>
      <c r="G308">
        <f>+data!Y308</f>
        <v>0</v>
      </c>
      <c r="H308">
        <f>+data!U308</f>
        <v>0</v>
      </c>
      <c r="I308">
        <f>+data!V308</f>
        <v>1</v>
      </c>
      <c r="J308">
        <f>+data!AS308</f>
        <v>0</v>
      </c>
      <c r="K308">
        <f>+data!AT308</f>
        <v>0</v>
      </c>
      <c r="L308">
        <f>+data!AO308</f>
        <v>1</v>
      </c>
      <c r="M308">
        <f>+data!AN308</f>
        <v>0</v>
      </c>
      <c r="N308">
        <f>+data!AU308</f>
        <v>0</v>
      </c>
      <c r="O308">
        <f>+data!AV308</f>
        <v>0</v>
      </c>
      <c r="P308">
        <f>+data!AD308</f>
        <v>1</v>
      </c>
      <c r="Q308">
        <f>+data!AF308</f>
        <v>7.5898409999999998</v>
      </c>
      <c r="R308">
        <f>+data!AG308</f>
        <v>3.091043</v>
      </c>
      <c r="S308">
        <f>+data!AE308</f>
        <v>1</v>
      </c>
    </row>
    <row r="309" spans="1:19" x14ac:dyDescent="0.25">
      <c r="A309">
        <f>+data!AI309</f>
        <v>0.14969801635816105</v>
      </c>
      <c r="B309">
        <f>+data!AJ309</f>
        <v>0.12556905977411537</v>
      </c>
      <c r="C309">
        <f>+data!W309</f>
        <v>1</v>
      </c>
      <c r="D309">
        <f>+data!AQ309</f>
        <v>1</v>
      </c>
      <c r="E309">
        <f>+data!T309</f>
        <v>0</v>
      </c>
      <c r="F309">
        <f>+data!X309</f>
        <v>1</v>
      </c>
      <c r="G309">
        <f>+data!Y309</f>
        <v>0</v>
      </c>
      <c r="H309">
        <f>+data!U309</f>
        <v>0</v>
      </c>
      <c r="I309">
        <f>+data!V309</f>
        <v>1</v>
      </c>
      <c r="J309">
        <f>+data!AS309</f>
        <v>0</v>
      </c>
      <c r="K309">
        <f>+data!AT309</f>
        <v>0</v>
      </c>
      <c r="L309">
        <f>+data!AO309</f>
        <v>1</v>
      </c>
      <c r="M309">
        <f>+data!AN309</f>
        <v>0</v>
      </c>
      <c r="N309">
        <f>+data!AU309</f>
        <v>0</v>
      </c>
      <c r="O309">
        <f>+data!AV309</f>
        <v>0</v>
      </c>
      <c r="P309">
        <f>+data!AD309</f>
        <v>1</v>
      </c>
      <c r="Q309">
        <f>+data!AF309</f>
        <v>7.5898409999999998</v>
      </c>
      <c r="R309">
        <f>+data!AG309</f>
        <v>3.091043</v>
      </c>
      <c r="S309">
        <f>+data!AE309</f>
        <v>1</v>
      </c>
    </row>
    <row r="310" spans="1:19" x14ac:dyDescent="0.25">
      <c r="A310">
        <f>+data!AI310</f>
        <v>-2.0572826446882051E-2</v>
      </c>
      <c r="B310">
        <f>+data!AJ310</f>
        <v>0.23565237566428532</v>
      </c>
      <c r="C310">
        <f>+data!W310</f>
        <v>1</v>
      </c>
      <c r="D310">
        <f>+data!AQ310</f>
        <v>1</v>
      </c>
      <c r="E310">
        <f>+data!T310</f>
        <v>0</v>
      </c>
      <c r="F310">
        <f>+data!X310</f>
        <v>1</v>
      </c>
      <c r="G310">
        <f>+data!Y310</f>
        <v>0</v>
      </c>
      <c r="H310">
        <f>+data!U310</f>
        <v>0</v>
      </c>
      <c r="I310">
        <f>+data!V310</f>
        <v>1</v>
      </c>
      <c r="J310">
        <f>+data!AS310</f>
        <v>0</v>
      </c>
      <c r="K310">
        <f>+data!AT310</f>
        <v>0</v>
      </c>
      <c r="L310">
        <f>+data!AO310</f>
        <v>1</v>
      </c>
      <c r="M310">
        <f>+data!AN310</f>
        <v>0</v>
      </c>
      <c r="N310">
        <f>+data!AU310</f>
        <v>1</v>
      </c>
      <c r="O310">
        <f>+data!AV310</f>
        <v>0</v>
      </c>
      <c r="P310">
        <f>+data!AD310</f>
        <v>1</v>
      </c>
      <c r="Q310">
        <f>+data!AF310</f>
        <v>7.5898409999999998</v>
      </c>
      <c r="R310">
        <f>+data!AG310</f>
        <v>3.091043</v>
      </c>
      <c r="S310">
        <f>+data!AE310</f>
        <v>1</v>
      </c>
    </row>
    <row r="311" spans="1:19" x14ac:dyDescent="0.25">
      <c r="A311">
        <f>+data!AI311</f>
        <v>-3.5893090131086533E-2</v>
      </c>
      <c r="B311">
        <f>+data!AJ311</f>
        <v>0.18245654149968987</v>
      </c>
      <c r="C311">
        <f>+data!W311</f>
        <v>1</v>
      </c>
      <c r="D311">
        <f>+data!AQ311</f>
        <v>1</v>
      </c>
      <c r="E311">
        <f>+data!T311</f>
        <v>0</v>
      </c>
      <c r="F311">
        <f>+data!X311</f>
        <v>1</v>
      </c>
      <c r="G311">
        <f>+data!Y311</f>
        <v>0</v>
      </c>
      <c r="H311">
        <f>+data!U311</f>
        <v>0</v>
      </c>
      <c r="I311">
        <f>+data!V311</f>
        <v>1</v>
      </c>
      <c r="J311">
        <f>+data!AS311</f>
        <v>0</v>
      </c>
      <c r="K311">
        <f>+data!AT311</f>
        <v>0</v>
      </c>
      <c r="L311">
        <f>+data!AO311</f>
        <v>1</v>
      </c>
      <c r="M311">
        <f>+data!AN311</f>
        <v>0</v>
      </c>
      <c r="N311">
        <f>+data!AU311</f>
        <v>1</v>
      </c>
      <c r="O311">
        <f>+data!AV311</f>
        <v>0</v>
      </c>
      <c r="P311">
        <f>+data!AD311</f>
        <v>1</v>
      </c>
      <c r="Q311">
        <f>+data!AF311</f>
        <v>7.5898409999999998</v>
      </c>
      <c r="R311">
        <f>+data!AG311</f>
        <v>3.091043</v>
      </c>
      <c r="S311">
        <f>+data!AE311</f>
        <v>1</v>
      </c>
    </row>
    <row r="312" spans="1:19" x14ac:dyDescent="0.25">
      <c r="A312">
        <f>+data!AI312</f>
        <v>-0.26215354513100653</v>
      </c>
      <c r="B312">
        <f>+data!AJ312</f>
        <v>0.13513069336649869</v>
      </c>
      <c r="C312">
        <f>+data!W312</f>
        <v>1</v>
      </c>
      <c r="D312">
        <f>+data!AQ312</f>
        <v>1</v>
      </c>
      <c r="E312">
        <f>+data!T312</f>
        <v>0</v>
      </c>
      <c r="F312">
        <f>+data!X312</f>
        <v>1</v>
      </c>
      <c r="G312">
        <f>+data!Y312</f>
        <v>0</v>
      </c>
      <c r="H312">
        <f>+data!U312</f>
        <v>0</v>
      </c>
      <c r="I312">
        <f>+data!V312</f>
        <v>1</v>
      </c>
      <c r="J312">
        <f>+data!AS312</f>
        <v>1</v>
      </c>
      <c r="K312">
        <f>+data!AT312</f>
        <v>0</v>
      </c>
      <c r="L312">
        <f>+data!AO312</f>
        <v>1</v>
      </c>
      <c r="M312">
        <f>+data!AN312</f>
        <v>0</v>
      </c>
      <c r="N312">
        <f>+data!AU312</f>
        <v>0</v>
      </c>
      <c r="O312">
        <f>+data!AV312</f>
        <v>1</v>
      </c>
      <c r="P312">
        <f>+data!AD312</f>
        <v>1</v>
      </c>
      <c r="Q312">
        <f>+data!AF312</f>
        <v>7.5888299999999997</v>
      </c>
      <c r="R312">
        <f>+data!AG312</f>
        <v>2.197225</v>
      </c>
      <c r="S312">
        <f>+data!AE312</f>
        <v>0</v>
      </c>
    </row>
    <row r="313" spans="1:19" x14ac:dyDescent="0.25">
      <c r="A313">
        <f>+data!AI313</f>
        <v>-0.25054650859516486</v>
      </c>
      <c r="B313">
        <f>+data!AJ313</f>
        <v>0.13691066043451644</v>
      </c>
      <c r="C313">
        <f>+data!W313</f>
        <v>1</v>
      </c>
      <c r="D313">
        <f>+data!AQ313</f>
        <v>1</v>
      </c>
      <c r="E313">
        <f>+data!T313</f>
        <v>0</v>
      </c>
      <c r="F313">
        <f>+data!X313</f>
        <v>1</v>
      </c>
      <c r="G313">
        <f>+data!Y313</f>
        <v>0</v>
      </c>
      <c r="H313">
        <f>+data!U313</f>
        <v>0</v>
      </c>
      <c r="I313">
        <f>+data!V313</f>
        <v>1</v>
      </c>
      <c r="J313">
        <f>+data!AS313</f>
        <v>1</v>
      </c>
      <c r="K313">
        <f>+data!AT313</f>
        <v>0</v>
      </c>
      <c r="L313">
        <f>+data!AO313</f>
        <v>1</v>
      </c>
      <c r="M313">
        <f>+data!AN313</f>
        <v>0</v>
      </c>
      <c r="N313">
        <f>+data!AU313</f>
        <v>0</v>
      </c>
      <c r="O313">
        <f>+data!AV313</f>
        <v>1</v>
      </c>
      <c r="P313">
        <f>+data!AD313</f>
        <v>1</v>
      </c>
      <c r="Q313">
        <f>+data!AF313</f>
        <v>7.5888299999999997</v>
      </c>
      <c r="R313">
        <f>+data!AG313</f>
        <v>2.197225</v>
      </c>
      <c r="S313">
        <f>+data!AE313</f>
        <v>0</v>
      </c>
    </row>
    <row r="314" spans="1:19" x14ac:dyDescent="0.25">
      <c r="A314">
        <f>+data!AI314</f>
        <v>-0.26195063167457311</v>
      </c>
      <c r="B314">
        <f>+data!AJ314</f>
        <v>0.1378687535129336</v>
      </c>
      <c r="C314">
        <f>+data!W314</f>
        <v>1</v>
      </c>
      <c r="D314">
        <f>+data!AQ314</f>
        <v>1</v>
      </c>
      <c r="E314">
        <f>+data!T314</f>
        <v>0</v>
      </c>
      <c r="F314">
        <f>+data!X314</f>
        <v>1</v>
      </c>
      <c r="G314">
        <f>+data!Y314</f>
        <v>0</v>
      </c>
      <c r="H314">
        <f>+data!U314</f>
        <v>0</v>
      </c>
      <c r="I314">
        <f>+data!V314</f>
        <v>1</v>
      </c>
      <c r="J314">
        <f>+data!AS314</f>
        <v>1</v>
      </c>
      <c r="K314">
        <f>+data!AT314</f>
        <v>0</v>
      </c>
      <c r="L314">
        <f>+data!AO314</f>
        <v>1</v>
      </c>
      <c r="M314">
        <f>+data!AN314</f>
        <v>0</v>
      </c>
      <c r="N314">
        <f>+data!AU314</f>
        <v>0</v>
      </c>
      <c r="O314">
        <f>+data!AV314</f>
        <v>1</v>
      </c>
      <c r="P314">
        <f>+data!AD314</f>
        <v>1</v>
      </c>
      <c r="Q314">
        <f>+data!AF314</f>
        <v>7.5888299999999997</v>
      </c>
      <c r="R314">
        <f>+data!AG314</f>
        <v>2.197225</v>
      </c>
      <c r="S314">
        <f>+data!AE314</f>
        <v>0</v>
      </c>
    </row>
    <row r="315" spans="1:19" x14ac:dyDescent="0.25">
      <c r="A315">
        <f>+data!AI315</f>
        <v>-0.39288404873064608</v>
      </c>
      <c r="B315">
        <f>+data!AJ315</f>
        <v>0.13273109754413678</v>
      </c>
      <c r="C315">
        <f>+data!W315</f>
        <v>1</v>
      </c>
      <c r="D315">
        <f>+data!AQ315</f>
        <v>1</v>
      </c>
      <c r="E315">
        <f>+data!T315</f>
        <v>0</v>
      </c>
      <c r="F315">
        <f>+data!X315</f>
        <v>1</v>
      </c>
      <c r="G315">
        <f>+data!Y315</f>
        <v>0</v>
      </c>
      <c r="H315">
        <f>+data!U315</f>
        <v>0</v>
      </c>
      <c r="I315">
        <f>+data!V315</f>
        <v>1</v>
      </c>
      <c r="J315">
        <f>+data!AS315</f>
        <v>1</v>
      </c>
      <c r="K315">
        <f>+data!AT315</f>
        <v>0</v>
      </c>
      <c r="L315">
        <f>+data!AO315</f>
        <v>1</v>
      </c>
      <c r="M315">
        <f>+data!AN315</f>
        <v>0</v>
      </c>
      <c r="N315">
        <f>+data!AU315</f>
        <v>0</v>
      </c>
      <c r="O315">
        <f>+data!AV315</f>
        <v>1</v>
      </c>
      <c r="P315">
        <f>+data!AD315</f>
        <v>1</v>
      </c>
      <c r="Q315">
        <f>+data!AF315</f>
        <v>7.5888299999999997</v>
      </c>
      <c r="R315">
        <f>+data!AG315</f>
        <v>2.197225</v>
      </c>
      <c r="S315">
        <f>+data!AE315</f>
        <v>0</v>
      </c>
    </row>
    <row r="316" spans="1:19" x14ac:dyDescent="0.25">
      <c r="A316">
        <f>+data!AI316</f>
        <v>-0.41860510460680594</v>
      </c>
      <c r="B316">
        <f>+data!AJ316</f>
        <v>0.13246996981228043</v>
      </c>
      <c r="C316">
        <f>+data!W316</f>
        <v>1</v>
      </c>
      <c r="D316">
        <f>+data!AQ316</f>
        <v>1</v>
      </c>
      <c r="E316">
        <f>+data!T316</f>
        <v>0</v>
      </c>
      <c r="F316">
        <f>+data!X316</f>
        <v>1</v>
      </c>
      <c r="G316">
        <f>+data!Y316</f>
        <v>0</v>
      </c>
      <c r="H316">
        <f>+data!U316</f>
        <v>0</v>
      </c>
      <c r="I316">
        <f>+data!V316</f>
        <v>1</v>
      </c>
      <c r="J316">
        <f>+data!AS316</f>
        <v>1</v>
      </c>
      <c r="K316">
        <f>+data!AT316</f>
        <v>0</v>
      </c>
      <c r="L316">
        <f>+data!AO316</f>
        <v>1</v>
      </c>
      <c r="M316">
        <f>+data!AN316</f>
        <v>0</v>
      </c>
      <c r="N316">
        <f>+data!AU316</f>
        <v>0</v>
      </c>
      <c r="O316">
        <f>+data!AV316</f>
        <v>1</v>
      </c>
      <c r="P316">
        <f>+data!AD316</f>
        <v>1</v>
      </c>
      <c r="Q316">
        <f>+data!AF316</f>
        <v>7.5888299999999997</v>
      </c>
      <c r="R316">
        <f>+data!AG316</f>
        <v>2.197225</v>
      </c>
      <c r="S316">
        <f>+data!AE316</f>
        <v>0</v>
      </c>
    </row>
    <row r="317" spans="1:19" x14ac:dyDescent="0.25">
      <c r="A317">
        <f>+data!AI317</f>
        <v>-0.46883903496356061</v>
      </c>
      <c r="B317">
        <f>+data!AJ317</f>
        <v>0.13023306526765582</v>
      </c>
      <c r="C317">
        <f>+data!W317</f>
        <v>1</v>
      </c>
      <c r="D317">
        <f>+data!AQ317</f>
        <v>1</v>
      </c>
      <c r="E317">
        <f>+data!T317</f>
        <v>0</v>
      </c>
      <c r="F317">
        <f>+data!X317</f>
        <v>1</v>
      </c>
      <c r="G317">
        <f>+data!Y317</f>
        <v>0</v>
      </c>
      <c r="H317">
        <f>+data!U317</f>
        <v>0</v>
      </c>
      <c r="I317">
        <f>+data!V317</f>
        <v>1</v>
      </c>
      <c r="J317">
        <f>+data!AS317</f>
        <v>1</v>
      </c>
      <c r="K317">
        <f>+data!AT317</f>
        <v>0</v>
      </c>
      <c r="L317">
        <f>+data!AO317</f>
        <v>1</v>
      </c>
      <c r="M317">
        <f>+data!AN317</f>
        <v>0</v>
      </c>
      <c r="N317">
        <f>+data!AU317</f>
        <v>0</v>
      </c>
      <c r="O317">
        <f>+data!AV317</f>
        <v>1</v>
      </c>
      <c r="P317">
        <f>+data!AD317</f>
        <v>1</v>
      </c>
      <c r="Q317">
        <f>+data!AF317</f>
        <v>7.5888299999999997</v>
      </c>
      <c r="R317">
        <f>+data!AG317</f>
        <v>2.197225</v>
      </c>
      <c r="S317">
        <f>+data!AE317</f>
        <v>0</v>
      </c>
    </row>
    <row r="318" spans="1:19" x14ac:dyDescent="0.25">
      <c r="A318">
        <f>+data!AI318</f>
        <v>-0.36761488713972212</v>
      </c>
      <c r="B318">
        <f>+data!AJ318</f>
        <v>0.13565124986705676</v>
      </c>
      <c r="C318">
        <f>+data!W318</f>
        <v>1</v>
      </c>
      <c r="D318">
        <f>+data!AQ318</f>
        <v>1</v>
      </c>
      <c r="E318">
        <f>+data!T318</f>
        <v>0</v>
      </c>
      <c r="F318">
        <f>+data!X318</f>
        <v>1</v>
      </c>
      <c r="G318">
        <f>+data!Y318</f>
        <v>0</v>
      </c>
      <c r="H318">
        <f>+data!U318</f>
        <v>0</v>
      </c>
      <c r="I318">
        <f>+data!V318</f>
        <v>1</v>
      </c>
      <c r="J318">
        <f>+data!AS318</f>
        <v>1</v>
      </c>
      <c r="K318">
        <f>+data!AT318</f>
        <v>0</v>
      </c>
      <c r="L318">
        <f>+data!AO318</f>
        <v>1</v>
      </c>
      <c r="M318">
        <f>+data!AN318</f>
        <v>0</v>
      </c>
      <c r="N318">
        <f>+data!AU318</f>
        <v>0</v>
      </c>
      <c r="O318">
        <f>+data!AV318</f>
        <v>1</v>
      </c>
      <c r="P318">
        <f>+data!AD318</f>
        <v>1</v>
      </c>
      <c r="Q318">
        <f>+data!AF318</f>
        <v>7.5888299999999997</v>
      </c>
      <c r="R318">
        <f>+data!AG318</f>
        <v>2.197225</v>
      </c>
      <c r="S318">
        <f>+data!AE318</f>
        <v>0</v>
      </c>
    </row>
    <row r="319" spans="1:19" x14ac:dyDescent="0.25">
      <c r="A319">
        <f>+data!AI319</f>
        <v>-0.23543865925481763</v>
      </c>
      <c r="B319">
        <f>+data!AJ319</f>
        <v>0.13609171055191766</v>
      </c>
      <c r="C319">
        <f>+data!W319</f>
        <v>1</v>
      </c>
      <c r="D319">
        <f>+data!AQ319</f>
        <v>1</v>
      </c>
      <c r="E319">
        <f>+data!T319</f>
        <v>0</v>
      </c>
      <c r="F319">
        <f>+data!X319</f>
        <v>1</v>
      </c>
      <c r="G319">
        <f>+data!Y319</f>
        <v>0</v>
      </c>
      <c r="H319">
        <f>+data!U319</f>
        <v>0</v>
      </c>
      <c r="I319">
        <f>+data!V319</f>
        <v>1</v>
      </c>
      <c r="J319">
        <f>+data!AS319</f>
        <v>0</v>
      </c>
      <c r="K319">
        <f>+data!AT319</f>
        <v>1</v>
      </c>
      <c r="L319">
        <f>+data!AO319</f>
        <v>1</v>
      </c>
      <c r="M319">
        <f>+data!AN319</f>
        <v>0</v>
      </c>
      <c r="N319">
        <f>+data!AU319</f>
        <v>0</v>
      </c>
      <c r="O319">
        <f>+data!AV319</f>
        <v>1</v>
      </c>
      <c r="P319">
        <f>+data!AD319</f>
        <v>1</v>
      </c>
      <c r="Q319">
        <f>+data!AF319</f>
        <v>7.5888299999999997</v>
      </c>
      <c r="R319">
        <f>+data!AG319</f>
        <v>2.197225</v>
      </c>
      <c r="S319">
        <f>+data!AE319</f>
        <v>0</v>
      </c>
    </row>
    <row r="320" spans="1:19" x14ac:dyDescent="0.25">
      <c r="A320">
        <f>+data!AI320</f>
        <v>-0.21015976176815299</v>
      </c>
      <c r="B320">
        <f>+data!AJ320</f>
        <v>0.13826300116325793</v>
      </c>
      <c r="C320">
        <f>+data!W320</f>
        <v>1</v>
      </c>
      <c r="D320">
        <f>+data!AQ320</f>
        <v>1</v>
      </c>
      <c r="E320">
        <f>+data!T320</f>
        <v>0</v>
      </c>
      <c r="F320">
        <f>+data!X320</f>
        <v>1</v>
      </c>
      <c r="G320">
        <f>+data!Y320</f>
        <v>0</v>
      </c>
      <c r="H320">
        <f>+data!U320</f>
        <v>0</v>
      </c>
      <c r="I320">
        <f>+data!V320</f>
        <v>1</v>
      </c>
      <c r="J320">
        <f>+data!AS320</f>
        <v>0</v>
      </c>
      <c r="K320">
        <f>+data!AT320</f>
        <v>1</v>
      </c>
      <c r="L320">
        <f>+data!AO320</f>
        <v>1</v>
      </c>
      <c r="M320">
        <f>+data!AN320</f>
        <v>0</v>
      </c>
      <c r="N320">
        <f>+data!AU320</f>
        <v>0</v>
      </c>
      <c r="O320">
        <f>+data!AV320</f>
        <v>1</v>
      </c>
      <c r="P320">
        <f>+data!AD320</f>
        <v>1</v>
      </c>
      <c r="Q320">
        <f>+data!AF320</f>
        <v>7.5888299999999997</v>
      </c>
      <c r="R320">
        <f>+data!AG320</f>
        <v>2.197225</v>
      </c>
      <c r="S320">
        <f>+data!AE320</f>
        <v>0</v>
      </c>
    </row>
    <row r="321" spans="1:19" x14ac:dyDescent="0.25">
      <c r="A321">
        <f>+data!AI321</f>
        <v>-0.21353038939933139</v>
      </c>
      <c r="B321">
        <f>+data!AJ321</f>
        <v>0.13956234601263481</v>
      </c>
      <c r="C321">
        <f>+data!W321</f>
        <v>1</v>
      </c>
      <c r="D321">
        <f>+data!AQ321</f>
        <v>1</v>
      </c>
      <c r="E321">
        <f>+data!T321</f>
        <v>0</v>
      </c>
      <c r="F321">
        <f>+data!X321</f>
        <v>1</v>
      </c>
      <c r="G321">
        <f>+data!Y321</f>
        <v>0</v>
      </c>
      <c r="H321">
        <f>+data!U321</f>
        <v>0</v>
      </c>
      <c r="I321">
        <f>+data!V321</f>
        <v>1</v>
      </c>
      <c r="J321">
        <f>+data!AS321</f>
        <v>0</v>
      </c>
      <c r="K321">
        <f>+data!AT321</f>
        <v>1</v>
      </c>
      <c r="L321">
        <f>+data!AO321</f>
        <v>1</v>
      </c>
      <c r="M321">
        <f>+data!AN321</f>
        <v>0</v>
      </c>
      <c r="N321">
        <f>+data!AU321</f>
        <v>0</v>
      </c>
      <c r="O321">
        <f>+data!AV321</f>
        <v>1</v>
      </c>
      <c r="P321">
        <f>+data!AD321</f>
        <v>1</v>
      </c>
      <c r="Q321">
        <f>+data!AF321</f>
        <v>7.5888299999999997</v>
      </c>
      <c r="R321">
        <f>+data!AG321</f>
        <v>2.197225</v>
      </c>
      <c r="S321">
        <f>+data!AE321</f>
        <v>0</v>
      </c>
    </row>
    <row r="322" spans="1:19" x14ac:dyDescent="0.25">
      <c r="A322">
        <f>+data!AI322</f>
        <v>-0.34182133691609023</v>
      </c>
      <c r="B322">
        <f>+data!AJ322</f>
        <v>0.13564338766511505</v>
      </c>
      <c r="C322">
        <f>+data!W322</f>
        <v>1</v>
      </c>
      <c r="D322">
        <f>+data!AQ322</f>
        <v>1</v>
      </c>
      <c r="E322">
        <f>+data!T322</f>
        <v>0</v>
      </c>
      <c r="F322">
        <f>+data!X322</f>
        <v>1</v>
      </c>
      <c r="G322">
        <f>+data!Y322</f>
        <v>0</v>
      </c>
      <c r="H322">
        <f>+data!U322</f>
        <v>0</v>
      </c>
      <c r="I322">
        <f>+data!V322</f>
        <v>1</v>
      </c>
      <c r="J322">
        <f>+data!AS322</f>
        <v>0</v>
      </c>
      <c r="K322">
        <f>+data!AT322</f>
        <v>1</v>
      </c>
      <c r="L322">
        <f>+data!AO322</f>
        <v>1</v>
      </c>
      <c r="M322">
        <f>+data!AN322</f>
        <v>0</v>
      </c>
      <c r="N322">
        <f>+data!AU322</f>
        <v>0</v>
      </c>
      <c r="O322">
        <f>+data!AV322</f>
        <v>1</v>
      </c>
      <c r="P322">
        <f>+data!AD322</f>
        <v>1</v>
      </c>
      <c r="Q322">
        <f>+data!AF322</f>
        <v>7.5888299999999997</v>
      </c>
      <c r="R322">
        <f>+data!AG322</f>
        <v>2.197225</v>
      </c>
      <c r="S322">
        <f>+data!AE322</f>
        <v>0</v>
      </c>
    </row>
    <row r="323" spans="1:19" x14ac:dyDescent="0.25">
      <c r="A323">
        <f>+data!AI323</f>
        <v>-0.36172703051773708</v>
      </c>
      <c r="B323">
        <f>+data!AJ323</f>
        <v>0.1359876054577957</v>
      </c>
      <c r="C323">
        <f>+data!W323</f>
        <v>1</v>
      </c>
      <c r="D323">
        <f>+data!AQ323</f>
        <v>1</v>
      </c>
      <c r="E323">
        <f>+data!T323</f>
        <v>0</v>
      </c>
      <c r="F323">
        <f>+data!X323</f>
        <v>1</v>
      </c>
      <c r="G323">
        <f>+data!Y323</f>
        <v>0</v>
      </c>
      <c r="H323">
        <f>+data!U323</f>
        <v>0</v>
      </c>
      <c r="I323">
        <f>+data!V323</f>
        <v>1</v>
      </c>
      <c r="J323">
        <f>+data!AS323</f>
        <v>0</v>
      </c>
      <c r="K323">
        <f>+data!AT323</f>
        <v>1</v>
      </c>
      <c r="L323">
        <f>+data!AO323</f>
        <v>1</v>
      </c>
      <c r="M323">
        <f>+data!AN323</f>
        <v>0</v>
      </c>
      <c r="N323">
        <f>+data!AU323</f>
        <v>0</v>
      </c>
      <c r="O323">
        <f>+data!AV323</f>
        <v>1</v>
      </c>
      <c r="P323">
        <f>+data!AD323</f>
        <v>1</v>
      </c>
      <c r="Q323">
        <f>+data!AF323</f>
        <v>7.5888299999999997</v>
      </c>
      <c r="R323">
        <f>+data!AG323</f>
        <v>2.197225</v>
      </c>
      <c r="S323">
        <f>+data!AE323</f>
        <v>0</v>
      </c>
    </row>
    <row r="324" spans="1:19" x14ac:dyDescent="0.25">
      <c r="A324">
        <f>+data!AI324</f>
        <v>-0.39885811144124272</v>
      </c>
      <c r="B324">
        <f>+data!AJ324</f>
        <v>0.13520613947160745</v>
      </c>
      <c r="C324">
        <f>+data!W324</f>
        <v>1</v>
      </c>
      <c r="D324">
        <f>+data!AQ324</f>
        <v>1</v>
      </c>
      <c r="E324">
        <f>+data!T324</f>
        <v>0</v>
      </c>
      <c r="F324">
        <f>+data!X324</f>
        <v>1</v>
      </c>
      <c r="G324">
        <f>+data!Y324</f>
        <v>0</v>
      </c>
      <c r="H324">
        <f>+data!U324</f>
        <v>0</v>
      </c>
      <c r="I324">
        <f>+data!V324</f>
        <v>1</v>
      </c>
      <c r="J324">
        <f>+data!AS324</f>
        <v>0</v>
      </c>
      <c r="K324">
        <f>+data!AT324</f>
        <v>1</v>
      </c>
      <c r="L324">
        <f>+data!AO324</f>
        <v>1</v>
      </c>
      <c r="M324">
        <f>+data!AN324</f>
        <v>0</v>
      </c>
      <c r="N324">
        <f>+data!AU324</f>
        <v>0</v>
      </c>
      <c r="O324">
        <f>+data!AV324</f>
        <v>1</v>
      </c>
      <c r="P324">
        <f>+data!AD324</f>
        <v>1</v>
      </c>
      <c r="Q324">
        <f>+data!AF324</f>
        <v>7.5888299999999997</v>
      </c>
      <c r="R324">
        <f>+data!AG324</f>
        <v>2.197225</v>
      </c>
      <c r="S324">
        <f>+data!AE324</f>
        <v>0</v>
      </c>
    </row>
    <row r="325" spans="1:19" x14ac:dyDescent="0.25">
      <c r="A325">
        <f>+data!AI325</f>
        <v>-0.38501421047607903</v>
      </c>
      <c r="B325">
        <f>+data!AJ325</f>
        <v>0.13462035331331493</v>
      </c>
      <c r="C325">
        <f>+data!W325</f>
        <v>1</v>
      </c>
      <c r="D325">
        <f>+data!AQ325</f>
        <v>1</v>
      </c>
      <c r="E325">
        <f>+data!T325</f>
        <v>0</v>
      </c>
      <c r="F325">
        <f>+data!X325</f>
        <v>1</v>
      </c>
      <c r="G325">
        <f>+data!Y325</f>
        <v>0</v>
      </c>
      <c r="H325">
        <f>+data!U325</f>
        <v>0</v>
      </c>
      <c r="I325">
        <f>+data!V325</f>
        <v>1</v>
      </c>
      <c r="J325">
        <f>+data!AS325</f>
        <v>0</v>
      </c>
      <c r="K325">
        <f>+data!AT325</f>
        <v>1</v>
      </c>
      <c r="L325">
        <f>+data!AO325</f>
        <v>1</v>
      </c>
      <c r="M325">
        <f>+data!AN325</f>
        <v>0</v>
      </c>
      <c r="N325">
        <f>+data!AU325</f>
        <v>0</v>
      </c>
      <c r="O325">
        <f>+data!AV325</f>
        <v>1</v>
      </c>
      <c r="P325">
        <f>+data!AD325</f>
        <v>1</v>
      </c>
      <c r="Q325">
        <f>+data!AF325</f>
        <v>7.5888299999999997</v>
      </c>
      <c r="R325">
        <f>+data!AG325</f>
        <v>2.197225</v>
      </c>
      <c r="S325">
        <f>+data!AE325</f>
        <v>0</v>
      </c>
    </row>
    <row r="326" spans="1:19" x14ac:dyDescent="0.25">
      <c r="A326">
        <f>+data!AI326</f>
        <v>-0.38844612340599999</v>
      </c>
      <c r="B326">
        <f>+data!AJ326</f>
        <v>0.13441042332387471</v>
      </c>
      <c r="C326">
        <f>+data!W326</f>
        <v>1</v>
      </c>
      <c r="D326">
        <f>+data!AQ326</f>
        <v>1</v>
      </c>
      <c r="E326">
        <f>+data!T326</f>
        <v>0</v>
      </c>
      <c r="F326">
        <f>+data!X326</f>
        <v>1</v>
      </c>
      <c r="G326">
        <f>+data!Y326</f>
        <v>0</v>
      </c>
      <c r="H326">
        <f>+data!U326</f>
        <v>0</v>
      </c>
      <c r="I326">
        <f>+data!V326</f>
        <v>1</v>
      </c>
      <c r="J326">
        <f>+data!AS326</f>
        <v>0</v>
      </c>
      <c r="K326">
        <f>+data!AT326</f>
        <v>0</v>
      </c>
      <c r="L326">
        <f>+data!AO326</f>
        <v>1</v>
      </c>
      <c r="M326">
        <f>+data!AN326</f>
        <v>0</v>
      </c>
      <c r="N326">
        <f>+data!AU326</f>
        <v>0</v>
      </c>
      <c r="O326">
        <f>+data!AV326</f>
        <v>1</v>
      </c>
      <c r="P326">
        <f>+data!AD326</f>
        <v>1</v>
      </c>
      <c r="Q326">
        <f>+data!AF326</f>
        <v>7.5888299999999997</v>
      </c>
      <c r="R326">
        <f>+data!AG326</f>
        <v>2.197225</v>
      </c>
      <c r="S326">
        <f>+data!AE326</f>
        <v>0</v>
      </c>
    </row>
    <row r="327" spans="1:19" x14ac:dyDescent="0.25">
      <c r="A327">
        <f>+data!AI327</f>
        <v>3.5333262666878668E-2</v>
      </c>
      <c r="B327">
        <f>+data!AJ327</f>
        <v>0.14133305066751467</v>
      </c>
      <c r="C327">
        <f>+data!W327</f>
        <v>1</v>
      </c>
      <c r="D327">
        <f>+data!AQ327</f>
        <v>1</v>
      </c>
      <c r="E327">
        <f>+data!T327</f>
        <v>0</v>
      </c>
      <c r="F327">
        <f>+data!X327</f>
        <v>1</v>
      </c>
      <c r="G327">
        <f>+data!Y327</f>
        <v>0</v>
      </c>
      <c r="H327">
        <f>+data!U327</f>
        <v>0</v>
      </c>
      <c r="I327">
        <f>+data!V327</f>
        <v>1</v>
      </c>
      <c r="J327">
        <f>+data!AS327</f>
        <v>1</v>
      </c>
      <c r="K327">
        <f>+data!AT327</f>
        <v>0</v>
      </c>
      <c r="L327">
        <f>+data!AO327</f>
        <v>1</v>
      </c>
      <c r="M327">
        <f>+data!AN327</f>
        <v>0</v>
      </c>
      <c r="N327">
        <f>+data!AU327</f>
        <v>1</v>
      </c>
      <c r="O327">
        <f>+data!AV327</f>
        <v>0</v>
      </c>
      <c r="P327">
        <f>+data!AD327</f>
        <v>1</v>
      </c>
      <c r="Q327">
        <f>+data!AF327</f>
        <v>7.5888299999999997</v>
      </c>
      <c r="R327">
        <f>+data!AG327</f>
        <v>2.197225</v>
      </c>
      <c r="S327">
        <f>+data!AE327</f>
        <v>0</v>
      </c>
    </row>
    <row r="328" spans="1:19" x14ac:dyDescent="0.25">
      <c r="A328">
        <f>+data!AI328</f>
        <v>1.8568226775717678E-2</v>
      </c>
      <c r="B328">
        <f>+data!AJ328</f>
        <v>0.14283251365936669</v>
      </c>
      <c r="C328">
        <f>+data!W328</f>
        <v>1</v>
      </c>
      <c r="D328">
        <f>+data!AQ328</f>
        <v>1</v>
      </c>
      <c r="E328">
        <f>+data!T328</f>
        <v>0</v>
      </c>
      <c r="F328">
        <f>+data!X328</f>
        <v>1</v>
      </c>
      <c r="G328">
        <f>+data!Y328</f>
        <v>0</v>
      </c>
      <c r="H328">
        <f>+data!U328</f>
        <v>0</v>
      </c>
      <c r="I328">
        <f>+data!V328</f>
        <v>1</v>
      </c>
      <c r="J328">
        <f>+data!AS328</f>
        <v>1</v>
      </c>
      <c r="K328">
        <f>+data!AT328</f>
        <v>0</v>
      </c>
      <c r="L328">
        <f>+data!AO328</f>
        <v>1</v>
      </c>
      <c r="M328">
        <f>+data!AN328</f>
        <v>0</v>
      </c>
      <c r="N328">
        <f>+data!AU328</f>
        <v>1</v>
      </c>
      <c r="O328">
        <f>+data!AV328</f>
        <v>0</v>
      </c>
      <c r="P328">
        <f>+data!AD328</f>
        <v>1</v>
      </c>
      <c r="Q328">
        <f>+data!AF328</f>
        <v>7.5888299999999997</v>
      </c>
      <c r="R328">
        <f>+data!AG328</f>
        <v>2.197225</v>
      </c>
      <c r="S328">
        <f>+data!AE328</f>
        <v>0</v>
      </c>
    </row>
    <row r="329" spans="1:19" x14ac:dyDescent="0.25">
      <c r="A329">
        <f>+data!AI329</f>
        <v>-7.4845017590745647E-2</v>
      </c>
      <c r="B329">
        <f>+data!AJ329</f>
        <v>0.14393272613604946</v>
      </c>
      <c r="C329">
        <f>+data!W329</f>
        <v>1</v>
      </c>
      <c r="D329">
        <f>+data!AQ329</f>
        <v>1</v>
      </c>
      <c r="E329">
        <f>+data!T329</f>
        <v>0</v>
      </c>
      <c r="F329">
        <f>+data!X329</f>
        <v>1</v>
      </c>
      <c r="G329">
        <f>+data!Y329</f>
        <v>0</v>
      </c>
      <c r="H329">
        <f>+data!U329</f>
        <v>0</v>
      </c>
      <c r="I329">
        <f>+data!V329</f>
        <v>1</v>
      </c>
      <c r="J329">
        <f>+data!AS329</f>
        <v>1</v>
      </c>
      <c r="K329">
        <f>+data!AT329</f>
        <v>0</v>
      </c>
      <c r="L329">
        <f>+data!AO329</f>
        <v>1</v>
      </c>
      <c r="M329">
        <f>+data!AN329</f>
        <v>0</v>
      </c>
      <c r="N329">
        <f>+data!AU329</f>
        <v>1</v>
      </c>
      <c r="O329">
        <f>+data!AV329</f>
        <v>0</v>
      </c>
      <c r="P329">
        <f>+data!AD329</f>
        <v>1</v>
      </c>
      <c r="Q329">
        <f>+data!AF329</f>
        <v>7.5888299999999997</v>
      </c>
      <c r="R329">
        <f>+data!AG329</f>
        <v>2.197225</v>
      </c>
      <c r="S329">
        <f>+data!AE329</f>
        <v>0</v>
      </c>
    </row>
    <row r="330" spans="1:19" x14ac:dyDescent="0.25">
      <c r="A330">
        <f>+data!AI330</f>
        <v>-0.10731672715211696</v>
      </c>
      <c r="B330">
        <f>+data!AJ330</f>
        <v>0.14502260425961763</v>
      </c>
      <c r="C330">
        <f>+data!W330</f>
        <v>1</v>
      </c>
      <c r="D330">
        <f>+data!AQ330</f>
        <v>1</v>
      </c>
      <c r="E330">
        <f>+data!T330</f>
        <v>0</v>
      </c>
      <c r="F330">
        <f>+data!X330</f>
        <v>1</v>
      </c>
      <c r="G330">
        <f>+data!Y330</f>
        <v>0</v>
      </c>
      <c r="H330">
        <f>+data!U330</f>
        <v>0</v>
      </c>
      <c r="I330">
        <f>+data!V330</f>
        <v>1</v>
      </c>
      <c r="J330">
        <f>+data!AS330</f>
        <v>1</v>
      </c>
      <c r="K330">
        <f>+data!AT330</f>
        <v>0</v>
      </c>
      <c r="L330">
        <f>+data!AO330</f>
        <v>1</v>
      </c>
      <c r="M330">
        <f>+data!AN330</f>
        <v>0</v>
      </c>
      <c r="N330">
        <f>+data!AU330</f>
        <v>1</v>
      </c>
      <c r="O330">
        <f>+data!AV330</f>
        <v>0</v>
      </c>
      <c r="P330">
        <f>+data!AD330</f>
        <v>1</v>
      </c>
      <c r="Q330">
        <f>+data!AF330</f>
        <v>7.5888299999999997</v>
      </c>
      <c r="R330">
        <f>+data!AG330</f>
        <v>2.197225</v>
      </c>
      <c r="S330">
        <f>+data!AE330</f>
        <v>0</v>
      </c>
    </row>
    <row r="331" spans="1:19" x14ac:dyDescent="0.25">
      <c r="A331">
        <f>+data!AI331</f>
        <v>-0.13728319488045085</v>
      </c>
      <c r="B331">
        <f>+data!AJ331</f>
        <v>0.14604595200047976</v>
      </c>
      <c r="C331">
        <f>+data!W331</f>
        <v>1</v>
      </c>
      <c r="D331">
        <f>+data!AQ331</f>
        <v>1</v>
      </c>
      <c r="E331">
        <f>+data!T331</f>
        <v>0</v>
      </c>
      <c r="F331">
        <f>+data!X331</f>
        <v>1</v>
      </c>
      <c r="G331">
        <f>+data!Y331</f>
        <v>0</v>
      </c>
      <c r="H331">
        <f>+data!U331</f>
        <v>0</v>
      </c>
      <c r="I331">
        <f>+data!V331</f>
        <v>1</v>
      </c>
      <c r="J331">
        <f>+data!AS331</f>
        <v>1</v>
      </c>
      <c r="K331">
        <f>+data!AT331</f>
        <v>0</v>
      </c>
      <c r="L331">
        <f>+data!AO331</f>
        <v>1</v>
      </c>
      <c r="M331">
        <f>+data!AN331</f>
        <v>0</v>
      </c>
      <c r="N331">
        <f>+data!AU331</f>
        <v>1</v>
      </c>
      <c r="O331">
        <f>+data!AV331</f>
        <v>0</v>
      </c>
      <c r="P331">
        <f>+data!AD331</f>
        <v>1</v>
      </c>
      <c r="Q331">
        <f>+data!AF331</f>
        <v>7.5888299999999997</v>
      </c>
      <c r="R331">
        <f>+data!AG331</f>
        <v>2.197225</v>
      </c>
      <c r="S331">
        <f>+data!AE331</f>
        <v>0</v>
      </c>
    </row>
    <row r="332" spans="1:19" x14ac:dyDescent="0.25">
      <c r="A332">
        <f>+data!AI332</f>
        <v>-0.47494481992541171</v>
      </c>
      <c r="B332">
        <f>+data!AJ332</f>
        <v>0.12836346484470007</v>
      </c>
      <c r="C332">
        <f>+data!W332</f>
        <v>1</v>
      </c>
      <c r="D332">
        <f>+data!AQ332</f>
        <v>1</v>
      </c>
      <c r="E332">
        <f>+data!T332</f>
        <v>0</v>
      </c>
      <c r="F332">
        <f>+data!X332</f>
        <v>1</v>
      </c>
      <c r="G332">
        <f>+data!Y332</f>
        <v>0</v>
      </c>
      <c r="H332">
        <f>+data!U332</f>
        <v>0</v>
      </c>
      <c r="I332">
        <f>+data!V332</f>
        <v>1</v>
      </c>
      <c r="J332">
        <f>+data!AS332</f>
        <v>1</v>
      </c>
      <c r="K332">
        <f>+data!AT332</f>
        <v>0</v>
      </c>
      <c r="L332">
        <f>+data!AO332</f>
        <v>1</v>
      </c>
      <c r="M332">
        <f>+data!AN332</f>
        <v>0</v>
      </c>
      <c r="N332">
        <f>+data!AU332</f>
        <v>1</v>
      </c>
      <c r="O332">
        <f>+data!AV332</f>
        <v>0</v>
      </c>
      <c r="P332">
        <f>+data!AD332</f>
        <v>1</v>
      </c>
      <c r="Q332">
        <f>+data!AF332</f>
        <v>7.5888299999999997</v>
      </c>
      <c r="R332">
        <f>+data!AG332</f>
        <v>2.197225</v>
      </c>
      <c r="S332">
        <f>+data!AE332</f>
        <v>0</v>
      </c>
    </row>
    <row r="333" spans="1:19" x14ac:dyDescent="0.25">
      <c r="A333">
        <f>+data!AI333</f>
        <v>-1.4142121481616539E-3</v>
      </c>
      <c r="B333">
        <f>+data!AJ333</f>
        <v>0.1414212148161654</v>
      </c>
      <c r="C333">
        <f>+data!W333</f>
        <v>1</v>
      </c>
      <c r="D333">
        <f>+data!AQ333</f>
        <v>1</v>
      </c>
      <c r="E333">
        <f>+data!T333</f>
        <v>0</v>
      </c>
      <c r="F333">
        <f>+data!X333</f>
        <v>1</v>
      </c>
      <c r="G333">
        <f>+data!Y333</f>
        <v>0</v>
      </c>
      <c r="H333">
        <f>+data!U333</f>
        <v>0</v>
      </c>
      <c r="I333">
        <f>+data!V333</f>
        <v>1</v>
      </c>
      <c r="J333">
        <f>+data!AS333</f>
        <v>0</v>
      </c>
      <c r="K333">
        <f>+data!AT333</f>
        <v>1</v>
      </c>
      <c r="L333">
        <f>+data!AO333</f>
        <v>1</v>
      </c>
      <c r="M333">
        <f>+data!AN333</f>
        <v>0</v>
      </c>
      <c r="N333">
        <f>+data!AU333</f>
        <v>1</v>
      </c>
      <c r="O333">
        <f>+data!AV333</f>
        <v>0</v>
      </c>
      <c r="P333">
        <f>+data!AD333</f>
        <v>1</v>
      </c>
      <c r="Q333">
        <f>+data!AF333</f>
        <v>7.5888299999999997</v>
      </c>
      <c r="R333">
        <f>+data!AG333</f>
        <v>2.197225</v>
      </c>
      <c r="S333">
        <f>+data!AE333</f>
        <v>0</v>
      </c>
    </row>
    <row r="334" spans="1:19" x14ac:dyDescent="0.25">
      <c r="A334">
        <f>+data!AI334</f>
        <v>-1.9996001199600148E-2</v>
      </c>
      <c r="B334">
        <f>+data!AJ334</f>
        <v>0.14282857999714385</v>
      </c>
      <c r="C334">
        <f>+data!W334</f>
        <v>1</v>
      </c>
      <c r="D334">
        <f>+data!AQ334</f>
        <v>1</v>
      </c>
      <c r="E334">
        <f>+data!T334</f>
        <v>0</v>
      </c>
      <c r="F334">
        <f>+data!X334</f>
        <v>1</v>
      </c>
      <c r="G334">
        <f>+data!Y334</f>
        <v>0</v>
      </c>
      <c r="H334">
        <f>+data!U334</f>
        <v>0</v>
      </c>
      <c r="I334">
        <f>+data!V334</f>
        <v>1</v>
      </c>
      <c r="J334">
        <f>+data!AS334</f>
        <v>0</v>
      </c>
      <c r="K334">
        <f>+data!AT334</f>
        <v>1</v>
      </c>
      <c r="L334">
        <f>+data!AO334</f>
        <v>1</v>
      </c>
      <c r="M334">
        <f>+data!AN334</f>
        <v>0</v>
      </c>
      <c r="N334">
        <f>+data!AU334</f>
        <v>1</v>
      </c>
      <c r="O334">
        <f>+data!AV334</f>
        <v>0</v>
      </c>
      <c r="P334">
        <f>+data!AD334</f>
        <v>1</v>
      </c>
      <c r="Q334">
        <f>+data!AF334</f>
        <v>7.5888299999999997</v>
      </c>
      <c r="R334">
        <f>+data!AG334</f>
        <v>2.197225</v>
      </c>
      <c r="S334">
        <f>+data!AE334</f>
        <v>0</v>
      </c>
    </row>
    <row r="335" spans="1:19" x14ac:dyDescent="0.25">
      <c r="A335">
        <f>+data!AI335</f>
        <v>-0.10620570281905926</v>
      </c>
      <c r="B335">
        <f>+data!AJ335</f>
        <v>0.14352122002575596</v>
      </c>
      <c r="C335">
        <f>+data!W335</f>
        <v>1</v>
      </c>
      <c r="D335">
        <f>+data!AQ335</f>
        <v>1</v>
      </c>
      <c r="E335">
        <f>+data!T335</f>
        <v>0</v>
      </c>
      <c r="F335">
        <f>+data!X335</f>
        <v>1</v>
      </c>
      <c r="G335">
        <f>+data!Y335</f>
        <v>0</v>
      </c>
      <c r="H335">
        <f>+data!U335</f>
        <v>0</v>
      </c>
      <c r="I335">
        <f>+data!V335</f>
        <v>1</v>
      </c>
      <c r="J335">
        <f>+data!AS335</f>
        <v>0</v>
      </c>
      <c r="K335">
        <f>+data!AT335</f>
        <v>1</v>
      </c>
      <c r="L335">
        <f>+data!AO335</f>
        <v>1</v>
      </c>
      <c r="M335">
        <f>+data!AN335</f>
        <v>0</v>
      </c>
      <c r="N335">
        <f>+data!AU335</f>
        <v>1</v>
      </c>
      <c r="O335">
        <f>+data!AV335</f>
        <v>0</v>
      </c>
      <c r="P335">
        <f>+data!AD335</f>
        <v>1</v>
      </c>
      <c r="Q335">
        <f>+data!AF335</f>
        <v>7.5888299999999997</v>
      </c>
      <c r="R335">
        <f>+data!AG335</f>
        <v>2.197225</v>
      </c>
      <c r="S335">
        <f>+data!AE335</f>
        <v>0</v>
      </c>
    </row>
    <row r="336" spans="1:19" x14ac:dyDescent="0.25">
      <c r="A336">
        <f>+data!AI336</f>
        <v>-0.13158301340239401</v>
      </c>
      <c r="B336">
        <f>+data!AJ336</f>
        <v>0.14459671802460872</v>
      </c>
      <c r="C336">
        <f>+data!W336</f>
        <v>1</v>
      </c>
      <c r="D336">
        <f>+data!AQ336</f>
        <v>1</v>
      </c>
      <c r="E336">
        <f>+data!T336</f>
        <v>0</v>
      </c>
      <c r="F336">
        <f>+data!X336</f>
        <v>1</v>
      </c>
      <c r="G336">
        <f>+data!Y336</f>
        <v>0</v>
      </c>
      <c r="H336">
        <f>+data!U336</f>
        <v>0</v>
      </c>
      <c r="I336">
        <f>+data!V336</f>
        <v>1</v>
      </c>
      <c r="J336">
        <f>+data!AS336</f>
        <v>0</v>
      </c>
      <c r="K336">
        <f>+data!AT336</f>
        <v>1</v>
      </c>
      <c r="L336">
        <f>+data!AO336</f>
        <v>1</v>
      </c>
      <c r="M336">
        <f>+data!AN336</f>
        <v>0</v>
      </c>
      <c r="N336">
        <f>+data!AU336</f>
        <v>1</v>
      </c>
      <c r="O336">
        <f>+data!AV336</f>
        <v>0</v>
      </c>
      <c r="P336">
        <f>+data!AD336</f>
        <v>1</v>
      </c>
      <c r="Q336">
        <f>+data!AF336</f>
        <v>7.5888299999999997</v>
      </c>
      <c r="R336">
        <f>+data!AG336</f>
        <v>2.197225</v>
      </c>
      <c r="S336">
        <f>+data!AE336</f>
        <v>0</v>
      </c>
    </row>
    <row r="337" spans="1:19" x14ac:dyDescent="0.25">
      <c r="A337">
        <f>+data!AI337</f>
        <v>-0.15725606009040549</v>
      </c>
      <c r="B337">
        <f>+data!AJ337</f>
        <v>0.14560746304667177</v>
      </c>
      <c r="C337">
        <f>+data!W337</f>
        <v>1</v>
      </c>
      <c r="D337">
        <f>+data!AQ337</f>
        <v>1</v>
      </c>
      <c r="E337">
        <f>+data!T337</f>
        <v>0</v>
      </c>
      <c r="F337">
        <f>+data!X337</f>
        <v>1</v>
      </c>
      <c r="G337">
        <f>+data!Y337</f>
        <v>0</v>
      </c>
      <c r="H337">
        <f>+data!U337</f>
        <v>0</v>
      </c>
      <c r="I337">
        <f>+data!V337</f>
        <v>1</v>
      </c>
      <c r="J337">
        <f>+data!AS337</f>
        <v>0</v>
      </c>
      <c r="K337">
        <f>+data!AT337</f>
        <v>1</v>
      </c>
      <c r="L337">
        <f>+data!AO337</f>
        <v>1</v>
      </c>
      <c r="M337">
        <f>+data!AN337</f>
        <v>0</v>
      </c>
      <c r="N337">
        <f>+data!AU337</f>
        <v>1</v>
      </c>
      <c r="O337">
        <f>+data!AV337</f>
        <v>0</v>
      </c>
      <c r="P337">
        <f>+data!AD337</f>
        <v>1</v>
      </c>
      <c r="Q337">
        <f>+data!AF337</f>
        <v>7.5888299999999997</v>
      </c>
      <c r="R337">
        <f>+data!AG337</f>
        <v>2.197225</v>
      </c>
      <c r="S337">
        <f>+data!AE337</f>
        <v>0</v>
      </c>
    </row>
    <row r="338" spans="1:19" x14ac:dyDescent="0.25">
      <c r="A338">
        <f>+data!AI338</f>
        <v>-0.26838101328191216</v>
      </c>
      <c r="B338">
        <f>+data!AJ338</f>
        <v>0.14051361951932179</v>
      </c>
      <c r="C338">
        <f>+data!W338</f>
        <v>1</v>
      </c>
      <c r="D338">
        <f>+data!AQ338</f>
        <v>1</v>
      </c>
      <c r="E338">
        <f>+data!T338</f>
        <v>0</v>
      </c>
      <c r="F338">
        <f>+data!X338</f>
        <v>1</v>
      </c>
      <c r="G338">
        <f>+data!Y338</f>
        <v>0</v>
      </c>
      <c r="H338">
        <f>+data!U338</f>
        <v>0</v>
      </c>
      <c r="I338">
        <f>+data!V338</f>
        <v>1</v>
      </c>
      <c r="J338">
        <f>+data!AS338</f>
        <v>0</v>
      </c>
      <c r="K338">
        <f>+data!AT338</f>
        <v>1</v>
      </c>
      <c r="L338">
        <f>+data!AO338</f>
        <v>1</v>
      </c>
      <c r="M338">
        <f>+data!AN338</f>
        <v>0</v>
      </c>
      <c r="N338">
        <f>+data!AU338</f>
        <v>1</v>
      </c>
      <c r="O338">
        <f>+data!AV338</f>
        <v>0</v>
      </c>
      <c r="P338">
        <f>+data!AD338</f>
        <v>1</v>
      </c>
      <c r="Q338">
        <f>+data!AF338</f>
        <v>7.5888299999999997</v>
      </c>
      <c r="R338">
        <f>+data!AG338</f>
        <v>2.197225</v>
      </c>
      <c r="S338">
        <f>+data!AE338</f>
        <v>0</v>
      </c>
    </row>
    <row r="339" spans="1:19" x14ac:dyDescent="0.25">
      <c r="A339">
        <f>+data!AI339</f>
        <v>-0.24467631892593464</v>
      </c>
      <c r="B339">
        <f>+data!AJ339</f>
        <v>0.1414313982230867</v>
      </c>
      <c r="C339">
        <f>+data!W339</f>
        <v>1</v>
      </c>
      <c r="D339">
        <f>+data!AQ339</f>
        <v>1</v>
      </c>
      <c r="E339">
        <f>+data!T339</f>
        <v>0</v>
      </c>
      <c r="F339">
        <f>+data!X339</f>
        <v>1</v>
      </c>
      <c r="G339">
        <f>+data!Y339</f>
        <v>0</v>
      </c>
      <c r="H339">
        <f>+data!U339</f>
        <v>0</v>
      </c>
      <c r="I339">
        <f>+data!V339</f>
        <v>1</v>
      </c>
      <c r="J339">
        <f>+data!AS339</f>
        <v>0</v>
      </c>
      <c r="K339">
        <f>+data!AT339</f>
        <v>0</v>
      </c>
      <c r="L339">
        <f>+data!AO339</f>
        <v>1</v>
      </c>
      <c r="M339">
        <f>+data!AN339</f>
        <v>0</v>
      </c>
      <c r="N339">
        <f>+data!AU339</f>
        <v>1</v>
      </c>
      <c r="O339">
        <f>+data!AV339</f>
        <v>0</v>
      </c>
      <c r="P339">
        <f>+data!AD339</f>
        <v>1</v>
      </c>
      <c r="Q339">
        <f>+data!AF339</f>
        <v>7.5888299999999997</v>
      </c>
      <c r="R339">
        <f>+data!AG339</f>
        <v>2.197225</v>
      </c>
      <c r="S339">
        <f>+data!AE339</f>
        <v>0</v>
      </c>
    </row>
    <row r="340" spans="1:19" x14ac:dyDescent="0.25">
      <c r="A340">
        <f>+data!AI340</f>
        <v>-0.37031522645504694</v>
      </c>
      <c r="B340">
        <f>+data!AJ340</f>
        <v>0.12525367953626587</v>
      </c>
      <c r="C340">
        <f>+data!W340</f>
        <v>0</v>
      </c>
      <c r="D340">
        <f>+data!AQ340</f>
        <v>1</v>
      </c>
      <c r="E340">
        <f>+data!T340</f>
        <v>0</v>
      </c>
      <c r="F340">
        <f>+data!X340</f>
        <v>1</v>
      </c>
      <c r="G340">
        <f>+data!Y340</f>
        <v>0</v>
      </c>
      <c r="H340">
        <f>+data!U340</f>
        <v>0</v>
      </c>
      <c r="I340">
        <f>+data!V340</f>
        <v>1</v>
      </c>
      <c r="J340">
        <f>+data!AS340</f>
        <v>0</v>
      </c>
      <c r="K340">
        <f>+data!AT340</f>
        <v>0</v>
      </c>
      <c r="L340">
        <f>+data!AO340</f>
        <v>1</v>
      </c>
      <c r="M340">
        <f>+data!AN340</f>
        <v>0</v>
      </c>
      <c r="N340">
        <f>+data!AU340</f>
        <v>0</v>
      </c>
      <c r="O340">
        <f>+data!AV340</f>
        <v>0</v>
      </c>
      <c r="P340">
        <f>+data!AD340</f>
        <v>1</v>
      </c>
      <c r="Q340">
        <f>+data!AF340</f>
        <v>7.5963919999999998</v>
      </c>
      <c r="R340">
        <f>+data!AG340</f>
        <v>5.6733229999999999</v>
      </c>
      <c r="S340">
        <f>+data!AE340</f>
        <v>1</v>
      </c>
    </row>
    <row r="341" spans="1:19" x14ac:dyDescent="0.25">
      <c r="A341">
        <f>+data!AI341</f>
        <v>-0.65079137345596849</v>
      </c>
      <c r="B341">
        <f>+data!AJ341</f>
        <v>0.1084652289093281</v>
      </c>
      <c r="C341">
        <f>+data!W341</f>
        <v>0</v>
      </c>
      <c r="D341">
        <f>+data!AQ341</f>
        <v>1</v>
      </c>
      <c r="E341">
        <f>+data!T341</f>
        <v>0</v>
      </c>
      <c r="F341">
        <f>+data!X341</f>
        <v>1</v>
      </c>
      <c r="G341">
        <f>+data!Y341</f>
        <v>0</v>
      </c>
      <c r="H341">
        <f>+data!U341</f>
        <v>0</v>
      </c>
      <c r="I341">
        <f>+data!V341</f>
        <v>1</v>
      </c>
      <c r="J341">
        <f>+data!AS341</f>
        <v>0</v>
      </c>
      <c r="K341">
        <f>+data!AT341</f>
        <v>0</v>
      </c>
      <c r="L341">
        <f>+data!AO341</f>
        <v>1</v>
      </c>
      <c r="M341">
        <f>+data!AN341</f>
        <v>0</v>
      </c>
      <c r="N341">
        <f>+data!AU341</f>
        <v>1</v>
      </c>
      <c r="O341">
        <f>+data!AV341</f>
        <v>0</v>
      </c>
      <c r="P341">
        <f>+data!AD341</f>
        <v>1</v>
      </c>
      <c r="Q341">
        <f>+data!AF341</f>
        <v>7.5963919999999998</v>
      </c>
      <c r="R341">
        <f>+data!AG341</f>
        <v>5.6733229999999999</v>
      </c>
      <c r="S341">
        <f>+data!AE341</f>
        <v>1</v>
      </c>
    </row>
    <row r="342" spans="1:19" x14ac:dyDescent="0.25">
      <c r="A342">
        <f>+data!AI342</f>
        <v>-0.1576668477240217</v>
      </c>
      <c r="B342">
        <f>+data!AJ342</f>
        <v>0.14107033743728259</v>
      </c>
      <c r="C342">
        <f>+data!W342</f>
        <v>0</v>
      </c>
      <c r="D342">
        <f>+data!AQ342</f>
        <v>1</v>
      </c>
      <c r="E342">
        <f>+data!T342</f>
        <v>0</v>
      </c>
      <c r="F342">
        <f>+data!X342</f>
        <v>1</v>
      </c>
      <c r="G342">
        <f>+data!Y342</f>
        <v>0</v>
      </c>
      <c r="H342">
        <f>+data!U342</f>
        <v>0</v>
      </c>
      <c r="I342">
        <f>+data!V342</f>
        <v>1</v>
      </c>
      <c r="J342">
        <f>+data!AS342</f>
        <v>0</v>
      </c>
      <c r="K342">
        <f>+data!AT342</f>
        <v>0</v>
      </c>
      <c r="L342">
        <f>+data!AO342</f>
        <v>1</v>
      </c>
      <c r="M342">
        <f>+data!AN342</f>
        <v>0</v>
      </c>
      <c r="N342">
        <f>+data!AU342</f>
        <v>0</v>
      </c>
      <c r="O342">
        <f>+data!AV342</f>
        <v>1</v>
      </c>
      <c r="P342">
        <f>+data!AD342</f>
        <v>1</v>
      </c>
      <c r="Q342">
        <f>+data!AF342</f>
        <v>7.5963919999999998</v>
      </c>
      <c r="R342">
        <f>+data!AG342</f>
        <v>5.6733229999999999</v>
      </c>
      <c r="S342">
        <f>+data!AE342</f>
        <v>1</v>
      </c>
    </row>
    <row r="343" spans="1:19" x14ac:dyDescent="0.25">
      <c r="A343">
        <f>+data!AI343</f>
        <v>-0.32678700428718538</v>
      </c>
      <c r="B343">
        <f>+data!AJ343</f>
        <v>7.4951147772290269E-2</v>
      </c>
      <c r="C343">
        <f>+data!W343</f>
        <v>0</v>
      </c>
      <c r="D343">
        <f>+data!AQ343</f>
        <v>0</v>
      </c>
      <c r="E343">
        <f>+data!T343</f>
        <v>0</v>
      </c>
      <c r="F343">
        <f>+data!X343</f>
        <v>1</v>
      </c>
      <c r="G343">
        <f>+data!Y343</f>
        <v>0</v>
      </c>
      <c r="H343">
        <f>+data!U343</f>
        <v>1</v>
      </c>
      <c r="I343">
        <f>+data!V343</f>
        <v>1</v>
      </c>
      <c r="J343">
        <f>+data!AS343</f>
        <v>1</v>
      </c>
      <c r="K343">
        <f>+data!AT343</f>
        <v>0</v>
      </c>
      <c r="L343">
        <f>+data!AO343</f>
        <v>0</v>
      </c>
      <c r="M343">
        <f>+data!AN343</f>
        <v>1</v>
      </c>
      <c r="N343">
        <f>+data!AU343</f>
        <v>0</v>
      </c>
      <c r="O343">
        <f>+data!AV343</f>
        <v>1</v>
      </c>
      <c r="P343">
        <f>+data!AD343</f>
        <v>0</v>
      </c>
      <c r="Q343">
        <f>+data!AF343</f>
        <v>7.6033989999999996</v>
      </c>
      <c r="R343">
        <f>+data!AG343</f>
        <v>3.7612000000000001</v>
      </c>
      <c r="S343">
        <f>+data!AE343</f>
        <v>1</v>
      </c>
    </row>
    <row r="344" spans="1:19" x14ac:dyDescent="0.25">
      <c r="A344">
        <f>+data!AI344</f>
        <v>-0.40572740862709245</v>
      </c>
      <c r="B344">
        <f>+data!AJ344</f>
        <v>7.1810160818954458E-2</v>
      </c>
      <c r="C344">
        <f>+data!W344</f>
        <v>0</v>
      </c>
      <c r="D344">
        <f>+data!AQ344</f>
        <v>0</v>
      </c>
      <c r="E344">
        <f>+data!T344</f>
        <v>0</v>
      </c>
      <c r="F344">
        <f>+data!X344</f>
        <v>1</v>
      </c>
      <c r="G344">
        <f>+data!Y344</f>
        <v>0</v>
      </c>
      <c r="H344">
        <f>+data!U344</f>
        <v>1</v>
      </c>
      <c r="I344">
        <f>+data!V344</f>
        <v>0</v>
      </c>
      <c r="J344">
        <f>+data!AS344</f>
        <v>1</v>
      </c>
      <c r="K344">
        <f>+data!AT344</f>
        <v>0</v>
      </c>
      <c r="L344">
        <f>+data!AO344</f>
        <v>0</v>
      </c>
      <c r="M344">
        <f>+data!AN344</f>
        <v>1</v>
      </c>
      <c r="N344">
        <f>+data!AU344</f>
        <v>0</v>
      </c>
      <c r="O344">
        <f>+data!AV344</f>
        <v>1</v>
      </c>
      <c r="P344">
        <f>+data!AD344</f>
        <v>0</v>
      </c>
      <c r="Q344">
        <f>+data!AF344</f>
        <v>7.6033989999999996</v>
      </c>
      <c r="R344">
        <f>+data!AG344</f>
        <v>3.7612000000000001</v>
      </c>
      <c r="S344">
        <f>+data!AE344</f>
        <v>1</v>
      </c>
    </row>
    <row r="345" spans="1:19" x14ac:dyDescent="0.25">
      <c r="A345">
        <f>+data!AI345</f>
        <v>5.7193383200207774E-2</v>
      </c>
      <c r="B345">
        <f>+data!AJ345</f>
        <v>0.15050890315844156</v>
      </c>
      <c r="C345">
        <f>+data!W345</f>
        <v>0</v>
      </c>
      <c r="D345">
        <f>+data!AQ345</f>
        <v>0</v>
      </c>
      <c r="E345">
        <f>+data!T345</f>
        <v>0</v>
      </c>
      <c r="F345">
        <f>+data!X345</f>
        <v>1</v>
      </c>
      <c r="G345">
        <f>+data!Y345</f>
        <v>0</v>
      </c>
      <c r="H345">
        <f>+data!U345</f>
        <v>1</v>
      </c>
      <c r="I345">
        <f>+data!V345</f>
        <v>1</v>
      </c>
      <c r="J345">
        <f>+data!AS345</f>
        <v>1</v>
      </c>
      <c r="K345">
        <f>+data!AT345</f>
        <v>0</v>
      </c>
      <c r="L345">
        <f>+data!AO345</f>
        <v>0</v>
      </c>
      <c r="M345">
        <f>+data!AN345</f>
        <v>1</v>
      </c>
      <c r="N345">
        <f>+data!AU345</f>
        <v>0</v>
      </c>
      <c r="O345">
        <f>+data!AV345</f>
        <v>1</v>
      </c>
      <c r="P345">
        <f>+data!AD345</f>
        <v>0</v>
      </c>
      <c r="Q345">
        <f>+data!AF345</f>
        <v>7.6033989999999996</v>
      </c>
      <c r="R345">
        <f>+data!AG345</f>
        <v>3.7612000000000001</v>
      </c>
      <c r="S345">
        <f>+data!AE345</f>
        <v>1</v>
      </c>
    </row>
    <row r="346" spans="1:19" x14ac:dyDescent="0.25">
      <c r="A346">
        <f>+data!AI346</f>
        <v>-0.4125760120352206</v>
      </c>
      <c r="B346">
        <f>+data!AJ346</f>
        <v>0.13891448216674099</v>
      </c>
      <c r="C346">
        <f>+data!W346</f>
        <v>0</v>
      </c>
      <c r="D346">
        <f>+data!AQ346</f>
        <v>0</v>
      </c>
      <c r="E346">
        <f>+data!T346</f>
        <v>0</v>
      </c>
      <c r="F346">
        <f>+data!X346</f>
        <v>1</v>
      </c>
      <c r="G346">
        <f>+data!Y346</f>
        <v>0</v>
      </c>
      <c r="H346">
        <f>+data!U346</f>
        <v>1</v>
      </c>
      <c r="I346">
        <f>+data!V346</f>
        <v>1</v>
      </c>
      <c r="J346">
        <f>+data!AS346</f>
        <v>1</v>
      </c>
      <c r="K346">
        <f>+data!AT346</f>
        <v>0</v>
      </c>
      <c r="L346">
        <f>+data!AO346</f>
        <v>0</v>
      </c>
      <c r="M346">
        <f>+data!AN346</f>
        <v>1</v>
      </c>
      <c r="N346">
        <f>+data!AU346</f>
        <v>0</v>
      </c>
      <c r="O346">
        <f>+data!AV346</f>
        <v>1</v>
      </c>
      <c r="P346">
        <f>+data!AD346</f>
        <v>0</v>
      </c>
      <c r="Q346">
        <f>+data!AF346</f>
        <v>7.6033989999999996</v>
      </c>
      <c r="R346">
        <f>+data!AG346</f>
        <v>3.7612000000000001</v>
      </c>
      <c r="S346">
        <f>+data!AE346</f>
        <v>1</v>
      </c>
    </row>
    <row r="347" spans="1:19" x14ac:dyDescent="0.25">
      <c r="A347">
        <f>+data!AI347</f>
        <v>-0.40789486568209371</v>
      </c>
      <c r="B347">
        <f>+data!AJ347</f>
        <v>0.1346187675518461</v>
      </c>
      <c r="C347">
        <f>+data!W347</f>
        <v>0</v>
      </c>
      <c r="D347">
        <f>+data!AQ347</f>
        <v>0</v>
      </c>
      <c r="E347">
        <f>+data!T347</f>
        <v>0</v>
      </c>
      <c r="F347">
        <f>+data!X347</f>
        <v>1</v>
      </c>
      <c r="G347">
        <f>+data!Y347</f>
        <v>0</v>
      </c>
      <c r="H347">
        <f>+data!U347</f>
        <v>1</v>
      </c>
      <c r="I347">
        <f>+data!V347</f>
        <v>1</v>
      </c>
      <c r="J347">
        <f>+data!AS347</f>
        <v>1</v>
      </c>
      <c r="K347">
        <f>+data!AT347</f>
        <v>0</v>
      </c>
      <c r="L347">
        <f>+data!AO347</f>
        <v>0</v>
      </c>
      <c r="M347">
        <f>+data!AN347</f>
        <v>1</v>
      </c>
      <c r="N347">
        <f>+data!AU347</f>
        <v>0</v>
      </c>
      <c r="O347">
        <f>+data!AV347</f>
        <v>1</v>
      </c>
      <c r="P347">
        <f>+data!AD347</f>
        <v>0</v>
      </c>
      <c r="Q347">
        <f>+data!AF347</f>
        <v>7.6033989999999996</v>
      </c>
      <c r="R347">
        <f>+data!AG347</f>
        <v>3.7612000000000001</v>
      </c>
      <c r="S347">
        <f>+data!AE347</f>
        <v>1</v>
      </c>
    </row>
    <row r="348" spans="1:19" x14ac:dyDescent="0.25">
      <c r="A348">
        <f>+data!AI348</f>
        <v>-0.46423926804771759</v>
      </c>
      <c r="B348">
        <f>+data!AJ348</f>
        <v>0.11434464730239303</v>
      </c>
      <c r="C348">
        <f>+data!W348</f>
        <v>0</v>
      </c>
      <c r="D348">
        <f>+data!AQ348</f>
        <v>0</v>
      </c>
      <c r="E348">
        <f>+data!T348</f>
        <v>0</v>
      </c>
      <c r="F348">
        <f>+data!X348</f>
        <v>1</v>
      </c>
      <c r="G348">
        <f>+data!Y348</f>
        <v>0</v>
      </c>
      <c r="H348">
        <f>+data!U348</f>
        <v>1</v>
      </c>
      <c r="I348">
        <f>+data!V348</f>
        <v>1</v>
      </c>
      <c r="J348">
        <f>+data!AS348</f>
        <v>1</v>
      </c>
      <c r="K348">
        <f>+data!AT348</f>
        <v>0</v>
      </c>
      <c r="L348">
        <f>+data!AO348</f>
        <v>0</v>
      </c>
      <c r="M348">
        <f>+data!AN348</f>
        <v>1</v>
      </c>
      <c r="N348">
        <f>+data!AU348</f>
        <v>0</v>
      </c>
      <c r="O348">
        <f>+data!AV348</f>
        <v>1</v>
      </c>
      <c r="P348">
        <f>+data!AD348</f>
        <v>0</v>
      </c>
      <c r="Q348">
        <f>+data!AF348</f>
        <v>7.6033989999999996</v>
      </c>
      <c r="R348">
        <f>+data!AG348</f>
        <v>3.7612000000000001</v>
      </c>
      <c r="S348">
        <f>+data!AE348</f>
        <v>1</v>
      </c>
    </row>
    <row r="349" spans="1:19" x14ac:dyDescent="0.25">
      <c r="A349">
        <f>+data!AI349</f>
        <v>-0.68437244705962719</v>
      </c>
      <c r="B349">
        <f>+data!AJ349</f>
        <v>9.1862073430822394E-2</v>
      </c>
      <c r="C349">
        <f>+data!W349</f>
        <v>0</v>
      </c>
      <c r="D349">
        <f>+data!AQ349</f>
        <v>0</v>
      </c>
      <c r="E349">
        <f>+data!T349</f>
        <v>0</v>
      </c>
      <c r="F349">
        <f>+data!X349</f>
        <v>1</v>
      </c>
      <c r="G349">
        <f>+data!Y349</f>
        <v>0</v>
      </c>
      <c r="H349">
        <f>+data!U349</f>
        <v>1</v>
      </c>
      <c r="I349">
        <f>+data!V349</f>
        <v>0</v>
      </c>
      <c r="J349">
        <f>+data!AS349</f>
        <v>1</v>
      </c>
      <c r="K349">
        <f>+data!AT349</f>
        <v>0</v>
      </c>
      <c r="L349">
        <f>+data!AO349</f>
        <v>0</v>
      </c>
      <c r="M349">
        <f>+data!AN349</f>
        <v>1</v>
      </c>
      <c r="N349">
        <f>+data!AU349</f>
        <v>0</v>
      </c>
      <c r="O349">
        <f>+data!AV349</f>
        <v>1</v>
      </c>
      <c r="P349">
        <f>+data!AD349</f>
        <v>0</v>
      </c>
      <c r="Q349">
        <f>+data!AF349</f>
        <v>7.6033989999999996</v>
      </c>
      <c r="R349">
        <f>+data!AG349</f>
        <v>3.7612000000000001</v>
      </c>
      <c r="S349">
        <f>+data!AE349</f>
        <v>1</v>
      </c>
    </row>
    <row r="350" spans="1:19" x14ac:dyDescent="0.25">
      <c r="A350">
        <f>+data!AI350</f>
        <v>-0.30237157840738177</v>
      </c>
      <c r="B350">
        <f>+data!AJ350</f>
        <v>7.5592894601845442E-2</v>
      </c>
      <c r="C350">
        <f>+data!W350</f>
        <v>0</v>
      </c>
      <c r="D350">
        <f>+data!AQ350</f>
        <v>0</v>
      </c>
      <c r="E350">
        <f>+data!T350</f>
        <v>0</v>
      </c>
      <c r="F350">
        <f>+data!X350</f>
        <v>1</v>
      </c>
      <c r="G350">
        <f>+data!Y350</f>
        <v>0</v>
      </c>
      <c r="H350">
        <f>+data!U350</f>
        <v>1</v>
      </c>
      <c r="I350">
        <f>+data!V350</f>
        <v>1</v>
      </c>
      <c r="J350">
        <f>+data!AS350</f>
        <v>1</v>
      </c>
      <c r="K350">
        <f>+data!AT350</f>
        <v>0</v>
      </c>
      <c r="L350">
        <f>+data!AO350</f>
        <v>0</v>
      </c>
      <c r="M350">
        <f>+data!AN350</f>
        <v>1</v>
      </c>
      <c r="N350">
        <f>+data!AU350</f>
        <v>0</v>
      </c>
      <c r="O350">
        <f>+data!AV350</f>
        <v>1</v>
      </c>
      <c r="P350">
        <f>+data!AD350</f>
        <v>0</v>
      </c>
      <c r="Q350">
        <f>+data!AF350</f>
        <v>7.6033989999999996</v>
      </c>
      <c r="R350">
        <f>+data!AG350</f>
        <v>3.7612000000000001</v>
      </c>
      <c r="S350">
        <f>+data!AE350</f>
        <v>1</v>
      </c>
    </row>
    <row r="351" spans="1:19" x14ac:dyDescent="0.25">
      <c r="A351">
        <f>+data!AI351</f>
        <v>-0.36246232347541524</v>
      </c>
      <c r="B351">
        <f>+data!AJ351</f>
        <v>7.3224711813215201E-2</v>
      </c>
      <c r="C351">
        <f>+data!W351</f>
        <v>0</v>
      </c>
      <c r="D351">
        <f>+data!AQ351</f>
        <v>0</v>
      </c>
      <c r="E351">
        <f>+data!T351</f>
        <v>0</v>
      </c>
      <c r="F351">
        <f>+data!X351</f>
        <v>1</v>
      </c>
      <c r="G351">
        <f>+data!Y351</f>
        <v>0</v>
      </c>
      <c r="H351">
        <f>+data!U351</f>
        <v>1</v>
      </c>
      <c r="I351">
        <f>+data!V351</f>
        <v>0</v>
      </c>
      <c r="J351">
        <f>+data!AS351</f>
        <v>1</v>
      </c>
      <c r="K351">
        <f>+data!AT351</f>
        <v>0</v>
      </c>
      <c r="L351">
        <f>+data!AO351</f>
        <v>0</v>
      </c>
      <c r="M351">
        <f>+data!AN351</f>
        <v>1</v>
      </c>
      <c r="N351">
        <f>+data!AU351</f>
        <v>0</v>
      </c>
      <c r="O351">
        <f>+data!AV351</f>
        <v>1</v>
      </c>
      <c r="P351">
        <f>+data!AD351</f>
        <v>0</v>
      </c>
      <c r="Q351">
        <f>+data!AF351</f>
        <v>7.6033989999999996</v>
      </c>
      <c r="R351">
        <f>+data!AG351</f>
        <v>3.7612000000000001</v>
      </c>
      <c r="S351">
        <f>+data!AE351</f>
        <v>1</v>
      </c>
    </row>
    <row r="352" spans="1:19" x14ac:dyDescent="0.25">
      <c r="A352">
        <f>+data!AI352</f>
        <v>-0.28365806403218202</v>
      </c>
      <c r="B352">
        <f>+data!AJ352</f>
        <v>7.6047738346429541E-2</v>
      </c>
      <c r="C352">
        <f>+data!W352</f>
        <v>0</v>
      </c>
      <c r="D352">
        <f>+data!AQ352</f>
        <v>0</v>
      </c>
      <c r="E352">
        <f>+data!T352</f>
        <v>0</v>
      </c>
      <c r="F352">
        <f>+data!X352</f>
        <v>1</v>
      </c>
      <c r="G352">
        <f>+data!Y352</f>
        <v>0</v>
      </c>
      <c r="H352">
        <f>+data!U352</f>
        <v>1</v>
      </c>
      <c r="I352">
        <f>+data!V352</f>
        <v>1</v>
      </c>
      <c r="J352">
        <f>+data!AS352</f>
        <v>1</v>
      </c>
      <c r="K352">
        <f>+data!AT352</f>
        <v>0</v>
      </c>
      <c r="L352">
        <f>+data!AO352</f>
        <v>0</v>
      </c>
      <c r="M352">
        <f>+data!AN352</f>
        <v>1</v>
      </c>
      <c r="N352">
        <f>+data!AU352</f>
        <v>0</v>
      </c>
      <c r="O352">
        <f>+data!AV352</f>
        <v>1</v>
      </c>
      <c r="P352">
        <f>+data!AD352</f>
        <v>0</v>
      </c>
      <c r="Q352">
        <f>+data!AF352</f>
        <v>7.6033989999999996</v>
      </c>
      <c r="R352">
        <f>+data!AG352</f>
        <v>3.7612000000000001</v>
      </c>
      <c r="S352">
        <f>+data!AE352</f>
        <v>1</v>
      </c>
    </row>
    <row r="353" spans="1:19" x14ac:dyDescent="0.25">
      <c r="A353">
        <f>+data!AI353</f>
        <v>-0.35863694868177776</v>
      </c>
      <c r="B353">
        <f>+data!AJ353</f>
        <v>7.3340889300977069E-2</v>
      </c>
      <c r="C353">
        <f>+data!W353</f>
        <v>0</v>
      </c>
      <c r="D353">
        <f>+data!AQ353</f>
        <v>0</v>
      </c>
      <c r="E353">
        <f>+data!T353</f>
        <v>0</v>
      </c>
      <c r="F353">
        <f>+data!X353</f>
        <v>1</v>
      </c>
      <c r="G353">
        <f>+data!Y353</f>
        <v>0</v>
      </c>
      <c r="H353">
        <f>+data!U353</f>
        <v>1</v>
      </c>
      <c r="I353">
        <f>+data!V353</f>
        <v>0</v>
      </c>
      <c r="J353">
        <f>+data!AS353</f>
        <v>1</v>
      </c>
      <c r="K353">
        <f>+data!AT353</f>
        <v>0</v>
      </c>
      <c r="L353">
        <f>+data!AO353</f>
        <v>0</v>
      </c>
      <c r="M353">
        <f>+data!AN353</f>
        <v>1</v>
      </c>
      <c r="N353">
        <f>+data!AU353</f>
        <v>0</v>
      </c>
      <c r="O353">
        <f>+data!AV353</f>
        <v>1</v>
      </c>
      <c r="P353">
        <f>+data!AD353</f>
        <v>0</v>
      </c>
      <c r="Q353">
        <f>+data!AF353</f>
        <v>7.6033989999999996</v>
      </c>
      <c r="R353">
        <f>+data!AG353</f>
        <v>3.7612000000000001</v>
      </c>
      <c r="S353">
        <f>+data!AE353</f>
        <v>1</v>
      </c>
    </row>
    <row r="354" spans="1:19" x14ac:dyDescent="0.25">
      <c r="A354">
        <f>+data!AI354</f>
        <v>-0.54656593904104833</v>
      </c>
      <c r="B354">
        <f>+data!AJ354</f>
        <v>6.6411414221269505E-2</v>
      </c>
      <c r="C354">
        <f>+data!W354</f>
        <v>0</v>
      </c>
      <c r="D354">
        <f>+data!AQ354</f>
        <v>0</v>
      </c>
      <c r="E354">
        <f>+data!T354</f>
        <v>0</v>
      </c>
      <c r="F354">
        <f>+data!X354</f>
        <v>1</v>
      </c>
      <c r="G354">
        <f>+data!Y354</f>
        <v>0</v>
      </c>
      <c r="H354">
        <f>+data!U354</f>
        <v>1</v>
      </c>
      <c r="I354">
        <f>+data!V354</f>
        <v>1</v>
      </c>
      <c r="J354">
        <f>+data!AS354</f>
        <v>1</v>
      </c>
      <c r="K354">
        <f>+data!AT354</f>
        <v>0</v>
      </c>
      <c r="L354">
        <f>+data!AO354</f>
        <v>0</v>
      </c>
      <c r="M354">
        <f>+data!AN354</f>
        <v>1</v>
      </c>
      <c r="N354">
        <f>+data!AU354</f>
        <v>0</v>
      </c>
      <c r="O354">
        <f>+data!AV354</f>
        <v>1</v>
      </c>
      <c r="P354">
        <f>+data!AD354</f>
        <v>0</v>
      </c>
      <c r="Q354">
        <f>+data!AF354</f>
        <v>7.6033989999999996</v>
      </c>
      <c r="R354">
        <f>+data!AG354</f>
        <v>3.7612000000000001</v>
      </c>
      <c r="S354">
        <f>+data!AE354</f>
        <v>1</v>
      </c>
    </row>
    <row r="355" spans="1:19" x14ac:dyDescent="0.25">
      <c r="A355">
        <f>+data!AI355</f>
        <v>-0.54656593904104833</v>
      </c>
      <c r="B355">
        <f>+data!AJ355</f>
        <v>6.6411414221269505E-2</v>
      </c>
      <c r="C355">
        <f>+data!W355</f>
        <v>0</v>
      </c>
      <c r="D355">
        <f>+data!AQ355</f>
        <v>0</v>
      </c>
      <c r="E355">
        <f>+data!T355</f>
        <v>0</v>
      </c>
      <c r="F355">
        <f>+data!X355</f>
        <v>1</v>
      </c>
      <c r="G355">
        <f>+data!Y355</f>
        <v>0</v>
      </c>
      <c r="H355">
        <f>+data!U355</f>
        <v>1</v>
      </c>
      <c r="I355">
        <f>+data!V355</f>
        <v>1</v>
      </c>
      <c r="J355">
        <f>+data!AS355</f>
        <v>1</v>
      </c>
      <c r="K355">
        <f>+data!AT355</f>
        <v>0</v>
      </c>
      <c r="L355">
        <f>+data!AO355</f>
        <v>0</v>
      </c>
      <c r="M355">
        <f>+data!AN355</f>
        <v>1</v>
      </c>
      <c r="N355">
        <f>+data!AU355</f>
        <v>0</v>
      </c>
      <c r="O355">
        <f>+data!AV355</f>
        <v>1</v>
      </c>
      <c r="P355">
        <f>+data!AD355</f>
        <v>0</v>
      </c>
      <c r="Q355">
        <f>+data!AF355</f>
        <v>7.6033989999999996</v>
      </c>
      <c r="R355">
        <f>+data!AG355</f>
        <v>3.7612000000000001</v>
      </c>
      <c r="S355">
        <f>+data!AE355</f>
        <v>1</v>
      </c>
    </row>
    <row r="356" spans="1:19" x14ac:dyDescent="0.25">
      <c r="A356">
        <f>+data!AI356</f>
        <v>-0.27536231884058043</v>
      </c>
      <c r="B356">
        <f>+data!AJ356</f>
        <v>0.14492753623188404</v>
      </c>
      <c r="C356">
        <f>+data!W356</f>
        <v>0</v>
      </c>
      <c r="D356">
        <f>+data!AQ356</f>
        <v>0</v>
      </c>
      <c r="E356">
        <f>+data!T356</f>
        <v>0</v>
      </c>
      <c r="F356">
        <f>+data!X356</f>
        <v>1</v>
      </c>
      <c r="G356">
        <f>+data!Y356</f>
        <v>0</v>
      </c>
      <c r="H356">
        <f>+data!U356</f>
        <v>1</v>
      </c>
      <c r="I356">
        <f>+data!V356</f>
        <v>1</v>
      </c>
      <c r="J356">
        <f>+data!AS356</f>
        <v>1</v>
      </c>
      <c r="K356">
        <f>+data!AT356</f>
        <v>0</v>
      </c>
      <c r="L356">
        <f>+data!AO356</f>
        <v>0</v>
      </c>
      <c r="M356">
        <f>+data!AN356</f>
        <v>1</v>
      </c>
      <c r="N356">
        <f>+data!AU356</f>
        <v>0</v>
      </c>
      <c r="O356">
        <f>+data!AV356</f>
        <v>1</v>
      </c>
      <c r="P356">
        <f>+data!AD356</f>
        <v>0</v>
      </c>
      <c r="Q356">
        <f>+data!AF356</f>
        <v>7.6033989999999996</v>
      </c>
      <c r="R356">
        <f>+data!AG356</f>
        <v>3.7612000000000001</v>
      </c>
      <c r="S356">
        <f>+data!AE356</f>
        <v>1</v>
      </c>
    </row>
    <row r="357" spans="1:19" x14ac:dyDescent="0.25">
      <c r="A357">
        <f>+data!AI357</f>
        <v>-0.36054421768707495</v>
      </c>
      <c r="B357">
        <f>+data!AJ357</f>
        <v>0.13605442176870747</v>
      </c>
      <c r="C357">
        <f>+data!W357</f>
        <v>0</v>
      </c>
      <c r="D357">
        <f>+data!AQ357</f>
        <v>0</v>
      </c>
      <c r="E357">
        <f>+data!T357</f>
        <v>0</v>
      </c>
      <c r="F357">
        <f>+data!X357</f>
        <v>1</v>
      </c>
      <c r="G357">
        <f>+data!Y357</f>
        <v>0</v>
      </c>
      <c r="H357">
        <f>+data!U357</f>
        <v>0</v>
      </c>
      <c r="I357">
        <f>+data!V357</f>
        <v>1</v>
      </c>
      <c r="J357">
        <f>+data!AS357</f>
        <v>1</v>
      </c>
      <c r="K357">
        <f>+data!AT357</f>
        <v>0</v>
      </c>
      <c r="L357">
        <f>+data!AO357</f>
        <v>0</v>
      </c>
      <c r="M357">
        <f>+data!AN357</f>
        <v>1</v>
      </c>
      <c r="N357">
        <f>+data!AU357</f>
        <v>0</v>
      </c>
      <c r="O357">
        <f>+data!AV357</f>
        <v>1</v>
      </c>
      <c r="P357">
        <f>+data!AD357</f>
        <v>0</v>
      </c>
      <c r="Q357">
        <f>+data!AF357</f>
        <v>7.6033989999999996</v>
      </c>
      <c r="R357">
        <f>+data!AG357</f>
        <v>3.7612000000000001</v>
      </c>
      <c r="S357">
        <f>+data!AE357</f>
        <v>1</v>
      </c>
    </row>
    <row r="358" spans="1:19" x14ac:dyDescent="0.25">
      <c r="A358">
        <f>+data!AI358</f>
        <v>-0.51790044870164464</v>
      </c>
      <c r="B358">
        <f>+data!AJ358</f>
        <v>0.13045351352686194</v>
      </c>
      <c r="C358">
        <f>+data!W358</f>
        <v>0</v>
      </c>
      <c r="D358">
        <f>+data!AQ358</f>
        <v>0</v>
      </c>
      <c r="E358">
        <f>+data!T358</f>
        <v>0</v>
      </c>
      <c r="F358">
        <f>+data!X358</f>
        <v>1</v>
      </c>
      <c r="G358">
        <f>+data!Y358</f>
        <v>0</v>
      </c>
      <c r="H358">
        <f>+data!U358</f>
        <v>1</v>
      </c>
      <c r="I358">
        <f>+data!V358</f>
        <v>1</v>
      </c>
      <c r="J358">
        <f>+data!AS358</f>
        <v>1</v>
      </c>
      <c r="K358">
        <f>+data!AT358</f>
        <v>0</v>
      </c>
      <c r="L358">
        <f>+data!AO358</f>
        <v>0</v>
      </c>
      <c r="M358">
        <f>+data!AN358</f>
        <v>1</v>
      </c>
      <c r="N358">
        <f>+data!AU358</f>
        <v>0</v>
      </c>
      <c r="O358">
        <f>+data!AV358</f>
        <v>1</v>
      </c>
      <c r="P358">
        <f>+data!AD358</f>
        <v>0</v>
      </c>
      <c r="Q358">
        <f>+data!AF358</f>
        <v>7.6033989999999996</v>
      </c>
      <c r="R358">
        <f>+data!AG358</f>
        <v>3.7612000000000001</v>
      </c>
      <c r="S358">
        <f>+data!AE358</f>
        <v>1</v>
      </c>
    </row>
    <row r="359" spans="1:19" x14ac:dyDescent="0.25">
      <c r="A359">
        <f>+data!AI359</f>
        <v>-0.52946717982104541</v>
      </c>
      <c r="B359">
        <f>+data!AJ359</f>
        <v>0.12789062314518007</v>
      </c>
      <c r="C359">
        <f>+data!W359</f>
        <v>0</v>
      </c>
      <c r="D359">
        <f>+data!AQ359</f>
        <v>0</v>
      </c>
      <c r="E359">
        <f>+data!T359</f>
        <v>0</v>
      </c>
      <c r="F359">
        <f>+data!X359</f>
        <v>1</v>
      </c>
      <c r="G359">
        <f>+data!Y359</f>
        <v>0</v>
      </c>
      <c r="H359">
        <f>+data!U359</f>
        <v>1</v>
      </c>
      <c r="I359">
        <f>+data!V359</f>
        <v>1</v>
      </c>
      <c r="J359">
        <f>+data!AS359</f>
        <v>1</v>
      </c>
      <c r="K359">
        <f>+data!AT359</f>
        <v>0</v>
      </c>
      <c r="L359">
        <f>+data!AO359</f>
        <v>0</v>
      </c>
      <c r="M359">
        <f>+data!AN359</f>
        <v>1</v>
      </c>
      <c r="N359">
        <f>+data!AU359</f>
        <v>0</v>
      </c>
      <c r="O359">
        <f>+data!AV359</f>
        <v>1</v>
      </c>
      <c r="P359">
        <f>+data!AD359</f>
        <v>0</v>
      </c>
      <c r="Q359">
        <f>+data!AF359</f>
        <v>7.6033989999999996</v>
      </c>
      <c r="R359">
        <f>+data!AG359</f>
        <v>3.7612000000000001</v>
      </c>
      <c r="S359">
        <f>+data!AE359</f>
        <v>1</v>
      </c>
    </row>
    <row r="360" spans="1:19" x14ac:dyDescent="0.25">
      <c r="A360">
        <f>+data!AI360</f>
        <v>-0.7564977738183063</v>
      </c>
      <c r="B360">
        <f>+data!AJ360</f>
        <v>8.4430555113650149E-2</v>
      </c>
      <c r="C360">
        <f>+data!W360</f>
        <v>0</v>
      </c>
      <c r="D360">
        <f>+data!AQ360</f>
        <v>0</v>
      </c>
      <c r="E360">
        <f>+data!T360</f>
        <v>0</v>
      </c>
      <c r="F360">
        <f>+data!X360</f>
        <v>1</v>
      </c>
      <c r="G360">
        <f>+data!Y360</f>
        <v>0</v>
      </c>
      <c r="H360">
        <f>+data!U360</f>
        <v>1</v>
      </c>
      <c r="I360">
        <f>+data!V360</f>
        <v>1</v>
      </c>
      <c r="J360">
        <f>+data!AS360</f>
        <v>1</v>
      </c>
      <c r="K360">
        <f>+data!AT360</f>
        <v>0</v>
      </c>
      <c r="L360">
        <f>+data!AO360</f>
        <v>0</v>
      </c>
      <c r="M360">
        <f>+data!AN360</f>
        <v>1</v>
      </c>
      <c r="N360">
        <f>+data!AU360</f>
        <v>0</v>
      </c>
      <c r="O360">
        <f>+data!AV360</f>
        <v>1</v>
      </c>
      <c r="P360">
        <f>+data!AD360</f>
        <v>0</v>
      </c>
      <c r="Q360">
        <f>+data!AF360</f>
        <v>7.6033989999999996</v>
      </c>
      <c r="R360">
        <f>+data!AG360</f>
        <v>3.7612000000000001</v>
      </c>
      <c r="S360">
        <f>+data!AE360</f>
        <v>1</v>
      </c>
    </row>
    <row r="361" spans="1:19" x14ac:dyDescent="0.25">
      <c r="A361">
        <f>+data!AI361</f>
        <v>-0.7564977738183063</v>
      </c>
      <c r="B361">
        <f>+data!AJ361</f>
        <v>8.4430555113650149E-2</v>
      </c>
      <c r="C361">
        <f>+data!W361</f>
        <v>0</v>
      </c>
      <c r="D361">
        <f>+data!AQ361</f>
        <v>0</v>
      </c>
      <c r="E361">
        <f>+data!T361</f>
        <v>0</v>
      </c>
      <c r="F361">
        <f>+data!X361</f>
        <v>1</v>
      </c>
      <c r="G361">
        <f>+data!Y361</f>
        <v>0</v>
      </c>
      <c r="H361">
        <f>+data!U361</f>
        <v>1</v>
      </c>
      <c r="I361">
        <f>+data!V361</f>
        <v>1</v>
      </c>
      <c r="J361">
        <f>+data!AS361</f>
        <v>1</v>
      </c>
      <c r="K361">
        <f>+data!AT361</f>
        <v>0</v>
      </c>
      <c r="L361">
        <f>+data!AO361</f>
        <v>0</v>
      </c>
      <c r="M361">
        <f>+data!AN361</f>
        <v>1</v>
      </c>
      <c r="N361">
        <f>+data!AU361</f>
        <v>0</v>
      </c>
      <c r="O361">
        <f>+data!AV361</f>
        <v>1</v>
      </c>
      <c r="P361">
        <f>+data!AD361</f>
        <v>0</v>
      </c>
      <c r="Q361">
        <f>+data!AF361</f>
        <v>7.6033989999999996</v>
      </c>
      <c r="R361">
        <f>+data!AG361</f>
        <v>3.7612000000000001</v>
      </c>
      <c r="S361">
        <f>+data!AE361</f>
        <v>1</v>
      </c>
    </row>
    <row r="362" spans="1:19" x14ac:dyDescent="0.25">
      <c r="A362">
        <f>+data!AI362</f>
        <v>-0.5679001195865423</v>
      </c>
      <c r="B362">
        <f>+data!AJ362</f>
        <v>6.5275875814545123E-2</v>
      </c>
      <c r="C362">
        <f>+data!W362</f>
        <v>0</v>
      </c>
      <c r="D362">
        <f>+data!AQ362</f>
        <v>0</v>
      </c>
      <c r="E362">
        <f>+data!T362</f>
        <v>0</v>
      </c>
      <c r="F362">
        <f>+data!X362</f>
        <v>1</v>
      </c>
      <c r="G362">
        <f>+data!Y362</f>
        <v>0</v>
      </c>
      <c r="H362">
        <f>+data!U362</f>
        <v>1</v>
      </c>
      <c r="I362">
        <f>+data!V362</f>
        <v>1</v>
      </c>
      <c r="J362">
        <f>+data!AS362</f>
        <v>1</v>
      </c>
      <c r="K362">
        <f>+data!AT362</f>
        <v>0</v>
      </c>
      <c r="L362">
        <f>+data!AO362</f>
        <v>0</v>
      </c>
      <c r="M362">
        <f>+data!AN362</f>
        <v>1</v>
      </c>
      <c r="N362">
        <f>+data!AU362</f>
        <v>0</v>
      </c>
      <c r="O362">
        <f>+data!AV362</f>
        <v>1</v>
      </c>
      <c r="P362">
        <f>+data!AD362</f>
        <v>0</v>
      </c>
      <c r="Q362">
        <f>+data!AF362</f>
        <v>7.6033989999999996</v>
      </c>
      <c r="R362">
        <f>+data!AG362</f>
        <v>3.7612000000000001</v>
      </c>
      <c r="S362">
        <f>+data!AE362</f>
        <v>1</v>
      </c>
    </row>
    <row r="363" spans="1:19" x14ac:dyDescent="0.25">
      <c r="A363">
        <f>+data!AI363</f>
        <v>-0.5679001195865423</v>
      </c>
      <c r="B363">
        <f>+data!AJ363</f>
        <v>6.5275875814545123E-2</v>
      </c>
      <c r="C363">
        <f>+data!W363</f>
        <v>0</v>
      </c>
      <c r="D363">
        <f>+data!AQ363</f>
        <v>0</v>
      </c>
      <c r="E363">
        <f>+data!T363</f>
        <v>0</v>
      </c>
      <c r="F363">
        <f>+data!X363</f>
        <v>1</v>
      </c>
      <c r="G363">
        <f>+data!Y363</f>
        <v>0</v>
      </c>
      <c r="H363">
        <f>+data!U363</f>
        <v>1</v>
      </c>
      <c r="I363">
        <f>+data!V363</f>
        <v>1</v>
      </c>
      <c r="J363">
        <f>+data!AS363</f>
        <v>1</v>
      </c>
      <c r="K363">
        <f>+data!AT363</f>
        <v>0</v>
      </c>
      <c r="L363">
        <f>+data!AO363</f>
        <v>0</v>
      </c>
      <c r="M363">
        <f>+data!AN363</f>
        <v>1</v>
      </c>
      <c r="N363">
        <f>+data!AU363</f>
        <v>0</v>
      </c>
      <c r="O363">
        <f>+data!AV363</f>
        <v>1</v>
      </c>
      <c r="P363">
        <f>+data!AD363</f>
        <v>0</v>
      </c>
      <c r="Q363">
        <f>+data!AF363</f>
        <v>7.6033989999999996</v>
      </c>
      <c r="R363">
        <f>+data!AG363</f>
        <v>3.7612000000000001</v>
      </c>
      <c r="S363">
        <f>+data!AE363</f>
        <v>1</v>
      </c>
    </row>
    <row r="364" spans="1:19" x14ac:dyDescent="0.25">
      <c r="A364">
        <f>+data!AI364</f>
        <v>-0.41728811238611985</v>
      </c>
      <c r="B364">
        <f>+data!AJ364</f>
        <v>7.2070485731626888E-2</v>
      </c>
      <c r="C364">
        <f>+data!W364</f>
        <v>0</v>
      </c>
      <c r="D364">
        <f>+data!AQ364</f>
        <v>0</v>
      </c>
      <c r="E364">
        <f>+data!T364</f>
        <v>0</v>
      </c>
      <c r="F364">
        <f>+data!X364</f>
        <v>1</v>
      </c>
      <c r="G364">
        <f>+data!Y364</f>
        <v>0</v>
      </c>
      <c r="H364">
        <f>+data!U364</f>
        <v>1</v>
      </c>
      <c r="I364">
        <f>+data!V364</f>
        <v>1</v>
      </c>
      <c r="J364">
        <f>+data!AS364</f>
        <v>1</v>
      </c>
      <c r="K364">
        <f>+data!AT364</f>
        <v>0</v>
      </c>
      <c r="L364">
        <f>+data!AO364</f>
        <v>0</v>
      </c>
      <c r="M364">
        <f>+data!AN364</f>
        <v>1</v>
      </c>
      <c r="N364">
        <f>+data!AU364</f>
        <v>0</v>
      </c>
      <c r="O364">
        <f>+data!AV364</f>
        <v>1</v>
      </c>
      <c r="P364">
        <f>+data!AD364</f>
        <v>0</v>
      </c>
      <c r="Q364">
        <f>+data!AF364</f>
        <v>7.6033989999999996</v>
      </c>
      <c r="R364">
        <f>+data!AG364</f>
        <v>3.7612000000000001</v>
      </c>
      <c r="S364">
        <f>+data!AE364</f>
        <v>1</v>
      </c>
    </row>
    <row r="365" spans="1:19" x14ac:dyDescent="0.25">
      <c r="A365">
        <f>+data!AI365</f>
        <v>-0.44012605623152601</v>
      </c>
      <c r="B365">
        <f>+data!AJ365</f>
        <v>7.0988073585730033E-2</v>
      </c>
      <c r="C365">
        <f>+data!W365</f>
        <v>0</v>
      </c>
      <c r="D365">
        <f>+data!AQ365</f>
        <v>0</v>
      </c>
      <c r="E365">
        <f>+data!T365</f>
        <v>0</v>
      </c>
      <c r="F365">
        <f>+data!X365</f>
        <v>1</v>
      </c>
      <c r="G365">
        <f>+data!Y365</f>
        <v>0</v>
      </c>
      <c r="H365">
        <f>+data!U365</f>
        <v>0</v>
      </c>
      <c r="I365">
        <f>+data!V365</f>
        <v>1</v>
      </c>
      <c r="J365">
        <f>+data!AS365</f>
        <v>1</v>
      </c>
      <c r="K365">
        <f>+data!AT365</f>
        <v>0</v>
      </c>
      <c r="L365">
        <f>+data!AO365</f>
        <v>0</v>
      </c>
      <c r="M365">
        <f>+data!AN365</f>
        <v>1</v>
      </c>
      <c r="N365">
        <f>+data!AU365</f>
        <v>0</v>
      </c>
      <c r="O365">
        <f>+data!AV365</f>
        <v>1</v>
      </c>
      <c r="P365">
        <f>+data!AD365</f>
        <v>0</v>
      </c>
      <c r="Q365">
        <f>+data!AF365</f>
        <v>7.6033989999999996</v>
      </c>
      <c r="R365">
        <f>+data!AG365</f>
        <v>3.7612000000000001</v>
      </c>
      <c r="S365">
        <f>+data!AE365</f>
        <v>1</v>
      </c>
    </row>
    <row r="366" spans="1:19" x14ac:dyDescent="0.25">
      <c r="A366">
        <f>+data!AI366</f>
        <v>-0.23582906263896317</v>
      </c>
      <c r="B366">
        <f>+data!AJ366</f>
        <v>7.7068321123844222E-2</v>
      </c>
      <c r="C366">
        <f>+data!W366</f>
        <v>0</v>
      </c>
      <c r="D366">
        <f>+data!AQ366</f>
        <v>0</v>
      </c>
      <c r="E366">
        <f>+data!T366</f>
        <v>0</v>
      </c>
      <c r="F366">
        <f>+data!X366</f>
        <v>1</v>
      </c>
      <c r="G366">
        <f>+data!Y366</f>
        <v>0</v>
      </c>
      <c r="H366">
        <f>+data!U366</f>
        <v>1</v>
      </c>
      <c r="I366">
        <f>+data!V366</f>
        <v>1</v>
      </c>
      <c r="J366">
        <f>+data!AS366</f>
        <v>1</v>
      </c>
      <c r="K366">
        <f>+data!AT366</f>
        <v>0</v>
      </c>
      <c r="L366">
        <f>+data!AO366</f>
        <v>0</v>
      </c>
      <c r="M366">
        <f>+data!AN366</f>
        <v>1</v>
      </c>
      <c r="N366">
        <f>+data!AU366</f>
        <v>0</v>
      </c>
      <c r="O366">
        <f>+data!AV366</f>
        <v>1</v>
      </c>
      <c r="P366">
        <f>+data!AD366</f>
        <v>0</v>
      </c>
      <c r="Q366">
        <f>+data!AF366</f>
        <v>7.6033989999999996</v>
      </c>
      <c r="R366">
        <f>+data!AG366</f>
        <v>3.7612000000000001</v>
      </c>
      <c r="S366">
        <f>+data!AE366</f>
        <v>1</v>
      </c>
    </row>
    <row r="367" spans="1:19" x14ac:dyDescent="0.25">
      <c r="A367">
        <f>+data!AI367</f>
        <v>-0.28758517574638814</v>
      </c>
      <c r="B367">
        <f>+data!AJ367</f>
        <v>7.5481673424248913E-2</v>
      </c>
      <c r="C367">
        <f>+data!W367</f>
        <v>0</v>
      </c>
      <c r="D367">
        <f>+data!AQ367</f>
        <v>0</v>
      </c>
      <c r="E367">
        <f>+data!T367</f>
        <v>0</v>
      </c>
      <c r="F367">
        <f>+data!X367</f>
        <v>1</v>
      </c>
      <c r="G367">
        <f>+data!Y367</f>
        <v>0</v>
      </c>
      <c r="H367">
        <f>+data!U367</f>
        <v>1</v>
      </c>
      <c r="I367">
        <f>+data!V367</f>
        <v>0</v>
      </c>
      <c r="J367">
        <f>+data!AS367</f>
        <v>0</v>
      </c>
      <c r="K367">
        <f>+data!AT367</f>
        <v>1</v>
      </c>
      <c r="L367">
        <f>+data!AO367</f>
        <v>0</v>
      </c>
      <c r="M367">
        <f>+data!AN367</f>
        <v>1</v>
      </c>
      <c r="N367">
        <f>+data!AU367</f>
        <v>0</v>
      </c>
      <c r="O367">
        <f>+data!AV367</f>
        <v>1</v>
      </c>
      <c r="P367">
        <f>+data!AD367</f>
        <v>0</v>
      </c>
      <c r="Q367">
        <f>+data!AF367</f>
        <v>7.6033989999999996</v>
      </c>
      <c r="R367">
        <f>+data!AG367</f>
        <v>3.7612000000000001</v>
      </c>
      <c r="S367">
        <f>+data!AE367</f>
        <v>1</v>
      </c>
    </row>
    <row r="368" spans="1:19" x14ac:dyDescent="0.25">
      <c r="A368">
        <f>+data!AI368</f>
        <v>0.24139090773161187</v>
      </c>
      <c r="B368">
        <f>+data!AJ368</f>
        <v>0.14629751983734041</v>
      </c>
      <c r="C368">
        <f>+data!W368</f>
        <v>0</v>
      </c>
      <c r="D368">
        <f>+data!AQ368</f>
        <v>0</v>
      </c>
      <c r="E368">
        <f>+data!T368</f>
        <v>0</v>
      </c>
      <c r="F368">
        <f>+data!X368</f>
        <v>1</v>
      </c>
      <c r="G368">
        <f>+data!Y368</f>
        <v>0</v>
      </c>
      <c r="H368">
        <f>+data!U368</f>
        <v>1</v>
      </c>
      <c r="I368">
        <f>+data!V368</f>
        <v>1</v>
      </c>
      <c r="J368">
        <f>+data!AS368</f>
        <v>0</v>
      </c>
      <c r="K368">
        <f>+data!AT368</f>
        <v>1</v>
      </c>
      <c r="L368">
        <f>+data!AO368</f>
        <v>0</v>
      </c>
      <c r="M368">
        <f>+data!AN368</f>
        <v>1</v>
      </c>
      <c r="N368">
        <f>+data!AU368</f>
        <v>0</v>
      </c>
      <c r="O368">
        <f>+data!AV368</f>
        <v>1</v>
      </c>
      <c r="P368">
        <f>+data!AD368</f>
        <v>0</v>
      </c>
      <c r="Q368">
        <f>+data!AF368</f>
        <v>7.6033989999999996</v>
      </c>
      <c r="R368">
        <f>+data!AG368</f>
        <v>3.7612000000000001</v>
      </c>
      <c r="S368">
        <f>+data!AE368</f>
        <v>1</v>
      </c>
    </row>
    <row r="369" spans="1:19" x14ac:dyDescent="0.25">
      <c r="A369">
        <f>+data!AI369</f>
        <v>0.34138396859971459</v>
      </c>
      <c r="B369">
        <f>+data!AJ369</f>
        <v>0.13710199542157214</v>
      </c>
      <c r="C369">
        <f>+data!W369</f>
        <v>0</v>
      </c>
      <c r="D369">
        <f>+data!AQ369</f>
        <v>0</v>
      </c>
      <c r="E369">
        <f>+data!T369</f>
        <v>0</v>
      </c>
      <c r="F369">
        <f>+data!X369</f>
        <v>1</v>
      </c>
      <c r="G369">
        <f>+data!Y369</f>
        <v>0</v>
      </c>
      <c r="H369">
        <f>+data!U369</f>
        <v>1</v>
      </c>
      <c r="I369">
        <f>+data!V369</f>
        <v>0</v>
      </c>
      <c r="J369">
        <f>+data!AS369</f>
        <v>0</v>
      </c>
      <c r="K369">
        <f>+data!AT369</f>
        <v>1</v>
      </c>
      <c r="L369">
        <f>+data!AO369</f>
        <v>0</v>
      </c>
      <c r="M369">
        <f>+data!AN369</f>
        <v>1</v>
      </c>
      <c r="N369">
        <f>+data!AU369</f>
        <v>0</v>
      </c>
      <c r="O369">
        <f>+data!AV369</f>
        <v>1</v>
      </c>
      <c r="P369">
        <f>+data!AD369</f>
        <v>0</v>
      </c>
      <c r="Q369">
        <f>+data!AF369</f>
        <v>7.6033989999999996</v>
      </c>
      <c r="R369">
        <f>+data!AG369</f>
        <v>3.7612000000000001</v>
      </c>
      <c r="S369">
        <f>+data!AE369</f>
        <v>1</v>
      </c>
    </row>
    <row r="370" spans="1:19" x14ac:dyDescent="0.25">
      <c r="A370">
        <f>+data!AI370</f>
        <v>-0.37102740808116658</v>
      </c>
      <c r="B370">
        <f>+data!AJ370</f>
        <v>0.14161351453479648</v>
      </c>
      <c r="C370">
        <f>+data!W370</f>
        <v>0</v>
      </c>
      <c r="D370">
        <f>+data!AQ370</f>
        <v>0</v>
      </c>
      <c r="E370">
        <f>+data!T370</f>
        <v>0</v>
      </c>
      <c r="F370">
        <f>+data!X370</f>
        <v>1</v>
      </c>
      <c r="G370">
        <f>+data!Y370</f>
        <v>0</v>
      </c>
      <c r="H370">
        <f>+data!U370</f>
        <v>1</v>
      </c>
      <c r="I370">
        <f>+data!V370</f>
        <v>1</v>
      </c>
      <c r="J370">
        <f>+data!AS370</f>
        <v>0</v>
      </c>
      <c r="K370">
        <f>+data!AT370</f>
        <v>1</v>
      </c>
      <c r="L370">
        <f>+data!AO370</f>
        <v>0</v>
      </c>
      <c r="M370">
        <f>+data!AN370</f>
        <v>1</v>
      </c>
      <c r="N370">
        <f>+data!AU370</f>
        <v>0</v>
      </c>
      <c r="O370">
        <f>+data!AV370</f>
        <v>1</v>
      </c>
      <c r="P370">
        <f>+data!AD370</f>
        <v>0</v>
      </c>
      <c r="Q370">
        <f>+data!AF370</f>
        <v>7.6033989999999996</v>
      </c>
      <c r="R370">
        <f>+data!AG370</f>
        <v>3.7612000000000001</v>
      </c>
      <c r="S370">
        <f>+data!AE370</f>
        <v>1</v>
      </c>
    </row>
    <row r="371" spans="1:19" x14ac:dyDescent="0.25">
      <c r="A371">
        <f>+data!AI371</f>
        <v>-0.37694408917770217</v>
      </c>
      <c r="B371">
        <f>+data!AJ371</f>
        <v>0.13510540830742024</v>
      </c>
      <c r="C371">
        <f>+data!W371</f>
        <v>0</v>
      </c>
      <c r="D371">
        <f>+data!AQ371</f>
        <v>0</v>
      </c>
      <c r="E371">
        <f>+data!T371</f>
        <v>0</v>
      </c>
      <c r="F371">
        <f>+data!X371</f>
        <v>1</v>
      </c>
      <c r="G371">
        <f>+data!Y371</f>
        <v>0</v>
      </c>
      <c r="H371">
        <f>+data!U371</f>
        <v>1</v>
      </c>
      <c r="I371">
        <f>+data!V371</f>
        <v>0</v>
      </c>
      <c r="J371">
        <f>+data!AS371</f>
        <v>0</v>
      </c>
      <c r="K371">
        <f>+data!AT371</f>
        <v>1</v>
      </c>
      <c r="L371">
        <f>+data!AO371</f>
        <v>0</v>
      </c>
      <c r="M371">
        <f>+data!AN371</f>
        <v>1</v>
      </c>
      <c r="N371">
        <f>+data!AU371</f>
        <v>0</v>
      </c>
      <c r="O371">
        <f>+data!AV371</f>
        <v>1</v>
      </c>
      <c r="P371">
        <f>+data!AD371</f>
        <v>0</v>
      </c>
      <c r="Q371">
        <f>+data!AF371</f>
        <v>7.6033989999999996</v>
      </c>
      <c r="R371">
        <f>+data!AG371</f>
        <v>3.7612000000000001</v>
      </c>
      <c r="S371">
        <f>+data!AE371</f>
        <v>1</v>
      </c>
    </row>
    <row r="372" spans="1:19" x14ac:dyDescent="0.25">
      <c r="A372">
        <f>+data!AI372</f>
        <v>-0.36429190826064706</v>
      </c>
      <c r="B372">
        <f>+data!AJ372</f>
        <v>0.12022835256126957</v>
      </c>
      <c r="C372">
        <f>+data!W372</f>
        <v>0</v>
      </c>
      <c r="D372">
        <f>+data!AQ372</f>
        <v>0</v>
      </c>
      <c r="E372">
        <f>+data!T372</f>
        <v>0</v>
      </c>
      <c r="F372">
        <f>+data!X372</f>
        <v>1</v>
      </c>
      <c r="G372">
        <f>+data!Y372</f>
        <v>0</v>
      </c>
      <c r="H372">
        <f>+data!U372</f>
        <v>1</v>
      </c>
      <c r="I372">
        <f>+data!V372</f>
        <v>1</v>
      </c>
      <c r="J372">
        <f>+data!AS372</f>
        <v>0</v>
      </c>
      <c r="K372">
        <f>+data!AT372</f>
        <v>1</v>
      </c>
      <c r="L372">
        <f>+data!AO372</f>
        <v>0</v>
      </c>
      <c r="M372">
        <f>+data!AN372</f>
        <v>1</v>
      </c>
      <c r="N372">
        <f>+data!AU372</f>
        <v>0</v>
      </c>
      <c r="O372">
        <f>+data!AV372</f>
        <v>1</v>
      </c>
      <c r="P372">
        <f>+data!AD372</f>
        <v>0</v>
      </c>
      <c r="Q372">
        <f>+data!AF372</f>
        <v>7.6033989999999996</v>
      </c>
      <c r="R372">
        <f>+data!AG372</f>
        <v>3.7612000000000001</v>
      </c>
      <c r="S372">
        <f>+data!AE372</f>
        <v>1</v>
      </c>
    </row>
    <row r="373" spans="1:19" x14ac:dyDescent="0.25">
      <c r="A373">
        <f>+data!AI373</f>
        <v>-0.34455559773318273</v>
      </c>
      <c r="B373">
        <f>+data!AJ373</f>
        <v>0.11922339021909392</v>
      </c>
      <c r="C373">
        <f>+data!W373</f>
        <v>0</v>
      </c>
      <c r="D373">
        <f>+data!AQ373</f>
        <v>0</v>
      </c>
      <c r="E373">
        <f>+data!T373</f>
        <v>0</v>
      </c>
      <c r="F373">
        <f>+data!X373</f>
        <v>1</v>
      </c>
      <c r="G373">
        <f>+data!Y373</f>
        <v>0</v>
      </c>
      <c r="H373">
        <f>+data!U373</f>
        <v>0</v>
      </c>
      <c r="I373">
        <f>+data!V373</f>
        <v>1</v>
      </c>
      <c r="J373">
        <f>+data!AS373</f>
        <v>0</v>
      </c>
      <c r="K373">
        <f>+data!AT373</f>
        <v>1</v>
      </c>
      <c r="L373">
        <f>+data!AO373</f>
        <v>0</v>
      </c>
      <c r="M373">
        <f>+data!AN373</f>
        <v>1</v>
      </c>
      <c r="N373">
        <f>+data!AU373</f>
        <v>0</v>
      </c>
      <c r="O373">
        <f>+data!AV373</f>
        <v>1</v>
      </c>
      <c r="P373">
        <f>+data!AD373</f>
        <v>0</v>
      </c>
      <c r="Q373">
        <f>+data!AF373</f>
        <v>7.6033989999999996</v>
      </c>
      <c r="R373">
        <f>+data!AG373</f>
        <v>3.7612000000000001</v>
      </c>
      <c r="S373">
        <f>+data!AE373</f>
        <v>1</v>
      </c>
    </row>
    <row r="374" spans="1:19" x14ac:dyDescent="0.25">
      <c r="A374">
        <f>+data!AI374</f>
        <v>-0.24163885545687439</v>
      </c>
      <c r="B374">
        <f>+data!AJ374</f>
        <v>7.6955049508558734E-2</v>
      </c>
      <c r="C374">
        <f>+data!W374</f>
        <v>0</v>
      </c>
      <c r="D374">
        <f>+data!AQ374</f>
        <v>0</v>
      </c>
      <c r="E374">
        <f>+data!T374</f>
        <v>0</v>
      </c>
      <c r="F374">
        <f>+data!X374</f>
        <v>1</v>
      </c>
      <c r="G374">
        <f>+data!Y374</f>
        <v>0</v>
      </c>
      <c r="H374">
        <f>+data!U374</f>
        <v>1</v>
      </c>
      <c r="I374">
        <f>+data!V374</f>
        <v>1</v>
      </c>
      <c r="J374">
        <f>+data!AS374</f>
        <v>0</v>
      </c>
      <c r="K374">
        <f>+data!AT374</f>
        <v>1</v>
      </c>
      <c r="L374">
        <f>+data!AO374</f>
        <v>0</v>
      </c>
      <c r="M374">
        <f>+data!AN374</f>
        <v>1</v>
      </c>
      <c r="N374">
        <f>+data!AU374</f>
        <v>0</v>
      </c>
      <c r="O374">
        <f>+data!AV374</f>
        <v>1</v>
      </c>
      <c r="P374">
        <f>+data!AD374</f>
        <v>0</v>
      </c>
      <c r="Q374">
        <f>+data!AF374</f>
        <v>7.6033989999999996</v>
      </c>
      <c r="R374">
        <f>+data!AG374</f>
        <v>3.7612000000000001</v>
      </c>
      <c r="S374">
        <f>+data!AE374</f>
        <v>1</v>
      </c>
    </row>
    <row r="375" spans="1:19" x14ac:dyDescent="0.25">
      <c r="A375">
        <f>+data!AI375</f>
        <v>-0.25811609935777868</v>
      </c>
      <c r="B375">
        <f>+data!AJ375</f>
        <v>7.6140442288430393E-2</v>
      </c>
      <c r="C375">
        <f>+data!W375</f>
        <v>0</v>
      </c>
      <c r="D375">
        <f>+data!AQ375</f>
        <v>0</v>
      </c>
      <c r="E375">
        <f>+data!T375</f>
        <v>0</v>
      </c>
      <c r="F375">
        <f>+data!X375</f>
        <v>1</v>
      </c>
      <c r="G375">
        <f>+data!Y375</f>
        <v>0</v>
      </c>
      <c r="H375">
        <f>+data!U375</f>
        <v>1</v>
      </c>
      <c r="I375">
        <f>+data!V375</f>
        <v>0</v>
      </c>
      <c r="J375">
        <f>+data!AS375</f>
        <v>0</v>
      </c>
      <c r="K375">
        <f>+data!AT375</f>
        <v>1</v>
      </c>
      <c r="L375">
        <f>+data!AO375</f>
        <v>0</v>
      </c>
      <c r="M375">
        <f>+data!AN375</f>
        <v>1</v>
      </c>
      <c r="N375">
        <f>+data!AU375</f>
        <v>0</v>
      </c>
      <c r="O375">
        <f>+data!AV375</f>
        <v>1</v>
      </c>
      <c r="P375">
        <f>+data!AD375</f>
        <v>0</v>
      </c>
      <c r="Q375">
        <f>+data!AF375</f>
        <v>7.6033989999999996</v>
      </c>
      <c r="R375">
        <f>+data!AG375</f>
        <v>3.7612000000000001</v>
      </c>
      <c r="S375">
        <f>+data!AE375</f>
        <v>1</v>
      </c>
    </row>
    <row r="376" spans="1:19" x14ac:dyDescent="0.25">
      <c r="A376">
        <f>+data!AI376</f>
        <v>-0.16427821668313963</v>
      </c>
      <c r="B376">
        <f>+data!AJ376</f>
        <v>7.8227722230066549E-2</v>
      </c>
      <c r="C376">
        <f>+data!W376</f>
        <v>0</v>
      </c>
      <c r="D376">
        <f>+data!AQ376</f>
        <v>0</v>
      </c>
      <c r="E376">
        <f>+data!T376</f>
        <v>0</v>
      </c>
      <c r="F376">
        <f>+data!X376</f>
        <v>1</v>
      </c>
      <c r="G376">
        <f>+data!Y376</f>
        <v>0</v>
      </c>
      <c r="H376">
        <f>+data!U376</f>
        <v>1</v>
      </c>
      <c r="I376">
        <f>+data!V376</f>
        <v>1</v>
      </c>
      <c r="J376">
        <f>+data!AS376</f>
        <v>0</v>
      </c>
      <c r="K376">
        <f>+data!AT376</f>
        <v>1</v>
      </c>
      <c r="L376">
        <f>+data!AO376</f>
        <v>0</v>
      </c>
      <c r="M376">
        <f>+data!AN376</f>
        <v>1</v>
      </c>
      <c r="N376">
        <f>+data!AU376</f>
        <v>0</v>
      </c>
      <c r="O376">
        <f>+data!AV376</f>
        <v>1</v>
      </c>
      <c r="P376">
        <f>+data!AD376</f>
        <v>0</v>
      </c>
      <c r="Q376">
        <f>+data!AF376</f>
        <v>7.6033989999999996</v>
      </c>
      <c r="R376">
        <f>+data!AG376</f>
        <v>3.7612000000000001</v>
      </c>
      <c r="S376">
        <f>+data!AE376</f>
        <v>1</v>
      </c>
    </row>
    <row r="377" spans="1:19" x14ac:dyDescent="0.25">
      <c r="A377">
        <f>+data!AI377</f>
        <v>-0.20309519044812471</v>
      </c>
      <c r="B377">
        <f>+data!AJ377</f>
        <v>7.6929996381865429E-2</v>
      </c>
      <c r="C377">
        <f>+data!W377</f>
        <v>0</v>
      </c>
      <c r="D377">
        <f>+data!AQ377</f>
        <v>0</v>
      </c>
      <c r="E377">
        <f>+data!T377</f>
        <v>0</v>
      </c>
      <c r="F377">
        <f>+data!X377</f>
        <v>1</v>
      </c>
      <c r="G377">
        <f>+data!Y377</f>
        <v>0</v>
      </c>
      <c r="H377">
        <f>+data!U377</f>
        <v>1</v>
      </c>
      <c r="I377">
        <f>+data!V377</f>
        <v>0</v>
      </c>
      <c r="J377">
        <f>+data!AS377</f>
        <v>0</v>
      </c>
      <c r="K377">
        <f>+data!AT377</f>
        <v>1</v>
      </c>
      <c r="L377">
        <f>+data!AO377</f>
        <v>0</v>
      </c>
      <c r="M377">
        <f>+data!AN377</f>
        <v>1</v>
      </c>
      <c r="N377">
        <f>+data!AU377</f>
        <v>0</v>
      </c>
      <c r="O377">
        <f>+data!AV377</f>
        <v>1</v>
      </c>
      <c r="P377">
        <f>+data!AD377</f>
        <v>0</v>
      </c>
      <c r="Q377">
        <f>+data!AF377</f>
        <v>7.6033989999999996</v>
      </c>
      <c r="R377">
        <f>+data!AG377</f>
        <v>3.7612000000000001</v>
      </c>
      <c r="S377">
        <f>+data!AE377</f>
        <v>1</v>
      </c>
    </row>
    <row r="378" spans="1:19" x14ac:dyDescent="0.25">
      <c r="A378">
        <f>+data!AI378</f>
        <v>-0.53476366981500356</v>
      </c>
      <c r="B378">
        <f>+data!AJ378</f>
        <v>6.701299120488767E-2</v>
      </c>
      <c r="C378">
        <f>+data!W378</f>
        <v>0</v>
      </c>
      <c r="D378">
        <f>+data!AQ378</f>
        <v>0</v>
      </c>
      <c r="E378">
        <f>+data!T378</f>
        <v>0</v>
      </c>
      <c r="F378">
        <f>+data!X378</f>
        <v>1</v>
      </c>
      <c r="G378">
        <f>+data!Y378</f>
        <v>0</v>
      </c>
      <c r="H378">
        <f>+data!U378</f>
        <v>1</v>
      </c>
      <c r="I378">
        <f>+data!V378</f>
        <v>1</v>
      </c>
      <c r="J378">
        <f>+data!AS378</f>
        <v>0</v>
      </c>
      <c r="K378">
        <f>+data!AT378</f>
        <v>1</v>
      </c>
      <c r="L378">
        <f>+data!AO378</f>
        <v>0</v>
      </c>
      <c r="M378">
        <f>+data!AN378</f>
        <v>1</v>
      </c>
      <c r="N378">
        <f>+data!AU378</f>
        <v>0</v>
      </c>
      <c r="O378">
        <f>+data!AV378</f>
        <v>1</v>
      </c>
      <c r="P378">
        <f>+data!AD378</f>
        <v>0</v>
      </c>
      <c r="Q378">
        <f>+data!AF378</f>
        <v>7.6033989999999996</v>
      </c>
      <c r="R378">
        <f>+data!AG378</f>
        <v>3.7612000000000001</v>
      </c>
      <c r="S378">
        <f>+data!AE378</f>
        <v>1</v>
      </c>
    </row>
    <row r="379" spans="1:19" x14ac:dyDescent="0.25">
      <c r="A379">
        <f>+data!AI379</f>
        <v>-0.53476366981500356</v>
      </c>
      <c r="B379">
        <f>+data!AJ379</f>
        <v>6.701299120488767E-2</v>
      </c>
      <c r="C379">
        <f>+data!W379</f>
        <v>0</v>
      </c>
      <c r="D379">
        <f>+data!AQ379</f>
        <v>0</v>
      </c>
      <c r="E379">
        <f>+data!T379</f>
        <v>0</v>
      </c>
      <c r="F379">
        <f>+data!X379</f>
        <v>1</v>
      </c>
      <c r="G379">
        <f>+data!Y379</f>
        <v>0</v>
      </c>
      <c r="H379">
        <f>+data!U379</f>
        <v>1</v>
      </c>
      <c r="I379">
        <f>+data!V379</f>
        <v>1</v>
      </c>
      <c r="J379">
        <f>+data!AS379</f>
        <v>0</v>
      </c>
      <c r="K379">
        <f>+data!AT379</f>
        <v>1</v>
      </c>
      <c r="L379">
        <f>+data!AO379</f>
        <v>0</v>
      </c>
      <c r="M379">
        <f>+data!AN379</f>
        <v>1</v>
      </c>
      <c r="N379">
        <f>+data!AU379</f>
        <v>0</v>
      </c>
      <c r="O379">
        <f>+data!AV379</f>
        <v>1</v>
      </c>
      <c r="P379">
        <f>+data!AD379</f>
        <v>0</v>
      </c>
      <c r="Q379">
        <f>+data!AF379</f>
        <v>7.6033989999999996</v>
      </c>
      <c r="R379">
        <f>+data!AG379</f>
        <v>3.7612000000000001</v>
      </c>
      <c r="S379">
        <f>+data!AE379</f>
        <v>1</v>
      </c>
    </row>
    <row r="380" spans="1:19" x14ac:dyDescent="0.25">
      <c r="A380">
        <f>+data!AI380</f>
        <v>-0.32887402385213088</v>
      </c>
      <c r="B380">
        <f>+data!AJ380</f>
        <v>0.14236970729529477</v>
      </c>
      <c r="C380">
        <f>+data!W380</f>
        <v>0</v>
      </c>
      <c r="D380">
        <f>+data!AQ380</f>
        <v>0</v>
      </c>
      <c r="E380">
        <f>+data!T380</f>
        <v>0</v>
      </c>
      <c r="F380">
        <f>+data!X380</f>
        <v>1</v>
      </c>
      <c r="G380">
        <f>+data!Y380</f>
        <v>0</v>
      </c>
      <c r="H380">
        <f>+data!U380</f>
        <v>1</v>
      </c>
      <c r="I380">
        <f>+data!V380</f>
        <v>1</v>
      </c>
      <c r="J380">
        <f>+data!AS380</f>
        <v>0</v>
      </c>
      <c r="K380">
        <f>+data!AT380</f>
        <v>1</v>
      </c>
      <c r="L380">
        <f>+data!AO380</f>
        <v>0</v>
      </c>
      <c r="M380">
        <f>+data!AN380</f>
        <v>1</v>
      </c>
      <c r="N380">
        <f>+data!AU380</f>
        <v>0</v>
      </c>
      <c r="O380">
        <f>+data!AV380</f>
        <v>1</v>
      </c>
      <c r="P380">
        <f>+data!AD380</f>
        <v>0</v>
      </c>
      <c r="Q380">
        <f>+data!AF380</f>
        <v>7.6033989999999996</v>
      </c>
      <c r="R380">
        <f>+data!AG380</f>
        <v>3.7612000000000001</v>
      </c>
      <c r="S380">
        <f>+data!AE380</f>
        <v>1</v>
      </c>
    </row>
    <row r="381" spans="1:19" x14ac:dyDescent="0.25">
      <c r="A381">
        <f>+data!AI381</f>
        <v>-0.32115263264204269</v>
      </c>
      <c r="B381">
        <f>+data!AJ381</f>
        <v>0.13963157940958376</v>
      </c>
      <c r="C381">
        <f>+data!W381</f>
        <v>0</v>
      </c>
      <c r="D381">
        <f>+data!AQ381</f>
        <v>0</v>
      </c>
      <c r="E381">
        <f>+data!T381</f>
        <v>0</v>
      </c>
      <c r="F381">
        <f>+data!X381</f>
        <v>1</v>
      </c>
      <c r="G381">
        <f>+data!Y381</f>
        <v>0</v>
      </c>
      <c r="H381">
        <f>+data!U381</f>
        <v>1</v>
      </c>
      <c r="I381">
        <f>+data!V381</f>
        <v>1</v>
      </c>
      <c r="J381">
        <f>+data!AS381</f>
        <v>0</v>
      </c>
      <c r="K381">
        <f>+data!AT381</f>
        <v>1</v>
      </c>
      <c r="L381">
        <f>+data!AO381</f>
        <v>0</v>
      </c>
      <c r="M381">
        <f>+data!AN381</f>
        <v>1</v>
      </c>
      <c r="N381">
        <f>+data!AU381</f>
        <v>0</v>
      </c>
      <c r="O381">
        <f>+data!AV381</f>
        <v>1</v>
      </c>
      <c r="P381">
        <f>+data!AD381</f>
        <v>0</v>
      </c>
      <c r="Q381">
        <f>+data!AF381</f>
        <v>7.6033989999999996</v>
      </c>
      <c r="R381">
        <f>+data!AG381</f>
        <v>3.7612000000000001</v>
      </c>
      <c r="S381">
        <f>+data!AE381</f>
        <v>1</v>
      </c>
    </row>
    <row r="382" spans="1:19" x14ac:dyDescent="0.25">
      <c r="A382">
        <f>+data!AI382</f>
        <v>-0.65994666792337164</v>
      </c>
      <c r="B382">
        <f>+data!AJ382</f>
        <v>0.11457407429225204</v>
      </c>
      <c r="C382">
        <f>+data!W382</f>
        <v>0</v>
      </c>
      <c r="D382">
        <f>+data!AQ382</f>
        <v>0</v>
      </c>
      <c r="E382">
        <f>+data!T382</f>
        <v>0</v>
      </c>
      <c r="F382">
        <f>+data!X382</f>
        <v>1</v>
      </c>
      <c r="G382">
        <f>+data!Y382</f>
        <v>0</v>
      </c>
      <c r="H382">
        <f>+data!U382</f>
        <v>1</v>
      </c>
      <c r="I382">
        <f>+data!V382</f>
        <v>1</v>
      </c>
      <c r="J382">
        <f>+data!AS382</f>
        <v>0</v>
      </c>
      <c r="K382">
        <f>+data!AT382</f>
        <v>1</v>
      </c>
      <c r="L382">
        <f>+data!AO382</f>
        <v>0</v>
      </c>
      <c r="M382">
        <f>+data!AN382</f>
        <v>1</v>
      </c>
      <c r="N382">
        <f>+data!AU382</f>
        <v>0</v>
      </c>
      <c r="O382">
        <f>+data!AV382</f>
        <v>1</v>
      </c>
      <c r="P382">
        <f>+data!AD382</f>
        <v>0</v>
      </c>
      <c r="Q382">
        <f>+data!AF382</f>
        <v>7.6033989999999996</v>
      </c>
      <c r="R382">
        <f>+data!AG382</f>
        <v>3.7612000000000001</v>
      </c>
      <c r="S382">
        <f>+data!AE382</f>
        <v>1</v>
      </c>
    </row>
    <row r="383" spans="1:19" x14ac:dyDescent="0.25">
      <c r="A383">
        <f>+data!AI383</f>
        <v>-0.64441262248643416</v>
      </c>
      <c r="B383">
        <f>+data!AJ383</f>
        <v>0.11527953890633889</v>
      </c>
      <c r="C383">
        <f>+data!W383</f>
        <v>0</v>
      </c>
      <c r="D383">
        <f>+data!AQ383</f>
        <v>0</v>
      </c>
      <c r="E383">
        <f>+data!T383</f>
        <v>0</v>
      </c>
      <c r="F383">
        <f>+data!X383</f>
        <v>1</v>
      </c>
      <c r="G383">
        <f>+data!Y383</f>
        <v>0</v>
      </c>
      <c r="H383">
        <f>+data!U383</f>
        <v>1</v>
      </c>
      <c r="I383">
        <f>+data!V383</f>
        <v>0</v>
      </c>
      <c r="J383">
        <f>+data!AS383</f>
        <v>0</v>
      </c>
      <c r="K383">
        <f>+data!AT383</f>
        <v>1</v>
      </c>
      <c r="L383">
        <f>+data!AO383</f>
        <v>0</v>
      </c>
      <c r="M383">
        <f>+data!AN383</f>
        <v>1</v>
      </c>
      <c r="N383">
        <f>+data!AU383</f>
        <v>0</v>
      </c>
      <c r="O383">
        <f>+data!AV383</f>
        <v>1</v>
      </c>
      <c r="P383">
        <f>+data!AD383</f>
        <v>0</v>
      </c>
      <c r="Q383">
        <f>+data!AF383</f>
        <v>7.6033989999999996</v>
      </c>
      <c r="R383">
        <f>+data!AG383</f>
        <v>3.7612000000000001</v>
      </c>
      <c r="S383">
        <f>+data!AE383</f>
        <v>1</v>
      </c>
    </row>
    <row r="384" spans="1:19" x14ac:dyDescent="0.25">
      <c r="A384">
        <f>+data!AI384</f>
        <v>-0.61428072523454902</v>
      </c>
      <c r="B384">
        <f>+data!AJ384</f>
        <v>0.1018707670372383</v>
      </c>
      <c r="C384">
        <f>+data!W384</f>
        <v>0</v>
      </c>
      <c r="D384">
        <f>+data!AQ384</f>
        <v>0</v>
      </c>
      <c r="E384">
        <f>+data!T384</f>
        <v>0</v>
      </c>
      <c r="F384">
        <f>+data!X384</f>
        <v>1</v>
      </c>
      <c r="G384">
        <f>+data!Y384</f>
        <v>0</v>
      </c>
      <c r="H384">
        <f>+data!U384</f>
        <v>1</v>
      </c>
      <c r="I384">
        <f>+data!V384</f>
        <v>1</v>
      </c>
      <c r="J384">
        <f>+data!AS384</f>
        <v>0</v>
      </c>
      <c r="K384">
        <f>+data!AT384</f>
        <v>1</v>
      </c>
      <c r="L384">
        <f>+data!AO384</f>
        <v>0</v>
      </c>
      <c r="M384">
        <f>+data!AN384</f>
        <v>1</v>
      </c>
      <c r="N384">
        <f>+data!AU384</f>
        <v>0</v>
      </c>
      <c r="O384">
        <f>+data!AV384</f>
        <v>1</v>
      </c>
      <c r="P384">
        <f>+data!AD384</f>
        <v>0</v>
      </c>
      <c r="Q384">
        <f>+data!AF384</f>
        <v>7.6033989999999996</v>
      </c>
      <c r="R384">
        <f>+data!AG384</f>
        <v>3.7612000000000001</v>
      </c>
      <c r="S384">
        <f>+data!AE384</f>
        <v>1</v>
      </c>
    </row>
    <row r="385" spans="1:19" x14ac:dyDescent="0.25">
      <c r="A385">
        <f>+data!AI385</f>
        <v>-0.61428072523454902</v>
      </c>
      <c r="B385">
        <f>+data!AJ385</f>
        <v>0.1018707670372383</v>
      </c>
      <c r="C385">
        <f>+data!W385</f>
        <v>0</v>
      </c>
      <c r="D385">
        <f>+data!AQ385</f>
        <v>0</v>
      </c>
      <c r="E385">
        <f>+data!T385</f>
        <v>0</v>
      </c>
      <c r="F385">
        <f>+data!X385</f>
        <v>1</v>
      </c>
      <c r="G385">
        <f>+data!Y385</f>
        <v>0</v>
      </c>
      <c r="H385">
        <f>+data!U385</f>
        <v>1</v>
      </c>
      <c r="I385">
        <f>+data!V385</f>
        <v>1</v>
      </c>
      <c r="J385">
        <f>+data!AS385</f>
        <v>0</v>
      </c>
      <c r="K385">
        <f>+data!AT385</f>
        <v>1</v>
      </c>
      <c r="L385">
        <f>+data!AO385</f>
        <v>0</v>
      </c>
      <c r="M385">
        <f>+data!AN385</f>
        <v>1</v>
      </c>
      <c r="N385">
        <f>+data!AU385</f>
        <v>0</v>
      </c>
      <c r="O385">
        <f>+data!AV385</f>
        <v>1</v>
      </c>
      <c r="P385">
        <f>+data!AD385</f>
        <v>0</v>
      </c>
      <c r="Q385">
        <f>+data!AF385</f>
        <v>7.6033989999999996</v>
      </c>
      <c r="R385">
        <f>+data!AG385</f>
        <v>3.7612000000000001</v>
      </c>
      <c r="S385">
        <f>+data!AE385</f>
        <v>1</v>
      </c>
    </row>
    <row r="386" spans="1:19" x14ac:dyDescent="0.25">
      <c r="A386">
        <f>+data!AI386</f>
        <v>-0.4984466269138868</v>
      </c>
      <c r="B386">
        <f>+data!AJ386</f>
        <v>6.8751258884674066E-2</v>
      </c>
      <c r="C386">
        <f>+data!W386</f>
        <v>0</v>
      </c>
      <c r="D386">
        <f>+data!AQ386</f>
        <v>0</v>
      </c>
      <c r="E386">
        <f>+data!T386</f>
        <v>0</v>
      </c>
      <c r="F386">
        <f>+data!X386</f>
        <v>1</v>
      </c>
      <c r="G386">
        <f>+data!Y386</f>
        <v>0</v>
      </c>
      <c r="H386">
        <f>+data!U386</f>
        <v>1</v>
      </c>
      <c r="I386">
        <f>+data!V386</f>
        <v>1</v>
      </c>
      <c r="J386">
        <f>+data!AS386</f>
        <v>0</v>
      </c>
      <c r="K386">
        <f>+data!AT386</f>
        <v>1</v>
      </c>
      <c r="L386">
        <f>+data!AO386</f>
        <v>0</v>
      </c>
      <c r="M386">
        <f>+data!AN386</f>
        <v>1</v>
      </c>
      <c r="N386">
        <f>+data!AU386</f>
        <v>0</v>
      </c>
      <c r="O386">
        <f>+data!AV386</f>
        <v>1</v>
      </c>
      <c r="P386">
        <f>+data!AD386</f>
        <v>0</v>
      </c>
      <c r="Q386">
        <f>+data!AF386</f>
        <v>7.6033989999999996</v>
      </c>
      <c r="R386">
        <f>+data!AG386</f>
        <v>3.7612000000000001</v>
      </c>
      <c r="S386">
        <f>+data!AE386</f>
        <v>1</v>
      </c>
    </row>
    <row r="387" spans="1:19" x14ac:dyDescent="0.25">
      <c r="A387">
        <f>+data!AI387</f>
        <v>-0.4984466269138868</v>
      </c>
      <c r="B387">
        <f>+data!AJ387</f>
        <v>6.8751258884674066E-2</v>
      </c>
      <c r="C387">
        <f>+data!W387</f>
        <v>0</v>
      </c>
      <c r="D387">
        <f>+data!AQ387</f>
        <v>0</v>
      </c>
      <c r="E387">
        <f>+data!T387</f>
        <v>0</v>
      </c>
      <c r="F387">
        <f>+data!X387</f>
        <v>1</v>
      </c>
      <c r="G387">
        <f>+data!Y387</f>
        <v>0</v>
      </c>
      <c r="H387">
        <f>+data!U387</f>
        <v>1</v>
      </c>
      <c r="I387">
        <f>+data!V387</f>
        <v>1</v>
      </c>
      <c r="J387">
        <f>+data!AS387</f>
        <v>0</v>
      </c>
      <c r="K387">
        <f>+data!AT387</f>
        <v>1</v>
      </c>
      <c r="L387">
        <f>+data!AO387</f>
        <v>0</v>
      </c>
      <c r="M387">
        <f>+data!AN387</f>
        <v>1</v>
      </c>
      <c r="N387">
        <f>+data!AU387</f>
        <v>0</v>
      </c>
      <c r="O387">
        <f>+data!AV387</f>
        <v>1</v>
      </c>
      <c r="P387">
        <f>+data!AD387</f>
        <v>0</v>
      </c>
      <c r="Q387">
        <f>+data!AF387</f>
        <v>7.6033989999999996</v>
      </c>
      <c r="R387">
        <f>+data!AG387</f>
        <v>3.7612000000000001</v>
      </c>
      <c r="S387">
        <f>+data!AE387</f>
        <v>1</v>
      </c>
    </row>
    <row r="388" spans="1:19" x14ac:dyDescent="0.25">
      <c r="A388">
        <f>+data!AI388</f>
        <v>-0.40467051820397115</v>
      </c>
      <c r="B388">
        <f>+data!AJ388</f>
        <v>7.2521598244439281E-2</v>
      </c>
      <c r="C388">
        <f>+data!W388</f>
        <v>0</v>
      </c>
      <c r="D388">
        <f>+data!AQ388</f>
        <v>0</v>
      </c>
      <c r="E388">
        <f>+data!T388</f>
        <v>0</v>
      </c>
      <c r="F388">
        <f>+data!X388</f>
        <v>1</v>
      </c>
      <c r="G388">
        <f>+data!Y388</f>
        <v>0</v>
      </c>
      <c r="H388">
        <f>+data!U388</f>
        <v>1</v>
      </c>
      <c r="I388">
        <f>+data!V388</f>
        <v>1</v>
      </c>
      <c r="J388">
        <f>+data!AS388</f>
        <v>0</v>
      </c>
      <c r="K388">
        <f>+data!AT388</f>
        <v>1</v>
      </c>
      <c r="L388">
        <f>+data!AO388</f>
        <v>0</v>
      </c>
      <c r="M388">
        <f>+data!AN388</f>
        <v>1</v>
      </c>
      <c r="N388">
        <f>+data!AU388</f>
        <v>0</v>
      </c>
      <c r="O388">
        <f>+data!AV388</f>
        <v>1</v>
      </c>
      <c r="P388">
        <f>+data!AD388</f>
        <v>0</v>
      </c>
      <c r="Q388">
        <f>+data!AF388</f>
        <v>7.6033989999999996</v>
      </c>
      <c r="R388">
        <f>+data!AG388</f>
        <v>3.7612000000000001</v>
      </c>
      <c r="S388">
        <f>+data!AE388</f>
        <v>1</v>
      </c>
    </row>
    <row r="389" spans="1:19" x14ac:dyDescent="0.25">
      <c r="A389">
        <f>+data!AI389</f>
        <v>-0.40467051820397115</v>
      </c>
      <c r="B389">
        <f>+data!AJ389</f>
        <v>7.2521598244439281E-2</v>
      </c>
      <c r="C389">
        <f>+data!W389</f>
        <v>0</v>
      </c>
      <c r="D389">
        <f>+data!AQ389</f>
        <v>0</v>
      </c>
      <c r="E389">
        <f>+data!T389</f>
        <v>0</v>
      </c>
      <c r="F389">
        <f>+data!X389</f>
        <v>1</v>
      </c>
      <c r="G389">
        <f>+data!Y389</f>
        <v>0</v>
      </c>
      <c r="H389">
        <f>+data!U389</f>
        <v>1</v>
      </c>
      <c r="I389">
        <f>+data!V389</f>
        <v>1</v>
      </c>
      <c r="J389">
        <f>+data!AS389</f>
        <v>0</v>
      </c>
      <c r="K389">
        <f>+data!AT389</f>
        <v>1</v>
      </c>
      <c r="L389">
        <f>+data!AO389</f>
        <v>0</v>
      </c>
      <c r="M389">
        <f>+data!AN389</f>
        <v>1</v>
      </c>
      <c r="N389">
        <f>+data!AU389</f>
        <v>0</v>
      </c>
      <c r="O389">
        <f>+data!AV389</f>
        <v>1</v>
      </c>
      <c r="P389">
        <f>+data!AD389</f>
        <v>0</v>
      </c>
      <c r="Q389">
        <f>+data!AF389</f>
        <v>7.6033989999999996</v>
      </c>
      <c r="R389">
        <f>+data!AG389</f>
        <v>3.7612000000000001</v>
      </c>
      <c r="S389">
        <f>+data!AE389</f>
        <v>1</v>
      </c>
    </row>
    <row r="390" spans="1:19" x14ac:dyDescent="0.25">
      <c r="A390">
        <f>+data!AI390</f>
        <v>8.6023545577542951E-2</v>
      </c>
      <c r="B390">
        <f>+data!AJ390</f>
        <v>0.159534575434716</v>
      </c>
      <c r="C390">
        <f>+data!W390</f>
        <v>0</v>
      </c>
      <c r="D390">
        <f>+data!AQ390</f>
        <v>1</v>
      </c>
      <c r="E390">
        <f>+data!T390</f>
        <v>0</v>
      </c>
      <c r="F390">
        <f>+data!X390</f>
        <v>0</v>
      </c>
      <c r="G390">
        <f>+data!Y390</f>
        <v>1</v>
      </c>
      <c r="H390">
        <f>+data!U390</f>
        <v>0</v>
      </c>
      <c r="I390">
        <f>+data!V390</f>
        <v>1</v>
      </c>
      <c r="J390">
        <f>+data!AS390</f>
        <v>0</v>
      </c>
      <c r="K390">
        <f>+data!AT390</f>
        <v>0</v>
      </c>
      <c r="L390">
        <f>+data!AO390</f>
        <v>0</v>
      </c>
      <c r="M390">
        <f>+data!AN390</f>
        <v>0</v>
      </c>
      <c r="N390">
        <f>+data!AU390</f>
        <v>0</v>
      </c>
      <c r="O390">
        <f>+data!AV390</f>
        <v>0</v>
      </c>
      <c r="P390">
        <f>+data!AD390</f>
        <v>1</v>
      </c>
      <c r="Q390">
        <f>+data!AF390</f>
        <v>7.5978979999999998</v>
      </c>
      <c r="R390">
        <f>+data!AG390</f>
        <v>4.4308170000000002</v>
      </c>
      <c r="S390">
        <f>+data!AE390</f>
        <v>1</v>
      </c>
    </row>
    <row r="391" spans="1:19" x14ac:dyDescent="0.25">
      <c r="A391">
        <f>+data!AI391</f>
        <v>0.17785707011789931</v>
      </c>
      <c r="B391">
        <f>+data!AJ391</f>
        <v>0.15757512352550729</v>
      </c>
      <c r="C391">
        <f>+data!W391</f>
        <v>0</v>
      </c>
      <c r="D391">
        <f>+data!AQ391</f>
        <v>1</v>
      </c>
      <c r="E391">
        <f>+data!T391</f>
        <v>0</v>
      </c>
      <c r="F391">
        <f>+data!X391</f>
        <v>0</v>
      </c>
      <c r="G391">
        <f>+data!Y391</f>
        <v>1</v>
      </c>
      <c r="H391">
        <f>+data!U391</f>
        <v>0</v>
      </c>
      <c r="I391">
        <f>+data!V391</f>
        <v>1</v>
      </c>
      <c r="J391">
        <f>+data!AS391</f>
        <v>0</v>
      </c>
      <c r="K391">
        <f>+data!AT391</f>
        <v>0</v>
      </c>
      <c r="L391">
        <f>+data!AO391</f>
        <v>0</v>
      </c>
      <c r="M391">
        <f>+data!AN391</f>
        <v>0</v>
      </c>
      <c r="N391">
        <f>+data!AU391</f>
        <v>0</v>
      </c>
      <c r="O391">
        <f>+data!AV391</f>
        <v>0</v>
      </c>
      <c r="P391">
        <f>+data!AD391</f>
        <v>1</v>
      </c>
      <c r="Q391">
        <f>+data!AF391</f>
        <v>7.5978979999999998</v>
      </c>
      <c r="R391">
        <f>+data!AG391</f>
        <v>4.4308170000000002</v>
      </c>
      <c r="S391">
        <f>+data!AE391</f>
        <v>1</v>
      </c>
    </row>
    <row r="392" spans="1:19" x14ac:dyDescent="0.25">
      <c r="A392">
        <f>+data!AI392</f>
        <v>-0.73848549392812601</v>
      </c>
      <c r="B392">
        <f>+data!AJ392</f>
        <v>0.2247564546737775</v>
      </c>
      <c r="C392">
        <f>+data!W392</f>
        <v>0</v>
      </c>
      <c r="D392">
        <f>+data!AQ392</f>
        <v>1</v>
      </c>
      <c r="E392">
        <f>+data!T392</f>
        <v>0</v>
      </c>
      <c r="F392">
        <f>+data!X392</f>
        <v>0</v>
      </c>
      <c r="G392">
        <f>+data!Y392</f>
        <v>1</v>
      </c>
      <c r="H392">
        <f>+data!U392</f>
        <v>0</v>
      </c>
      <c r="I392">
        <f>+data!V392</f>
        <v>1</v>
      </c>
      <c r="J392">
        <f>+data!AS392</f>
        <v>0</v>
      </c>
      <c r="K392">
        <f>+data!AT392</f>
        <v>0</v>
      </c>
      <c r="L392">
        <f>+data!AO392</f>
        <v>0</v>
      </c>
      <c r="M392">
        <f>+data!AN392</f>
        <v>0</v>
      </c>
      <c r="N392">
        <f>+data!AU392</f>
        <v>0</v>
      </c>
      <c r="O392">
        <f>+data!AV392</f>
        <v>1</v>
      </c>
      <c r="P392">
        <f>+data!AD392</f>
        <v>1</v>
      </c>
      <c r="Q392">
        <f>+data!AF392</f>
        <v>7.6019019999999999</v>
      </c>
      <c r="R392">
        <f>+data!AG392</f>
        <v>3.5263610000000001</v>
      </c>
      <c r="S392">
        <f>+data!AE392</f>
        <v>1</v>
      </c>
    </row>
    <row r="393" spans="1:19" x14ac:dyDescent="0.25">
      <c r="A393">
        <f>+data!AI393</f>
        <v>-0.78617243224145472</v>
      </c>
      <c r="B393">
        <f>+data!AJ393</f>
        <v>0.20600240203118331</v>
      </c>
      <c r="C393">
        <f>+data!W393</f>
        <v>0</v>
      </c>
      <c r="D393">
        <f>+data!AQ393</f>
        <v>1</v>
      </c>
      <c r="E393">
        <f>+data!T393</f>
        <v>0</v>
      </c>
      <c r="F393">
        <f>+data!X393</f>
        <v>0</v>
      </c>
      <c r="G393">
        <f>+data!Y393</f>
        <v>1</v>
      </c>
      <c r="H393">
        <f>+data!U393</f>
        <v>0</v>
      </c>
      <c r="I393">
        <f>+data!V393</f>
        <v>1</v>
      </c>
      <c r="J393">
        <f>+data!AS393</f>
        <v>0</v>
      </c>
      <c r="K393">
        <f>+data!AT393</f>
        <v>0</v>
      </c>
      <c r="L393">
        <f>+data!AO393</f>
        <v>0</v>
      </c>
      <c r="M393">
        <f>+data!AN393</f>
        <v>0</v>
      </c>
      <c r="N393">
        <f>+data!AU393</f>
        <v>0</v>
      </c>
      <c r="O393">
        <f>+data!AV393</f>
        <v>1</v>
      </c>
      <c r="P393">
        <f>+data!AD393</f>
        <v>1</v>
      </c>
      <c r="Q393">
        <f>+data!AF393</f>
        <v>7.6019019999999999</v>
      </c>
      <c r="R393">
        <f>+data!AG393</f>
        <v>3.5263610000000001</v>
      </c>
      <c r="S393">
        <f>+data!AE393</f>
        <v>1</v>
      </c>
    </row>
    <row r="394" spans="1:19" x14ac:dyDescent="0.25">
      <c r="A394">
        <f>+data!AI394</f>
        <v>-0.34100296255394646</v>
      </c>
      <c r="B394">
        <f>+data!AJ394</f>
        <v>0.3133540736982211</v>
      </c>
      <c r="C394">
        <f>+data!W394</f>
        <v>0</v>
      </c>
      <c r="D394">
        <f>+data!AQ394</f>
        <v>1</v>
      </c>
      <c r="E394">
        <f>+data!T394</f>
        <v>0</v>
      </c>
      <c r="F394">
        <f>+data!X394</f>
        <v>0</v>
      </c>
      <c r="G394">
        <f>+data!Y394</f>
        <v>1</v>
      </c>
      <c r="H394">
        <f>+data!U394</f>
        <v>0</v>
      </c>
      <c r="I394">
        <f>+data!V394</f>
        <v>1</v>
      </c>
      <c r="J394">
        <f>+data!AS394</f>
        <v>0</v>
      </c>
      <c r="K394">
        <f>+data!AT394</f>
        <v>0</v>
      </c>
      <c r="L394">
        <f>+data!AO394</f>
        <v>0</v>
      </c>
      <c r="M394">
        <f>+data!AN394</f>
        <v>0</v>
      </c>
      <c r="N394">
        <f>+data!AU394</f>
        <v>0</v>
      </c>
      <c r="O394">
        <f>+data!AV394</f>
        <v>1</v>
      </c>
      <c r="P394">
        <f>+data!AD394</f>
        <v>1</v>
      </c>
      <c r="Q394">
        <f>+data!AF394</f>
        <v>7.6019019999999999</v>
      </c>
      <c r="R394">
        <f>+data!AG394</f>
        <v>3.5263610000000001</v>
      </c>
      <c r="S394">
        <f>+data!AE394</f>
        <v>1</v>
      </c>
    </row>
    <row r="395" spans="1:19" x14ac:dyDescent="0.25">
      <c r="A395">
        <f>+data!AI395</f>
        <v>-0.62568549400244544</v>
      </c>
      <c r="B395">
        <f>+data!AJ395</f>
        <v>0.26002514036465263</v>
      </c>
      <c r="C395">
        <f>+data!W395</f>
        <v>0</v>
      </c>
      <c r="D395">
        <f>+data!AQ395</f>
        <v>1</v>
      </c>
      <c r="E395">
        <f>+data!T395</f>
        <v>0</v>
      </c>
      <c r="F395">
        <f>+data!X395</f>
        <v>0</v>
      </c>
      <c r="G395">
        <f>+data!Y395</f>
        <v>1</v>
      </c>
      <c r="H395">
        <f>+data!U395</f>
        <v>0</v>
      </c>
      <c r="I395">
        <f>+data!V395</f>
        <v>1</v>
      </c>
      <c r="J395">
        <f>+data!AS395</f>
        <v>0</v>
      </c>
      <c r="K395">
        <f>+data!AT395</f>
        <v>0</v>
      </c>
      <c r="L395">
        <f>+data!AO395</f>
        <v>0</v>
      </c>
      <c r="M395">
        <f>+data!AN395</f>
        <v>0</v>
      </c>
      <c r="N395">
        <f>+data!AU395</f>
        <v>0</v>
      </c>
      <c r="O395">
        <f>+data!AV395</f>
        <v>1</v>
      </c>
      <c r="P395">
        <f>+data!AD395</f>
        <v>1</v>
      </c>
      <c r="Q395">
        <f>+data!AF395</f>
        <v>7.6019019999999999</v>
      </c>
      <c r="R395">
        <f>+data!AG395</f>
        <v>3.5263610000000001</v>
      </c>
      <c r="S395">
        <f>+data!AE395</f>
        <v>1</v>
      </c>
    </row>
    <row r="396" spans="1:19" x14ac:dyDescent="0.25">
      <c r="A396">
        <f>+data!AI396</f>
        <v>-3.7015908783002788E-2</v>
      </c>
      <c r="B396">
        <f>+data!AJ396</f>
        <v>1.3272387022532188E-2</v>
      </c>
      <c r="C396">
        <f>+data!W396</f>
        <v>1</v>
      </c>
      <c r="D396">
        <f>+data!AQ396</f>
        <v>0</v>
      </c>
      <c r="E396">
        <f>+data!T396</f>
        <v>0</v>
      </c>
      <c r="F396">
        <f>+data!X396</f>
        <v>0</v>
      </c>
      <c r="G396">
        <f>+data!Y396</f>
        <v>0</v>
      </c>
      <c r="H396">
        <f>+data!U396</f>
        <v>1</v>
      </c>
      <c r="I396">
        <f>+data!V396</f>
        <v>0</v>
      </c>
      <c r="J396">
        <f>+data!AS396</f>
        <v>0</v>
      </c>
      <c r="K396">
        <f>+data!AT396</f>
        <v>0</v>
      </c>
      <c r="L396">
        <f>+data!AO396</f>
        <v>1</v>
      </c>
      <c r="M396">
        <f>+data!AN396</f>
        <v>0</v>
      </c>
      <c r="N396">
        <f>+data!AU396</f>
        <v>0</v>
      </c>
      <c r="O396">
        <f>+data!AV396</f>
        <v>0</v>
      </c>
      <c r="P396">
        <f>+data!AD396</f>
        <v>1</v>
      </c>
      <c r="Q396">
        <f>+data!AF396</f>
        <v>7.5983989999999997</v>
      </c>
      <c r="R396">
        <f>+data!AG396</f>
        <v>4.3820269999999999</v>
      </c>
      <c r="S396">
        <f>+data!AE396</f>
        <v>1</v>
      </c>
    </row>
    <row r="397" spans="1:19" x14ac:dyDescent="0.25">
      <c r="A397">
        <f>+data!AI397</f>
        <v>1.5659067903719903E-2</v>
      </c>
      <c r="B397">
        <f>+data!AJ397</f>
        <v>1.3279860687340755E-2</v>
      </c>
      <c r="C397">
        <f>+data!W397</f>
        <v>1</v>
      </c>
      <c r="D397">
        <f>+data!AQ397</f>
        <v>0</v>
      </c>
      <c r="E397">
        <f>+data!T397</f>
        <v>0</v>
      </c>
      <c r="F397">
        <f>+data!X397</f>
        <v>0</v>
      </c>
      <c r="G397">
        <f>+data!Y397</f>
        <v>0</v>
      </c>
      <c r="H397">
        <f>+data!U397</f>
        <v>1</v>
      </c>
      <c r="I397">
        <f>+data!V397</f>
        <v>0</v>
      </c>
      <c r="J397">
        <f>+data!AS397</f>
        <v>0</v>
      </c>
      <c r="K397">
        <f>+data!AT397</f>
        <v>0</v>
      </c>
      <c r="L397">
        <f>+data!AO397</f>
        <v>1</v>
      </c>
      <c r="M397">
        <f>+data!AN397</f>
        <v>0</v>
      </c>
      <c r="N397">
        <f>+data!AU397</f>
        <v>0</v>
      </c>
      <c r="O397">
        <f>+data!AV397</f>
        <v>0</v>
      </c>
      <c r="P397">
        <f>+data!AD397</f>
        <v>1</v>
      </c>
      <c r="Q397">
        <f>+data!AF397</f>
        <v>7.5983989999999997</v>
      </c>
      <c r="R397">
        <f>+data!AG397</f>
        <v>4.3820269999999999</v>
      </c>
      <c r="S397">
        <f>+data!AE397</f>
        <v>1</v>
      </c>
    </row>
    <row r="398" spans="1:19" x14ac:dyDescent="0.25">
      <c r="A398">
        <f>+data!AI398</f>
        <v>-4.6695302076882689E-2</v>
      </c>
      <c r="B398">
        <f>+data!AJ398</f>
        <v>1.3267001418835059E-2</v>
      </c>
      <c r="C398">
        <f>+data!W398</f>
        <v>1</v>
      </c>
      <c r="D398">
        <f>+data!AQ398</f>
        <v>0</v>
      </c>
      <c r="E398">
        <f>+data!T398</f>
        <v>0</v>
      </c>
      <c r="F398">
        <f>+data!X398</f>
        <v>0</v>
      </c>
      <c r="G398">
        <f>+data!Y398</f>
        <v>0</v>
      </c>
      <c r="H398">
        <f>+data!U398</f>
        <v>1</v>
      </c>
      <c r="I398">
        <f>+data!V398</f>
        <v>0</v>
      </c>
      <c r="J398">
        <f>+data!AS398</f>
        <v>0</v>
      </c>
      <c r="K398">
        <f>+data!AT398</f>
        <v>0</v>
      </c>
      <c r="L398">
        <f>+data!AO398</f>
        <v>1</v>
      </c>
      <c r="M398">
        <f>+data!AN398</f>
        <v>0</v>
      </c>
      <c r="N398">
        <f>+data!AU398</f>
        <v>0</v>
      </c>
      <c r="O398">
        <f>+data!AV398</f>
        <v>0</v>
      </c>
      <c r="P398">
        <f>+data!AD398</f>
        <v>1</v>
      </c>
      <c r="Q398">
        <f>+data!AF398</f>
        <v>7.5983989999999997</v>
      </c>
      <c r="R398">
        <f>+data!AG398</f>
        <v>4.3820269999999999</v>
      </c>
      <c r="S398">
        <f>+data!AE398</f>
        <v>1</v>
      </c>
    </row>
    <row r="399" spans="1:19" x14ac:dyDescent="0.25">
      <c r="A399">
        <f>+data!AI399</f>
        <v>-3.0268130302905236E-2</v>
      </c>
      <c r="B399">
        <f>+data!AJ399</f>
        <v>1.3275403763546866E-2</v>
      </c>
      <c r="C399">
        <f>+data!W399</f>
        <v>1</v>
      </c>
      <c r="D399">
        <f>+data!AQ399</f>
        <v>0</v>
      </c>
      <c r="E399">
        <f>+data!T399</f>
        <v>0</v>
      </c>
      <c r="F399">
        <f>+data!X399</f>
        <v>0</v>
      </c>
      <c r="G399">
        <f>+data!Y399</f>
        <v>0</v>
      </c>
      <c r="H399">
        <f>+data!U399</f>
        <v>1</v>
      </c>
      <c r="I399">
        <f>+data!V399</f>
        <v>0</v>
      </c>
      <c r="J399">
        <f>+data!AS399</f>
        <v>0</v>
      </c>
      <c r="K399">
        <f>+data!AT399</f>
        <v>0</v>
      </c>
      <c r="L399">
        <f>+data!AO399</f>
        <v>1</v>
      </c>
      <c r="M399">
        <f>+data!AN399</f>
        <v>0</v>
      </c>
      <c r="N399">
        <f>+data!AU399</f>
        <v>0</v>
      </c>
      <c r="O399">
        <f>+data!AV399</f>
        <v>0</v>
      </c>
      <c r="P399">
        <f>+data!AD399</f>
        <v>1</v>
      </c>
      <c r="Q399">
        <f>+data!AF399</f>
        <v>7.5983989999999997</v>
      </c>
      <c r="R399">
        <f>+data!AG399</f>
        <v>4.3820269999999999</v>
      </c>
      <c r="S399">
        <f>+data!AE399</f>
        <v>1</v>
      </c>
    </row>
    <row r="400" spans="1:19" x14ac:dyDescent="0.25">
      <c r="A400">
        <f>+data!AI400</f>
        <v>-2.5972542601226046E-2</v>
      </c>
      <c r="B400">
        <f>+data!AJ400</f>
        <v>1.3277008717790926E-2</v>
      </c>
      <c r="C400">
        <f>+data!W400</f>
        <v>1</v>
      </c>
      <c r="D400">
        <f>+data!AQ400</f>
        <v>0</v>
      </c>
      <c r="E400">
        <f>+data!T400</f>
        <v>0</v>
      </c>
      <c r="F400">
        <f>+data!X400</f>
        <v>0</v>
      </c>
      <c r="G400">
        <f>+data!Y400</f>
        <v>0</v>
      </c>
      <c r="H400">
        <f>+data!U400</f>
        <v>1</v>
      </c>
      <c r="I400">
        <f>+data!V400</f>
        <v>0</v>
      </c>
      <c r="J400">
        <f>+data!AS400</f>
        <v>0</v>
      </c>
      <c r="K400">
        <f>+data!AT400</f>
        <v>0</v>
      </c>
      <c r="L400">
        <f>+data!AO400</f>
        <v>1</v>
      </c>
      <c r="M400">
        <f>+data!AN400</f>
        <v>0</v>
      </c>
      <c r="N400">
        <f>+data!AU400</f>
        <v>0</v>
      </c>
      <c r="O400">
        <f>+data!AV400</f>
        <v>0</v>
      </c>
      <c r="P400">
        <f>+data!AD400</f>
        <v>1</v>
      </c>
      <c r="Q400">
        <f>+data!AF400</f>
        <v>7.5983989999999997</v>
      </c>
      <c r="R400">
        <f>+data!AG400</f>
        <v>4.3820269999999999</v>
      </c>
      <c r="S400">
        <f>+data!AE400</f>
        <v>1</v>
      </c>
    </row>
    <row r="401" spans="1:19" x14ac:dyDescent="0.25">
      <c r="A401">
        <f>+data!AI401</f>
        <v>-0.13725270326150346</v>
      </c>
      <c r="B401">
        <f>+data!AJ401</f>
        <v>9.5314377264932817E-2</v>
      </c>
      <c r="C401">
        <f>+data!W401</f>
        <v>1</v>
      </c>
      <c r="D401">
        <f>+data!AQ401</f>
        <v>1</v>
      </c>
      <c r="E401">
        <f>+data!T401</f>
        <v>0</v>
      </c>
      <c r="F401">
        <f>+data!X401</f>
        <v>0</v>
      </c>
      <c r="G401">
        <f>+data!Y401</f>
        <v>1</v>
      </c>
      <c r="H401">
        <f>+data!U401</f>
        <v>0</v>
      </c>
      <c r="I401">
        <f>+data!V401</f>
        <v>0</v>
      </c>
      <c r="J401">
        <f>+data!AS401</f>
        <v>0</v>
      </c>
      <c r="K401">
        <f>+data!AT401</f>
        <v>0</v>
      </c>
      <c r="L401">
        <f>+data!AO401</f>
        <v>0</v>
      </c>
      <c r="M401">
        <f>+data!AN401</f>
        <v>0</v>
      </c>
      <c r="N401">
        <f>+data!AU401</f>
        <v>1</v>
      </c>
      <c r="O401">
        <f>+data!AV401</f>
        <v>0</v>
      </c>
      <c r="P401">
        <f>+data!AD401</f>
        <v>1</v>
      </c>
      <c r="Q401">
        <f>+data!AF401</f>
        <v>7.5973959999999998</v>
      </c>
      <c r="R401">
        <f>+data!AG401</f>
        <v>3.912023</v>
      </c>
      <c r="S401">
        <f>+data!AE401</f>
        <v>1</v>
      </c>
    </row>
    <row r="402" spans="1:19" x14ac:dyDescent="0.25">
      <c r="A402">
        <f>+data!AI402</f>
        <v>-0.20121055811926586</v>
      </c>
      <c r="B402">
        <f>+data!AJ402</f>
        <v>8.5258711067485005E-2</v>
      </c>
      <c r="C402">
        <f>+data!W402</f>
        <v>1</v>
      </c>
      <c r="D402">
        <f>+data!AQ402</f>
        <v>1</v>
      </c>
      <c r="E402">
        <f>+data!T402</f>
        <v>0</v>
      </c>
      <c r="F402">
        <f>+data!X402</f>
        <v>0</v>
      </c>
      <c r="G402">
        <f>+data!Y402</f>
        <v>1</v>
      </c>
      <c r="H402">
        <f>+data!U402</f>
        <v>0</v>
      </c>
      <c r="I402">
        <f>+data!V402</f>
        <v>0</v>
      </c>
      <c r="J402">
        <f>+data!AS402</f>
        <v>0</v>
      </c>
      <c r="K402">
        <f>+data!AT402</f>
        <v>0</v>
      </c>
      <c r="L402">
        <f>+data!AO402</f>
        <v>0</v>
      </c>
      <c r="M402">
        <f>+data!AN402</f>
        <v>0</v>
      </c>
      <c r="N402">
        <f>+data!AU402</f>
        <v>1</v>
      </c>
      <c r="O402">
        <f>+data!AV402</f>
        <v>0</v>
      </c>
      <c r="P402">
        <f>+data!AD402</f>
        <v>1</v>
      </c>
      <c r="Q402">
        <f>+data!AF402</f>
        <v>7.5973959999999998</v>
      </c>
      <c r="R402">
        <f>+data!AG402</f>
        <v>3.912023</v>
      </c>
      <c r="S402">
        <f>+data!AE402</f>
        <v>1</v>
      </c>
    </row>
    <row r="403" spans="1:19" x14ac:dyDescent="0.25">
      <c r="A403">
        <f>+data!AI403</f>
        <v>-0.20168979414854224</v>
      </c>
      <c r="B403">
        <f>+data!AJ403</f>
        <v>9.4247567359131673E-2</v>
      </c>
      <c r="C403">
        <f>+data!W403</f>
        <v>1</v>
      </c>
      <c r="D403">
        <f>+data!AQ403</f>
        <v>1</v>
      </c>
      <c r="E403">
        <f>+data!T403</f>
        <v>0</v>
      </c>
      <c r="F403">
        <f>+data!X403</f>
        <v>0</v>
      </c>
      <c r="G403">
        <f>+data!Y403</f>
        <v>1</v>
      </c>
      <c r="H403">
        <f>+data!U403</f>
        <v>0</v>
      </c>
      <c r="I403">
        <f>+data!V403</f>
        <v>0</v>
      </c>
      <c r="J403">
        <f>+data!AS403</f>
        <v>0</v>
      </c>
      <c r="K403">
        <f>+data!AT403</f>
        <v>0</v>
      </c>
      <c r="L403">
        <f>+data!AO403</f>
        <v>0</v>
      </c>
      <c r="M403">
        <f>+data!AN403</f>
        <v>0</v>
      </c>
      <c r="N403">
        <f>+data!AU403</f>
        <v>1</v>
      </c>
      <c r="O403">
        <f>+data!AV403</f>
        <v>0</v>
      </c>
      <c r="P403">
        <f>+data!AD403</f>
        <v>1</v>
      </c>
      <c r="Q403">
        <f>+data!AF403</f>
        <v>7.5973959999999998</v>
      </c>
      <c r="R403">
        <f>+data!AG403</f>
        <v>3.912023</v>
      </c>
      <c r="S403">
        <f>+data!AE403</f>
        <v>1</v>
      </c>
    </row>
    <row r="404" spans="1:19" x14ac:dyDescent="0.25">
      <c r="A404">
        <f>+data!AI404</f>
        <v>-0.34075047748578408</v>
      </c>
      <c r="B404">
        <f>+data!AJ404</f>
        <v>0.20044145734457891</v>
      </c>
      <c r="C404">
        <f>+data!W404</f>
        <v>1</v>
      </c>
      <c r="D404">
        <f>+data!AQ404</f>
        <v>1</v>
      </c>
      <c r="E404">
        <f>+data!T404</f>
        <v>0</v>
      </c>
      <c r="F404">
        <f>+data!X404</f>
        <v>0</v>
      </c>
      <c r="G404">
        <f>+data!Y404</f>
        <v>1</v>
      </c>
      <c r="H404">
        <f>+data!U404</f>
        <v>0</v>
      </c>
      <c r="I404">
        <f>+data!V404</f>
        <v>0</v>
      </c>
      <c r="J404">
        <f>+data!AS404</f>
        <v>0</v>
      </c>
      <c r="K404">
        <f>+data!AT404</f>
        <v>0</v>
      </c>
      <c r="L404">
        <f>+data!AO404</f>
        <v>0</v>
      </c>
      <c r="M404">
        <f>+data!AN404</f>
        <v>0</v>
      </c>
      <c r="N404">
        <f>+data!AU404</f>
        <v>1</v>
      </c>
      <c r="O404">
        <f>+data!AV404</f>
        <v>0</v>
      </c>
      <c r="P404">
        <f>+data!AD404</f>
        <v>1</v>
      </c>
      <c r="Q404">
        <f>+data!AF404</f>
        <v>7.5973959999999998</v>
      </c>
      <c r="R404">
        <f>+data!AG404</f>
        <v>3.912023</v>
      </c>
      <c r="S404">
        <f>+data!AE404</f>
        <v>1</v>
      </c>
    </row>
    <row r="405" spans="1:19" x14ac:dyDescent="0.25">
      <c r="A405">
        <f>+data!AI405</f>
        <v>-0.37437676677133785</v>
      </c>
      <c r="B405">
        <f>+data!AJ405</f>
        <v>7.8650581254482224E-2</v>
      </c>
      <c r="C405">
        <f>+data!W405</f>
        <v>1</v>
      </c>
      <c r="D405">
        <f>+data!AQ405</f>
        <v>1</v>
      </c>
      <c r="E405">
        <f>+data!T405</f>
        <v>0</v>
      </c>
      <c r="F405">
        <f>+data!X405</f>
        <v>0</v>
      </c>
      <c r="G405">
        <f>+data!Y405</f>
        <v>1</v>
      </c>
      <c r="H405">
        <f>+data!U405</f>
        <v>0</v>
      </c>
      <c r="I405">
        <f>+data!V405</f>
        <v>0</v>
      </c>
      <c r="J405">
        <f>+data!AS405</f>
        <v>0</v>
      </c>
      <c r="K405">
        <f>+data!AT405</f>
        <v>0</v>
      </c>
      <c r="L405">
        <f>+data!AO405</f>
        <v>0</v>
      </c>
      <c r="M405">
        <f>+data!AN405</f>
        <v>0</v>
      </c>
      <c r="N405">
        <f>+data!AU405</f>
        <v>1</v>
      </c>
      <c r="O405">
        <f>+data!AV405</f>
        <v>0</v>
      </c>
      <c r="P405">
        <f>+data!AD405</f>
        <v>1</v>
      </c>
      <c r="Q405">
        <f>+data!AF405</f>
        <v>7.5973959999999998</v>
      </c>
      <c r="R405">
        <f>+data!AG405</f>
        <v>3.912023</v>
      </c>
      <c r="S405">
        <f>+data!AE405</f>
        <v>1</v>
      </c>
    </row>
    <row r="406" spans="1:19" x14ac:dyDescent="0.25">
      <c r="A406">
        <f>+data!AI406</f>
        <v>-0.51701713759404766</v>
      </c>
      <c r="B406">
        <f>+data!AJ406</f>
        <v>0.1123950299117495</v>
      </c>
      <c r="C406">
        <f>+data!W406</f>
        <v>1</v>
      </c>
      <c r="D406">
        <f>+data!AQ406</f>
        <v>1</v>
      </c>
      <c r="E406">
        <f>+data!T406</f>
        <v>0</v>
      </c>
      <c r="F406">
        <f>+data!X406</f>
        <v>0</v>
      </c>
      <c r="G406">
        <f>+data!Y406</f>
        <v>1</v>
      </c>
      <c r="H406">
        <f>+data!U406</f>
        <v>0</v>
      </c>
      <c r="I406">
        <f>+data!V406</f>
        <v>1</v>
      </c>
      <c r="J406">
        <f>+data!AS406</f>
        <v>0</v>
      </c>
      <c r="K406">
        <f>+data!AT406</f>
        <v>0</v>
      </c>
      <c r="L406">
        <f>+data!AO406</f>
        <v>0</v>
      </c>
      <c r="M406">
        <f>+data!AN406</f>
        <v>0</v>
      </c>
      <c r="N406">
        <f>+data!AU406</f>
        <v>1</v>
      </c>
      <c r="O406">
        <f>+data!AV406</f>
        <v>0</v>
      </c>
      <c r="P406">
        <f>+data!AD406</f>
        <v>1</v>
      </c>
      <c r="Q406">
        <f>+data!AF406</f>
        <v>7.5948840000000004</v>
      </c>
      <c r="R406">
        <f>+data!AG406</f>
        <v>3.6109179999999999</v>
      </c>
      <c r="S406">
        <f>+data!AE406</f>
        <v>1</v>
      </c>
    </row>
    <row r="407" spans="1:19" x14ac:dyDescent="0.25">
      <c r="A407">
        <f>+data!AI407</f>
        <v>-0.52367485628610499</v>
      </c>
      <c r="B407">
        <f>+data!AJ407</f>
        <v>0.11384236006219675</v>
      </c>
      <c r="C407">
        <f>+data!W407</f>
        <v>1</v>
      </c>
      <c r="D407">
        <f>+data!AQ407</f>
        <v>1</v>
      </c>
      <c r="E407">
        <f>+data!T407</f>
        <v>0</v>
      </c>
      <c r="F407">
        <f>+data!X407</f>
        <v>0</v>
      </c>
      <c r="G407">
        <f>+data!Y407</f>
        <v>1</v>
      </c>
      <c r="H407">
        <f>+data!U407</f>
        <v>0</v>
      </c>
      <c r="I407">
        <f>+data!V407</f>
        <v>1</v>
      </c>
      <c r="J407">
        <f>+data!AS407</f>
        <v>0</v>
      </c>
      <c r="K407">
        <f>+data!AT407</f>
        <v>0</v>
      </c>
      <c r="L407">
        <f>+data!AO407</f>
        <v>0</v>
      </c>
      <c r="M407">
        <f>+data!AN407</f>
        <v>0</v>
      </c>
      <c r="N407">
        <f>+data!AU407</f>
        <v>1</v>
      </c>
      <c r="O407">
        <f>+data!AV407</f>
        <v>0</v>
      </c>
      <c r="P407">
        <f>+data!AD407</f>
        <v>1</v>
      </c>
      <c r="Q407">
        <f>+data!AF407</f>
        <v>7.5948840000000004</v>
      </c>
      <c r="R407">
        <f>+data!AG407</f>
        <v>3.6109179999999999</v>
      </c>
      <c r="S407">
        <f>+data!AE407</f>
        <v>1</v>
      </c>
    </row>
    <row r="408" spans="1:19" x14ac:dyDescent="0.25">
      <c r="A408">
        <f>+data!AI408</f>
        <v>-0.5399055247990171</v>
      </c>
      <c r="B408">
        <f>+data!AJ408</f>
        <v>0.1124803176664619</v>
      </c>
      <c r="C408">
        <f>+data!W408</f>
        <v>1</v>
      </c>
      <c r="D408">
        <f>+data!AQ408</f>
        <v>1</v>
      </c>
      <c r="E408">
        <f>+data!T408</f>
        <v>0</v>
      </c>
      <c r="F408">
        <f>+data!X408</f>
        <v>0</v>
      </c>
      <c r="G408">
        <f>+data!Y408</f>
        <v>1</v>
      </c>
      <c r="H408">
        <f>+data!U408</f>
        <v>0</v>
      </c>
      <c r="I408">
        <f>+data!V408</f>
        <v>1</v>
      </c>
      <c r="J408">
        <f>+data!AS408</f>
        <v>0</v>
      </c>
      <c r="K408">
        <f>+data!AT408</f>
        <v>0</v>
      </c>
      <c r="L408">
        <f>+data!AO408</f>
        <v>0</v>
      </c>
      <c r="M408">
        <f>+data!AN408</f>
        <v>0</v>
      </c>
      <c r="N408">
        <f>+data!AU408</f>
        <v>1</v>
      </c>
      <c r="O408">
        <f>+data!AV408</f>
        <v>0</v>
      </c>
      <c r="P408">
        <f>+data!AD408</f>
        <v>1</v>
      </c>
      <c r="Q408">
        <f>+data!AF408</f>
        <v>7.5948840000000004</v>
      </c>
      <c r="R408">
        <f>+data!AG408</f>
        <v>3.6109179999999999</v>
      </c>
      <c r="S408">
        <f>+data!AE408</f>
        <v>1</v>
      </c>
    </row>
    <row r="409" spans="1:19" x14ac:dyDescent="0.25">
      <c r="A409">
        <f>+data!AI409</f>
        <v>-0.59568339718127061</v>
      </c>
      <c r="B409">
        <f>+data!AJ409</f>
        <v>0.10830607221477648</v>
      </c>
      <c r="C409">
        <f>+data!W409</f>
        <v>1</v>
      </c>
      <c r="D409">
        <f>+data!AQ409</f>
        <v>1</v>
      </c>
      <c r="E409">
        <f>+data!T409</f>
        <v>0</v>
      </c>
      <c r="F409">
        <f>+data!X409</f>
        <v>0</v>
      </c>
      <c r="G409">
        <f>+data!Y409</f>
        <v>1</v>
      </c>
      <c r="H409">
        <f>+data!U409</f>
        <v>0</v>
      </c>
      <c r="I409">
        <f>+data!V409</f>
        <v>1</v>
      </c>
      <c r="J409">
        <f>+data!AS409</f>
        <v>0</v>
      </c>
      <c r="K409">
        <f>+data!AT409</f>
        <v>0</v>
      </c>
      <c r="L409">
        <f>+data!AO409</f>
        <v>0</v>
      </c>
      <c r="M409">
        <f>+data!AN409</f>
        <v>0</v>
      </c>
      <c r="N409">
        <f>+data!AU409</f>
        <v>1</v>
      </c>
      <c r="O409">
        <f>+data!AV409</f>
        <v>0</v>
      </c>
      <c r="P409">
        <f>+data!AD409</f>
        <v>1</v>
      </c>
      <c r="Q409">
        <f>+data!AF409</f>
        <v>7.5948840000000004</v>
      </c>
      <c r="R409">
        <f>+data!AG409</f>
        <v>3.6109179999999999</v>
      </c>
      <c r="S409">
        <f>+data!AE409</f>
        <v>1</v>
      </c>
    </row>
    <row r="410" spans="1:19" x14ac:dyDescent="0.25">
      <c r="A410">
        <f>+data!AI410</f>
        <v>3.3095169616074761E-2</v>
      </c>
      <c r="B410">
        <f>+data!AJ410</f>
        <v>0.13238067846429905</v>
      </c>
      <c r="C410">
        <f>+data!W410</f>
        <v>1</v>
      </c>
      <c r="D410">
        <f>+data!AQ410</f>
        <v>1</v>
      </c>
      <c r="E410">
        <f>+data!T410</f>
        <v>0</v>
      </c>
      <c r="F410">
        <f>+data!X410</f>
        <v>0</v>
      </c>
      <c r="G410">
        <f>+data!Y410</f>
        <v>1</v>
      </c>
      <c r="H410">
        <f>+data!U410</f>
        <v>0</v>
      </c>
      <c r="I410">
        <f>+data!V410</f>
        <v>1</v>
      </c>
      <c r="J410">
        <f>+data!AS410</f>
        <v>0</v>
      </c>
      <c r="K410">
        <f>+data!AT410</f>
        <v>0</v>
      </c>
      <c r="L410">
        <f>+data!AO410</f>
        <v>0</v>
      </c>
      <c r="M410">
        <f>+data!AN410</f>
        <v>0</v>
      </c>
      <c r="N410">
        <f>+data!AU410</f>
        <v>1</v>
      </c>
      <c r="O410">
        <f>+data!AV410</f>
        <v>0</v>
      </c>
      <c r="P410">
        <f>+data!AD410</f>
        <v>1</v>
      </c>
      <c r="Q410">
        <f>+data!AF410</f>
        <v>7.5948840000000004</v>
      </c>
      <c r="R410">
        <f>+data!AG410</f>
        <v>3.6109179999999999</v>
      </c>
      <c r="S410">
        <f>+data!AE410</f>
        <v>1</v>
      </c>
    </row>
    <row r="411" spans="1:19" x14ac:dyDescent="0.25">
      <c r="A411">
        <f>+data!AI411</f>
        <v>-0.60921143305727299</v>
      </c>
      <c r="B411">
        <f>+data!AJ411</f>
        <v>0.10503645397539191</v>
      </c>
      <c r="C411">
        <f>+data!W411</f>
        <v>1</v>
      </c>
      <c r="D411">
        <f>+data!AQ411</f>
        <v>1</v>
      </c>
      <c r="E411">
        <f>+data!T411</f>
        <v>0</v>
      </c>
      <c r="F411">
        <f>+data!X411</f>
        <v>0</v>
      </c>
      <c r="G411">
        <f>+data!Y411</f>
        <v>1</v>
      </c>
      <c r="H411">
        <f>+data!U411</f>
        <v>0</v>
      </c>
      <c r="I411">
        <f>+data!V411</f>
        <v>1</v>
      </c>
      <c r="J411">
        <f>+data!AS411</f>
        <v>0</v>
      </c>
      <c r="K411">
        <f>+data!AT411</f>
        <v>0</v>
      </c>
      <c r="L411">
        <f>+data!AO411</f>
        <v>0</v>
      </c>
      <c r="M411">
        <f>+data!AN411</f>
        <v>0</v>
      </c>
      <c r="N411">
        <f>+data!AU411</f>
        <v>1</v>
      </c>
      <c r="O411">
        <f>+data!AV411</f>
        <v>0</v>
      </c>
      <c r="P411">
        <f>+data!AD411</f>
        <v>1</v>
      </c>
      <c r="Q411">
        <f>+data!AF411</f>
        <v>7.5948840000000004</v>
      </c>
      <c r="R411">
        <f>+data!AG411</f>
        <v>3.6109179999999999</v>
      </c>
      <c r="S411">
        <f>+data!AE411</f>
        <v>1</v>
      </c>
    </row>
    <row r="412" spans="1:19" x14ac:dyDescent="0.25">
      <c r="A412">
        <f>+data!AI412</f>
        <v>-0.4645779923525673</v>
      </c>
      <c r="B412">
        <f>+data!AJ412</f>
        <v>0.1366405859860492</v>
      </c>
      <c r="C412">
        <f>+data!W412</f>
        <v>1</v>
      </c>
      <c r="D412">
        <f>+data!AQ412</f>
        <v>1</v>
      </c>
      <c r="E412">
        <f>+data!T412</f>
        <v>0</v>
      </c>
      <c r="F412">
        <f>+data!X412</f>
        <v>1</v>
      </c>
      <c r="G412">
        <f>+data!Y412</f>
        <v>0</v>
      </c>
      <c r="H412">
        <f>+data!U412</f>
        <v>1</v>
      </c>
      <c r="I412">
        <f>+data!V412</f>
        <v>0</v>
      </c>
      <c r="J412">
        <f>+data!AS412</f>
        <v>0</v>
      </c>
      <c r="K412">
        <f>+data!AT412</f>
        <v>0</v>
      </c>
      <c r="L412">
        <f>+data!AO412</f>
        <v>1</v>
      </c>
      <c r="M412">
        <f>+data!AN412</f>
        <v>0</v>
      </c>
      <c r="N412">
        <f>+data!AU412</f>
        <v>0</v>
      </c>
      <c r="O412">
        <f>+data!AV412</f>
        <v>1</v>
      </c>
      <c r="P412">
        <f>+data!AD412</f>
        <v>1</v>
      </c>
      <c r="Q412">
        <f>+data!AF412</f>
        <v>7.5973959999999998</v>
      </c>
      <c r="R412">
        <f>+data!AG412</f>
        <v>3.8286410000000002</v>
      </c>
      <c r="S412">
        <f>+data!AE412</f>
        <v>0</v>
      </c>
    </row>
    <row r="413" spans="1:19" x14ac:dyDescent="0.25">
      <c r="A413">
        <f>+data!AI413</f>
        <v>-0.29488391230979427</v>
      </c>
      <c r="B413">
        <f>+data!AJ413</f>
        <v>0.14744195615489714</v>
      </c>
      <c r="C413">
        <f>+data!W413</f>
        <v>1</v>
      </c>
      <c r="D413">
        <f>+data!AQ413</f>
        <v>0</v>
      </c>
      <c r="E413">
        <f>+data!T413</f>
        <v>1</v>
      </c>
      <c r="F413">
        <f>+data!X413</f>
        <v>1</v>
      </c>
      <c r="G413">
        <f>+data!Y413</f>
        <v>0</v>
      </c>
      <c r="H413">
        <f>+data!U413</f>
        <v>1</v>
      </c>
      <c r="I413">
        <f>+data!V413</f>
        <v>0</v>
      </c>
      <c r="J413">
        <f>+data!AS413</f>
        <v>0</v>
      </c>
      <c r="K413">
        <f>+data!AT413</f>
        <v>0</v>
      </c>
      <c r="L413">
        <f>+data!AO413</f>
        <v>1</v>
      </c>
      <c r="M413">
        <f>+data!AN413</f>
        <v>0</v>
      </c>
      <c r="N413">
        <f>+data!AU413</f>
        <v>0</v>
      </c>
      <c r="O413">
        <f>+data!AV413</f>
        <v>1</v>
      </c>
      <c r="P413">
        <f>+data!AD413</f>
        <v>1</v>
      </c>
      <c r="Q413">
        <f>+data!AF413</f>
        <v>7.5973959999999998</v>
      </c>
      <c r="R413">
        <f>+data!AG413</f>
        <v>3.8286410000000002</v>
      </c>
      <c r="S413">
        <f>+data!AE413</f>
        <v>0</v>
      </c>
    </row>
    <row r="414" spans="1:19" x14ac:dyDescent="0.25">
      <c r="A414">
        <f>+data!AI414</f>
        <v>-0.28100224224556641</v>
      </c>
      <c r="B414">
        <f>+data!AJ414</f>
        <v>0.15995118524907009</v>
      </c>
      <c r="C414">
        <f>+data!W414</f>
        <v>0</v>
      </c>
      <c r="D414">
        <f>+data!AQ414</f>
        <v>1</v>
      </c>
      <c r="E414">
        <f>+data!T414</f>
        <v>0</v>
      </c>
      <c r="F414">
        <f>+data!X414</f>
        <v>0</v>
      </c>
      <c r="G414">
        <f>+data!Y414</f>
        <v>1</v>
      </c>
      <c r="H414">
        <f>+data!U414</f>
        <v>1</v>
      </c>
      <c r="I414">
        <f>+data!V414</f>
        <v>1</v>
      </c>
      <c r="J414">
        <f>+data!AS414</f>
        <v>0</v>
      </c>
      <c r="K414">
        <f>+data!AT414</f>
        <v>0</v>
      </c>
      <c r="L414">
        <f>+data!AO414</f>
        <v>0</v>
      </c>
      <c r="M414">
        <f>+data!AN414</f>
        <v>0</v>
      </c>
      <c r="N414">
        <f>+data!AU414</f>
        <v>0</v>
      </c>
      <c r="O414">
        <f>+data!AV414</f>
        <v>0</v>
      </c>
      <c r="P414">
        <f>+data!AD414</f>
        <v>1</v>
      </c>
      <c r="Q414">
        <f>+data!AF414</f>
        <v>7.5999020000000002</v>
      </c>
      <c r="R414">
        <f>+data!AG414</f>
        <v>2.944439</v>
      </c>
      <c r="S414">
        <f>+data!AE414</f>
        <v>1</v>
      </c>
    </row>
    <row r="415" spans="1:19" x14ac:dyDescent="0.25">
      <c r="A415">
        <f>+data!AI415</f>
        <v>-0.10349128896193696</v>
      </c>
      <c r="B415">
        <f>+data!AJ415</f>
        <v>0.16577172667297282</v>
      </c>
      <c r="C415">
        <f>+data!W415</f>
        <v>0</v>
      </c>
      <c r="D415">
        <f>+data!AQ415</f>
        <v>1</v>
      </c>
      <c r="E415">
        <f>+data!T415</f>
        <v>0</v>
      </c>
      <c r="F415">
        <f>+data!X415</f>
        <v>0</v>
      </c>
      <c r="G415">
        <f>+data!Y415</f>
        <v>1</v>
      </c>
      <c r="H415">
        <f>+data!U415</f>
        <v>1</v>
      </c>
      <c r="I415">
        <f>+data!V415</f>
        <v>1</v>
      </c>
      <c r="J415">
        <f>+data!AS415</f>
        <v>0</v>
      </c>
      <c r="K415">
        <f>+data!AT415</f>
        <v>0</v>
      </c>
      <c r="L415">
        <f>+data!AO415</f>
        <v>0</v>
      </c>
      <c r="M415">
        <f>+data!AN415</f>
        <v>0</v>
      </c>
      <c r="N415">
        <f>+data!AU415</f>
        <v>0</v>
      </c>
      <c r="O415">
        <f>+data!AV415</f>
        <v>0</v>
      </c>
      <c r="P415">
        <f>+data!AD415</f>
        <v>1</v>
      </c>
      <c r="Q415">
        <f>+data!AF415</f>
        <v>7.5999020000000002</v>
      </c>
      <c r="R415">
        <f>+data!AG415</f>
        <v>2.944439</v>
      </c>
      <c r="S415">
        <f>+data!AE415</f>
        <v>1</v>
      </c>
    </row>
    <row r="416" spans="1:19" x14ac:dyDescent="0.25">
      <c r="A416">
        <f>+data!AI416</f>
        <v>-0.47815947519036128</v>
      </c>
      <c r="B416">
        <f>+data!AJ416</f>
        <v>0.14845523772559269</v>
      </c>
      <c r="C416">
        <f>+data!W416</f>
        <v>0</v>
      </c>
      <c r="D416">
        <f>+data!AQ416</f>
        <v>0</v>
      </c>
      <c r="E416">
        <f>+data!T416</f>
        <v>0</v>
      </c>
      <c r="F416">
        <f>+data!X416</f>
        <v>0</v>
      </c>
      <c r="G416">
        <f>+data!Y416</f>
        <v>1</v>
      </c>
      <c r="H416">
        <f>+data!U416</f>
        <v>1</v>
      </c>
      <c r="I416">
        <f>+data!V416</f>
        <v>1</v>
      </c>
      <c r="J416">
        <f>+data!AS416</f>
        <v>0</v>
      </c>
      <c r="K416">
        <f>+data!AT416</f>
        <v>0</v>
      </c>
      <c r="L416">
        <f>+data!AO416</f>
        <v>0</v>
      </c>
      <c r="M416">
        <f>+data!AN416</f>
        <v>0</v>
      </c>
      <c r="N416">
        <f>+data!AU416</f>
        <v>0</v>
      </c>
      <c r="O416">
        <f>+data!AV416</f>
        <v>0</v>
      </c>
      <c r="P416">
        <f>+data!AD416</f>
        <v>1</v>
      </c>
      <c r="Q416">
        <f>+data!AF416</f>
        <v>7.5999020000000002</v>
      </c>
      <c r="R416">
        <f>+data!AG416</f>
        <v>2.944439</v>
      </c>
      <c r="S416">
        <f>+data!AE416</f>
        <v>1</v>
      </c>
    </row>
    <row r="417" spans="1:19" x14ac:dyDescent="0.25">
      <c r="A417">
        <f>+data!AI417</f>
        <v>0.14254368482113891</v>
      </c>
      <c r="B417">
        <f>+data!AJ417</f>
        <v>0.16730479439100804</v>
      </c>
      <c r="C417">
        <f>+data!W417</f>
        <v>0</v>
      </c>
      <c r="D417">
        <f>+data!AQ417</f>
        <v>1</v>
      </c>
      <c r="E417">
        <f>+data!T417</f>
        <v>0</v>
      </c>
      <c r="F417">
        <f>+data!X417</f>
        <v>0</v>
      </c>
      <c r="G417">
        <f>+data!Y417</f>
        <v>1</v>
      </c>
      <c r="H417">
        <f>+data!U417</f>
        <v>1</v>
      </c>
      <c r="I417">
        <f>+data!V417</f>
        <v>1</v>
      </c>
      <c r="J417">
        <f>+data!AS417</f>
        <v>0</v>
      </c>
      <c r="K417">
        <f>+data!AT417</f>
        <v>0</v>
      </c>
      <c r="L417">
        <f>+data!AO417</f>
        <v>0</v>
      </c>
      <c r="M417">
        <f>+data!AN417</f>
        <v>0</v>
      </c>
      <c r="N417">
        <f>+data!AU417</f>
        <v>0</v>
      </c>
      <c r="O417">
        <f>+data!AV417</f>
        <v>0</v>
      </c>
      <c r="P417">
        <f>+data!AD417</f>
        <v>1</v>
      </c>
      <c r="Q417">
        <f>+data!AF417</f>
        <v>7.5999020000000002</v>
      </c>
      <c r="R417">
        <f>+data!AG417</f>
        <v>2.944439</v>
      </c>
      <c r="S417">
        <f>+data!AE417</f>
        <v>1</v>
      </c>
    </row>
    <row r="418" spans="1:19" x14ac:dyDescent="0.25">
      <c r="A418">
        <f>+data!AI418</f>
        <v>-0.12969715214974248</v>
      </c>
      <c r="B418">
        <f>+data!AJ418</f>
        <v>0.17260733583942262</v>
      </c>
      <c r="C418">
        <f>+data!W418</f>
        <v>0</v>
      </c>
      <c r="D418">
        <f>+data!AQ418</f>
        <v>0</v>
      </c>
      <c r="E418">
        <f>+data!T418</f>
        <v>0</v>
      </c>
      <c r="F418">
        <f>+data!X418</f>
        <v>0</v>
      </c>
      <c r="G418">
        <f>+data!Y418</f>
        <v>1</v>
      </c>
      <c r="H418">
        <f>+data!U418</f>
        <v>1</v>
      </c>
      <c r="I418">
        <f>+data!V418</f>
        <v>1</v>
      </c>
      <c r="J418">
        <f>+data!AS418</f>
        <v>0</v>
      </c>
      <c r="K418">
        <f>+data!AT418</f>
        <v>0</v>
      </c>
      <c r="L418">
        <f>+data!AO418</f>
        <v>0</v>
      </c>
      <c r="M418">
        <f>+data!AN418</f>
        <v>0</v>
      </c>
      <c r="N418">
        <f>+data!AU418</f>
        <v>0</v>
      </c>
      <c r="O418">
        <f>+data!AV418</f>
        <v>0</v>
      </c>
      <c r="P418">
        <f>+data!AD418</f>
        <v>1</v>
      </c>
      <c r="Q418">
        <f>+data!AF418</f>
        <v>7.5999020000000002</v>
      </c>
      <c r="R418">
        <f>+data!AG418</f>
        <v>2.944439</v>
      </c>
      <c r="S418">
        <f>+data!AE418</f>
        <v>1</v>
      </c>
    </row>
    <row r="419" spans="1:19" x14ac:dyDescent="0.25">
      <c r="A419">
        <f>+data!AI419</f>
        <v>-0.19068881331110074</v>
      </c>
      <c r="B419">
        <f>+data!AJ419</f>
        <v>0.1708834244207369</v>
      </c>
      <c r="C419">
        <f>+data!W419</f>
        <v>0</v>
      </c>
      <c r="D419">
        <f>+data!AQ419</f>
        <v>0</v>
      </c>
      <c r="E419">
        <f>+data!T419</f>
        <v>0</v>
      </c>
      <c r="F419">
        <f>+data!X419</f>
        <v>0</v>
      </c>
      <c r="G419">
        <f>+data!Y419</f>
        <v>1</v>
      </c>
      <c r="H419">
        <f>+data!U419</f>
        <v>1</v>
      </c>
      <c r="I419">
        <f>+data!V419</f>
        <v>1</v>
      </c>
      <c r="J419">
        <f>+data!AS419</f>
        <v>0</v>
      </c>
      <c r="K419">
        <f>+data!AT419</f>
        <v>0</v>
      </c>
      <c r="L419">
        <f>+data!AO419</f>
        <v>0</v>
      </c>
      <c r="M419">
        <f>+data!AN419</f>
        <v>0</v>
      </c>
      <c r="N419">
        <f>+data!AU419</f>
        <v>0</v>
      </c>
      <c r="O419">
        <f>+data!AV419</f>
        <v>0</v>
      </c>
      <c r="P419">
        <f>+data!AD419</f>
        <v>1</v>
      </c>
      <c r="Q419">
        <f>+data!AF419</f>
        <v>7.5999020000000002</v>
      </c>
      <c r="R419">
        <f>+data!AG419</f>
        <v>2.944439</v>
      </c>
      <c r="S419">
        <f>+data!AE419</f>
        <v>1</v>
      </c>
    </row>
    <row r="420" spans="1:19" x14ac:dyDescent="0.25">
      <c r="A420">
        <f>+data!AI420</f>
        <v>-0.41765994965265923</v>
      </c>
      <c r="B420">
        <f>+data!AJ420</f>
        <v>0.16061990910766424</v>
      </c>
      <c r="C420">
        <f>+data!W420</f>
        <v>0</v>
      </c>
      <c r="D420">
        <f>+data!AQ420</f>
        <v>0</v>
      </c>
      <c r="E420">
        <f>+data!T420</f>
        <v>0</v>
      </c>
      <c r="F420">
        <f>+data!X420</f>
        <v>0</v>
      </c>
      <c r="G420">
        <f>+data!Y420</f>
        <v>1</v>
      </c>
      <c r="H420">
        <f>+data!U420</f>
        <v>1</v>
      </c>
      <c r="I420">
        <f>+data!V420</f>
        <v>1</v>
      </c>
      <c r="J420">
        <f>+data!AS420</f>
        <v>0</v>
      </c>
      <c r="K420">
        <f>+data!AT420</f>
        <v>0</v>
      </c>
      <c r="L420">
        <f>+data!AO420</f>
        <v>0</v>
      </c>
      <c r="M420">
        <f>+data!AN420</f>
        <v>0</v>
      </c>
      <c r="N420">
        <f>+data!AU420</f>
        <v>0</v>
      </c>
      <c r="O420">
        <f>+data!AV420</f>
        <v>0</v>
      </c>
      <c r="P420">
        <f>+data!AD420</f>
        <v>1</v>
      </c>
      <c r="Q420">
        <f>+data!AF420</f>
        <v>7.5999020000000002</v>
      </c>
      <c r="R420">
        <f>+data!AG420</f>
        <v>2.944439</v>
      </c>
      <c r="S420">
        <f>+data!AE420</f>
        <v>1</v>
      </c>
    </row>
    <row r="421" spans="1:19" x14ac:dyDescent="0.25">
      <c r="A421">
        <f>+data!AI421</f>
        <v>-0.63124531748121493</v>
      </c>
      <c r="B421">
        <f>+data!AJ421</f>
        <v>0.13710504061189274</v>
      </c>
      <c r="C421">
        <f>+data!W421</f>
        <v>0</v>
      </c>
      <c r="D421">
        <f>+data!AQ421</f>
        <v>0</v>
      </c>
      <c r="E421">
        <f>+data!T421</f>
        <v>0</v>
      </c>
      <c r="F421">
        <f>+data!X421</f>
        <v>0</v>
      </c>
      <c r="G421">
        <f>+data!Y421</f>
        <v>1</v>
      </c>
      <c r="H421">
        <f>+data!U421</f>
        <v>1</v>
      </c>
      <c r="I421">
        <f>+data!V421</f>
        <v>1</v>
      </c>
      <c r="J421">
        <f>+data!AS421</f>
        <v>0</v>
      </c>
      <c r="K421">
        <f>+data!AT421</f>
        <v>0</v>
      </c>
      <c r="L421">
        <f>+data!AO421</f>
        <v>0</v>
      </c>
      <c r="M421">
        <f>+data!AN421</f>
        <v>0</v>
      </c>
      <c r="N421">
        <f>+data!AU421</f>
        <v>0</v>
      </c>
      <c r="O421">
        <f>+data!AV421</f>
        <v>0</v>
      </c>
      <c r="P421">
        <f>+data!AD421</f>
        <v>1</v>
      </c>
      <c r="Q421">
        <f>+data!AF421</f>
        <v>7.5999020000000002</v>
      </c>
      <c r="R421">
        <f>+data!AG421</f>
        <v>2.944439</v>
      </c>
      <c r="S421">
        <f>+data!AE421</f>
        <v>1</v>
      </c>
    </row>
    <row r="422" spans="1:19" x14ac:dyDescent="0.25">
      <c r="A422">
        <f>+data!AI422</f>
        <v>-0.11884745527608778</v>
      </c>
      <c r="B422">
        <f>+data!AJ422</f>
        <v>0.17284388492741057</v>
      </c>
      <c r="C422">
        <f>+data!W422</f>
        <v>0</v>
      </c>
      <c r="D422">
        <f>+data!AQ422</f>
        <v>1</v>
      </c>
      <c r="E422">
        <f>+data!T422</f>
        <v>0</v>
      </c>
      <c r="F422">
        <f>+data!X422</f>
        <v>0</v>
      </c>
      <c r="G422">
        <f>+data!Y422</f>
        <v>1</v>
      </c>
      <c r="H422">
        <f>+data!U422</f>
        <v>1</v>
      </c>
      <c r="I422">
        <f>+data!V422</f>
        <v>1</v>
      </c>
      <c r="J422">
        <f>+data!AS422</f>
        <v>0</v>
      </c>
      <c r="K422">
        <f>+data!AT422</f>
        <v>0</v>
      </c>
      <c r="L422">
        <f>+data!AO422</f>
        <v>0</v>
      </c>
      <c r="M422">
        <f>+data!AN422</f>
        <v>0</v>
      </c>
      <c r="N422">
        <f>+data!AU422</f>
        <v>0</v>
      </c>
      <c r="O422">
        <f>+data!AV422</f>
        <v>0</v>
      </c>
      <c r="P422">
        <f>+data!AD422</f>
        <v>1</v>
      </c>
      <c r="Q422">
        <f>+data!AF422</f>
        <v>7.5999020000000002</v>
      </c>
      <c r="R422">
        <f>+data!AG422</f>
        <v>2.944439</v>
      </c>
      <c r="S422">
        <f>+data!AE422</f>
        <v>1</v>
      </c>
    </row>
    <row r="423" spans="1:19" x14ac:dyDescent="0.25">
      <c r="A423">
        <f>+data!AI423</f>
        <v>-7.769895994450314E-2</v>
      </c>
      <c r="B423">
        <f>+data!AJ423</f>
        <v>0.17355139590016333</v>
      </c>
      <c r="C423">
        <f>+data!W423</f>
        <v>0</v>
      </c>
      <c r="D423">
        <f>+data!AQ423</f>
        <v>1</v>
      </c>
      <c r="E423">
        <f>+data!T423</f>
        <v>0</v>
      </c>
      <c r="F423">
        <f>+data!X423</f>
        <v>0</v>
      </c>
      <c r="G423">
        <f>+data!Y423</f>
        <v>1</v>
      </c>
      <c r="H423">
        <f>+data!U423</f>
        <v>1</v>
      </c>
      <c r="I423">
        <f>+data!V423</f>
        <v>1</v>
      </c>
      <c r="J423">
        <f>+data!AS423</f>
        <v>0</v>
      </c>
      <c r="K423">
        <f>+data!AT423</f>
        <v>0</v>
      </c>
      <c r="L423">
        <f>+data!AO423</f>
        <v>0</v>
      </c>
      <c r="M423">
        <f>+data!AN423</f>
        <v>0</v>
      </c>
      <c r="N423">
        <f>+data!AU423</f>
        <v>0</v>
      </c>
      <c r="O423">
        <f>+data!AV423</f>
        <v>0</v>
      </c>
      <c r="P423">
        <f>+data!AD423</f>
        <v>1</v>
      </c>
      <c r="Q423">
        <f>+data!AF423</f>
        <v>7.5999020000000002</v>
      </c>
      <c r="R423">
        <f>+data!AG423</f>
        <v>2.944439</v>
      </c>
      <c r="S423">
        <f>+data!AE423</f>
        <v>1</v>
      </c>
    </row>
    <row r="424" spans="1:19" x14ac:dyDescent="0.25">
      <c r="A424">
        <f>+data!AI424</f>
        <v>-0.1484724173878238</v>
      </c>
      <c r="B424">
        <f>+data!AJ424</f>
        <v>0.17481739949113828</v>
      </c>
      <c r="C424">
        <f>+data!W424</f>
        <v>0</v>
      </c>
      <c r="D424">
        <f>+data!AQ424</f>
        <v>1</v>
      </c>
      <c r="E424">
        <f>+data!T424</f>
        <v>0</v>
      </c>
      <c r="F424">
        <f>+data!X424</f>
        <v>0</v>
      </c>
      <c r="G424">
        <f>+data!Y424</f>
        <v>1</v>
      </c>
      <c r="H424">
        <f>+data!U424</f>
        <v>1</v>
      </c>
      <c r="I424">
        <f>+data!V424</f>
        <v>1</v>
      </c>
      <c r="J424">
        <f>+data!AS424</f>
        <v>0</v>
      </c>
      <c r="K424">
        <f>+data!AT424</f>
        <v>0</v>
      </c>
      <c r="L424">
        <f>+data!AO424</f>
        <v>0</v>
      </c>
      <c r="M424">
        <f>+data!AN424</f>
        <v>0</v>
      </c>
      <c r="N424">
        <f>+data!AU424</f>
        <v>0</v>
      </c>
      <c r="O424">
        <f>+data!AV424</f>
        <v>0</v>
      </c>
      <c r="P424">
        <f>+data!AD424</f>
        <v>1</v>
      </c>
      <c r="Q424">
        <f>+data!AF424</f>
        <v>7.5999020000000002</v>
      </c>
      <c r="R424">
        <f>+data!AG424</f>
        <v>2.944439</v>
      </c>
      <c r="S424">
        <f>+data!AE424</f>
        <v>1</v>
      </c>
    </row>
    <row r="425" spans="1:19" x14ac:dyDescent="0.25">
      <c r="A425">
        <f>+data!AI425</f>
        <v>-0.11330427556406746</v>
      </c>
      <c r="B425">
        <f>+data!AJ425</f>
        <v>0.17563831276401706</v>
      </c>
      <c r="C425">
        <f>+data!W425</f>
        <v>0</v>
      </c>
      <c r="D425">
        <f>+data!AQ425</f>
        <v>1</v>
      </c>
      <c r="E425">
        <f>+data!T425</f>
        <v>0</v>
      </c>
      <c r="F425">
        <f>+data!X425</f>
        <v>0</v>
      </c>
      <c r="G425">
        <f>+data!Y425</f>
        <v>1</v>
      </c>
      <c r="H425">
        <f>+data!U425</f>
        <v>1</v>
      </c>
      <c r="I425">
        <f>+data!V425</f>
        <v>1</v>
      </c>
      <c r="J425">
        <f>+data!AS425</f>
        <v>0</v>
      </c>
      <c r="K425">
        <f>+data!AT425</f>
        <v>0</v>
      </c>
      <c r="L425">
        <f>+data!AO425</f>
        <v>0</v>
      </c>
      <c r="M425">
        <f>+data!AN425</f>
        <v>0</v>
      </c>
      <c r="N425">
        <f>+data!AU425</f>
        <v>0</v>
      </c>
      <c r="O425">
        <f>+data!AV425</f>
        <v>0</v>
      </c>
      <c r="P425">
        <f>+data!AD425</f>
        <v>1</v>
      </c>
      <c r="Q425">
        <f>+data!AF425</f>
        <v>7.5999020000000002</v>
      </c>
      <c r="R425">
        <f>+data!AG425</f>
        <v>2.944439</v>
      </c>
      <c r="S425">
        <f>+data!AE425</f>
        <v>1</v>
      </c>
    </row>
    <row r="426" spans="1:19" x14ac:dyDescent="0.25">
      <c r="A426">
        <f>+data!AI426</f>
        <v>-2.7394846527136613E-2</v>
      </c>
      <c r="B426">
        <f>+data!AJ426</f>
        <v>1.789328545385525E-2</v>
      </c>
      <c r="C426">
        <f>+data!W426</f>
        <v>1</v>
      </c>
      <c r="D426">
        <f>+data!AQ426</f>
        <v>1</v>
      </c>
      <c r="E426">
        <f>+data!T426</f>
        <v>1</v>
      </c>
      <c r="F426">
        <f>+data!X426</f>
        <v>1</v>
      </c>
      <c r="G426">
        <f>+data!Y426</f>
        <v>0</v>
      </c>
      <c r="H426">
        <f>+data!U426</f>
        <v>0</v>
      </c>
      <c r="I426">
        <f>+data!V426</f>
        <v>0</v>
      </c>
      <c r="J426">
        <f>+data!AS426</f>
        <v>0</v>
      </c>
      <c r="K426">
        <f>+data!AT426</f>
        <v>0</v>
      </c>
      <c r="L426">
        <f>+data!AO426</f>
        <v>1</v>
      </c>
      <c r="M426">
        <f>+data!AN426</f>
        <v>0</v>
      </c>
      <c r="N426">
        <f>+data!AU426</f>
        <v>0</v>
      </c>
      <c r="O426">
        <f>+data!AV426</f>
        <v>1</v>
      </c>
      <c r="P426">
        <f>+data!AD426</f>
        <v>1</v>
      </c>
      <c r="Q426">
        <f>+data!AF426</f>
        <v>7.5958899999999998</v>
      </c>
      <c r="R426">
        <f>+data!AG426</f>
        <v>4.4426509999999997</v>
      </c>
      <c r="S426">
        <f>+data!AE426</f>
        <v>1</v>
      </c>
    </row>
    <row r="427" spans="1:19" x14ac:dyDescent="0.25">
      <c r="A427">
        <f>+data!AI427</f>
        <v>1.6898257710466581E-2</v>
      </c>
      <c r="B427">
        <f>+data!AJ427</f>
        <v>5.0694773131399737E-2</v>
      </c>
      <c r="C427">
        <f>+data!W427</f>
        <v>1</v>
      </c>
      <c r="D427">
        <f>+data!AQ427</f>
        <v>1</v>
      </c>
      <c r="E427">
        <f>+data!T427</f>
        <v>0</v>
      </c>
      <c r="F427">
        <f>+data!X427</f>
        <v>0</v>
      </c>
      <c r="G427">
        <f>+data!Y427</f>
        <v>0</v>
      </c>
      <c r="H427">
        <f>+data!U427</f>
        <v>0</v>
      </c>
      <c r="I427">
        <f>+data!V427</f>
        <v>0</v>
      </c>
      <c r="J427">
        <f>+data!AS427</f>
        <v>0</v>
      </c>
      <c r="K427">
        <f>+data!AT427</f>
        <v>0</v>
      </c>
      <c r="L427">
        <f>+data!AO427</f>
        <v>1</v>
      </c>
      <c r="M427">
        <f>+data!AN427</f>
        <v>0</v>
      </c>
      <c r="N427">
        <f>+data!AU427</f>
        <v>0</v>
      </c>
      <c r="O427">
        <f>+data!AV427</f>
        <v>1</v>
      </c>
      <c r="P427">
        <f>+data!AD427</f>
        <v>1</v>
      </c>
      <c r="Q427">
        <f>+data!AF427</f>
        <v>7.604895</v>
      </c>
      <c r="R427">
        <f>+data!AG427</f>
        <v>3.091043</v>
      </c>
      <c r="S427">
        <f>+data!AE427</f>
        <v>1</v>
      </c>
    </row>
    <row r="428" spans="1:19" x14ac:dyDescent="0.25">
      <c r="A428">
        <f>+data!AI428</f>
        <v>-8.9911884574604539E-3</v>
      </c>
      <c r="B428">
        <f>+data!AJ428</f>
        <v>6.5935382021376651E-2</v>
      </c>
      <c r="C428">
        <f>+data!W428</f>
        <v>1</v>
      </c>
      <c r="D428">
        <f>+data!AQ428</f>
        <v>1</v>
      </c>
      <c r="E428">
        <f>+data!T428</f>
        <v>0</v>
      </c>
      <c r="F428">
        <f>+data!X428</f>
        <v>0</v>
      </c>
      <c r="G428">
        <f>+data!Y428</f>
        <v>0</v>
      </c>
      <c r="H428">
        <f>+data!U428</f>
        <v>0</v>
      </c>
      <c r="I428">
        <f>+data!V428</f>
        <v>0</v>
      </c>
      <c r="J428">
        <f>+data!AS428</f>
        <v>0</v>
      </c>
      <c r="K428">
        <f>+data!AT428</f>
        <v>0</v>
      </c>
      <c r="L428">
        <f>+data!AO428</f>
        <v>1</v>
      </c>
      <c r="M428">
        <f>+data!AN428</f>
        <v>0</v>
      </c>
      <c r="N428">
        <f>+data!AU428</f>
        <v>0</v>
      </c>
      <c r="O428">
        <f>+data!AV428</f>
        <v>1</v>
      </c>
      <c r="P428">
        <f>+data!AD428</f>
        <v>1</v>
      </c>
      <c r="Q428">
        <f>+data!AF428</f>
        <v>7.604895</v>
      </c>
      <c r="R428">
        <f>+data!AG428</f>
        <v>3.091043</v>
      </c>
      <c r="S428">
        <f>+data!AE428</f>
        <v>1</v>
      </c>
    </row>
    <row r="429" spans="1:19" x14ac:dyDescent="0.25">
      <c r="A429">
        <f>+data!AI429</f>
        <v>-0.11678545896676293</v>
      </c>
      <c r="B429">
        <f>+data!AJ429</f>
        <v>4.671418358670517E-2</v>
      </c>
      <c r="C429">
        <f>+data!W429</f>
        <v>1</v>
      </c>
      <c r="D429">
        <f>+data!AQ429</f>
        <v>1</v>
      </c>
      <c r="E429">
        <f>+data!T429</f>
        <v>0</v>
      </c>
      <c r="F429">
        <f>+data!X429</f>
        <v>0</v>
      </c>
      <c r="G429">
        <f>+data!Y429</f>
        <v>0</v>
      </c>
      <c r="H429">
        <f>+data!U429</f>
        <v>0</v>
      </c>
      <c r="I429">
        <f>+data!V429</f>
        <v>0</v>
      </c>
      <c r="J429">
        <f>+data!AS429</f>
        <v>0</v>
      </c>
      <c r="K429">
        <f>+data!AT429</f>
        <v>0</v>
      </c>
      <c r="L429">
        <f>+data!AO429</f>
        <v>1</v>
      </c>
      <c r="M429">
        <f>+data!AN429</f>
        <v>0</v>
      </c>
      <c r="N429">
        <f>+data!AU429</f>
        <v>0</v>
      </c>
      <c r="O429">
        <f>+data!AV429</f>
        <v>1</v>
      </c>
      <c r="P429">
        <f>+data!AD429</f>
        <v>1</v>
      </c>
      <c r="Q429">
        <f>+data!AF429</f>
        <v>7.604895</v>
      </c>
      <c r="R429">
        <f>+data!AG429</f>
        <v>3.091043</v>
      </c>
      <c r="S429">
        <f>+data!AE429</f>
        <v>1</v>
      </c>
    </row>
    <row r="430" spans="1:19" x14ac:dyDescent="0.25">
      <c r="A430">
        <f>+data!AI430</f>
        <v>-3.5082464700636716E-3</v>
      </c>
      <c r="B430">
        <f>+data!AJ430</f>
        <v>4.7946035090870184E-2</v>
      </c>
      <c r="C430">
        <f>+data!W430</f>
        <v>1</v>
      </c>
      <c r="D430">
        <f>+data!AQ430</f>
        <v>1</v>
      </c>
      <c r="E430">
        <f>+data!T430</f>
        <v>0</v>
      </c>
      <c r="F430">
        <f>+data!X430</f>
        <v>0</v>
      </c>
      <c r="G430">
        <f>+data!Y430</f>
        <v>0</v>
      </c>
      <c r="H430">
        <f>+data!U430</f>
        <v>0</v>
      </c>
      <c r="I430">
        <f>+data!V430</f>
        <v>0</v>
      </c>
      <c r="J430">
        <f>+data!AS430</f>
        <v>0</v>
      </c>
      <c r="K430">
        <f>+data!AT430</f>
        <v>0</v>
      </c>
      <c r="L430">
        <f>+data!AO430</f>
        <v>1</v>
      </c>
      <c r="M430">
        <f>+data!AN430</f>
        <v>0</v>
      </c>
      <c r="N430">
        <f>+data!AU430</f>
        <v>0</v>
      </c>
      <c r="O430">
        <f>+data!AV430</f>
        <v>1</v>
      </c>
      <c r="P430">
        <f>+data!AD430</f>
        <v>1</v>
      </c>
      <c r="Q430">
        <f>+data!AF430</f>
        <v>7.604895</v>
      </c>
      <c r="R430">
        <f>+data!AG430</f>
        <v>3.091043</v>
      </c>
      <c r="S430">
        <f>+data!AE430</f>
        <v>1</v>
      </c>
    </row>
    <row r="431" spans="1:19" x14ac:dyDescent="0.25">
      <c r="A431">
        <f>+data!AI431</f>
        <v>-1.2564652893540985E-2</v>
      </c>
      <c r="B431">
        <f>+data!AJ431</f>
        <v>4.8164502758573778E-2</v>
      </c>
      <c r="C431">
        <f>+data!W431</f>
        <v>1</v>
      </c>
      <c r="D431">
        <f>+data!AQ431</f>
        <v>1</v>
      </c>
      <c r="E431">
        <f>+data!T431</f>
        <v>0</v>
      </c>
      <c r="F431">
        <f>+data!X431</f>
        <v>0</v>
      </c>
      <c r="G431">
        <f>+data!Y431</f>
        <v>0</v>
      </c>
      <c r="H431">
        <f>+data!U431</f>
        <v>0</v>
      </c>
      <c r="I431">
        <f>+data!V431</f>
        <v>0</v>
      </c>
      <c r="J431">
        <f>+data!AS431</f>
        <v>0</v>
      </c>
      <c r="K431">
        <f>+data!AT431</f>
        <v>0</v>
      </c>
      <c r="L431">
        <f>+data!AO431</f>
        <v>1</v>
      </c>
      <c r="M431">
        <f>+data!AN431</f>
        <v>0</v>
      </c>
      <c r="N431">
        <f>+data!AU431</f>
        <v>0</v>
      </c>
      <c r="O431">
        <f>+data!AV431</f>
        <v>1</v>
      </c>
      <c r="P431">
        <f>+data!AD431</f>
        <v>1</v>
      </c>
      <c r="Q431">
        <f>+data!AF431</f>
        <v>7.604895</v>
      </c>
      <c r="R431">
        <f>+data!AG431</f>
        <v>3.091043</v>
      </c>
      <c r="S431">
        <f>+data!AE431</f>
        <v>1</v>
      </c>
    </row>
    <row r="432" spans="1:19" x14ac:dyDescent="0.25">
      <c r="A432">
        <f>+data!AI432</f>
        <v>-8.4391941899449163E-3</v>
      </c>
      <c r="B432">
        <f>+data!AJ432</f>
        <v>5.0635165139669501E-2</v>
      </c>
      <c r="C432">
        <f>+data!W432</f>
        <v>1</v>
      </c>
      <c r="D432">
        <f>+data!AQ432</f>
        <v>1</v>
      </c>
      <c r="E432">
        <f>+data!T432</f>
        <v>0</v>
      </c>
      <c r="F432">
        <f>+data!X432</f>
        <v>0</v>
      </c>
      <c r="G432">
        <f>+data!Y432</f>
        <v>0</v>
      </c>
      <c r="H432">
        <f>+data!U432</f>
        <v>0</v>
      </c>
      <c r="I432">
        <f>+data!V432</f>
        <v>0</v>
      </c>
      <c r="J432">
        <f>+data!AS432</f>
        <v>0</v>
      </c>
      <c r="K432">
        <f>+data!AT432</f>
        <v>0</v>
      </c>
      <c r="L432">
        <f>+data!AO432</f>
        <v>1</v>
      </c>
      <c r="M432">
        <f>+data!AN432</f>
        <v>0</v>
      </c>
      <c r="N432">
        <f>+data!AU432</f>
        <v>0</v>
      </c>
      <c r="O432">
        <f>+data!AV432</f>
        <v>1</v>
      </c>
      <c r="P432">
        <f>+data!AD432</f>
        <v>1</v>
      </c>
      <c r="Q432">
        <f>+data!AF432</f>
        <v>7.604895</v>
      </c>
      <c r="R432">
        <f>+data!AG432</f>
        <v>3.091043</v>
      </c>
      <c r="S432">
        <f>+data!AE432</f>
        <v>1</v>
      </c>
    </row>
    <row r="433" spans="1:19" x14ac:dyDescent="0.25">
      <c r="A433">
        <f>+data!AI433</f>
        <v>-8.7723517121932274E-3</v>
      </c>
      <c r="B433">
        <f>+data!AJ433</f>
        <v>6.5792637841449203E-2</v>
      </c>
      <c r="C433">
        <f>+data!W433</f>
        <v>1</v>
      </c>
      <c r="D433">
        <f>+data!AQ433</f>
        <v>1</v>
      </c>
      <c r="E433">
        <f>+data!T433</f>
        <v>0</v>
      </c>
      <c r="F433">
        <f>+data!X433</f>
        <v>0</v>
      </c>
      <c r="G433">
        <f>+data!Y433</f>
        <v>0</v>
      </c>
      <c r="H433">
        <f>+data!U433</f>
        <v>0</v>
      </c>
      <c r="I433">
        <f>+data!V433</f>
        <v>0</v>
      </c>
      <c r="J433">
        <f>+data!AS433</f>
        <v>0</v>
      </c>
      <c r="K433">
        <f>+data!AT433</f>
        <v>0</v>
      </c>
      <c r="L433">
        <f>+data!AO433</f>
        <v>1</v>
      </c>
      <c r="M433">
        <f>+data!AN433</f>
        <v>0</v>
      </c>
      <c r="N433">
        <f>+data!AU433</f>
        <v>0</v>
      </c>
      <c r="O433">
        <f>+data!AV433</f>
        <v>1</v>
      </c>
      <c r="P433">
        <f>+data!AD433</f>
        <v>1</v>
      </c>
      <c r="Q433">
        <f>+data!AF433</f>
        <v>7.604895</v>
      </c>
      <c r="R433">
        <f>+data!AG433</f>
        <v>3.091043</v>
      </c>
      <c r="S433">
        <f>+data!AE433</f>
        <v>1</v>
      </c>
    </row>
    <row r="434" spans="1:19" x14ac:dyDescent="0.25">
      <c r="A434">
        <f>+data!AI434</f>
        <v>-1.8381975655763598E-2</v>
      </c>
      <c r="B434">
        <f>+data!AJ434</f>
        <v>4.6976160009173644E-2</v>
      </c>
      <c r="C434">
        <f>+data!W434</f>
        <v>1</v>
      </c>
      <c r="D434">
        <f>+data!AQ434</f>
        <v>1</v>
      </c>
      <c r="E434">
        <f>+data!T434</f>
        <v>0</v>
      </c>
      <c r="F434">
        <f>+data!X434</f>
        <v>0</v>
      </c>
      <c r="G434">
        <f>+data!Y434</f>
        <v>0</v>
      </c>
      <c r="H434">
        <f>+data!U434</f>
        <v>0</v>
      </c>
      <c r="I434">
        <f>+data!V434</f>
        <v>0</v>
      </c>
      <c r="J434">
        <f>+data!AS434</f>
        <v>0</v>
      </c>
      <c r="K434">
        <f>+data!AT434</f>
        <v>0</v>
      </c>
      <c r="L434">
        <f>+data!AO434</f>
        <v>1</v>
      </c>
      <c r="M434">
        <f>+data!AN434</f>
        <v>0</v>
      </c>
      <c r="N434">
        <f>+data!AU434</f>
        <v>0</v>
      </c>
      <c r="O434">
        <f>+data!AV434</f>
        <v>1</v>
      </c>
      <c r="P434">
        <f>+data!AD434</f>
        <v>1</v>
      </c>
      <c r="Q434">
        <f>+data!AF434</f>
        <v>7.604895</v>
      </c>
      <c r="R434">
        <f>+data!AG434</f>
        <v>3.091043</v>
      </c>
      <c r="S434">
        <f>+data!AE434</f>
        <v>1</v>
      </c>
    </row>
    <row r="435" spans="1:19" x14ac:dyDescent="0.25">
      <c r="A435">
        <f>+data!AI435</f>
        <v>1.2124374445777097E-3</v>
      </c>
      <c r="B435">
        <f>+data!AJ435</f>
        <v>4.7891279060819532E-2</v>
      </c>
      <c r="C435">
        <f>+data!W435</f>
        <v>1</v>
      </c>
      <c r="D435">
        <f>+data!AQ435</f>
        <v>1</v>
      </c>
      <c r="E435">
        <f>+data!T435</f>
        <v>0</v>
      </c>
      <c r="F435">
        <f>+data!X435</f>
        <v>0</v>
      </c>
      <c r="G435">
        <f>+data!Y435</f>
        <v>0</v>
      </c>
      <c r="H435">
        <f>+data!U435</f>
        <v>0</v>
      </c>
      <c r="I435">
        <f>+data!V435</f>
        <v>0</v>
      </c>
      <c r="J435">
        <f>+data!AS435</f>
        <v>0</v>
      </c>
      <c r="K435">
        <f>+data!AT435</f>
        <v>0</v>
      </c>
      <c r="L435">
        <f>+data!AO435</f>
        <v>1</v>
      </c>
      <c r="M435">
        <f>+data!AN435</f>
        <v>0</v>
      </c>
      <c r="N435">
        <f>+data!AU435</f>
        <v>0</v>
      </c>
      <c r="O435">
        <f>+data!AV435</f>
        <v>1</v>
      </c>
      <c r="P435">
        <f>+data!AD435</f>
        <v>1</v>
      </c>
      <c r="Q435">
        <f>+data!AF435</f>
        <v>7.604895</v>
      </c>
      <c r="R435">
        <f>+data!AG435</f>
        <v>3.091043</v>
      </c>
      <c r="S435">
        <f>+data!AE435</f>
        <v>1</v>
      </c>
    </row>
    <row r="436" spans="1:19" x14ac:dyDescent="0.25">
      <c r="A436">
        <f>+data!AI436</f>
        <v>-6.5015548051880938E-3</v>
      </c>
      <c r="B436">
        <f>+data!AJ436</f>
        <v>4.8111505558391894E-2</v>
      </c>
      <c r="C436">
        <f>+data!W436</f>
        <v>1</v>
      </c>
      <c r="D436">
        <f>+data!AQ436</f>
        <v>1</v>
      </c>
      <c r="E436">
        <f>+data!T436</f>
        <v>0</v>
      </c>
      <c r="F436">
        <f>+data!X436</f>
        <v>0</v>
      </c>
      <c r="G436">
        <f>+data!Y436</f>
        <v>0</v>
      </c>
      <c r="H436">
        <f>+data!U436</f>
        <v>0</v>
      </c>
      <c r="I436">
        <f>+data!V436</f>
        <v>0</v>
      </c>
      <c r="J436">
        <f>+data!AS436</f>
        <v>0</v>
      </c>
      <c r="K436">
        <f>+data!AT436</f>
        <v>0</v>
      </c>
      <c r="L436">
        <f>+data!AO436</f>
        <v>1</v>
      </c>
      <c r="M436">
        <f>+data!AN436</f>
        <v>0</v>
      </c>
      <c r="N436">
        <f>+data!AU436</f>
        <v>0</v>
      </c>
      <c r="O436">
        <f>+data!AV436</f>
        <v>1</v>
      </c>
      <c r="P436">
        <f>+data!AD436</f>
        <v>1</v>
      </c>
      <c r="Q436">
        <f>+data!AF436</f>
        <v>7.604895</v>
      </c>
      <c r="R436">
        <f>+data!AG436</f>
        <v>3.091043</v>
      </c>
      <c r="S436">
        <f>+data!AE436</f>
        <v>1</v>
      </c>
    </row>
    <row r="437" spans="1:19" x14ac:dyDescent="0.25">
      <c r="A437">
        <f>+data!AI437</f>
        <v>-0.10127547329221721</v>
      </c>
      <c r="B437">
        <f>+data!AJ437</f>
        <v>4.6742526134869483E-2</v>
      </c>
      <c r="C437">
        <f>+data!W437</f>
        <v>1</v>
      </c>
      <c r="D437">
        <f>+data!AQ437</f>
        <v>1</v>
      </c>
      <c r="E437">
        <f>+data!T437</f>
        <v>0</v>
      </c>
      <c r="F437">
        <f>+data!X437</f>
        <v>0</v>
      </c>
      <c r="G437">
        <f>+data!Y437</f>
        <v>0</v>
      </c>
      <c r="H437">
        <f>+data!U437</f>
        <v>0</v>
      </c>
      <c r="I437">
        <f>+data!V437</f>
        <v>0</v>
      </c>
      <c r="J437">
        <f>+data!AS437</f>
        <v>0</v>
      </c>
      <c r="K437">
        <f>+data!AT437</f>
        <v>0</v>
      </c>
      <c r="L437">
        <f>+data!AO437</f>
        <v>1</v>
      </c>
      <c r="M437">
        <f>+data!AN437</f>
        <v>0</v>
      </c>
      <c r="N437">
        <f>+data!AU437</f>
        <v>0</v>
      </c>
      <c r="O437">
        <f>+data!AV437</f>
        <v>1</v>
      </c>
      <c r="P437">
        <f>+data!AD437</f>
        <v>1</v>
      </c>
      <c r="Q437">
        <f>+data!AF437</f>
        <v>7.604895</v>
      </c>
      <c r="R437">
        <f>+data!AG437</f>
        <v>3.091043</v>
      </c>
      <c r="S437">
        <f>+data!AE437</f>
        <v>1</v>
      </c>
    </row>
    <row r="438" spans="1:19" x14ac:dyDescent="0.25">
      <c r="A438">
        <f>+data!AI438</f>
        <v>-0.11563966931992146</v>
      </c>
      <c r="B438">
        <f>+data!AJ438</f>
        <v>9.105485773222162E-2</v>
      </c>
      <c r="C438">
        <f>+data!W438</f>
        <v>1</v>
      </c>
      <c r="D438">
        <f>+data!AQ438</f>
        <v>1</v>
      </c>
      <c r="E438">
        <f>+data!T438</f>
        <v>0</v>
      </c>
      <c r="F438">
        <f>+data!X438</f>
        <v>0</v>
      </c>
      <c r="G438">
        <f>+data!Y438</f>
        <v>1</v>
      </c>
      <c r="H438">
        <f>+data!U438</f>
        <v>0</v>
      </c>
      <c r="I438">
        <f>+data!V438</f>
        <v>1</v>
      </c>
      <c r="J438">
        <f>+data!AS438</f>
        <v>0</v>
      </c>
      <c r="K438">
        <f>+data!AT438</f>
        <v>0</v>
      </c>
      <c r="L438">
        <f>+data!AO438</f>
        <v>1</v>
      </c>
      <c r="M438">
        <f>+data!AN438</f>
        <v>0</v>
      </c>
      <c r="N438">
        <f>+data!AU438</f>
        <v>0</v>
      </c>
      <c r="O438">
        <f>+data!AV438</f>
        <v>1</v>
      </c>
      <c r="P438">
        <f>+data!AD438</f>
        <v>1</v>
      </c>
      <c r="Q438">
        <f>+data!AF438</f>
        <v>7.5918619999999999</v>
      </c>
      <c r="R438">
        <f>+data!AG438</f>
        <v>2.6390570000000002</v>
      </c>
      <c r="S438">
        <f>+data!AE438</f>
        <v>1</v>
      </c>
    </row>
    <row r="439" spans="1:19" x14ac:dyDescent="0.25">
      <c r="A439">
        <f>+data!AI439</f>
        <v>-0.59199642699398003</v>
      </c>
      <c r="B439">
        <f>+data!AJ439</f>
        <v>0.12150011507910385</v>
      </c>
      <c r="C439">
        <f>+data!W439</f>
        <v>1</v>
      </c>
      <c r="D439">
        <f>+data!AQ439</f>
        <v>1</v>
      </c>
      <c r="E439">
        <f>+data!T439</f>
        <v>0</v>
      </c>
      <c r="F439">
        <f>+data!X439</f>
        <v>1</v>
      </c>
      <c r="G439">
        <f>+data!Y439</f>
        <v>0</v>
      </c>
      <c r="H439">
        <f>+data!U439</f>
        <v>0</v>
      </c>
      <c r="I439">
        <f>+data!V439</f>
        <v>1</v>
      </c>
      <c r="J439">
        <f>+data!AS439</f>
        <v>1</v>
      </c>
      <c r="K439">
        <f>+data!AT439</f>
        <v>0</v>
      </c>
      <c r="L439">
        <f>+data!AO439</f>
        <v>1</v>
      </c>
      <c r="M439">
        <f>+data!AN439</f>
        <v>0</v>
      </c>
      <c r="N439">
        <f>+data!AU439</f>
        <v>0</v>
      </c>
      <c r="O439">
        <f>+data!AV439</f>
        <v>0</v>
      </c>
      <c r="P439">
        <f>+data!AD439</f>
        <v>1</v>
      </c>
      <c r="Q439">
        <f>+data!AF439</f>
        <v>7.5898409999999998</v>
      </c>
      <c r="R439">
        <f>+data!AG439</f>
        <v>3.5835189999999999</v>
      </c>
      <c r="S439">
        <f>+data!AE439</f>
        <v>1</v>
      </c>
    </row>
    <row r="440" spans="1:19" x14ac:dyDescent="0.25">
      <c r="A440">
        <f>+data!AI440</f>
        <v>-0.56711760432558467</v>
      </c>
      <c r="B440">
        <f>+data!AJ440</f>
        <v>0.12416792358298222</v>
      </c>
      <c r="C440">
        <f>+data!W440</f>
        <v>1</v>
      </c>
      <c r="D440">
        <f>+data!AQ440</f>
        <v>1</v>
      </c>
      <c r="E440">
        <f>+data!T440</f>
        <v>0</v>
      </c>
      <c r="F440">
        <f>+data!X440</f>
        <v>1</v>
      </c>
      <c r="G440">
        <f>+data!Y440</f>
        <v>0</v>
      </c>
      <c r="H440">
        <f>+data!U440</f>
        <v>0</v>
      </c>
      <c r="I440">
        <f>+data!V440</f>
        <v>1</v>
      </c>
      <c r="J440">
        <f>+data!AS440</f>
        <v>1</v>
      </c>
      <c r="K440">
        <f>+data!AT440</f>
        <v>0</v>
      </c>
      <c r="L440">
        <f>+data!AO440</f>
        <v>1</v>
      </c>
      <c r="M440">
        <f>+data!AN440</f>
        <v>0</v>
      </c>
      <c r="N440">
        <f>+data!AU440</f>
        <v>0</v>
      </c>
      <c r="O440">
        <f>+data!AV440</f>
        <v>0</v>
      </c>
      <c r="P440">
        <f>+data!AD440</f>
        <v>1</v>
      </c>
      <c r="Q440">
        <f>+data!AF440</f>
        <v>7.5898409999999998</v>
      </c>
      <c r="R440">
        <f>+data!AG440</f>
        <v>3.5835189999999999</v>
      </c>
      <c r="S440">
        <f>+data!AE440</f>
        <v>1</v>
      </c>
    </row>
    <row r="441" spans="1:19" x14ac:dyDescent="0.25">
      <c r="A441">
        <f>+data!AI441</f>
        <v>-0.12723644653259356</v>
      </c>
      <c r="B441">
        <f>+data!AJ441</f>
        <v>3.6511328135439891E-2</v>
      </c>
      <c r="C441">
        <f>+data!W441</f>
        <v>0</v>
      </c>
      <c r="D441">
        <f>+data!AQ441</f>
        <v>0</v>
      </c>
      <c r="E441">
        <f>+data!T441</f>
        <v>1</v>
      </c>
      <c r="F441">
        <f>+data!X441</f>
        <v>0</v>
      </c>
      <c r="G441">
        <f>+data!Y441</f>
        <v>1</v>
      </c>
      <c r="H441">
        <f>+data!U441</f>
        <v>1</v>
      </c>
      <c r="I441">
        <f>+data!V441</f>
        <v>1</v>
      </c>
      <c r="J441">
        <f>+data!AS441</f>
        <v>0</v>
      </c>
      <c r="K441">
        <f>+data!AT441</f>
        <v>0</v>
      </c>
      <c r="L441">
        <f>+data!AO441</f>
        <v>0</v>
      </c>
      <c r="M441">
        <f>+data!AN441</f>
        <v>1</v>
      </c>
      <c r="N441">
        <f>+data!AU441</f>
        <v>0</v>
      </c>
      <c r="O441">
        <f>+data!AV441</f>
        <v>1</v>
      </c>
      <c r="P441">
        <f>+data!AD441</f>
        <v>1</v>
      </c>
      <c r="Q441">
        <f>+data!AF441</f>
        <v>7.5999020000000002</v>
      </c>
      <c r="R441">
        <f>+data!AG441</f>
        <v>3.9702920000000002</v>
      </c>
      <c r="S441">
        <f>+data!AE441</f>
        <v>1</v>
      </c>
    </row>
    <row r="442" spans="1:19" x14ac:dyDescent="0.25">
      <c r="A442">
        <f>+data!AI442</f>
        <v>0.35987206822623891</v>
      </c>
      <c r="B442">
        <f>+data!AJ442</f>
        <v>0.13328595119490269</v>
      </c>
      <c r="C442">
        <f>+data!W442</f>
        <v>1</v>
      </c>
      <c r="D442">
        <f>+data!AQ442</f>
        <v>1</v>
      </c>
      <c r="E442">
        <f>+data!T442</f>
        <v>0</v>
      </c>
      <c r="F442">
        <f>+data!X442</f>
        <v>1</v>
      </c>
      <c r="G442">
        <f>+data!Y442</f>
        <v>0</v>
      </c>
      <c r="H442">
        <f>+data!U442</f>
        <v>0</v>
      </c>
      <c r="I442">
        <f>+data!V442</f>
        <v>1</v>
      </c>
      <c r="J442">
        <f>+data!AS442</f>
        <v>0</v>
      </c>
      <c r="K442">
        <f>+data!AT442</f>
        <v>0</v>
      </c>
      <c r="L442">
        <f>+data!AO442</f>
        <v>1</v>
      </c>
      <c r="M442">
        <f>+data!AN442</f>
        <v>0</v>
      </c>
      <c r="N442">
        <f>+data!AU442</f>
        <v>0</v>
      </c>
      <c r="O442">
        <f>+data!AV442</f>
        <v>1</v>
      </c>
      <c r="P442">
        <f>+data!AD442</f>
        <v>1</v>
      </c>
      <c r="Q442">
        <f>+data!AF442</f>
        <v>7.5857890000000001</v>
      </c>
      <c r="R442">
        <f>+data!AG442</f>
        <v>4.4998100000000001</v>
      </c>
      <c r="S442">
        <f>+data!AE442</f>
        <v>0</v>
      </c>
    </row>
    <row r="443" spans="1:19" x14ac:dyDescent="0.25">
      <c r="A443">
        <f>+data!AI443</f>
        <v>0.70710678118654757</v>
      </c>
      <c r="B443">
        <f>+data!AJ443</f>
        <v>0.10101525445522108</v>
      </c>
      <c r="C443">
        <f>+data!W443</f>
        <v>1</v>
      </c>
      <c r="D443">
        <f>+data!AQ443</f>
        <v>1</v>
      </c>
      <c r="E443">
        <f>+data!T443</f>
        <v>0</v>
      </c>
      <c r="F443">
        <f>+data!X443</f>
        <v>1</v>
      </c>
      <c r="G443">
        <f>+data!Y443</f>
        <v>0</v>
      </c>
      <c r="H443">
        <f>+data!U443</f>
        <v>0</v>
      </c>
      <c r="I443">
        <f>+data!V443</f>
        <v>1</v>
      </c>
      <c r="J443">
        <f>+data!AS443</f>
        <v>0</v>
      </c>
      <c r="K443">
        <f>+data!AT443</f>
        <v>0</v>
      </c>
      <c r="L443">
        <f>+data!AO443</f>
        <v>1</v>
      </c>
      <c r="M443">
        <f>+data!AN443</f>
        <v>0</v>
      </c>
      <c r="N443">
        <f>+data!AU443</f>
        <v>0</v>
      </c>
      <c r="O443">
        <f>+data!AV443</f>
        <v>1</v>
      </c>
      <c r="P443">
        <f>+data!AD443</f>
        <v>1</v>
      </c>
      <c r="Q443">
        <f>+data!AF443</f>
        <v>7.5857890000000001</v>
      </c>
      <c r="R443">
        <f>+data!AG443</f>
        <v>4.4998100000000001</v>
      </c>
      <c r="S443">
        <f>+data!AE443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443"/>
  <sheetViews>
    <sheetView zoomScale="85" zoomScaleNormal="85" workbookViewId="0"/>
  </sheetViews>
  <sheetFormatPr defaultRowHeight="15" x14ac:dyDescent="0.25"/>
  <cols>
    <col min="1" max="1" width="12.85546875" customWidth="1"/>
    <col min="2" max="2" width="12.28515625" customWidth="1"/>
    <col min="3" max="3" width="8.85546875" customWidth="1"/>
    <col min="4" max="4" width="4" customWidth="1"/>
    <col min="5" max="5" width="12.5703125" customWidth="1"/>
    <col min="6" max="6" width="6.7109375" customWidth="1"/>
    <col min="7" max="7" width="10.5703125" customWidth="1"/>
    <col min="8" max="8" width="15.140625" customWidth="1"/>
    <col min="9" max="9" width="7.85546875" customWidth="1"/>
    <col min="10" max="10" width="5.85546875" customWidth="1"/>
    <col min="11" max="11" width="7.7109375" customWidth="1"/>
    <col min="12" max="12" width="5.85546875" customWidth="1"/>
    <col min="13" max="13" width="6.5703125" customWidth="1"/>
    <col min="14" max="14" width="7.5703125" customWidth="1"/>
    <col min="15" max="15" width="6.85546875" customWidth="1"/>
    <col min="16" max="16" width="4.5703125" customWidth="1"/>
    <col min="17" max="17" width="12.42578125" customWidth="1"/>
    <col min="18" max="18" width="10.28515625" customWidth="1"/>
    <col min="19" max="19" width="10.5703125" customWidth="1"/>
  </cols>
  <sheetData>
    <row r="1" spans="1:19" s="6" customFormat="1" x14ac:dyDescent="0.25">
      <c r="A1" s="6" t="str">
        <f>+data!AH1</f>
        <v>tstat</v>
      </c>
      <c r="B1" s="6" t="str">
        <f>+data!AL1</f>
        <v>pcc_prec</v>
      </c>
      <c r="C1" s="6" t="str">
        <f>+bma!C1</f>
        <v>shortrun</v>
      </c>
      <c r="D1" s="6" t="str">
        <f>+bma!D1</f>
        <v>ols</v>
      </c>
      <c r="E1" s="6" t="str">
        <f>+bma!E1</f>
        <v>endogeneity</v>
      </c>
      <c r="F1" s="6" t="str">
        <f>+bma!F1</f>
        <v>linear</v>
      </c>
      <c r="G1" s="6" t="str">
        <f>+bma!G1</f>
        <v>doublelog</v>
      </c>
      <c r="H1" s="6" t="str">
        <f>+bma!H1</f>
        <v>unemployment</v>
      </c>
      <c r="I1" s="6" t="str">
        <f>+bma!I1</f>
        <v>income</v>
      </c>
      <c r="J1" s="6" t="str">
        <f>+bma!L1</f>
        <v>cross</v>
      </c>
      <c r="K1" s="6" t="str">
        <f>+bma!M1</f>
        <v>panel</v>
      </c>
      <c r="L1" s="6" t="str">
        <f>+bma!J1</f>
        <v>male</v>
      </c>
      <c r="M1" s="6" t="str">
        <f>+bma!K1</f>
        <v>female</v>
      </c>
      <c r="N1" s="6" t="str">
        <f>+bma!N1</f>
        <v>private</v>
      </c>
      <c r="O1" s="6" t="str">
        <f>+bma!O1</f>
        <v>public</v>
      </c>
      <c r="P1" s="6" t="str">
        <f>+bma!P1</f>
        <v>usa</v>
      </c>
      <c r="Q1" s="6" t="str">
        <f>+bma!Q1</f>
        <v>ln_pub_year</v>
      </c>
      <c r="R1" s="6" t="str">
        <f>+bma!R1</f>
        <v>ln_google</v>
      </c>
      <c r="S1" s="6" t="str">
        <f>+bma!S1</f>
        <v>published</v>
      </c>
    </row>
    <row r="2" spans="1:19" x14ac:dyDescent="0.25">
      <c r="A2">
        <f>+data!AH2</f>
        <v>0.34943181818181818</v>
      </c>
      <c r="B2">
        <f>+data!AL2</f>
        <v>3.7579386098708225</v>
      </c>
      <c r="C2">
        <f>+bma!C2/data!$AJ2</f>
        <v>0</v>
      </c>
      <c r="D2">
        <f>+bma!D2/data!$AJ2</f>
        <v>3.7579386098708225</v>
      </c>
      <c r="E2">
        <f>+bma!E2/data!$AJ2</f>
        <v>0</v>
      </c>
      <c r="F2">
        <f>+bma!F2/data!$AJ2</f>
        <v>0</v>
      </c>
      <c r="G2">
        <f>+bma!G2/data!$AJ2</f>
        <v>3.7579386098708225</v>
      </c>
      <c r="H2">
        <f>+bma!H2/data!$AJ2</f>
        <v>0</v>
      </c>
      <c r="I2">
        <f>+bma!I2/data!$AJ2</f>
        <v>0</v>
      </c>
      <c r="J2">
        <f>+bma!L2/data!$AJ2</f>
        <v>0</v>
      </c>
      <c r="K2">
        <f>+bma!M2/data!$AJ2</f>
        <v>0</v>
      </c>
      <c r="L2">
        <f>+bma!J2/data!$AJ2</f>
        <v>0</v>
      </c>
      <c r="M2">
        <f>+bma!K2/data!$AJ2</f>
        <v>0</v>
      </c>
      <c r="N2">
        <f>+bma!N2/data!$AJ2</f>
        <v>0</v>
      </c>
      <c r="O2">
        <f>+bma!O2/data!$AJ2</f>
        <v>0</v>
      </c>
      <c r="P2">
        <f>+bma!P2/data!$AJ2</f>
        <v>3.7579386098708225</v>
      </c>
      <c r="Q2">
        <f>+bma!Q2/data!$AJ2</f>
        <v>28.535433333789246</v>
      </c>
      <c r="R2">
        <f>+bma!R2/data!$AJ2</f>
        <v>17.52491747287738</v>
      </c>
      <c r="S2">
        <f>+bma!S2/data!$AJ2</f>
        <v>3.7579386098708225</v>
      </c>
    </row>
    <row r="3" spans="1:19" x14ac:dyDescent="0.25">
      <c r="A3">
        <f>+data!AH3</f>
        <v>-0.91889117043121149</v>
      </c>
      <c r="B3">
        <f>+data!AL3</f>
        <v>3.8528380426766509</v>
      </c>
      <c r="C3">
        <f>+bma!C3/data!$AJ3</f>
        <v>0</v>
      </c>
      <c r="D3">
        <f>+bma!D3/data!$AJ3</f>
        <v>3.8528380426766509</v>
      </c>
      <c r="E3">
        <f>+bma!E3/data!$AJ3</f>
        <v>0</v>
      </c>
      <c r="F3">
        <f>+bma!F3/data!$AJ3</f>
        <v>0</v>
      </c>
      <c r="G3">
        <f>+bma!G3/data!$AJ3</f>
        <v>3.8528380426766509</v>
      </c>
      <c r="H3">
        <f>+bma!H3/data!$AJ3</f>
        <v>0</v>
      </c>
      <c r="I3">
        <f>+bma!I3/data!$AJ3</f>
        <v>0</v>
      </c>
      <c r="J3">
        <f>+bma!L3/data!$AJ3</f>
        <v>0</v>
      </c>
      <c r="K3">
        <f>+bma!M3/data!$AJ3</f>
        <v>0</v>
      </c>
      <c r="L3">
        <f>+bma!J3/data!$AJ3</f>
        <v>0</v>
      </c>
      <c r="M3">
        <f>+bma!K3/data!$AJ3</f>
        <v>0</v>
      </c>
      <c r="N3">
        <f>+bma!N3/data!$AJ3</f>
        <v>0</v>
      </c>
      <c r="O3">
        <f>+bma!O3/data!$AJ3</f>
        <v>0</v>
      </c>
      <c r="P3">
        <f>+bma!P3/data!$AJ3</f>
        <v>3.8528380426766509</v>
      </c>
      <c r="Q3">
        <f>+bma!Q3/data!$AJ3</f>
        <v>29.256040219471771</v>
      </c>
      <c r="R3">
        <f>+bma!R3/data!$AJ3</f>
        <v>17.967475188901957</v>
      </c>
      <c r="S3">
        <f>+bma!S3/data!$AJ3</f>
        <v>3.8528380426766509</v>
      </c>
    </row>
    <row r="4" spans="1:19" x14ac:dyDescent="0.25">
      <c r="A4">
        <f>+data!AH4</f>
        <v>-4.0604026845637584</v>
      </c>
      <c r="B4">
        <f>+data!AL4</f>
        <v>5.5214916427368239</v>
      </c>
      <c r="C4">
        <f>+bma!C4/data!$AJ4</f>
        <v>0</v>
      </c>
      <c r="D4">
        <f>+bma!D4/data!$AJ4</f>
        <v>5.5214916427368239</v>
      </c>
      <c r="E4">
        <f>+bma!E4/data!$AJ4</f>
        <v>0</v>
      </c>
      <c r="F4">
        <f>+bma!F4/data!$AJ4</f>
        <v>0</v>
      </c>
      <c r="G4">
        <f>+bma!G4/data!$AJ4</f>
        <v>5.5214916427368239</v>
      </c>
      <c r="H4">
        <f>+bma!H4/data!$AJ4</f>
        <v>0</v>
      </c>
      <c r="I4">
        <f>+bma!I4/data!$AJ4</f>
        <v>0</v>
      </c>
      <c r="J4">
        <f>+bma!L4/data!$AJ4</f>
        <v>0</v>
      </c>
      <c r="K4">
        <f>+bma!M4/data!$AJ4</f>
        <v>0</v>
      </c>
      <c r="L4">
        <f>+bma!J4/data!$AJ4</f>
        <v>0</v>
      </c>
      <c r="M4">
        <f>+bma!K4/data!$AJ4</f>
        <v>0</v>
      </c>
      <c r="N4">
        <f>+bma!N4/data!$AJ4</f>
        <v>0</v>
      </c>
      <c r="O4">
        <f>+bma!O4/data!$AJ4</f>
        <v>0</v>
      </c>
      <c r="P4">
        <f>+bma!P4/data!$AJ4</f>
        <v>5.5214916427368239</v>
      </c>
      <c r="Q4">
        <f>+bma!Q4/data!$AJ4</f>
        <v>41.926751081175084</v>
      </c>
      <c r="R4">
        <f>+bma!R4/data!$AJ4</f>
        <v>25.749139464912972</v>
      </c>
      <c r="S4">
        <f>+bma!S4/data!$AJ4</f>
        <v>5.5214916427368239</v>
      </c>
    </row>
    <row r="5" spans="1:19" x14ac:dyDescent="0.25">
      <c r="A5">
        <f>+data!AH5</f>
        <v>-2.1081081081081083</v>
      </c>
      <c r="B5">
        <f>+data!AL5</f>
        <v>4.2946617789380284</v>
      </c>
      <c r="C5">
        <f>+bma!C5/data!$AJ5</f>
        <v>0</v>
      </c>
      <c r="D5">
        <f>+bma!D5/data!$AJ5</f>
        <v>4.2946617789380284</v>
      </c>
      <c r="E5">
        <f>+bma!E5/data!$AJ5</f>
        <v>0</v>
      </c>
      <c r="F5">
        <f>+bma!F5/data!$AJ5</f>
        <v>0</v>
      </c>
      <c r="G5">
        <f>+bma!G5/data!$AJ5</f>
        <v>4.2946617789380284</v>
      </c>
      <c r="H5">
        <f>+bma!H5/data!$AJ5</f>
        <v>0</v>
      </c>
      <c r="I5">
        <f>+bma!I5/data!$AJ5</f>
        <v>0</v>
      </c>
      <c r="J5">
        <f>+bma!L5/data!$AJ5</f>
        <v>0</v>
      </c>
      <c r="K5">
        <f>+bma!M5/data!$AJ5</f>
        <v>0</v>
      </c>
      <c r="L5">
        <f>+bma!J5/data!$AJ5</f>
        <v>0</v>
      </c>
      <c r="M5">
        <f>+bma!K5/data!$AJ5</f>
        <v>0</v>
      </c>
      <c r="N5">
        <f>+bma!N5/data!$AJ5</f>
        <v>0</v>
      </c>
      <c r="O5">
        <f>+bma!O5/data!$AJ5</f>
        <v>0</v>
      </c>
      <c r="P5">
        <f>+bma!P5/data!$AJ5</f>
        <v>4.2946617789380284</v>
      </c>
      <c r="Q5">
        <f>+bma!Q5/data!$AJ5</f>
        <v>32.610973090981773</v>
      </c>
      <c r="R5">
        <f>+bma!R5/data!$AJ5</f>
        <v>20.02789323170898</v>
      </c>
      <c r="S5">
        <f>+bma!S5/data!$AJ5</f>
        <v>4.2946617789380284</v>
      </c>
    </row>
    <row r="6" spans="1:19" x14ac:dyDescent="0.25">
      <c r="A6">
        <f>+data!AH6</f>
        <v>-1.1679447852760736</v>
      </c>
      <c r="B6">
        <f>+data!AL6</f>
        <v>3.9197059866083799</v>
      </c>
      <c r="C6">
        <f>+bma!C6/data!$AJ6</f>
        <v>0</v>
      </c>
      <c r="D6">
        <f>+bma!D6/data!$AJ6</f>
        <v>3.9197059866083799</v>
      </c>
      <c r="E6">
        <f>+bma!E6/data!$AJ6</f>
        <v>0</v>
      </c>
      <c r="F6">
        <f>+bma!F6/data!$AJ6</f>
        <v>0</v>
      </c>
      <c r="G6">
        <f>+bma!G6/data!$AJ6</f>
        <v>3.9197059866083799</v>
      </c>
      <c r="H6">
        <f>+bma!H6/data!$AJ6</f>
        <v>0</v>
      </c>
      <c r="I6">
        <f>+bma!I6/data!$AJ6</f>
        <v>0</v>
      </c>
      <c r="J6">
        <f>+bma!L6/data!$AJ6</f>
        <v>0</v>
      </c>
      <c r="K6">
        <f>+bma!M6/data!$AJ6</f>
        <v>0</v>
      </c>
      <c r="L6">
        <f>+bma!J6/data!$AJ6</f>
        <v>0</v>
      </c>
      <c r="M6">
        <f>+bma!K6/data!$AJ6</f>
        <v>0</v>
      </c>
      <c r="N6">
        <f>+bma!N6/data!$AJ6</f>
        <v>0</v>
      </c>
      <c r="O6">
        <f>+bma!O6/data!$AJ6</f>
        <v>0</v>
      </c>
      <c r="P6">
        <f>+bma!P6/data!$AJ6</f>
        <v>3.9197059866083799</v>
      </c>
      <c r="Q6">
        <f>+bma!Q6/data!$AJ6</f>
        <v>29.76379352635642</v>
      </c>
      <c r="R6">
        <f>+bma!R6/data!$AJ6</f>
        <v>18.279309766482999</v>
      </c>
      <c r="S6">
        <f>+bma!S6/data!$AJ6</f>
        <v>3.9197059866083799</v>
      </c>
    </row>
    <row r="7" spans="1:19" x14ac:dyDescent="0.25">
      <c r="A7">
        <f>+data!AH7</f>
        <v>-4.2647058823529411</v>
      </c>
      <c r="B7">
        <f>+data!AL7</f>
        <v>5.6734219182937364</v>
      </c>
      <c r="C7">
        <f>+bma!C7/data!$AJ7</f>
        <v>0</v>
      </c>
      <c r="D7">
        <f>+bma!D7/data!$AJ7</f>
        <v>5.6734219182937364</v>
      </c>
      <c r="E7">
        <f>+bma!E7/data!$AJ7</f>
        <v>0</v>
      </c>
      <c r="F7">
        <f>+bma!F7/data!$AJ7</f>
        <v>0</v>
      </c>
      <c r="G7">
        <f>+bma!G7/data!$AJ7</f>
        <v>5.6734219182937364</v>
      </c>
      <c r="H7">
        <f>+bma!H7/data!$AJ7</f>
        <v>0</v>
      </c>
      <c r="I7">
        <f>+bma!I7/data!$AJ7</f>
        <v>0</v>
      </c>
      <c r="J7">
        <f>+bma!L7/data!$AJ7</f>
        <v>0</v>
      </c>
      <c r="K7">
        <f>+bma!M7/data!$AJ7</f>
        <v>0</v>
      </c>
      <c r="L7">
        <f>+bma!J7/data!$AJ7</f>
        <v>0</v>
      </c>
      <c r="M7">
        <f>+bma!K7/data!$AJ7</f>
        <v>0</v>
      </c>
      <c r="N7">
        <f>+bma!N7/data!$AJ7</f>
        <v>0</v>
      </c>
      <c r="O7">
        <f>+bma!O7/data!$AJ7</f>
        <v>0</v>
      </c>
      <c r="P7">
        <f>+bma!P7/data!$AJ7</f>
        <v>5.6734219182937364</v>
      </c>
      <c r="Q7">
        <f>+bma!Q7/data!$AJ7</f>
        <v>43.080414485401782</v>
      </c>
      <c r="R7">
        <f>+bma!R7/data!$AJ7</f>
        <v>26.457657037225825</v>
      </c>
      <c r="S7">
        <f>+bma!S7/data!$AJ7</f>
        <v>5.6734219182937364</v>
      </c>
    </row>
    <row r="8" spans="1:19" x14ac:dyDescent="0.25">
      <c r="A8">
        <f>+data!AH8</f>
        <v>-4.67578125</v>
      </c>
      <c r="B8">
        <f>+data!AL8</f>
        <v>5.9885666313276973</v>
      </c>
      <c r="C8">
        <f>+bma!C8/data!$AJ8</f>
        <v>0</v>
      </c>
      <c r="D8">
        <f>+bma!D8/data!$AJ8</f>
        <v>5.9885666313276973</v>
      </c>
      <c r="E8">
        <f>+bma!E8/data!$AJ8</f>
        <v>0</v>
      </c>
      <c r="F8">
        <f>+bma!F8/data!$AJ8</f>
        <v>0</v>
      </c>
      <c r="G8">
        <f>+bma!G8/data!$AJ8</f>
        <v>5.9885666313276973</v>
      </c>
      <c r="H8">
        <f>+bma!H8/data!$AJ8</f>
        <v>0</v>
      </c>
      <c r="I8">
        <f>+bma!I8/data!$AJ8</f>
        <v>0</v>
      </c>
      <c r="J8">
        <f>+bma!L8/data!$AJ8</f>
        <v>0</v>
      </c>
      <c r="K8">
        <f>+bma!M8/data!$AJ8</f>
        <v>0</v>
      </c>
      <c r="L8">
        <f>+bma!J8/data!$AJ8</f>
        <v>0</v>
      </c>
      <c r="M8">
        <f>+bma!K8/data!$AJ8</f>
        <v>0</v>
      </c>
      <c r="N8">
        <f>+bma!N8/data!$AJ8</f>
        <v>0</v>
      </c>
      <c r="O8">
        <f>+bma!O8/data!$AJ8</f>
        <v>0</v>
      </c>
      <c r="P8">
        <f>+bma!P8/data!$AJ8</f>
        <v>5.9885666313276973</v>
      </c>
      <c r="Q8">
        <f>+bma!Q8/data!$AJ8</f>
        <v>45.473426155591319</v>
      </c>
      <c r="R8">
        <f>+bma!R8/data!$AJ8</f>
        <v>27.927315182632206</v>
      </c>
      <c r="S8">
        <f>+bma!S8/data!$AJ8</f>
        <v>5.9885666313276973</v>
      </c>
    </row>
    <row r="9" spans="1:19" x14ac:dyDescent="0.25">
      <c r="A9">
        <f>+data!AH9</f>
        <v>-2.2579034941763729</v>
      </c>
      <c r="B9">
        <f>+data!AL9</f>
        <v>4.3701405227994528</v>
      </c>
      <c r="C9">
        <f>+bma!C9/data!$AJ9</f>
        <v>0</v>
      </c>
      <c r="D9">
        <f>+bma!D9/data!$AJ9</f>
        <v>4.3701405227994528</v>
      </c>
      <c r="E9">
        <f>+bma!E9/data!$AJ9</f>
        <v>0</v>
      </c>
      <c r="F9">
        <f>+bma!F9/data!$AJ9</f>
        <v>0</v>
      </c>
      <c r="G9">
        <f>+bma!G9/data!$AJ9</f>
        <v>4.3701405227994528</v>
      </c>
      <c r="H9">
        <f>+bma!H9/data!$AJ9</f>
        <v>0</v>
      </c>
      <c r="I9">
        <f>+bma!I9/data!$AJ9</f>
        <v>0</v>
      </c>
      <c r="J9">
        <f>+bma!L9/data!$AJ9</f>
        <v>0</v>
      </c>
      <c r="K9">
        <f>+bma!M9/data!$AJ9</f>
        <v>0</v>
      </c>
      <c r="L9">
        <f>+bma!J9/data!$AJ9</f>
        <v>0</v>
      </c>
      <c r="M9">
        <f>+bma!K9/data!$AJ9</f>
        <v>0</v>
      </c>
      <c r="N9">
        <f>+bma!N9/data!$AJ9</f>
        <v>0</v>
      </c>
      <c r="O9">
        <f>+bma!O9/data!$AJ9</f>
        <v>0</v>
      </c>
      <c r="P9">
        <f>+bma!P9/data!$AJ9</f>
        <v>4.3701405227994528</v>
      </c>
      <c r="Q9">
        <f>+bma!Q9/data!$AJ9</f>
        <v>33.184111422171775</v>
      </c>
      <c r="R9">
        <f>+bma!R9/data!$AJ9</f>
        <v>20.37988374950336</v>
      </c>
      <c r="S9">
        <f>+bma!S9/data!$AJ9</f>
        <v>4.3701405227994528</v>
      </c>
    </row>
    <row r="10" spans="1:19" x14ac:dyDescent="0.25">
      <c r="A10">
        <f>+data!AH10</f>
        <v>-0.18144833197721724</v>
      </c>
      <c r="B10">
        <f>+data!AL10</f>
        <v>3.746054390579149</v>
      </c>
      <c r="C10">
        <f>+bma!C10/data!$AJ10</f>
        <v>0</v>
      </c>
      <c r="D10">
        <f>+bma!D10/data!$AJ10</f>
        <v>3.746054390579149</v>
      </c>
      <c r="E10">
        <f>+bma!E10/data!$AJ10</f>
        <v>0</v>
      </c>
      <c r="F10">
        <f>+bma!F10/data!$AJ10</f>
        <v>0</v>
      </c>
      <c r="G10">
        <f>+bma!G10/data!$AJ10</f>
        <v>3.746054390579149</v>
      </c>
      <c r="H10">
        <f>+bma!H10/data!$AJ10</f>
        <v>0</v>
      </c>
      <c r="I10">
        <f>+bma!I10/data!$AJ10</f>
        <v>0</v>
      </c>
      <c r="J10">
        <f>+bma!L10/data!$AJ10</f>
        <v>0</v>
      </c>
      <c r="K10">
        <f>+bma!M10/data!$AJ10</f>
        <v>0</v>
      </c>
      <c r="L10">
        <f>+bma!J10/data!$AJ10</f>
        <v>0</v>
      </c>
      <c r="M10">
        <f>+bma!K10/data!$AJ10</f>
        <v>0</v>
      </c>
      <c r="N10">
        <f>+bma!N10/data!$AJ10</f>
        <v>0</v>
      </c>
      <c r="O10">
        <f>+bma!O10/data!$AJ10</f>
        <v>0</v>
      </c>
      <c r="P10">
        <f>+bma!P10/data!$AJ10</f>
        <v>3.746054390579149</v>
      </c>
      <c r="Q10">
        <f>+bma!Q10/data!$AJ10</f>
        <v>28.445192012009556</v>
      </c>
      <c r="R10">
        <f>+bma!R10/data!$AJ10</f>
        <v>17.469496141148039</v>
      </c>
      <c r="S10">
        <f>+bma!S10/data!$AJ10</f>
        <v>3.746054390579149</v>
      </c>
    </row>
    <row r="11" spans="1:19" x14ac:dyDescent="0.25">
      <c r="A11">
        <f>+data!AH11</f>
        <v>-4.5686274509803919</v>
      </c>
      <c r="B11">
        <f>+data!AL11</f>
        <v>5.9052821089133065</v>
      </c>
      <c r="C11">
        <f>+bma!C11/data!$AJ11</f>
        <v>0</v>
      </c>
      <c r="D11">
        <f>+bma!D11/data!$AJ11</f>
        <v>5.9052821089133065</v>
      </c>
      <c r="E11">
        <f>+bma!E11/data!$AJ11</f>
        <v>0</v>
      </c>
      <c r="F11">
        <f>+bma!F11/data!$AJ11</f>
        <v>0</v>
      </c>
      <c r="G11">
        <f>+bma!G11/data!$AJ11</f>
        <v>5.9052821089133065</v>
      </c>
      <c r="H11">
        <f>+bma!H11/data!$AJ11</f>
        <v>0</v>
      </c>
      <c r="I11">
        <f>+bma!I11/data!$AJ11</f>
        <v>0</v>
      </c>
      <c r="J11">
        <f>+bma!L11/data!$AJ11</f>
        <v>0</v>
      </c>
      <c r="K11">
        <f>+bma!M11/data!$AJ11</f>
        <v>0</v>
      </c>
      <c r="L11">
        <f>+bma!J11/data!$AJ11</f>
        <v>0</v>
      </c>
      <c r="M11">
        <f>+bma!K11/data!$AJ11</f>
        <v>0</v>
      </c>
      <c r="N11">
        <f>+bma!N11/data!$AJ11</f>
        <v>0</v>
      </c>
      <c r="O11">
        <f>+bma!O11/data!$AJ11</f>
        <v>0</v>
      </c>
      <c r="P11">
        <f>+bma!P11/data!$AJ11</f>
        <v>5.9052821089133065</v>
      </c>
      <c r="Q11">
        <f>+bma!Q11/data!$AJ11</f>
        <v>44.841015628487469</v>
      </c>
      <c r="R11">
        <f>+bma!R11/data!$AJ11</f>
        <v>27.538922892708563</v>
      </c>
      <c r="S11">
        <f>+bma!S11/data!$AJ11</f>
        <v>5.9052821089133065</v>
      </c>
    </row>
    <row r="12" spans="1:19" x14ac:dyDescent="0.25">
      <c r="A12">
        <f>+data!AH12</f>
        <v>-8.0568181818181817</v>
      </c>
      <c r="B12">
        <f>+data!AL12</f>
        <v>8.883260618425874</v>
      </c>
      <c r="C12">
        <f>+bma!C12/data!$AJ12</f>
        <v>0</v>
      </c>
      <c r="D12">
        <f>+bma!D12/data!$AJ12</f>
        <v>8.883260618425874</v>
      </c>
      <c r="E12">
        <f>+bma!E12/data!$AJ12</f>
        <v>0</v>
      </c>
      <c r="F12">
        <f>+bma!F12/data!$AJ12</f>
        <v>0</v>
      </c>
      <c r="G12">
        <f>+bma!G12/data!$AJ12</f>
        <v>8.883260618425874</v>
      </c>
      <c r="H12">
        <f>+bma!H12/data!$AJ12</f>
        <v>0</v>
      </c>
      <c r="I12">
        <f>+bma!I12/data!$AJ12</f>
        <v>0</v>
      </c>
      <c r="J12">
        <f>+bma!L12/data!$AJ12</f>
        <v>0</v>
      </c>
      <c r="K12">
        <f>+bma!M12/data!$AJ12</f>
        <v>0</v>
      </c>
      <c r="L12">
        <f>+bma!J12/data!$AJ12</f>
        <v>0</v>
      </c>
      <c r="M12">
        <f>+bma!K12/data!$AJ12</f>
        <v>0</v>
      </c>
      <c r="N12">
        <f>+bma!N12/data!$AJ12</f>
        <v>0</v>
      </c>
      <c r="O12">
        <f>+bma!O12/data!$AJ12</f>
        <v>0</v>
      </c>
      <c r="P12">
        <f>+bma!P12/data!$AJ12</f>
        <v>8.883260618425874</v>
      </c>
      <c r="Q12">
        <f>+bma!Q12/data!$AJ12</f>
        <v>67.453920215178954</v>
      </c>
      <c r="R12">
        <f>+bma!R12/data!$AJ12</f>
        <v>41.426544015131341</v>
      </c>
      <c r="S12">
        <f>+bma!S12/data!$AJ12</f>
        <v>8.883260618425874</v>
      </c>
    </row>
    <row r="13" spans="1:19" x14ac:dyDescent="0.25">
      <c r="A13">
        <f>+data!AH13</f>
        <v>-8.1648745519713248</v>
      </c>
      <c r="B13">
        <f>+data!AL13</f>
        <v>8.9813794290982347</v>
      </c>
      <c r="C13">
        <f>+bma!C13/data!$AJ13</f>
        <v>0</v>
      </c>
      <c r="D13">
        <f>+bma!D13/data!$AJ13</f>
        <v>8.9813794290982347</v>
      </c>
      <c r="E13">
        <f>+bma!E13/data!$AJ13</f>
        <v>0</v>
      </c>
      <c r="F13">
        <f>+bma!F13/data!$AJ13</f>
        <v>0</v>
      </c>
      <c r="G13">
        <f>+bma!G13/data!$AJ13</f>
        <v>8.9813794290982347</v>
      </c>
      <c r="H13">
        <f>+bma!H13/data!$AJ13</f>
        <v>0</v>
      </c>
      <c r="I13">
        <f>+bma!I13/data!$AJ13</f>
        <v>0</v>
      </c>
      <c r="J13">
        <f>+bma!L13/data!$AJ13</f>
        <v>0</v>
      </c>
      <c r="K13">
        <f>+bma!M13/data!$AJ13</f>
        <v>0</v>
      </c>
      <c r="L13">
        <f>+bma!J13/data!$AJ13</f>
        <v>0</v>
      </c>
      <c r="M13">
        <f>+bma!K13/data!$AJ13</f>
        <v>0</v>
      </c>
      <c r="N13">
        <f>+bma!N13/data!$AJ13</f>
        <v>0</v>
      </c>
      <c r="O13">
        <f>+bma!O13/data!$AJ13</f>
        <v>0</v>
      </c>
      <c r="P13">
        <f>+bma!P13/data!$AJ13</f>
        <v>8.9813794290982347</v>
      </c>
      <c r="Q13">
        <f>+bma!Q13/data!$AJ13</f>
        <v>68.198973041049385</v>
      </c>
      <c r="R13">
        <f>+bma!R13/data!$AJ13</f>
        <v>41.884115103454448</v>
      </c>
      <c r="S13">
        <f>+bma!S13/data!$AJ13</f>
        <v>8.9813794290982347</v>
      </c>
    </row>
    <row r="14" spans="1:19" x14ac:dyDescent="0.25">
      <c r="A14">
        <f>+data!AH14</f>
        <v>1.5263157894736843</v>
      </c>
      <c r="B14">
        <f>+data!AL14</f>
        <v>4.0409949132851777</v>
      </c>
      <c r="C14">
        <f>+bma!C14/data!$AJ14</f>
        <v>0</v>
      </c>
      <c r="D14">
        <f>+bma!D14/data!$AJ14</f>
        <v>4.0409949132851777</v>
      </c>
      <c r="E14">
        <f>+bma!E14/data!$AJ14</f>
        <v>0</v>
      </c>
      <c r="F14">
        <f>+bma!F14/data!$AJ14</f>
        <v>0</v>
      </c>
      <c r="G14">
        <f>+bma!G14/data!$AJ14</f>
        <v>4.0409949132851777</v>
      </c>
      <c r="H14">
        <f>+bma!H14/data!$AJ14</f>
        <v>0</v>
      </c>
      <c r="I14">
        <f>+bma!I14/data!$AJ14</f>
        <v>0</v>
      </c>
      <c r="J14">
        <f>+bma!L14/data!$AJ14</f>
        <v>0</v>
      </c>
      <c r="K14">
        <f>+bma!M14/data!$AJ14</f>
        <v>0</v>
      </c>
      <c r="L14">
        <f>+bma!J14/data!$AJ14</f>
        <v>0</v>
      </c>
      <c r="M14">
        <f>+bma!K14/data!$AJ14</f>
        <v>0</v>
      </c>
      <c r="N14">
        <f>+bma!N14/data!$AJ14</f>
        <v>0</v>
      </c>
      <c r="O14">
        <f>+bma!O14/data!$AJ14</f>
        <v>0</v>
      </c>
      <c r="P14">
        <f>+bma!P14/data!$AJ14</f>
        <v>4.0409949132851777</v>
      </c>
      <c r="Q14">
        <f>+bma!Q14/data!$AJ14</f>
        <v>30.684785708671924</v>
      </c>
      <c r="R14">
        <f>+bma!R14/data!$AJ14</f>
        <v>18.844933277415716</v>
      </c>
      <c r="S14">
        <f>+bma!S14/data!$AJ14</f>
        <v>4.0409949132851777</v>
      </c>
    </row>
    <row r="15" spans="1:19" x14ac:dyDescent="0.25">
      <c r="A15">
        <f>+data!AH15</f>
        <v>-2.4208400646203554</v>
      </c>
      <c r="B15">
        <f>+data!AL15</f>
        <v>4.4565083438125734</v>
      </c>
      <c r="C15">
        <f>+bma!C15/data!$AJ15</f>
        <v>0</v>
      </c>
      <c r="D15">
        <f>+bma!D15/data!$AJ15</f>
        <v>4.4565083438125734</v>
      </c>
      <c r="E15">
        <f>+bma!E15/data!$AJ15</f>
        <v>0</v>
      </c>
      <c r="F15">
        <f>+bma!F15/data!$AJ15</f>
        <v>0</v>
      </c>
      <c r="G15">
        <f>+bma!G15/data!$AJ15</f>
        <v>4.4565083438125734</v>
      </c>
      <c r="H15">
        <f>+bma!H15/data!$AJ15</f>
        <v>0</v>
      </c>
      <c r="I15">
        <f>+bma!I15/data!$AJ15</f>
        <v>0</v>
      </c>
      <c r="J15">
        <f>+bma!L15/data!$AJ15</f>
        <v>0</v>
      </c>
      <c r="K15">
        <f>+bma!M15/data!$AJ15</f>
        <v>0</v>
      </c>
      <c r="L15">
        <f>+bma!J15/data!$AJ15</f>
        <v>0</v>
      </c>
      <c r="M15">
        <f>+bma!K15/data!$AJ15</f>
        <v>0</v>
      </c>
      <c r="N15">
        <f>+bma!N15/data!$AJ15</f>
        <v>0</v>
      </c>
      <c r="O15">
        <f>+bma!O15/data!$AJ15</f>
        <v>0</v>
      </c>
      <c r="P15">
        <f>+bma!P15/data!$AJ15</f>
        <v>4.4565083438125734</v>
      </c>
      <c r="Q15">
        <f>+bma!Q15/data!$AJ15</f>
        <v>33.839934588689452</v>
      </c>
      <c r="R15">
        <f>+bma!R15/data!$AJ15</f>
        <v>20.782654814360964</v>
      </c>
      <c r="S15">
        <f>+bma!S15/data!$AJ15</f>
        <v>4.4565083438125734</v>
      </c>
    </row>
    <row r="16" spans="1:19" x14ac:dyDescent="0.25">
      <c r="A16">
        <f>+data!AH16</f>
        <v>1.0186219739292366</v>
      </c>
      <c r="B16">
        <f>+data!AL16</f>
        <v>3.8778332514139251</v>
      </c>
      <c r="C16">
        <f>+bma!C16/data!$AJ16</f>
        <v>0</v>
      </c>
      <c r="D16">
        <f>+bma!D16/data!$AJ16</f>
        <v>3.8778332514139251</v>
      </c>
      <c r="E16">
        <f>+bma!E16/data!$AJ16</f>
        <v>0</v>
      </c>
      <c r="F16">
        <f>+bma!F16/data!$AJ16</f>
        <v>0</v>
      </c>
      <c r="G16">
        <f>+bma!G16/data!$AJ16</f>
        <v>3.8778332514139251</v>
      </c>
      <c r="H16">
        <f>+bma!H16/data!$AJ16</f>
        <v>0</v>
      </c>
      <c r="I16">
        <f>+bma!I16/data!$AJ16</f>
        <v>0</v>
      </c>
      <c r="J16">
        <f>+bma!L16/data!$AJ16</f>
        <v>0</v>
      </c>
      <c r="K16">
        <f>+bma!M16/data!$AJ16</f>
        <v>0</v>
      </c>
      <c r="L16">
        <f>+bma!J16/data!$AJ16</f>
        <v>0</v>
      </c>
      <c r="M16">
        <f>+bma!K16/data!$AJ16</f>
        <v>0</v>
      </c>
      <c r="N16">
        <f>+bma!N16/data!$AJ16</f>
        <v>0</v>
      </c>
      <c r="O16">
        <f>+bma!O16/data!$AJ16</f>
        <v>0</v>
      </c>
      <c r="P16">
        <f>+bma!P16/data!$AJ16</f>
        <v>3.8778332514139251</v>
      </c>
      <c r="Q16">
        <f>+bma!Q16/data!$AJ16</f>
        <v>29.445838187621959</v>
      </c>
      <c r="R16">
        <f>+bma!R16/data!$AJ16</f>
        <v>18.084038820140503</v>
      </c>
      <c r="S16">
        <f>+bma!S16/data!$AJ16</f>
        <v>3.8778332514139251</v>
      </c>
    </row>
    <row r="17" spans="1:19" x14ac:dyDescent="0.25">
      <c r="A17">
        <f>+data!AH17</f>
        <v>-3.4516129032258065</v>
      </c>
      <c r="B17">
        <f>+data!AL17</f>
        <v>5.1878349659289364</v>
      </c>
      <c r="C17">
        <f>+bma!C17/data!$AJ17</f>
        <v>0</v>
      </c>
      <c r="D17">
        <f>+bma!D17/data!$AJ17</f>
        <v>5.1878349659289364</v>
      </c>
      <c r="E17">
        <f>+bma!E17/data!$AJ17</f>
        <v>0</v>
      </c>
      <c r="F17">
        <f>+bma!F17/data!$AJ17</f>
        <v>0</v>
      </c>
      <c r="G17">
        <f>+bma!G17/data!$AJ17</f>
        <v>5.1878349659289364</v>
      </c>
      <c r="H17">
        <f>+bma!H17/data!$AJ17</f>
        <v>0</v>
      </c>
      <c r="I17">
        <f>+bma!I17/data!$AJ17</f>
        <v>0</v>
      </c>
      <c r="J17">
        <f>+bma!L17/data!$AJ17</f>
        <v>0</v>
      </c>
      <c r="K17">
        <f>+bma!M17/data!$AJ17</f>
        <v>0</v>
      </c>
      <c r="L17">
        <f>+bma!J17/data!$AJ17</f>
        <v>0</v>
      </c>
      <c r="M17">
        <f>+bma!K17/data!$AJ17</f>
        <v>0</v>
      </c>
      <c r="N17">
        <f>+bma!N17/data!$AJ17</f>
        <v>0</v>
      </c>
      <c r="O17">
        <f>+bma!O17/data!$AJ17</f>
        <v>0</v>
      </c>
      <c r="P17">
        <f>+bma!P17/data!$AJ17</f>
        <v>5.1878349659289364</v>
      </c>
      <c r="Q17">
        <f>+bma!Q17/data!$AJ17</f>
        <v>39.393171146575668</v>
      </c>
      <c r="R17">
        <f>+bma!R17/data!$AJ17</f>
        <v>24.193151905676675</v>
      </c>
      <c r="S17">
        <f>+bma!S17/data!$AJ17</f>
        <v>5.1878349659289364</v>
      </c>
    </row>
    <row r="18" spans="1:19" x14ac:dyDescent="0.25">
      <c r="A18">
        <f>+data!AH18</f>
        <v>-2.3874458874458875</v>
      </c>
      <c r="B18">
        <f>+data!AL18</f>
        <v>4.5497140421659781</v>
      </c>
      <c r="C18">
        <f>+bma!C18/data!$AJ18</f>
        <v>0</v>
      </c>
      <c r="D18">
        <f>+bma!D18/data!$AJ18</f>
        <v>4.5497140421659781</v>
      </c>
      <c r="E18">
        <f>+bma!E18/data!$AJ18</f>
        <v>0</v>
      </c>
      <c r="F18">
        <f>+bma!F18/data!$AJ18</f>
        <v>0</v>
      </c>
      <c r="G18">
        <f>+bma!G18/data!$AJ18</f>
        <v>4.5497140421659781</v>
      </c>
      <c r="H18">
        <f>+bma!H18/data!$AJ18</f>
        <v>0</v>
      </c>
      <c r="I18">
        <f>+bma!I18/data!$AJ18</f>
        <v>0</v>
      </c>
      <c r="J18">
        <f>+bma!L18/data!$AJ18</f>
        <v>0</v>
      </c>
      <c r="K18">
        <f>+bma!M18/data!$AJ18</f>
        <v>0</v>
      </c>
      <c r="L18">
        <f>+bma!J18/data!$AJ18</f>
        <v>0</v>
      </c>
      <c r="M18">
        <f>+bma!K18/data!$AJ18</f>
        <v>0</v>
      </c>
      <c r="N18">
        <f>+bma!N18/data!$AJ18</f>
        <v>0</v>
      </c>
      <c r="O18">
        <f>+bma!O18/data!$AJ18</f>
        <v>0</v>
      </c>
      <c r="P18">
        <f>+bma!P18/data!$AJ18</f>
        <v>4.5497140421659781</v>
      </c>
      <c r="Q18">
        <f>+bma!Q18/data!$AJ18</f>
        <v>34.547680315218038</v>
      </c>
      <c r="R18">
        <f>+bma!R18/data!$AJ18</f>
        <v>21.217313903084467</v>
      </c>
      <c r="S18">
        <f>+bma!S18/data!$AJ18</f>
        <v>4.5497140421659781</v>
      </c>
    </row>
    <row r="19" spans="1:19" x14ac:dyDescent="0.25">
      <c r="A19">
        <f>+data!AH19</f>
        <v>-2.55688622754491</v>
      </c>
      <c r="B19">
        <f>+data!AL19</f>
        <v>4.6408692268376663</v>
      </c>
      <c r="C19">
        <f>+bma!C19/data!$AJ19</f>
        <v>0</v>
      </c>
      <c r="D19">
        <f>+bma!D19/data!$AJ19</f>
        <v>4.6408692268376663</v>
      </c>
      <c r="E19">
        <f>+bma!E19/data!$AJ19</f>
        <v>0</v>
      </c>
      <c r="F19">
        <f>+bma!F19/data!$AJ19</f>
        <v>0</v>
      </c>
      <c r="G19">
        <f>+bma!G19/data!$AJ19</f>
        <v>4.6408692268376663</v>
      </c>
      <c r="H19">
        <f>+bma!H19/data!$AJ19</f>
        <v>0</v>
      </c>
      <c r="I19">
        <f>+bma!I19/data!$AJ19</f>
        <v>0</v>
      </c>
      <c r="J19">
        <f>+bma!L19/data!$AJ19</f>
        <v>0</v>
      </c>
      <c r="K19">
        <f>+bma!M19/data!$AJ19</f>
        <v>0</v>
      </c>
      <c r="L19">
        <f>+bma!J19/data!$AJ19</f>
        <v>0</v>
      </c>
      <c r="M19">
        <f>+bma!K19/data!$AJ19</f>
        <v>0</v>
      </c>
      <c r="N19">
        <f>+bma!N19/data!$AJ19</f>
        <v>0</v>
      </c>
      <c r="O19">
        <f>+bma!O19/data!$AJ19</f>
        <v>0</v>
      </c>
      <c r="P19">
        <f>+bma!P19/data!$AJ19</f>
        <v>4.6408692268376663</v>
      </c>
      <c r="Q19">
        <f>+bma!Q19/data!$AJ19</f>
        <v>35.239855724469237</v>
      </c>
      <c r="R19">
        <f>+bma!R19/data!$AJ19</f>
        <v>21.64241054633462</v>
      </c>
      <c r="S19">
        <f>+bma!S19/data!$AJ19</f>
        <v>4.6408692268376663</v>
      </c>
    </row>
    <row r="20" spans="1:19" x14ac:dyDescent="0.25">
      <c r="A20">
        <f>+data!AH20</f>
        <v>-7.2133333333333338</v>
      </c>
      <c r="B20">
        <f>+data!AL20</f>
        <v>8.18731810654611</v>
      </c>
      <c r="C20">
        <f>+bma!C20/data!$AJ20</f>
        <v>0</v>
      </c>
      <c r="D20">
        <f>+bma!D20/data!$AJ20</f>
        <v>8.18731810654611</v>
      </c>
      <c r="E20">
        <f>+bma!E20/data!$AJ20</f>
        <v>0</v>
      </c>
      <c r="F20">
        <f>+bma!F20/data!$AJ20</f>
        <v>0</v>
      </c>
      <c r="G20">
        <f>+bma!G20/data!$AJ20</f>
        <v>8.18731810654611</v>
      </c>
      <c r="H20">
        <f>+bma!H20/data!$AJ20</f>
        <v>0</v>
      </c>
      <c r="I20">
        <f>+bma!I20/data!$AJ20</f>
        <v>0</v>
      </c>
      <c r="J20">
        <f>+bma!L20/data!$AJ20</f>
        <v>0</v>
      </c>
      <c r="K20">
        <f>+bma!M20/data!$AJ20</f>
        <v>0</v>
      </c>
      <c r="L20">
        <f>+bma!J20/data!$AJ20</f>
        <v>0</v>
      </c>
      <c r="M20">
        <f>+bma!K20/data!$AJ20</f>
        <v>0</v>
      </c>
      <c r="N20">
        <f>+bma!N20/data!$AJ20</f>
        <v>0</v>
      </c>
      <c r="O20">
        <f>+bma!O20/data!$AJ20</f>
        <v>0</v>
      </c>
      <c r="P20">
        <f>+bma!P20/data!$AJ20</f>
        <v>8.18731810654611</v>
      </c>
      <c r="Q20">
        <f>+bma!Q20/data!$AJ20</f>
        <v>62.169368439976466</v>
      </c>
      <c r="R20">
        <f>+bma!R20/data!$AJ20</f>
        <v>38.181058563473293</v>
      </c>
      <c r="S20">
        <f>+bma!S20/data!$AJ20</f>
        <v>8.18731810654611</v>
      </c>
    </row>
    <row r="21" spans="1:19" x14ac:dyDescent="0.25">
      <c r="A21">
        <f>+data!AH21</f>
        <v>-7.8144329896907214</v>
      </c>
      <c r="B21">
        <f>+data!AL21</f>
        <v>8.7215459037011716</v>
      </c>
      <c r="C21">
        <f>+bma!C21/data!$AJ21</f>
        <v>0</v>
      </c>
      <c r="D21">
        <f>+bma!D21/data!$AJ21</f>
        <v>8.7215459037011716</v>
      </c>
      <c r="E21">
        <f>+bma!E21/data!$AJ21</f>
        <v>0</v>
      </c>
      <c r="F21">
        <f>+bma!F21/data!$AJ21</f>
        <v>0</v>
      </c>
      <c r="G21">
        <f>+bma!G21/data!$AJ21</f>
        <v>8.7215459037011716</v>
      </c>
      <c r="H21">
        <f>+bma!H21/data!$AJ21</f>
        <v>0</v>
      </c>
      <c r="I21">
        <f>+bma!I21/data!$AJ21</f>
        <v>0</v>
      </c>
      <c r="J21">
        <f>+bma!L21/data!$AJ21</f>
        <v>0</v>
      </c>
      <c r="K21">
        <f>+bma!M21/data!$AJ21</f>
        <v>0</v>
      </c>
      <c r="L21">
        <f>+bma!J21/data!$AJ21</f>
        <v>0</v>
      </c>
      <c r="M21">
        <f>+bma!K21/data!$AJ21</f>
        <v>0</v>
      </c>
      <c r="N21">
        <f>+bma!N21/data!$AJ21</f>
        <v>0</v>
      </c>
      <c r="O21">
        <f>+bma!O21/data!$AJ21</f>
        <v>0</v>
      </c>
      <c r="P21">
        <f>+bma!P21/data!$AJ21</f>
        <v>8.7215459037011716</v>
      </c>
      <c r="Q21">
        <f>+bma!Q21/data!$AJ21</f>
        <v>66.225959904970978</v>
      </c>
      <c r="R21">
        <f>+bma!R21/data!$AJ21</f>
        <v>40.672397307610296</v>
      </c>
      <c r="S21">
        <f>+bma!S21/data!$AJ21</f>
        <v>8.7215459037011716</v>
      </c>
    </row>
    <row r="22" spans="1:19" x14ac:dyDescent="0.25">
      <c r="A22">
        <f>+data!AH22</f>
        <v>-5.3170731707317076</v>
      </c>
      <c r="B22">
        <f>+data!AL22</f>
        <v>6.5780899281565723</v>
      </c>
      <c r="C22">
        <f>+bma!C22/data!$AJ22</f>
        <v>0</v>
      </c>
      <c r="D22">
        <f>+bma!D22/data!$AJ22</f>
        <v>6.5780899281565723</v>
      </c>
      <c r="E22">
        <f>+bma!E22/data!$AJ22</f>
        <v>0</v>
      </c>
      <c r="F22">
        <f>+bma!F22/data!$AJ22</f>
        <v>0</v>
      </c>
      <c r="G22">
        <f>+bma!G22/data!$AJ22</f>
        <v>6.5780899281565723</v>
      </c>
      <c r="H22">
        <f>+bma!H22/data!$AJ22</f>
        <v>0</v>
      </c>
      <c r="I22">
        <f>+bma!I22/data!$AJ22</f>
        <v>0</v>
      </c>
      <c r="J22">
        <f>+bma!L22/data!$AJ22</f>
        <v>0</v>
      </c>
      <c r="K22">
        <f>+bma!M22/data!$AJ22</f>
        <v>0</v>
      </c>
      <c r="L22">
        <f>+bma!J22/data!$AJ22</f>
        <v>0</v>
      </c>
      <c r="M22">
        <f>+bma!K22/data!$AJ22</f>
        <v>0</v>
      </c>
      <c r="N22">
        <f>+bma!N22/data!$AJ22</f>
        <v>0</v>
      </c>
      <c r="O22">
        <f>+bma!O22/data!$AJ22</f>
        <v>0</v>
      </c>
      <c r="P22">
        <f>+bma!P22/data!$AJ22</f>
        <v>6.5780899281565723</v>
      </c>
      <c r="Q22">
        <f>+bma!Q22/data!$AJ22</f>
        <v>49.949897030125989</v>
      </c>
      <c r="R22">
        <f>+bma!R22/data!$AJ22</f>
        <v>30.676521116472561</v>
      </c>
      <c r="S22">
        <f>+bma!S22/data!$AJ22</f>
        <v>6.5780899281565723</v>
      </c>
    </row>
    <row r="23" spans="1:19" x14ac:dyDescent="0.25">
      <c r="A23">
        <f>+data!AH23</f>
        <v>-1.4844192634560909</v>
      </c>
      <c r="B23">
        <f>+data!AL23</f>
        <v>4.1477102779388435</v>
      </c>
      <c r="C23">
        <f>+bma!C23/data!$AJ23</f>
        <v>0</v>
      </c>
      <c r="D23">
        <f>+bma!D23/data!$AJ23</f>
        <v>4.1477102779388435</v>
      </c>
      <c r="E23">
        <f>+bma!E23/data!$AJ23</f>
        <v>0</v>
      </c>
      <c r="F23">
        <f>+bma!F23/data!$AJ23</f>
        <v>0</v>
      </c>
      <c r="G23">
        <f>+bma!G23/data!$AJ23</f>
        <v>4.1477102779388435</v>
      </c>
      <c r="H23">
        <f>+bma!H23/data!$AJ23</f>
        <v>0</v>
      </c>
      <c r="I23">
        <f>+bma!I23/data!$AJ23</f>
        <v>0</v>
      </c>
      <c r="J23">
        <f>+bma!L23/data!$AJ23</f>
        <v>0</v>
      </c>
      <c r="K23">
        <f>+bma!M23/data!$AJ23</f>
        <v>0</v>
      </c>
      <c r="L23">
        <f>+bma!J23/data!$AJ23</f>
        <v>0</v>
      </c>
      <c r="M23">
        <f>+bma!K23/data!$AJ23</f>
        <v>0</v>
      </c>
      <c r="N23">
        <f>+bma!N23/data!$AJ23</f>
        <v>0</v>
      </c>
      <c r="O23">
        <f>+bma!O23/data!$AJ23</f>
        <v>0</v>
      </c>
      <c r="P23">
        <f>+bma!P23/data!$AJ23</f>
        <v>4.1477102779388435</v>
      </c>
      <c r="Q23">
        <f>+bma!Q23/data!$AJ23</f>
        <v>31.495115384033589</v>
      </c>
      <c r="R23">
        <f>+bma!R23/data!$AJ23</f>
        <v>19.342593870840844</v>
      </c>
      <c r="S23">
        <f>+bma!S23/data!$AJ23</f>
        <v>4.1477102779388435</v>
      </c>
    </row>
    <row r="24" spans="1:19" x14ac:dyDescent="0.25">
      <c r="A24">
        <f>+data!AH24</f>
        <v>-6.3545454545454545</v>
      </c>
      <c r="B24">
        <f>+data!AL24</f>
        <v>7.4417906402884189</v>
      </c>
      <c r="C24">
        <f>+bma!C24/data!$AJ24</f>
        <v>0</v>
      </c>
      <c r="D24">
        <f>+bma!D24/data!$AJ24</f>
        <v>7.4417906402884189</v>
      </c>
      <c r="E24">
        <f>+bma!E24/data!$AJ24</f>
        <v>0</v>
      </c>
      <c r="F24">
        <f>+bma!F24/data!$AJ24</f>
        <v>0</v>
      </c>
      <c r="G24">
        <f>+bma!G24/data!$AJ24</f>
        <v>7.4417906402884189</v>
      </c>
      <c r="H24">
        <f>+bma!H24/data!$AJ24</f>
        <v>0</v>
      </c>
      <c r="I24">
        <f>+bma!I24/data!$AJ24</f>
        <v>0</v>
      </c>
      <c r="J24">
        <f>+bma!L24/data!$AJ24</f>
        <v>0</v>
      </c>
      <c r="K24">
        <f>+bma!M24/data!$AJ24</f>
        <v>0</v>
      </c>
      <c r="L24">
        <f>+bma!J24/data!$AJ24</f>
        <v>0</v>
      </c>
      <c r="M24">
        <f>+bma!K24/data!$AJ24</f>
        <v>0</v>
      </c>
      <c r="N24">
        <f>+bma!N24/data!$AJ24</f>
        <v>0</v>
      </c>
      <c r="O24">
        <f>+bma!O24/data!$AJ24</f>
        <v>0</v>
      </c>
      <c r="P24">
        <f>+bma!P24/data!$AJ24</f>
        <v>7.4417906402884189</v>
      </c>
      <c r="Q24">
        <f>+bma!Q24/data!$AJ24</f>
        <v>56.50829956140943</v>
      </c>
      <c r="R24">
        <f>+bma!R24/data!$AJ24</f>
        <v>34.704336701755985</v>
      </c>
      <c r="S24">
        <f>+bma!S24/data!$AJ24</f>
        <v>7.4417906402884189</v>
      </c>
    </row>
    <row r="25" spans="1:19" x14ac:dyDescent="0.25">
      <c r="A25">
        <f>+data!AH25</f>
        <v>-4.4819479429051219</v>
      </c>
      <c r="B25">
        <f>+data!AL25</f>
        <v>5.9235004315785655</v>
      </c>
      <c r="C25">
        <f>+bma!C25/data!$AJ25</f>
        <v>0</v>
      </c>
      <c r="D25">
        <f>+bma!D25/data!$AJ25</f>
        <v>5.9235004315785655</v>
      </c>
      <c r="E25">
        <f>+bma!E25/data!$AJ25</f>
        <v>0</v>
      </c>
      <c r="F25">
        <f>+bma!F25/data!$AJ25</f>
        <v>0</v>
      </c>
      <c r="G25">
        <f>+bma!G25/data!$AJ25</f>
        <v>5.9235004315785655</v>
      </c>
      <c r="H25">
        <f>+bma!H25/data!$AJ25</f>
        <v>0</v>
      </c>
      <c r="I25">
        <f>+bma!I25/data!$AJ25</f>
        <v>0</v>
      </c>
      <c r="J25">
        <f>+bma!L25/data!$AJ25</f>
        <v>0</v>
      </c>
      <c r="K25">
        <f>+bma!M25/data!$AJ25</f>
        <v>0</v>
      </c>
      <c r="L25">
        <f>+bma!J25/data!$AJ25</f>
        <v>0</v>
      </c>
      <c r="M25">
        <f>+bma!K25/data!$AJ25</f>
        <v>0</v>
      </c>
      <c r="N25">
        <f>+bma!N25/data!$AJ25</f>
        <v>0</v>
      </c>
      <c r="O25">
        <f>+bma!O25/data!$AJ25</f>
        <v>0</v>
      </c>
      <c r="P25">
        <f>+bma!P25/data!$AJ25</f>
        <v>5.9235004315785655</v>
      </c>
      <c r="Q25">
        <f>+bma!Q25/data!$AJ25</f>
        <v>44.979354166137455</v>
      </c>
      <c r="R25">
        <f>+bma!R25/data!$AJ25</f>
        <v>27.623882929140315</v>
      </c>
      <c r="S25">
        <f>+bma!S25/data!$AJ25</f>
        <v>5.9235004315785655</v>
      </c>
    </row>
    <row r="26" spans="1:19" x14ac:dyDescent="0.25">
      <c r="A26">
        <f>+data!AH26</f>
        <v>-10.818713450292398</v>
      </c>
      <c r="B26">
        <f>+data!AL26</f>
        <v>11.491064385840749</v>
      </c>
      <c r="C26">
        <f>+bma!C26/data!$AJ26</f>
        <v>0</v>
      </c>
      <c r="D26">
        <f>+bma!D26/data!$AJ26</f>
        <v>11.491064385840749</v>
      </c>
      <c r="E26">
        <f>+bma!E26/data!$AJ26</f>
        <v>0</v>
      </c>
      <c r="F26">
        <f>+bma!F26/data!$AJ26</f>
        <v>0</v>
      </c>
      <c r="G26">
        <f>+bma!G26/data!$AJ26</f>
        <v>11.491064385840749</v>
      </c>
      <c r="H26">
        <f>+bma!H26/data!$AJ26</f>
        <v>0</v>
      </c>
      <c r="I26">
        <f>+bma!I26/data!$AJ26</f>
        <v>0</v>
      </c>
      <c r="J26">
        <f>+bma!L26/data!$AJ26</f>
        <v>0</v>
      </c>
      <c r="K26">
        <f>+bma!M26/data!$AJ26</f>
        <v>0</v>
      </c>
      <c r="L26">
        <f>+bma!J26/data!$AJ26</f>
        <v>0</v>
      </c>
      <c r="M26">
        <f>+bma!K26/data!$AJ26</f>
        <v>0</v>
      </c>
      <c r="N26">
        <f>+bma!N26/data!$AJ26</f>
        <v>0</v>
      </c>
      <c r="O26">
        <f>+bma!O26/data!$AJ26</f>
        <v>0</v>
      </c>
      <c r="P26">
        <f>+bma!P26/data!$AJ26</f>
        <v>11.491064385840749</v>
      </c>
      <c r="Q26">
        <f>+bma!Q26/data!$AJ26</f>
        <v>87.255949539769119</v>
      </c>
      <c r="R26">
        <f>+bma!R26/data!$AJ26</f>
        <v>53.587877808440808</v>
      </c>
      <c r="S26">
        <f>+bma!S26/data!$AJ26</f>
        <v>11.491064385840749</v>
      </c>
    </row>
    <row r="27" spans="1:19" x14ac:dyDescent="0.25">
      <c r="A27">
        <f>+data!AH27</f>
        <v>0.41416893732970028</v>
      </c>
      <c r="B27">
        <f>+data!AL27</f>
        <v>3.8950655846402396</v>
      </c>
      <c r="C27">
        <f>+bma!C27/data!$AJ27</f>
        <v>0</v>
      </c>
      <c r="D27">
        <f>+bma!D27/data!$AJ27</f>
        <v>3.8950655846402396</v>
      </c>
      <c r="E27">
        <f>+bma!E27/data!$AJ27</f>
        <v>0</v>
      </c>
      <c r="F27">
        <f>+bma!F27/data!$AJ27</f>
        <v>0</v>
      </c>
      <c r="G27">
        <f>+bma!G27/data!$AJ27</f>
        <v>3.8950655846402396</v>
      </c>
      <c r="H27">
        <f>+bma!H27/data!$AJ27</f>
        <v>0</v>
      </c>
      <c r="I27">
        <f>+bma!I27/data!$AJ27</f>
        <v>0</v>
      </c>
      <c r="J27">
        <f>+bma!L27/data!$AJ27</f>
        <v>0</v>
      </c>
      <c r="K27">
        <f>+bma!M27/data!$AJ27</f>
        <v>0</v>
      </c>
      <c r="L27">
        <f>+bma!J27/data!$AJ27</f>
        <v>0</v>
      </c>
      <c r="M27">
        <f>+bma!K27/data!$AJ27</f>
        <v>0</v>
      </c>
      <c r="N27">
        <f>+bma!N27/data!$AJ27</f>
        <v>0</v>
      </c>
      <c r="O27">
        <f>+bma!O27/data!$AJ27</f>
        <v>0</v>
      </c>
      <c r="P27">
        <f>+bma!P27/data!$AJ27</f>
        <v>3.8950655846402396</v>
      </c>
      <c r="Q27">
        <f>+bma!Q27/data!$AJ27</f>
        <v>29.576689738701994</v>
      </c>
      <c r="R27">
        <f>+bma!R27/data!$AJ27</f>
        <v>18.164400754969094</v>
      </c>
      <c r="S27">
        <f>+bma!S27/data!$AJ27</f>
        <v>3.8950655846402396</v>
      </c>
    </row>
    <row r="28" spans="1:19" x14ac:dyDescent="0.25">
      <c r="A28">
        <f>+data!AH28</f>
        <v>-2.7058823529411771</v>
      </c>
      <c r="B28">
        <f>+data!AL28</f>
        <v>4.7245951475188308</v>
      </c>
      <c r="C28">
        <f>+bma!C28/data!$AJ28</f>
        <v>0</v>
      </c>
      <c r="D28">
        <f>+bma!D28/data!$AJ28</f>
        <v>4.7245951475188308</v>
      </c>
      <c r="E28">
        <f>+bma!E28/data!$AJ28</f>
        <v>0</v>
      </c>
      <c r="F28">
        <f>+bma!F28/data!$AJ28</f>
        <v>0</v>
      </c>
      <c r="G28">
        <f>+bma!G28/data!$AJ28</f>
        <v>4.7245951475188308</v>
      </c>
      <c r="H28">
        <f>+bma!H28/data!$AJ28</f>
        <v>0</v>
      </c>
      <c r="I28">
        <f>+bma!I28/data!$AJ28</f>
        <v>0</v>
      </c>
      <c r="J28">
        <f>+bma!L28/data!$AJ28</f>
        <v>0</v>
      </c>
      <c r="K28">
        <f>+bma!M28/data!$AJ28</f>
        <v>0</v>
      </c>
      <c r="L28">
        <f>+bma!J28/data!$AJ28</f>
        <v>0</v>
      </c>
      <c r="M28">
        <f>+bma!K28/data!$AJ28</f>
        <v>0</v>
      </c>
      <c r="N28">
        <f>+bma!N28/data!$AJ28</f>
        <v>0</v>
      </c>
      <c r="O28">
        <f>+bma!O28/data!$AJ28</f>
        <v>0</v>
      </c>
      <c r="P28">
        <f>+bma!P28/data!$AJ28</f>
        <v>4.7245951475188308</v>
      </c>
      <c r="Q28">
        <f>+bma!Q28/data!$AJ28</f>
        <v>35.875617953695652</v>
      </c>
      <c r="R28">
        <f>+bma!R28/data!$AJ28</f>
        <v>22.032861270150068</v>
      </c>
      <c r="S28">
        <f>+bma!S28/data!$AJ28</f>
        <v>4.7245951475188308</v>
      </c>
    </row>
    <row r="29" spans="1:19" x14ac:dyDescent="0.25">
      <c r="A29">
        <f>+data!AH29</f>
        <v>-5.102189781021897</v>
      </c>
      <c r="B29">
        <f>+data!AL29</f>
        <v>6.4056491132097042</v>
      </c>
      <c r="C29">
        <f>+bma!C29/data!$AJ29</f>
        <v>0</v>
      </c>
      <c r="D29">
        <f>+bma!D29/data!$AJ29</f>
        <v>6.4056491132097042</v>
      </c>
      <c r="E29">
        <f>+bma!E29/data!$AJ29</f>
        <v>0</v>
      </c>
      <c r="F29">
        <f>+bma!F29/data!$AJ29</f>
        <v>0</v>
      </c>
      <c r="G29">
        <f>+bma!G29/data!$AJ29</f>
        <v>6.4056491132097042</v>
      </c>
      <c r="H29">
        <f>+bma!H29/data!$AJ29</f>
        <v>0</v>
      </c>
      <c r="I29">
        <f>+bma!I29/data!$AJ29</f>
        <v>0</v>
      </c>
      <c r="J29">
        <f>+bma!L29/data!$AJ29</f>
        <v>0</v>
      </c>
      <c r="K29">
        <f>+bma!M29/data!$AJ29</f>
        <v>0</v>
      </c>
      <c r="L29">
        <f>+bma!J29/data!$AJ29</f>
        <v>0</v>
      </c>
      <c r="M29">
        <f>+bma!K29/data!$AJ29</f>
        <v>0</v>
      </c>
      <c r="N29">
        <f>+bma!N29/data!$AJ29</f>
        <v>0</v>
      </c>
      <c r="O29">
        <f>+bma!O29/data!$AJ29</f>
        <v>0</v>
      </c>
      <c r="P29">
        <f>+bma!P29/data!$AJ29</f>
        <v>6.4056491132097042</v>
      </c>
      <c r="Q29">
        <f>+bma!Q29/data!$AJ29</f>
        <v>48.640489429369623</v>
      </c>
      <c r="R29">
        <f>+bma!R29/data!$AJ29</f>
        <v>29.87235389485755</v>
      </c>
      <c r="S29">
        <f>+bma!S29/data!$AJ29</f>
        <v>6.4056491132097042</v>
      </c>
    </row>
    <row r="30" spans="1:19" x14ac:dyDescent="0.25">
      <c r="A30">
        <f>+data!AH30</f>
        <v>-2.4239271781534462</v>
      </c>
      <c r="B30">
        <f>+data!AL30</f>
        <v>4.5689630076190078</v>
      </c>
      <c r="C30">
        <f>+bma!C30/data!$AJ30</f>
        <v>0</v>
      </c>
      <c r="D30">
        <f>+bma!D30/data!$AJ30</f>
        <v>4.5689630076190078</v>
      </c>
      <c r="E30">
        <f>+bma!E30/data!$AJ30</f>
        <v>0</v>
      </c>
      <c r="F30">
        <f>+bma!F30/data!$AJ30</f>
        <v>0</v>
      </c>
      <c r="G30">
        <f>+bma!G30/data!$AJ30</f>
        <v>4.5689630076190078</v>
      </c>
      <c r="H30">
        <f>+bma!H30/data!$AJ30</f>
        <v>0</v>
      </c>
      <c r="I30">
        <f>+bma!I30/data!$AJ30</f>
        <v>0</v>
      </c>
      <c r="J30">
        <f>+bma!L30/data!$AJ30</f>
        <v>0</v>
      </c>
      <c r="K30">
        <f>+bma!M30/data!$AJ30</f>
        <v>0</v>
      </c>
      <c r="L30">
        <f>+bma!J30/data!$AJ30</f>
        <v>0</v>
      </c>
      <c r="M30">
        <f>+bma!K30/data!$AJ30</f>
        <v>0</v>
      </c>
      <c r="N30">
        <f>+bma!N30/data!$AJ30</f>
        <v>0</v>
      </c>
      <c r="O30">
        <f>+bma!O30/data!$AJ30</f>
        <v>0</v>
      </c>
      <c r="P30">
        <f>+bma!P30/data!$AJ30</f>
        <v>4.5689630076190078</v>
      </c>
      <c r="Q30">
        <f>+bma!Q30/data!$AJ30</f>
        <v>34.693844909015972</v>
      </c>
      <c r="R30">
        <f>+bma!R30/data!$AJ30</f>
        <v>21.307080279287778</v>
      </c>
      <c r="S30">
        <f>+bma!S30/data!$AJ30</f>
        <v>4.5689630076190078</v>
      </c>
    </row>
    <row r="31" spans="1:19" x14ac:dyDescent="0.25">
      <c r="A31">
        <f>+data!AH31</f>
        <v>-0.78403755868544611</v>
      </c>
      <c r="B31">
        <f>+data!AL31</f>
        <v>3.9515458865397775</v>
      </c>
      <c r="C31">
        <f>+bma!C31/data!$AJ31</f>
        <v>0</v>
      </c>
      <c r="D31">
        <f>+bma!D31/data!$AJ31</f>
        <v>3.9515458865397775</v>
      </c>
      <c r="E31">
        <f>+bma!E31/data!$AJ31</f>
        <v>0</v>
      </c>
      <c r="F31">
        <f>+bma!F31/data!$AJ31</f>
        <v>0</v>
      </c>
      <c r="G31">
        <f>+bma!G31/data!$AJ31</f>
        <v>3.9515458865397775</v>
      </c>
      <c r="H31">
        <f>+bma!H31/data!$AJ31</f>
        <v>0</v>
      </c>
      <c r="I31">
        <f>+bma!I31/data!$AJ31</f>
        <v>0</v>
      </c>
      <c r="J31">
        <f>+bma!L31/data!$AJ31</f>
        <v>0</v>
      </c>
      <c r="K31">
        <f>+bma!M31/data!$AJ31</f>
        <v>0</v>
      </c>
      <c r="L31">
        <f>+bma!J31/data!$AJ31</f>
        <v>0</v>
      </c>
      <c r="M31">
        <f>+bma!K31/data!$AJ31</f>
        <v>0</v>
      </c>
      <c r="N31">
        <f>+bma!N31/data!$AJ31</f>
        <v>0</v>
      </c>
      <c r="O31">
        <f>+bma!O31/data!$AJ31</f>
        <v>0</v>
      </c>
      <c r="P31">
        <f>+bma!P31/data!$AJ31</f>
        <v>3.9515458865397775</v>
      </c>
      <c r="Q31">
        <f>+bma!Q31/data!$AJ31</f>
        <v>30.005565794658096</v>
      </c>
      <c r="R31">
        <f>+bma!R31/data!$AJ31</f>
        <v>18.427793197579174</v>
      </c>
      <c r="S31">
        <f>+bma!S31/data!$AJ31</f>
        <v>3.9515458865397775</v>
      </c>
    </row>
    <row r="32" spans="1:19" x14ac:dyDescent="0.25">
      <c r="A32">
        <f>+data!AH32</f>
        <v>-2.1600000000000024</v>
      </c>
      <c r="B32">
        <f>+data!AL32</f>
        <v>3.8295691663684588</v>
      </c>
      <c r="C32">
        <f>+bma!C32/data!$AJ32</f>
        <v>0</v>
      </c>
      <c r="D32">
        <f>+bma!D32/data!$AJ32</f>
        <v>3.8295691663684588</v>
      </c>
      <c r="E32">
        <f>+bma!E32/data!$AJ32</f>
        <v>0</v>
      </c>
      <c r="F32">
        <f>+bma!F32/data!$AJ32</f>
        <v>0</v>
      </c>
      <c r="G32">
        <f>+bma!G32/data!$AJ32</f>
        <v>0</v>
      </c>
      <c r="H32">
        <f>+bma!H32/data!$AJ32</f>
        <v>3.8295691663684588</v>
      </c>
      <c r="I32">
        <f>+bma!I32/data!$AJ32</f>
        <v>3.8295691663684588</v>
      </c>
      <c r="J32">
        <f>+bma!L32/data!$AJ32</f>
        <v>0</v>
      </c>
      <c r="K32">
        <f>+bma!M32/data!$AJ32</f>
        <v>3.8295691663684588</v>
      </c>
      <c r="L32">
        <f>+bma!J32/data!$AJ32</f>
        <v>0</v>
      </c>
      <c r="M32">
        <f>+bma!K32/data!$AJ32</f>
        <v>0</v>
      </c>
      <c r="N32">
        <f>+bma!N32/data!$AJ32</f>
        <v>0</v>
      </c>
      <c r="O32">
        <f>+bma!O32/data!$AJ32</f>
        <v>0</v>
      </c>
      <c r="P32">
        <f>+bma!P32/data!$AJ32</f>
        <v>3.8295691663684588</v>
      </c>
      <c r="Q32">
        <f>+bma!Q32/data!$AJ32</f>
        <v>29.077420836244077</v>
      </c>
      <c r="R32">
        <f>+bma!R32/data!$AJ32</f>
        <v>9.8226496037076121</v>
      </c>
      <c r="S32">
        <f>+bma!S32/data!$AJ32</f>
        <v>3.8295691663684588</v>
      </c>
    </row>
    <row r="33" spans="1:19" x14ac:dyDescent="0.25">
      <c r="A33">
        <f>+data!AH33</f>
        <v>-1.6300000000000028</v>
      </c>
      <c r="B33">
        <f>+data!AL33</f>
        <v>3.5576537212044697</v>
      </c>
      <c r="C33">
        <f>+bma!C33/data!$AJ33</f>
        <v>0</v>
      </c>
      <c r="D33">
        <f>+bma!D33/data!$AJ33</f>
        <v>3.5576537212044697</v>
      </c>
      <c r="E33">
        <f>+bma!E33/data!$AJ33</f>
        <v>0</v>
      </c>
      <c r="F33">
        <f>+bma!F33/data!$AJ33</f>
        <v>3.5576537212044697</v>
      </c>
      <c r="G33">
        <f>+bma!G33/data!$AJ33</f>
        <v>0</v>
      </c>
      <c r="H33">
        <f>+bma!H33/data!$AJ33</f>
        <v>3.5576537212044697</v>
      </c>
      <c r="I33">
        <f>+bma!I33/data!$AJ33</f>
        <v>3.5576537212044697</v>
      </c>
      <c r="J33">
        <f>+bma!L33/data!$AJ33</f>
        <v>0</v>
      </c>
      <c r="K33">
        <f>+bma!M33/data!$AJ33</f>
        <v>3.5576537212044697</v>
      </c>
      <c r="L33">
        <f>+bma!J33/data!$AJ33</f>
        <v>0</v>
      </c>
      <c r="M33">
        <f>+bma!K33/data!$AJ33</f>
        <v>0</v>
      </c>
      <c r="N33">
        <f>+bma!N33/data!$AJ33</f>
        <v>0</v>
      </c>
      <c r="O33">
        <f>+bma!O33/data!$AJ33</f>
        <v>0</v>
      </c>
      <c r="P33">
        <f>+bma!P33/data!$AJ33</f>
        <v>3.5576537212044697</v>
      </c>
      <c r="Q33">
        <f>+bma!Q33/data!$AJ33</f>
        <v>27.01280221012178</v>
      </c>
      <c r="R33">
        <f>+bma!R33/data!$AJ33</f>
        <v>9.1252003545496834</v>
      </c>
      <c r="S33">
        <f>+bma!S33/data!$AJ33</f>
        <v>3.5576537212044697</v>
      </c>
    </row>
    <row r="34" spans="1:19" x14ac:dyDescent="0.25">
      <c r="A34">
        <f>+data!AH34</f>
        <v>-1.1899999999999995</v>
      </c>
      <c r="B34">
        <f>+data!AL34</f>
        <v>3.3787719662622986</v>
      </c>
      <c r="C34">
        <f>+bma!C34/data!$AJ34</f>
        <v>0</v>
      </c>
      <c r="D34">
        <f>+bma!D34/data!$AJ34</f>
        <v>3.3787719662622986</v>
      </c>
      <c r="E34">
        <f>+bma!E34/data!$AJ34</f>
        <v>0</v>
      </c>
      <c r="F34">
        <f>+bma!F34/data!$AJ34</f>
        <v>0</v>
      </c>
      <c r="G34">
        <f>+bma!G34/data!$AJ34</f>
        <v>0</v>
      </c>
      <c r="H34">
        <f>+bma!H34/data!$AJ34</f>
        <v>3.3787719662622986</v>
      </c>
      <c r="I34">
        <f>+bma!I34/data!$AJ34</f>
        <v>3.3787719662622986</v>
      </c>
      <c r="J34">
        <f>+bma!L34/data!$AJ34</f>
        <v>0</v>
      </c>
      <c r="K34">
        <f>+bma!M34/data!$AJ34</f>
        <v>3.3787719662622986</v>
      </c>
      <c r="L34">
        <f>+bma!J34/data!$AJ34</f>
        <v>0</v>
      </c>
      <c r="M34">
        <f>+bma!K34/data!$AJ34</f>
        <v>0</v>
      </c>
      <c r="N34">
        <f>+bma!N34/data!$AJ34</f>
        <v>0</v>
      </c>
      <c r="O34">
        <f>+bma!O34/data!$AJ34</f>
        <v>0</v>
      </c>
      <c r="P34">
        <f>+bma!P34/data!$AJ34</f>
        <v>3.3787719662622986</v>
      </c>
      <c r="Q34">
        <f>+bma!Q34/data!$AJ34</f>
        <v>25.654576299474016</v>
      </c>
      <c r="R34">
        <f>+bma!R34/data!$AJ34</f>
        <v>8.6663777760925154</v>
      </c>
      <c r="S34">
        <f>+bma!S34/data!$AJ34</f>
        <v>3.3787719662622986</v>
      </c>
    </row>
    <row r="35" spans="1:19" x14ac:dyDescent="0.25">
      <c r="A35">
        <f>+data!AH35</f>
        <v>-1.6200000000000014</v>
      </c>
      <c r="B35">
        <f>+data!AL35</f>
        <v>3.5530831681794339</v>
      </c>
      <c r="C35">
        <f>+bma!C35/data!$AJ35</f>
        <v>0</v>
      </c>
      <c r="D35">
        <f>+bma!D35/data!$AJ35</f>
        <v>3.5530831681794339</v>
      </c>
      <c r="E35">
        <f>+bma!E35/data!$AJ35</f>
        <v>0</v>
      </c>
      <c r="F35">
        <f>+bma!F35/data!$AJ35</f>
        <v>0</v>
      </c>
      <c r="G35">
        <f>+bma!G35/data!$AJ35</f>
        <v>3.5530831681794339</v>
      </c>
      <c r="H35">
        <f>+bma!H35/data!$AJ35</f>
        <v>3.5530831681794339</v>
      </c>
      <c r="I35">
        <f>+bma!I35/data!$AJ35</f>
        <v>3.5530831681794339</v>
      </c>
      <c r="J35">
        <f>+bma!L35/data!$AJ35</f>
        <v>0</v>
      </c>
      <c r="K35">
        <f>+bma!M35/data!$AJ35</f>
        <v>3.5530831681794339</v>
      </c>
      <c r="L35">
        <f>+bma!J35/data!$AJ35</f>
        <v>0</v>
      </c>
      <c r="M35">
        <f>+bma!K35/data!$AJ35</f>
        <v>0</v>
      </c>
      <c r="N35">
        <f>+bma!N35/data!$AJ35</f>
        <v>0</v>
      </c>
      <c r="O35">
        <f>+bma!O35/data!$AJ35</f>
        <v>0</v>
      </c>
      <c r="P35">
        <f>+bma!P35/data!$AJ35</f>
        <v>3.5530831681794339</v>
      </c>
      <c r="Q35">
        <f>+bma!Q35/data!$AJ35</f>
        <v>26.978098595174576</v>
      </c>
      <c r="R35">
        <f>+bma!R35/data!$AJ35</f>
        <v>9.1134771191386701</v>
      </c>
      <c r="S35">
        <f>+bma!S35/data!$AJ35</f>
        <v>3.5530831681794339</v>
      </c>
    </row>
    <row r="36" spans="1:19" x14ac:dyDescent="0.25">
      <c r="A36">
        <f>+data!AH36</f>
        <v>-2.0500000000000025</v>
      </c>
      <c r="B36">
        <f>+data!AL36</f>
        <v>42.452355647242939</v>
      </c>
      <c r="C36">
        <f>+bma!C36/data!$AJ36</f>
        <v>0</v>
      </c>
      <c r="D36">
        <f>+bma!D36/data!$AJ36</f>
        <v>0</v>
      </c>
      <c r="E36">
        <f>+bma!E36/data!$AJ36</f>
        <v>42.452355647242939</v>
      </c>
      <c r="F36">
        <f>+bma!F36/data!$AJ36</f>
        <v>0</v>
      </c>
      <c r="G36">
        <f>+bma!G36/data!$AJ36</f>
        <v>42.452355647242939</v>
      </c>
      <c r="H36">
        <f>+bma!H36/data!$AJ36</f>
        <v>42.452355647242939</v>
      </c>
      <c r="I36">
        <f>+bma!I36/data!$AJ36</f>
        <v>42.452355647242939</v>
      </c>
      <c r="J36">
        <f>+bma!L36/data!$AJ36</f>
        <v>0</v>
      </c>
      <c r="K36">
        <f>+bma!M36/data!$AJ36</f>
        <v>42.452355647242939</v>
      </c>
      <c r="L36">
        <f>+bma!J36/data!$AJ36</f>
        <v>0</v>
      </c>
      <c r="M36">
        <f>+bma!K36/data!$AJ36</f>
        <v>0</v>
      </c>
      <c r="N36">
        <f>+bma!N36/data!$AJ36</f>
        <v>42.452355647242939</v>
      </c>
      <c r="O36">
        <f>+bma!O36/data!$AJ36</f>
        <v>0</v>
      </c>
      <c r="P36">
        <f>+bma!P36/data!$AJ36</f>
        <v>42.452355647242939</v>
      </c>
      <c r="Q36">
        <f>+bma!Q36/data!$AJ36</f>
        <v>322.65496876601657</v>
      </c>
      <c r="R36">
        <f>+bma!R36/data!$AJ36</f>
        <v>173.8145900825109</v>
      </c>
      <c r="S36">
        <f>+bma!S36/data!$AJ36</f>
        <v>42.452355647242939</v>
      </c>
    </row>
    <row r="37" spans="1:19" x14ac:dyDescent="0.25">
      <c r="A37">
        <f>+data!AH37</f>
        <v>-3.0800000000000027</v>
      </c>
      <c r="B37">
        <f>+data!AL37</f>
        <v>42.491015520931008</v>
      </c>
      <c r="C37">
        <f>+bma!C37/data!$AJ37</f>
        <v>0</v>
      </c>
      <c r="D37">
        <f>+bma!D37/data!$AJ37</f>
        <v>0</v>
      </c>
      <c r="E37">
        <f>+bma!E37/data!$AJ37</f>
        <v>42.491015520931008</v>
      </c>
      <c r="F37">
        <f>+bma!F37/data!$AJ37</f>
        <v>0</v>
      </c>
      <c r="G37">
        <f>+bma!G37/data!$AJ37</f>
        <v>42.491015520931008</v>
      </c>
      <c r="H37">
        <f>+bma!H37/data!$AJ37</f>
        <v>42.491015520931008</v>
      </c>
      <c r="I37">
        <f>+bma!I37/data!$AJ37</f>
        <v>42.491015520931008</v>
      </c>
      <c r="J37">
        <f>+bma!L37/data!$AJ37</f>
        <v>0</v>
      </c>
      <c r="K37">
        <f>+bma!M37/data!$AJ37</f>
        <v>42.491015520931008</v>
      </c>
      <c r="L37">
        <f>+bma!J37/data!$AJ37</f>
        <v>0</v>
      </c>
      <c r="M37">
        <f>+bma!K37/data!$AJ37</f>
        <v>0</v>
      </c>
      <c r="N37">
        <f>+bma!N37/data!$AJ37</f>
        <v>42.491015520931008</v>
      </c>
      <c r="O37">
        <f>+bma!O37/data!$AJ37</f>
        <v>0</v>
      </c>
      <c r="P37">
        <f>+bma!P37/data!$AJ37</f>
        <v>42.491015520931008</v>
      </c>
      <c r="Q37">
        <f>+bma!Q37/data!$AJ37</f>
        <v>322.94879934731506</v>
      </c>
      <c r="R37">
        <f>+bma!R37/data!$AJ37</f>
        <v>173.97287694304626</v>
      </c>
      <c r="S37">
        <f>+bma!S37/data!$AJ37</f>
        <v>42.491015520931008</v>
      </c>
    </row>
    <row r="38" spans="1:19" x14ac:dyDescent="0.25">
      <c r="A38">
        <f>+data!AH38</f>
        <v>-3.5000000000000036</v>
      </c>
      <c r="B38">
        <f>+data!AL38</f>
        <v>42.53527947480773</v>
      </c>
      <c r="C38">
        <f>+bma!C38/data!$AJ38</f>
        <v>0</v>
      </c>
      <c r="D38">
        <f>+bma!D38/data!$AJ38</f>
        <v>0</v>
      </c>
      <c r="E38">
        <f>+bma!E38/data!$AJ38</f>
        <v>42.53527947480773</v>
      </c>
      <c r="F38">
        <f>+bma!F38/data!$AJ38</f>
        <v>0</v>
      </c>
      <c r="G38">
        <f>+bma!G38/data!$AJ38</f>
        <v>42.53527947480773</v>
      </c>
      <c r="H38">
        <f>+bma!H38/data!$AJ38</f>
        <v>42.53527947480773</v>
      </c>
      <c r="I38">
        <f>+bma!I38/data!$AJ38</f>
        <v>42.53527947480773</v>
      </c>
      <c r="J38">
        <f>+bma!L38/data!$AJ38</f>
        <v>0</v>
      </c>
      <c r="K38">
        <f>+bma!M38/data!$AJ38</f>
        <v>42.53527947480773</v>
      </c>
      <c r="L38">
        <f>+bma!J38/data!$AJ38</f>
        <v>0</v>
      </c>
      <c r="M38">
        <f>+bma!K38/data!$AJ38</f>
        <v>0</v>
      </c>
      <c r="N38">
        <f>+bma!N38/data!$AJ38</f>
        <v>42.53527947480773</v>
      </c>
      <c r="O38">
        <f>+bma!O38/data!$AJ38</f>
        <v>0</v>
      </c>
      <c r="P38">
        <f>+bma!P38/data!$AJ38</f>
        <v>42.53527947480773</v>
      </c>
      <c r="Q38">
        <f>+bma!Q38/data!$AJ38</f>
        <v>323.28522319088762</v>
      </c>
      <c r="R38">
        <f>+bma!R38/data!$AJ38</f>
        <v>174.15410884128164</v>
      </c>
      <c r="S38">
        <f>+bma!S38/data!$AJ38</f>
        <v>42.53527947480773</v>
      </c>
    </row>
    <row r="39" spans="1:19" x14ac:dyDescent="0.25">
      <c r="A39">
        <f>+data!AH39</f>
        <v>-3.2199999999999989</v>
      </c>
      <c r="B39">
        <f>+data!AL39</f>
        <v>30.97367269149721</v>
      </c>
      <c r="C39">
        <f>+bma!C39/data!$AJ39</f>
        <v>0</v>
      </c>
      <c r="D39">
        <f>+bma!D39/data!$AJ39</f>
        <v>0</v>
      </c>
      <c r="E39">
        <f>+bma!E39/data!$AJ39</f>
        <v>30.97367269149721</v>
      </c>
      <c r="F39">
        <f>+bma!F39/data!$AJ39</f>
        <v>0</v>
      </c>
      <c r="G39">
        <f>+bma!G39/data!$AJ39</f>
        <v>30.97367269149721</v>
      </c>
      <c r="H39">
        <f>+bma!H39/data!$AJ39</f>
        <v>30.97367269149721</v>
      </c>
      <c r="I39">
        <f>+bma!I39/data!$AJ39</f>
        <v>30.97367269149721</v>
      </c>
      <c r="J39">
        <f>+bma!L39/data!$AJ39</f>
        <v>0</v>
      </c>
      <c r="K39">
        <f>+bma!M39/data!$AJ39</f>
        <v>30.97367269149721</v>
      </c>
      <c r="L39">
        <f>+bma!J39/data!$AJ39</f>
        <v>0</v>
      </c>
      <c r="M39">
        <f>+bma!K39/data!$AJ39</f>
        <v>0</v>
      </c>
      <c r="N39">
        <f>+bma!N39/data!$AJ39</f>
        <v>30.97367269149721</v>
      </c>
      <c r="O39">
        <f>+bma!O39/data!$AJ39</f>
        <v>0</v>
      </c>
      <c r="P39">
        <f>+bma!P39/data!$AJ39</f>
        <v>30.97367269149721</v>
      </c>
      <c r="Q39">
        <f>+bma!Q39/data!$AJ39</f>
        <v>235.41236387180078</v>
      </c>
      <c r="R39">
        <f>+bma!R39/data!$AJ39</f>
        <v>126.81690191606813</v>
      </c>
      <c r="S39">
        <f>+bma!S39/data!$AJ39</f>
        <v>30.97367269149721</v>
      </c>
    </row>
    <row r="40" spans="1:19" x14ac:dyDescent="0.25">
      <c r="A40">
        <f>+data!AH40</f>
        <v>-3.2199999999999975</v>
      </c>
      <c r="B40">
        <f>+data!AL40</f>
        <v>30.97367269149721</v>
      </c>
      <c r="C40">
        <f>+bma!C40/data!$AJ40</f>
        <v>0</v>
      </c>
      <c r="D40">
        <f>+bma!D40/data!$AJ40</f>
        <v>0</v>
      </c>
      <c r="E40">
        <f>+bma!E40/data!$AJ40</f>
        <v>30.97367269149721</v>
      </c>
      <c r="F40">
        <f>+bma!F40/data!$AJ40</f>
        <v>0</v>
      </c>
      <c r="G40">
        <f>+bma!G40/data!$AJ40</f>
        <v>30.97367269149721</v>
      </c>
      <c r="H40">
        <f>+bma!H40/data!$AJ40</f>
        <v>30.97367269149721</v>
      </c>
      <c r="I40">
        <f>+bma!I40/data!$AJ40</f>
        <v>30.97367269149721</v>
      </c>
      <c r="J40">
        <f>+bma!L40/data!$AJ40</f>
        <v>0</v>
      </c>
      <c r="K40">
        <f>+bma!M40/data!$AJ40</f>
        <v>30.97367269149721</v>
      </c>
      <c r="L40">
        <f>+bma!J40/data!$AJ40</f>
        <v>0</v>
      </c>
      <c r="M40">
        <f>+bma!K40/data!$AJ40</f>
        <v>0</v>
      </c>
      <c r="N40">
        <f>+bma!N40/data!$AJ40</f>
        <v>30.97367269149721</v>
      </c>
      <c r="O40">
        <f>+bma!O40/data!$AJ40</f>
        <v>0</v>
      </c>
      <c r="P40">
        <f>+bma!P40/data!$AJ40</f>
        <v>30.97367269149721</v>
      </c>
      <c r="Q40">
        <f>+bma!Q40/data!$AJ40</f>
        <v>235.41236387180078</v>
      </c>
      <c r="R40">
        <f>+bma!R40/data!$AJ40</f>
        <v>126.81690191606813</v>
      </c>
      <c r="S40">
        <f>+bma!S40/data!$AJ40</f>
        <v>30.97367269149721</v>
      </c>
    </row>
    <row r="41" spans="1:19" x14ac:dyDescent="0.25">
      <c r="A41">
        <f>+data!AH41</f>
        <v>-5.7889908256880727</v>
      </c>
      <c r="B41">
        <f>+data!AL41</f>
        <v>17.649714297401548</v>
      </c>
      <c r="C41">
        <f>+bma!C41/data!$AJ41</f>
        <v>17.649714297401548</v>
      </c>
      <c r="D41">
        <f>+bma!D41/data!$AJ41</f>
        <v>0</v>
      </c>
      <c r="E41">
        <f>+bma!E41/data!$AJ41</f>
        <v>17.649714297401548</v>
      </c>
      <c r="F41">
        <f>+bma!F41/data!$AJ41</f>
        <v>17.649714297401548</v>
      </c>
      <c r="G41">
        <f>+bma!G41/data!$AJ41</f>
        <v>0</v>
      </c>
      <c r="H41">
        <f>+bma!H41/data!$AJ41</f>
        <v>17.649714297401548</v>
      </c>
      <c r="I41">
        <f>+bma!I41/data!$AJ41</f>
        <v>17.649714297401548</v>
      </c>
      <c r="J41">
        <f>+bma!L41/data!$AJ41</f>
        <v>0</v>
      </c>
      <c r="K41">
        <f>+bma!M41/data!$AJ41</f>
        <v>17.649714297401548</v>
      </c>
      <c r="L41">
        <f>+bma!J41/data!$AJ41</f>
        <v>0</v>
      </c>
      <c r="M41">
        <f>+bma!K41/data!$AJ41</f>
        <v>0</v>
      </c>
      <c r="N41">
        <f>+bma!N41/data!$AJ41</f>
        <v>17.649714297401548</v>
      </c>
      <c r="O41">
        <f>+bma!O41/data!$AJ41</f>
        <v>0</v>
      </c>
      <c r="P41">
        <f>+bma!P41/data!$AJ41</f>
        <v>17.649714297401548</v>
      </c>
      <c r="Q41">
        <f>+bma!Q41/data!$AJ41</f>
        <v>134.17139841684542</v>
      </c>
      <c r="R41">
        <f>+bma!R41/data!$AJ41</f>
        <v>0</v>
      </c>
      <c r="S41">
        <f>+bma!S41/data!$AJ41</f>
        <v>17.649714297401548</v>
      </c>
    </row>
    <row r="42" spans="1:19" x14ac:dyDescent="0.25">
      <c r="A42">
        <f>+data!AH42</f>
        <v>-1.3636363636363635</v>
      </c>
      <c r="B42">
        <f>+data!AL42</f>
        <v>16.729001886909792</v>
      </c>
      <c r="C42">
        <f>+bma!C42/data!$AJ42</f>
        <v>16.729001886909792</v>
      </c>
      <c r="D42">
        <f>+bma!D42/data!$AJ42</f>
        <v>0</v>
      </c>
      <c r="E42">
        <f>+bma!E42/data!$AJ42</f>
        <v>16.729001886909792</v>
      </c>
      <c r="F42">
        <f>+bma!F42/data!$AJ42</f>
        <v>16.729001886909792</v>
      </c>
      <c r="G42">
        <f>+bma!G42/data!$AJ42</f>
        <v>0</v>
      </c>
      <c r="H42">
        <f>+bma!H42/data!$AJ42</f>
        <v>16.729001886909792</v>
      </c>
      <c r="I42">
        <f>+bma!I42/data!$AJ42</f>
        <v>16.729001886909792</v>
      </c>
      <c r="J42">
        <f>+bma!L42/data!$AJ42</f>
        <v>0</v>
      </c>
      <c r="K42">
        <f>+bma!M42/data!$AJ42</f>
        <v>16.729001886909792</v>
      </c>
      <c r="L42">
        <f>+bma!J42/data!$AJ42</f>
        <v>0</v>
      </c>
      <c r="M42">
        <f>+bma!K42/data!$AJ42</f>
        <v>0</v>
      </c>
      <c r="N42">
        <f>+bma!N42/data!$AJ42</f>
        <v>0</v>
      </c>
      <c r="O42">
        <f>+bma!O42/data!$AJ42</f>
        <v>16.729001886909792</v>
      </c>
      <c r="P42">
        <f>+bma!P42/data!$AJ42</f>
        <v>16.729001886909792</v>
      </c>
      <c r="Q42">
        <f>+bma!Q42/data!$AJ42</f>
        <v>127.17223290210332</v>
      </c>
      <c r="R42">
        <f>+bma!R42/data!$AJ42</f>
        <v>0</v>
      </c>
      <c r="S42">
        <f>+bma!S42/data!$AJ42</f>
        <v>16.729001886909792</v>
      </c>
    </row>
    <row r="43" spans="1:19" x14ac:dyDescent="0.25">
      <c r="A43">
        <f>+data!AH43</f>
        <v>-6.2260000000000053</v>
      </c>
      <c r="B43">
        <f>+data!AL43</f>
        <v>34.0552943901532</v>
      </c>
      <c r="C43">
        <f>+bma!C43/data!$AJ43</f>
        <v>34.0552943901532</v>
      </c>
      <c r="D43">
        <f>+bma!D43/data!$AJ43</f>
        <v>34.0552943901532</v>
      </c>
      <c r="E43">
        <f>+bma!E43/data!$AJ43</f>
        <v>0</v>
      </c>
      <c r="F43">
        <f>+bma!F43/data!$AJ43</f>
        <v>0</v>
      </c>
      <c r="G43">
        <f>+bma!G43/data!$AJ43</f>
        <v>34.0552943901532</v>
      </c>
      <c r="H43">
        <f>+bma!H43/data!$AJ43</f>
        <v>0</v>
      </c>
      <c r="I43">
        <f>+bma!I43/data!$AJ43</f>
        <v>34.0552943901532</v>
      </c>
      <c r="J43">
        <f>+bma!L43/data!$AJ43</f>
        <v>34.0552943901532</v>
      </c>
      <c r="K43">
        <f>+bma!M43/data!$AJ43</f>
        <v>0</v>
      </c>
      <c r="L43">
        <f>+bma!J43/data!$AJ43</f>
        <v>0</v>
      </c>
      <c r="M43">
        <f>+bma!K43/data!$AJ43</f>
        <v>0</v>
      </c>
      <c r="N43">
        <f>+bma!N43/data!$AJ43</f>
        <v>0</v>
      </c>
      <c r="O43">
        <f>+bma!O43/data!$AJ43</f>
        <v>0</v>
      </c>
      <c r="P43">
        <f>+bma!P43/data!$AJ43</f>
        <v>34.0552943901532</v>
      </c>
      <c r="Q43">
        <f>+bma!Q43/data!$AJ43</f>
        <v>258.81689994631409</v>
      </c>
      <c r="R43">
        <f>+bma!R43/data!$AJ43</f>
        <v>110.95541843138058</v>
      </c>
      <c r="S43">
        <f>+bma!S43/data!$AJ43</f>
        <v>34.0552943901532</v>
      </c>
    </row>
    <row r="44" spans="1:19" x14ac:dyDescent="0.25">
      <c r="A44">
        <f>+data!AH44</f>
        <v>5.1249999999999964</v>
      </c>
      <c r="B44">
        <f>+data!AL44</f>
        <v>33.886068302474989</v>
      </c>
      <c r="C44">
        <f>+bma!C44/data!$AJ44</f>
        <v>33.886068302474989</v>
      </c>
      <c r="D44">
        <f>+bma!D44/data!$AJ44</f>
        <v>33.886068302474989</v>
      </c>
      <c r="E44">
        <f>+bma!E44/data!$AJ44</f>
        <v>0</v>
      </c>
      <c r="F44">
        <f>+bma!F44/data!$AJ44</f>
        <v>0</v>
      </c>
      <c r="G44">
        <f>+bma!G44/data!$AJ44</f>
        <v>33.886068302474989</v>
      </c>
      <c r="H44">
        <f>+bma!H44/data!$AJ44</f>
        <v>0</v>
      </c>
      <c r="I44">
        <f>+bma!I44/data!$AJ44</f>
        <v>33.886068302474989</v>
      </c>
      <c r="J44">
        <f>+bma!L44/data!$AJ44</f>
        <v>33.886068302474989</v>
      </c>
      <c r="K44">
        <f>+bma!M44/data!$AJ44</f>
        <v>0</v>
      </c>
      <c r="L44">
        <f>+bma!J44/data!$AJ44</f>
        <v>0</v>
      </c>
      <c r="M44">
        <f>+bma!K44/data!$AJ44</f>
        <v>0</v>
      </c>
      <c r="N44">
        <f>+bma!N44/data!$AJ44</f>
        <v>33.886068302474989</v>
      </c>
      <c r="O44">
        <f>+bma!O44/data!$AJ44</f>
        <v>0</v>
      </c>
      <c r="P44">
        <f>+bma!P44/data!$AJ44</f>
        <v>33.886068302474989</v>
      </c>
      <c r="Q44">
        <f>+bma!Q44/data!$AJ44</f>
        <v>257.53079826411624</v>
      </c>
      <c r="R44">
        <f>+bma!R44/data!$AJ44</f>
        <v>110.40406359202055</v>
      </c>
      <c r="S44">
        <f>+bma!S44/data!$AJ44</f>
        <v>33.886068302474989</v>
      </c>
    </row>
    <row r="45" spans="1:19" x14ac:dyDescent="0.25">
      <c r="A45">
        <f>+data!AH45</f>
        <v>-0.9060000000000008</v>
      </c>
      <c r="B45">
        <f>+data!AL45</f>
        <v>33.493593954665414</v>
      </c>
      <c r="C45">
        <f>+bma!C45/data!$AJ45</f>
        <v>33.493593954665414</v>
      </c>
      <c r="D45">
        <f>+bma!D45/data!$AJ45</f>
        <v>33.493593954665414</v>
      </c>
      <c r="E45">
        <f>+bma!E45/data!$AJ45</f>
        <v>0</v>
      </c>
      <c r="F45">
        <f>+bma!F45/data!$AJ45</f>
        <v>0</v>
      </c>
      <c r="G45">
        <f>+bma!G45/data!$AJ45</f>
        <v>33.493593954665414</v>
      </c>
      <c r="H45">
        <f>+bma!H45/data!$AJ45</f>
        <v>0</v>
      </c>
      <c r="I45">
        <f>+bma!I45/data!$AJ45</f>
        <v>33.493593954665414</v>
      </c>
      <c r="J45">
        <f>+bma!L45/data!$AJ45</f>
        <v>33.493593954665414</v>
      </c>
      <c r="K45">
        <f>+bma!M45/data!$AJ45</f>
        <v>0</v>
      </c>
      <c r="L45">
        <f>+bma!J45/data!$AJ45</f>
        <v>0</v>
      </c>
      <c r="M45">
        <f>+bma!K45/data!$AJ45</f>
        <v>0</v>
      </c>
      <c r="N45">
        <f>+bma!N45/data!$AJ45</f>
        <v>0</v>
      </c>
      <c r="O45">
        <f>+bma!O45/data!$AJ45</f>
        <v>33.493593954665414</v>
      </c>
      <c r="P45">
        <f>+bma!P45/data!$AJ45</f>
        <v>33.493593954665414</v>
      </c>
      <c r="Q45">
        <f>+bma!Q45/data!$AJ45</f>
        <v>254.54803168324963</v>
      </c>
      <c r="R45">
        <f>+bma!R45/data!$AJ45</f>
        <v>109.12534448931959</v>
      </c>
      <c r="S45">
        <f>+bma!S45/data!$AJ45</f>
        <v>33.493593954665414</v>
      </c>
    </row>
    <row r="46" spans="1:19" x14ac:dyDescent="0.25">
      <c r="A46">
        <f>+data!AH46</f>
        <v>-3.1284916201117321</v>
      </c>
      <c r="B46">
        <f>+data!AL46</f>
        <v>18.541506406360551</v>
      </c>
      <c r="C46">
        <f>+bma!C46/data!$AJ46</f>
        <v>18.541506406360551</v>
      </c>
      <c r="D46">
        <f>+bma!D46/data!$AJ46</f>
        <v>18.541506406360551</v>
      </c>
      <c r="E46">
        <f>+bma!E46/data!$AJ46</f>
        <v>0</v>
      </c>
      <c r="F46">
        <f>+bma!F46/data!$AJ46</f>
        <v>18.541506406360551</v>
      </c>
      <c r="G46">
        <f>+bma!G46/data!$AJ46</f>
        <v>0</v>
      </c>
      <c r="H46">
        <f>+bma!H46/data!$AJ46</f>
        <v>18.541506406360551</v>
      </c>
      <c r="I46">
        <f>+bma!I46/data!$AJ46</f>
        <v>18.541506406360551</v>
      </c>
      <c r="J46">
        <f>+bma!L46/data!$AJ46</f>
        <v>0</v>
      </c>
      <c r="K46">
        <f>+bma!M46/data!$AJ46</f>
        <v>18.541506406360551</v>
      </c>
      <c r="L46">
        <f>+bma!J46/data!$AJ46</f>
        <v>18.541506406360551</v>
      </c>
      <c r="M46">
        <f>+bma!K46/data!$AJ46</f>
        <v>0</v>
      </c>
      <c r="N46">
        <f>+bma!N46/data!$AJ46</f>
        <v>0</v>
      </c>
      <c r="O46">
        <f>+bma!O46/data!$AJ46</f>
        <v>18.541506406360551</v>
      </c>
      <c r="P46">
        <f>+bma!P46/data!$AJ46</f>
        <v>0</v>
      </c>
      <c r="Q46">
        <f>+bma!Q46/data!$AJ46</f>
        <v>141.05230354712555</v>
      </c>
      <c r="R46">
        <f>+bma!R46/data!$AJ46</f>
        <v>20.369921436104576</v>
      </c>
      <c r="S46">
        <f>+bma!S46/data!$AJ46</f>
        <v>18.541506406360551</v>
      </c>
    </row>
    <row r="47" spans="1:19" x14ac:dyDescent="0.25">
      <c r="A47">
        <f>+data!AH47</f>
        <v>-2.9019607843137254</v>
      </c>
      <c r="B47">
        <f>+data!AL47</f>
        <v>18.558593060727816</v>
      </c>
      <c r="C47">
        <f>+bma!C47/data!$AJ47</f>
        <v>18.558593060727816</v>
      </c>
      <c r="D47">
        <f>+bma!D47/data!$AJ47</f>
        <v>0</v>
      </c>
      <c r="E47">
        <f>+bma!E47/data!$AJ47</f>
        <v>0</v>
      </c>
      <c r="F47">
        <f>+bma!F47/data!$AJ47</f>
        <v>18.558593060727816</v>
      </c>
      <c r="G47">
        <f>+bma!G47/data!$AJ47</f>
        <v>0</v>
      </c>
      <c r="H47">
        <f>+bma!H47/data!$AJ47</f>
        <v>18.558593060727816</v>
      </c>
      <c r="I47">
        <f>+bma!I47/data!$AJ47</f>
        <v>18.558593060727816</v>
      </c>
      <c r="J47">
        <f>+bma!L47/data!$AJ47</f>
        <v>0</v>
      </c>
      <c r="K47">
        <f>+bma!M47/data!$AJ47</f>
        <v>18.558593060727816</v>
      </c>
      <c r="L47">
        <f>+bma!J47/data!$AJ47</f>
        <v>18.558593060727816</v>
      </c>
      <c r="M47">
        <f>+bma!K47/data!$AJ47</f>
        <v>0</v>
      </c>
      <c r="N47">
        <f>+bma!N47/data!$AJ47</f>
        <v>0</v>
      </c>
      <c r="O47">
        <f>+bma!O47/data!$AJ47</f>
        <v>18.558593060727816</v>
      </c>
      <c r="P47">
        <f>+bma!P47/data!$AJ47</f>
        <v>0</v>
      </c>
      <c r="Q47">
        <f>+bma!Q47/data!$AJ47</f>
        <v>141.18228823691265</v>
      </c>
      <c r="R47">
        <f>+bma!R47/data!$AJ47</f>
        <v>20.388693039632308</v>
      </c>
      <c r="S47">
        <f>+bma!S47/data!$AJ47</f>
        <v>18.558593060727816</v>
      </c>
    </row>
    <row r="48" spans="1:19" x14ac:dyDescent="0.25">
      <c r="A48">
        <f>+data!AH48</f>
        <v>-2.4198473282442747</v>
      </c>
      <c r="B48">
        <f>+data!AL48</f>
        <v>18.435174560931365</v>
      </c>
      <c r="C48">
        <f>+bma!C48/data!$AJ48</f>
        <v>18.435174560931365</v>
      </c>
      <c r="D48">
        <f>+bma!D48/data!$AJ48</f>
        <v>18.435174560931365</v>
      </c>
      <c r="E48">
        <f>+bma!E48/data!$AJ48</f>
        <v>0</v>
      </c>
      <c r="F48">
        <f>+bma!F48/data!$AJ48</f>
        <v>18.435174560931365</v>
      </c>
      <c r="G48">
        <f>+bma!G48/data!$AJ48</f>
        <v>0</v>
      </c>
      <c r="H48">
        <f>+bma!H48/data!$AJ48</f>
        <v>18.435174560931365</v>
      </c>
      <c r="I48">
        <f>+bma!I48/data!$AJ48</f>
        <v>18.435174560931365</v>
      </c>
      <c r="J48">
        <f>+bma!L48/data!$AJ48</f>
        <v>0</v>
      </c>
      <c r="K48">
        <f>+bma!M48/data!$AJ48</f>
        <v>18.435174560931365</v>
      </c>
      <c r="L48">
        <f>+bma!J48/data!$AJ48</f>
        <v>0</v>
      </c>
      <c r="M48">
        <f>+bma!K48/data!$AJ48</f>
        <v>18.435174560931365</v>
      </c>
      <c r="N48">
        <f>+bma!N48/data!$AJ48</f>
        <v>0</v>
      </c>
      <c r="O48">
        <f>+bma!O48/data!$AJ48</f>
        <v>18.435174560931365</v>
      </c>
      <c r="P48">
        <f>+bma!P48/data!$AJ48</f>
        <v>0</v>
      </c>
      <c r="Q48">
        <f>+bma!Q48/data!$AJ48</f>
        <v>140.2433966865126</v>
      </c>
      <c r="R48">
        <f>+bma!R48/data!$AJ48</f>
        <v>20.253103994733927</v>
      </c>
      <c r="S48">
        <f>+bma!S48/data!$AJ48</f>
        <v>18.435174560931365</v>
      </c>
    </row>
    <row r="49" spans="1:19" x14ac:dyDescent="0.25">
      <c r="A49">
        <f>+data!AH49</f>
        <v>-3.043968432919955</v>
      </c>
      <c r="B49">
        <f>+data!AL49</f>
        <v>18.581327827165989</v>
      </c>
      <c r="C49">
        <f>+bma!C49/data!$AJ49</f>
        <v>18.581327827165989</v>
      </c>
      <c r="D49">
        <f>+bma!D49/data!$AJ49</f>
        <v>0</v>
      </c>
      <c r="E49">
        <f>+bma!E49/data!$AJ49</f>
        <v>0</v>
      </c>
      <c r="F49">
        <f>+bma!F49/data!$AJ49</f>
        <v>18.581327827165989</v>
      </c>
      <c r="G49">
        <f>+bma!G49/data!$AJ49</f>
        <v>0</v>
      </c>
      <c r="H49">
        <f>+bma!H49/data!$AJ49</f>
        <v>18.581327827165989</v>
      </c>
      <c r="I49">
        <f>+bma!I49/data!$AJ49</f>
        <v>18.581327827165989</v>
      </c>
      <c r="J49">
        <f>+bma!L49/data!$AJ49</f>
        <v>0</v>
      </c>
      <c r="K49">
        <f>+bma!M49/data!$AJ49</f>
        <v>18.581327827165989</v>
      </c>
      <c r="L49">
        <f>+bma!J49/data!$AJ49</f>
        <v>0</v>
      </c>
      <c r="M49">
        <f>+bma!K49/data!$AJ49</f>
        <v>18.581327827165989</v>
      </c>
      <c r="N49">
        <f>+bma!N49/data!$AJ49</f>
        <v>0</v>
      </c>
      <c r="O49">
        <f>+bma!O49/data!$AJ49</f>
        <v>18.581327827165989</v>
      </c>
      <c r="P49">
        <f>+bma!P49/data!$AJ49</f>
        <v>0</v>
      </c>
      <c r="Q49">
        <f>+bma!Q49/data!$AJ49</f>
        <v>141.35524026715385</v>
      </c>
      <c r="R49">
        <f>+bma!R49/data!$AJ49</f>
        <v>20.41366972685848</v>
      </c>
      <c r="S49">
        <f>+bma!S49/data!$AJ49</f>
        <v>18.581327827165989</v>
      </c>
    </row>
    <row r="50" spans="1:19" x14ac:dyDescent="0.25">
      <c r="A50">
        <f>+data!AH50</f>
        <v>-1.6620498614958448</v>
      </c>
      <c r="B50">
        <f>+data!AL50</f>
        <v>11.079819932747029</v>
      </c>
      <c r="C50">
        <f>+bma!C50/data!$AJ50</f>
        <v>0</v>
      </c>
      <c r="D50">
        <f>+bma!D50/data!$AJ50</f>
        <v>11.079819932747029</v>
      </c>
      <c r="E50">
        <f>+bma!E50/data!$AJ50</f>
        <v>0</v>
      </c>
      <c r="F50">
        <f>+bma!F50/data!$AJ50</f>
        <v>0</v>
      </c>
      <c r="G50">
        <f>+bma!G50/data!$AJ50</f>
        <v>11.079819932747029</v>
      </c>
      <c r="H50">
        <f>+bma!H50/data!$AJ50</f>
        <v>0</v>
      </c>
      <c r="I50">
        <f>+bma!I50/data!$AJ50</f>
        <v>11.079819932747029</v>
      </c>
      <c r="J50">
        <f>+bma!L50/data!$AJ50</f>
        <v>0</v>
      </c>
      <c r="K50">
        <f>+bma!M50/data!$AJ50</f>
        <v>0</v>
      </c>
      <c r="L50">
        <f>+bma!J50/data!$AJ50</f>
        <v>0</v>
      </c>
      <c r="M50">
        <f>+bma!K50/data!$AJ50</f>
        <v>0</v>
      </c>
      <c r="N50">
        <f>+bma!N50/data!$AJ50</f>
        <v>11.079819932747029</v>
      </c>
      <c r="O50">
        <f>+bma!O50/data!$AJ50</f>
        <v>0</v>
      </c>
      <c r="P50">
        <f>+bma!P50/data!$AJ50</f>
        <v>11.079819932747029</v>
      </c>
      <c r="Q50">
        <f>+bma!Q50/data!$AJ50</f>
        <v>84.238774046502328</v>
      </c>
      <c r="R50">
        <f>+bma!R50/data!$AJ50</f>
        <v>41.67341873104813</v>
      </c>
      <c r="S50">
        <f>+bma!S50/data!$AJ50</f>
        <v>11.079819932747029</v>
      </c>
    </row>
    <row r="51" spans="1:19" x14ac:dyDescent="0.25">
      <c r="A51">
        <f>+data!AH51</f>
        <v>-4.8471337579617835</v>
      </c>
      <c r="B51">
        <f>+data!AL51</f>
        <v>18.694777497140016</v>
      </c>
      <c r="C51">
        <f>+bma!C51/data!$AJ51</f>
        <v>0</v>
      </c>
      <c r="D51">
        <f>+bma!D51/data!$AJ51</f>
        <v>18.694777497140016</v>
      </c>
      <c r="E51">
        <f>+bma!E51/data!$AJ51</f>
        <v>0</v>
      </c>
      <c r="F51">
        <f>+bma!F51/data!$AJ51</f>
        <v>0</v>
      </c>
      <c r="G51">
        <f>+bma!G51/data!$AJ51</f>
        <v>18.694777497140016</v>
      </c>
      <c r="H51">
        <f>+bma!H51/data!$AJ51</f>
        <v>0</v>
      </c>
      <c r="I51">
        <f>+bma!I51/data!$AJ51</f>
        <v>0</v>
      </c>
      <c r="J51">
        <f>+bma!L51/data!$AJ51</f>
        <v>0</v>
      </c>
      <c r="K51">
        <f>+bma!M51/data!$AJ51</f>
        <v>0</v>
      </c>
      <c r="L51">
        <f>+bma!J51/data!$AJ51</f>
        <v>0</v>
      </c>
      <c r="M51">
        <f>+bma!K51/data!$AJ51</f>
        <v>0</v>
      </c>
      <c r="N51">
        <f>+bma!N51/data!$AJ51</f>
        <v>18.694777497140016</v>
      </c>
      <c r="O51">
        <f>+bma!O51/data!$AJ51</f>
        <v>0</v>
      </c>
      <c r="P51">
        <f>+bma!P51/data!$AJ51</f>
        <v>18.694777497140016</v>
      </c>
      <c r="Q51">
        <f>+bma!Q51/data!$AJ51</f>
        <v>142.13454252778334</v>
      </c>
      <c r="R51">
        <f>+bma!R51/data!$AJ51</f>
        <v>70.314797122243036</v>
      </c>
      <c r="S51">
        <f>+bma!S51/data!$AJ51</f>
        <v>18.694777497140016</v>
      </c>
    </row>
    <row r="52" spans="1:19" x14ac:dyDescent="0.25">
      <c r="A52">
        <f>+data!AH52</f>
        <v>-1.6620498614958448</v>
      </c>
      <c r="B52">
        <f>+data!AL52</f>
        <v>11.169709474381969</v>
      </c>
      <c r="C52">
        <f>+bma!C52/data!$AJ52</f>
        <v>0</v>
      </c>
      <c r="D52">
        <f>+bma!D52/data!$AJ52</f>
        <v>11.169709474381969</v>
      </c>
      <c r="E52">
        <f>+bma!E52/data!$AJ52</f>
        <v>0</v>
      </c>
      <c r="F52">
        <f>+bma!F52/data!$AJ52</f>
        <v>0</v>
      </c>
      <c r="G52">
        <f>+bma!G52/data!$AJ52</f>
        <v>0</v>
      </c>
      <c r="H52">
        <f>+bma!H52/data!$AJ52</f>
        <v>0</v>
      </c>
      <c r="I52">
        <f>+bma!I52/data!$AJ52</f>
        <v>0</v>
      </c>
      <c r="J52">
        <f>+bma!L52/data!$AJ52</f>
        <v>0</v>
      </c>
      <c r="K52">
        <f>+bma!M52/data!$AJ52</f>
        <v>0</v>
      </c>
      <c r="L52">
        <f>+bma!J52/data!$AJ52</f>
        <v>0</v>
      </c>
      <c r="M52">
        <f>+bma!K52/data!$AJ52</f>
        <v>0</v>
      </c>
      <c r="N52">
        <f>+bma!N52/data!$AJ52</f>
        <v>11.169709474381969</v>
      </c>
      <c r="O52">
        <f>+bma!O52/data!$AJ52</f>
        <v>0</v>
      </c>
      <c r="P52">
        <f>+bma!P52/data!$AJ52</f>
        <v>11.169709474381969</v>
      </c>
      <c r="Q52">
        <f>+bma!Q52/data!$AJ52</f>
        <v>84.922195332488144</v>
      </c>
      <c r="R52">
        <f>+bma!R52/data!$AJ52</f>
        <v>42.011511275045464</v>
      </c>
      <c r="S52">
        <f>+bma!S52/data!$AJ52</f>
        <v>11.169709474381969</v>
      </c>
    </row>
    <row r="53" spans="1:19" x14ac:dyDescent="0.25">
      <c r="A53">
        <f>+data!AH53</f>
        <v>-5.5701754385964914</v>
      </c>
      <c r="B53">
        <f>+data!AL53</f>
        <v>13.380091719294885</v>
      </c>
      <c r="C53">
        <f>+bma!C53/data!$AJ53</f>
        <v>0</v>
      </c>
      <c r="D53">
        <f>+bma!D53/data!$AJ53</f>
        <v>13.380091719294885</v>
      </c>
      <c r="E53">
        <f>+bma!E53/data!$AJ53</f>
        <v>0</v>
      </c>
      <c r="F53">
        <f>+bma!F53/data!$AJ53</f>
        <v>0</v>
      </c>
      <c r="G53">
        <f>+bma!G53/data!$AJ53</f>
        <v>13.380091719294885</v>
      </c>
      <c r="H53">
        <f>+bma!H53/data!$AJ53</f>
        <v>0</v>
      </c>
      <c r="I53">
        <f>+bma!I53/data!$AJ53</f>
        <v>13.380091719294885</v>
      </c>
      <c r="J53">
        <f>+bma!L53/data!$AJ53</f>
        <v>0</v>
      </c>
      <c r="K53">
        <f>+bma!M53/data!$AJ53</f>
        <v>0</v>
      </c>
      <c r="L53">
        <f>+bma!J53/data!$AJ53</f>
        <v>0</v>
      </c>
      <c r="M53">
        <f>+bma!K53/data!$AJ53</f>
        <v>0</v>
      </c>
      <c r="N53">
        <f>+bma!N53/data!$AJ53</f>
        <v>13.380091719294885</v>
      </c>
      <c r="O53">
        <f>+bma!O53/data!$AJ53</f>
        <v>0</v>
      </c>
      <c r="P53">
        <f>+bma!P53/data!$AJ53</f>
        <v>13.380091719294885</v>
      </c>
      <c r="Q53">
        <f>+bma!Q53/data!$AJ53</f>
        <v>101.72751271271881</v>
      </c>
      <c r="R53">
        <f>+bma!R53/data!$AJ53</f>
        <v>50.325200974611924</v>
      </c>
      <c r="S53">
        <f>+bma!S53/data!$AJ53</f>
        <v>13.380091719294885</v>
      </c>
    </row>
    <row r="54" spans="1:19" x14ac:dyDescent="0.25">
      <c r="A54">
        <f>+data!AH54</f>
        <v>-9.2913385826771648</v>
      </c>
      <c r="B54">
        <f>+data!AL54</f>
        <v>20.792522036971498</v>
      </c>
      <c r="C54">
        <f>+bma!C54/data!$AJ54</f>
        <v>0</v>
      </c>
      <c r="D54">
        <f>+bma!D54/data!$AJ54</f>
        <v>20.792522036971498</v>
      </c>
      <c r="E54">
        <f>+bma!E54/data!$AJ54</f>
        <v>0</v>
      </c>
      <c r="F54">
        <f>+bma!F54/data!$AJ54</f>
        <v>0</v>
      </c>
      <c r="G54">
        <f>+bma!G54/data!$AJ54</f>
        <v>20.792522036971498</v>
      </c>
      <c r="H54">
        <f>+bma!H54/data!$AJ54</f>
        <v>0</v>
      </c>
      <c r="I54">
        <f>+bma!I54/data!$AJ54</f>
        <v>0</v>
      </c>
      <c r="J54">
        <f>+bma!L54/data!$AJ54</f>
        <v>0</v>
      </c>
      <c r="K54">
        <f>+bma!M54/data!$AJ54</f>
        <v>0</v>
      </c>
      <c r="L54">
        <f>+bma!J54/data!$AJ54</f>
        <v>0</v>
      </c>
      <c r="M54">
        <f>+bma!K54/data!$AJ54</f>
        <v>0</v>
      </c>
      <c r="N54">
        <f>+bma!N54/data!$AJ54</f>
        <v>20.792522036971498</v>
      </c>
      <c r="O54">
        <f>+bma!O54/data!$AJ54</f>
        <v>0</v>
      </c>
      <c r="P54">
        <f>+bma!P54/data!$AJ54</f>
        <v>20.792522036971498</v>
      </c>
      <c r="Q54">
        <f>+bma!Q54/data!$AJ54</f>
        <v>158.08348658741264</v>
      </c>
      <c r="R54">
        <f>+bma!R54/data!$AJ54</f>
        <v>78.204833885457205</v>
      </c>
      <c r="S54">
        <f>+bma!S54/data!$AJ54</f>
        <v>20.792522036971498</v>
      </c>
    </row>
    <row r="55" spans="1:19" x14ac:dyDescent="0.25">
      <c r="A55">
        <f>+data!AH55</f>
        <v>-8.4146341463414629</v>
      </c>
      <c r="B55">
        <f>+data!AL55</f>
        <v>20.415828854513247</v>
      </c>
      <c r="C55">
        <f>+bma!C55/data!$AJ55</f>
        <v>0</v>
      </c>
      <c r="D55">
        <f>+bma!D55/data!$AJ55</f>
        <v>20.415828854513247</v>
      </c>
      <c r="E55">
        <f>+bma!E55/data!$AJ55</f>
        <v>0</v>
      </c>
      <c r="F55">
        <f>+bma!F55/data!$AJ55</f>
        <v>0</v>
      </c>
      <c r="G55">
        <f>+bma!G55/data!$AJ55</f>
        <v>0</v>
      </c>
      <c r="H55">
        <f>+bma!H55/data!$AJ55</f>
        <v>0</v>
      </c>
      <c r="I55">
        <f>+bma!I55/data!$AJ55</f>
        <v>0</v>
      </c>
      <c r="J55">
        <f>+bma!L55/data!$AJ55</f>
        <v>0</v>
      </c>
      <c r="K55">
        <f>+bma!M55/data!$AJ55</f>
        <v>0</v>
      </c>
      <c r="L55">
        <f>+bma!J55/data!$AJ55</f>
        <v>0</v>
      </c>
      <c r="M55">
        <f>+bma!K55/data!$AJ55</f>
        <v>0</v>
      </c>
      <c r="N55">
        <f>+bma!N55/data!$AJ55</f>
        <v>20.415828854513247</v>
      </c>
      <c r="O55">
        <f>+bma!O55/data!$AJ55</f>
        <v>0</v>
      </c>
      <c r="P55">
        <f>+bma!P55/data!$AJ55</f>
        <v>20.415828854513247</v>
      </c>
      <c r="Q55">
        <f>+bma!Q55/data!$AJ55</f>
        <v>155.2195256138076</v>
      </c>
      <c r="R55">
        <f>+bma!R55/data!$AJ55</f>
        <v>76.788015487595217</v>
      </c>
      <c r="S55">
        <f>+bma!S55/data!$AJ55</f>
        <v>20.415828854513247</v>
      </c>
    </row>
    <row r="56" spans="1:19" x14ac:dyDescent="0.25">
      <c r="A56">
        <f>+data!AH56</f>
        <v>-2.9216467463479412</v>
      </c>
      <c r="B56">
        <f>+data!AL56</f>
        <v>21.366703529333805</v>
      </c>
      <c r="C56">
        <f>+bma!C56/data!$AJ56</f>
        <v>21.366703529333805</v>
      </c>
      <c r="D56">
        <f>+bma!D56/data!$AJ56</f>
        <v>21.366703529333805</v>
      </c>
      <c r="E56">
        <f>+bma!E56/data!$AJ56</f>
        <v>0</v>
      </c>
      <c r="F56">
        <f>+bma!F56/data!$AJ56</f>
        <v>0</v>
      </c>
      <c r="G56">
        <f>+bma!G56/data!$AJ56</f>
        <v>21.366703529333805</v>
      </c>
      <c r="H56">
        <f>+bma!H56/data!$AJ56</f>
        <v>0</v>
      </c>
      <c r="I56">
        <f>+bma!I56/data!$AJ56</f>
        <v>21.366703529333805</v>
      </c>
      <c r="J56">
        <f>+bma!L56/data!$AJ56</f>
        <v>0</v>
      </c>
      <c r="K56">
        <f>+bma!M56/data!$AJ56</f>
        <v>21.366703529333805</v>
      </c>
      <c r="L56">
        <f>+bma!J56/data!$AJ56</f>
        <v>0</v>
      </c>
      <c r="M56">
        <f>+bma!K56/data!$AJ56</f>
        <v>0</v>
      </c>
      <c r="N56">
        <f>+bma!N56/data!$AJ56</f>
        <v>0</v>
      </c>
      <c r="O56">
        <f>+bma!O56/data!$AJ56</f>
        <v>21.366703529333805</v>
      </c>
      <c r="P56">
        <f>+bma!P56/data!$AJ56</f>
        <v>21.366703529333805</v>
      </c>
      <c r="Q56">
        <f>+bma!Q56/data!$AJ56</f>
        <v>162.05074174290283</v>
      </c>
      <c r="R56">
        <f>+bma!R56/data!$AJ56</f>
        <v>121.43936884525102</v>
      </c>
      <c r="S56">
        <f>+bma!S56/data!$AJ56</f>
        <v>21.366703529333805</v>
      </c>
    </row>
    <row r="57" spans="1:19" x14ac:dyDescent="0.25">
      <c r="A57">
        <f>+data!AH57</f>
        <v>-0.74479166666666663</v>
      </c>
      <c r="B57">
        <f>+data!AL57</f>
        <v>6.5233974757587863</v>
      </c>
      <c r="C57">
        <f>+bma!C57/data!$AJ57</f>
        <v>0</v>
      </c>
      <c r="D57">
        <f>+bma!D57/data!$AJ57</f>
        <v>6.5233974757587863</v>
      </c>
      <c r="E57">
        <f>+bma!E57/data!$AJ57</f>
        <v>0</v>
      </c>
      <c r="F57">
        <f>+bma!F57/data!$AJ57</f>
        <v>0</v>
      </c>
      <c r="G57">
        <f>+bma!G57/data!$AJ57</f>
        <v>6.5233974757587863</v>
      </c>
      <c r="H57">
        <f>+bma!H57/data!$AJ57</f>
        <v>6.5233974757587863</v>
      </c>
      <c r="I57">
        <f>+bma!I57/data!$AJ57</f>
        <v>6.5233974757587863</v>
      </c>
      <c r="J57">
        <f>+bma!L57/data!$AJ57</f>
        <v>0</v>
      </c>
      <c r="K57">
        <f>+bma!M57/data!$AJ57</f>
        <v>6.5233974757587863</v>
      </c>
      <c r="L57">
        <f>+bma!J57/data!$AJ57</f>
        <v>6.5233974757587863</v>
      </c>
      <c r="M57">
        <f>+bma!K57/data!$AJ57</f>
        <v>0</v>
      </c>
      <c r="N57">
        <f>+bma!N57/data!$AJ57</f>
        <v>0</v>
      </c>
      <c r="O57">
        <f>+bma!O57/data!$AJ57</f>
        <v>0</v>
      </c>
      <c r="P57">
        <f>+bma!P57/data!$AJ57</f>
        <v>0</v>
      </c>
      <c r="Q57">
        <f>+bma!Q57/data!$AJ57</f>
        <v>49.590228317765671</v>
      </c>
      <c r="R57">
        <f>+bma!R57/data!$AJ57</f>
        <v>19.860633653089568</v>
      </c>
      <c r="S57">
        <f>+bma!S57/data!$AJ57</f>
        <v>0</v>
      </c>
    </row>
    <row r="58" spans="1:19" x14ac:dyDescent="0.25">
      <c r="A58">
        <f>+data!AH58</f>
        <v>-1.2910958904109591</v>
      </c>
      <c r="B58">
        <f>+data!AL58</f>
        <v>6.5319926973501792</v>
      </c>
      <c r="C58">
        <f>+bma!C58/data!$AJ58</f>
        <v>0</v>
      </c>
      <c r="D58">
        <f>+bma!D58/data!$AJ58</f>
        <v>6.5319926973501792</v>
      </c>
      <c r="E58">
        <f>+bma!E58/data!$AJ58</f>
        <v>0</v>
      </c>
      <c r="F58">
        <f>+bma!F58/data!$AJ58</f>
        <v>0</v>
      </c>
      <c r="G58">
        <f>+bma!G58/data!$AJ58</f>
        <v>6.5319926973501792</v>
      </c>
      <c r="H58">
        <f>+bma!H58/data!$AJ58</f>
        <v>6.5319926973501792</v>
      </c>
      <c r="I58">
        <f>+bma!I58/data!$AJ58</f>
        <v>6.5319926973501792</v>
      </c>
      <c r="J58">
        <f>+bma!L58/data!$AJ58</f>
        <v>0</v>
      </c>
      <c r="K58">
        <f>+bma!M58/data!$AJ58</f>
        <v>6.5319926973501792</v>
      </c>
      <c r="L58">
        <f>+bma!J58/data!$AJ58</f>
        <v>6.5319926973501792</v>
      </c>
      <c r="M58">
        <f>+bma!K58/data!$AJ58</f>
        <v>0</v>
      </c>
      <c r="N58">
        <f>+bma!N58/data!$AJ58</f>
        <v>0</v>
      </c>
      <c r="O58">
        <f>+bma!O58/data!$AJ58</f>
        <v>0</v>
      </c>
      <c r="P58">
        <f>+bma!P58/data!$AJ58</f>
        <v>0</v>
      </c>
      <c r="Q58">
        <f>+bma!Q58/data!$AJ58</f>
        <v>49.655568349971723</v>
      </c>
      <c r="R58">
        <f>+bma!R58/data!$AJ58</f>
        <v>19.88680200291466</v>
      </c>
      <c r="S58">
        <f>+bma!S58/data!$AJ58</f>
        <v>0</v>
      </c>
    </row>
    <row r="59" spans="1:19" x14ac:dyDescent="0.25">
      <c r="A59">
        <f>+data!AH59</f>
        <v>-1.7404580152671756</v>
      </c>
      <c r="B59">
        <f>+data!AL59</f>
        <v>6.6354498041133398</v>
      </c>
      <c r="C59">
        <f>+bma!C59/data!$AJ59</f>
        <v>6.6354498041133398</v>
      </c>
      <c r="D59">
        <f>+bma!D59/data!$AJ59</f>
        <v>6.6354498041133398</v>
      </c>
      <c r="E59">
        <f>+bma!E59/data!$AJ59</f>
        <v>0</v>
      </c>
      <c r="F59">
        <f>+bma!F59/data!$AJ59</f>
        <v>0</v>
      </c>
      <c r="G59">
        <f>+bma!G59/data!$AJ59</f>
        <v>6.6354498041133398</v>
      </c>
      <c r="H59">
        <f>+bma!H59/data!$AJ59</f>
        <v>6.6354498041133398</v>
      </c>
      <c r="I59">
        <f>+bma!I59/data!$AJ59</f>
        <v>6.6354498041133398</v>
      </c>
      <c r="J59">
        <f>+bma!L59/data!$AJ59</f>
        <v>0</v>
      </c>
      <c r="K59">
        <f>+bma!M59/data!$AJ59</f>
        <v>6.6354498041133398</v>
      </c>
      <c r="L59">
        <f>+bma!J59/data!$AJ59</f>
        <v>6.6354498041133398</v>
      </c>
      <c r="M59">
        <f>+bma!K59/data!$AJ59</f>
        <v>0</v>
      </c>
      <c r="N59">
        <f>+bma!N59/data!$AJ59</f>
        <v>0</v>
      </c>
      <c r="O59">
        <f>+bma!O59/data!$AJ59</f>
        <v>0</v>
      </c>
      <c r="P59">
        <f>+bma!P59/data!$AJ59</f>
        <v>0</v>
      </c>
      <c r="Q59">
        <f>+bma!Q59/data!$AJ59</f>
        <v>50.442039136788807</v>
      </c>
      <c r="R59">
        <f>+bma!R59/data!$AJ59</f>
        <v>20.201779543968559</v>
      </c>
      <c r="S59">
        <f>+bma!S59/data!$AJ59</f>
        <v>0</v>
      </c>
    </row>
    <row r="60" spans="1:19" x14ac:dyDescent="0.25">
      <c r="A60">
        <f>+data!AH60</f>
        <v>-2.0649350649350651</v>
      </c>
      <c r="B60">
        <f>+data!AL60</f>
        <v>6.6531163241294955</v>
      </c>
      <c r="C60">
        <f>+bma!C60/data!$AJ60</f>
        <v>6.6531163241294955</v>
      </c>
      <c r="D60">
        <f>+bma!D60/data!$AJ60</f>
        <v>6.6531163241294955</v>
      </c>
      <c r="E60">
        <f>+bma!E60/data!$AJ60</f>
        <v>0</v>
      </c>
      <c r="F60">
        <f>+bma!F60/data!$AJ60</f>
        <v>0</v>
      </c>
      <c r="G60">
        <f>+bma!G60/data!$AJ60</f>
        <v>6.6531163241294955</v>
      </c>
      <c r="H60">
        <f>+bma!H60/data!$AJ60</f>
        <v>6.6531163241294955</v>
      </c>
      <c r="I60">
        <f>+bma!I60/data!$AJ60</f>
        <v>6.6531163241294955</v>
      </c>
      <c r="J60">
        <f>+bma!L60/data!$AJ60</f>
        <v>0</v>
      </c>
      <c r="K60">
        <f>+bma!M60/data!$AJ60</f>
        <v>6.6531163241294955</v>
      </c>
      <c r="L60">
        <f>+bma!J60/data!$AJ60</f>
        <v>6.6531163241294955</v>
      </c>
      <c r="M60">
        <f>+bma!K60/data!$AJ60</f>
        <v>0</v>
      </c>
      <c r="N60">
        <f>+bma!N60/data!$AJ60</f>
        <v>0</v>
      </c>
      <c r="O60">
        <f>+bma!O60/data!$AJ60</f>
        <v>0</v>
      </c>
      <c r="P60">
        <f>+bma!P60/data!$AJ60</f>
        <v>0</v>
      </c>
      <c r="Q60">
        <f>+bma!Q60/data!$AJ60</f>
        <v>50.576338290632663</v>
      </c>
      <c r="R60">
        <f>+bma!R60/data!$AJ60</f>
        <v>20.255565670487702</v>
      </c>
      <c r="S60">
        <f>+bma!S60/data!$AJ60</f>
        <v>0</v>
      </c>
    </row>
    <row r="61" spans="1:19" x14ac:dyDescent="0.25">
      <c r="A61">
        <f>+data!AH61</f>
        <v>-0.33846153846153842</v>
      </c>
      <c r="B61">
        <f>+data!AL61</f>
        <v>6.3336053092229978</v>
      </c>
      <c r="C61">
        <f>+bma!C61/data!$AJ61</f>
        <v>6.3336053092229978</v>
      </c>
      <c r="D61">
        <f>+bma!D61/data!$AJ61</f>
        <v>6.3336053092229978</v>
      </c>
      <c r="E61">
        <f>+bma!E61/data!$AJ61</f>
        <v>0</v>
      </c>
      <c r="F61">
        <f>+bma!F61/data!$AJ61</f>
        <v>0</v>
      </c>
      <c r="G61">
        <f>+bma!G61/data!$AJ61</f>
        <v>6.3336053092229978</v>
      </c>
      <c r="H61">
        <f>+bma!H61/data!$AJ61</f>
        <v>6.3336053092229978</v>
      </c>
      <c r="I61">
        <f>+bma!I61/data!$AJ61</f>
        <v>6.3336053092229978</v>
      </c>
      <c r="J61">
        <f>+bma!L61/data!$AJ61</f>
        <v>0</v>
      </c>
      <c r="K61">
        <f>+bma!M61/data!$AJ61</f>
        <v>6.3336053092229978</v>
      </c>
      <c r="L61">
        <f>+bma!J61/data!$AJ61</f>
        <v>6.3336053092229978</v>
      </c>
      <c r="M61">
        <f>+bma!K61/data!$AJ61</f>
        <v>0</v>
      </c>
      <c r="N61">
        <f>+bma!N61/data!$AJ61</f>
        <v>0</v>
      </c>
      <c r="O61">
        <f>+bma!O61/data!$AJ61</f>
        <v>0</v>
      </c>
      <c r="P61">
        <f>+bma!P61/data!$AJ61</f>
        <v>0</v>
      </c>
      <c r="Q61">
        <f>+bma!Q61/data!$AJ61</f>
        <v>48.147446867392922</v>
      </c>
      <c r="R61">
        <f>+bma!R61/data!$AJ61</f>
        <v>19.282807036851526</v>
      </c>
      <c r="S61">
        <f>+bma!S61/data!$AJ61</f>
        <v>0</v>
      </c>
    </row>
    <row r="62" spans="1:19" x14ac:dyDescent="0.25">
      <c r="A62">
        <f>+data!AH62</f>
        <v>-7.3529411764705885E-2</v>
      </c>
      <c r="B62">
        <f>+data!AL62</f>
        <v>6.4811578112552128</v>
      </c>
      <c r="C62">
        <f>+bma!C62/data!$AJ62</f>
        <v>0</v>
      </c>
      <c r="D62">
        <f>+bma!D62/data!$AJ62</f>
        <v>6.4811578112552128</v>
      </c>
      <c r="E62">
        <f>+bma!E62/data!$AJ62</f>
        <v>0</v>
      </c>
      <c r="F62">
        <f>+bma!F62/data!$AJ62</f>
        <v>0</v>
      </c>
      <c r="G62">
        <f>+bma!G62/data!$AJ62</f>
        <v>6.4811578112552128</v>
      </c>
      <c r="H62">
        <f>+bma!H62/data!$AJ62</f>
        <v>6.4811578112552128</v>
      </c>
      <c r="I62">
        <f>+bma!I62/data!$AJ62</f>
        <v>6.4811578112552128</v>
      </c>
      <c r="J62">
        <f>+bma!L62/data!$AJ62</f>
        <v>0</v>
      </c>
      <c r="K62">
        <f>+bma!M62/data!$AJ62</f>
        <v>6.4811578112552128</v>
      </c>
      <c r="L62">
        <f>+bma!J62/data!$AJ62</f>
        <v>0</v>
      </c>
      <c r="M62">
        <f>+bma!K62/data!$AJ62</f>
        <v>6.4811578112552128</v>
      </c>
      <c r="N62">
        <f>+bma!N62/data!$AJ62</f>
        <v>0</v>
      </c>
      <c r="O62">
        <f>+bma!O62/data!$AJ62</f>
        <v>0</v>
      </c>
      <c r="P62">
        <f>+bma!P62/data!$AJ62</f>
        <v>0</v>
      </c>
      <c r="Q62">
        <f>+bma!Q62/data!$AJ62</f>
        <v>49.269126527696628</v>
      </c>
      <c r="R62">
        <f>+bma!R62/data!$AJ62</f>
        <v>19.732034022996153</v>
      </c>
      <c r="S62">
        <f>+bma!S62/data!$AJ62</f>
        <v>0</v>
      </c>
    </row>
    <row r="63" spans="1:19" x14ac:dyDescent="0.25">
      <c r="A63">
        <f>+data!AH63</f>
        <v>-0.4779874213836478</v>
      </c>
      <c r="B63">
        <f>+data!AL63</f>
        <v>6.4209401161357196</v>
      </c>
      <c r="C63">
        <f>+bma!C63/data!$AJ63</f>
        <v>0</v>
      </c>
      <c r="D63">
        <f>+bma!D63/data!$AJ63</f>
        <v>6.4209401161357196</v>
      </c>
      <c r="E63">
        <f>+bma!E63/data!$AJ63</f>
        <v>0</v>
      </c>
      <c r="F63">
        <f>+bma!F63/data!$AJ63</f>
        <v>0</v>
      </c>
      <c r="G63">
        <f>+bma!G63/data!$AJ63</f>
        <v>6.4209401161357196</v>
      </c>
      <c r="H63">
        <f>+bma!H63/data!$AJ63</f>
        <v>6.4209401161357196</v>
      </c>
      <c r="I63">
        <f>+bma!I63/data!$AJ63</f>
        <v>6.4209401161357196</v>
      </c>
      <c r="J63">
        <f>+bma!L63/data!$AJ63</f>
        <v>0</v>
      </c>
      <c r="K63">
        <f>+bma!M63/data!$AJ63</f>
        <v>6.4209401161357196</v>
      </c>
      <c r="L63">
        <f>+bma!J63/data!$AJ63</f>
        <v>0</v>
      </c>
      <c r="M63">
        <f>+bma!K63/data!$AJ63</f>
        <v>6.4209401161357196</v>
      </c>
      <c r="N63">
        <f>+bma!N63/data!$AJ63</f>
        <v>0</v>
      </c>
      <c r="O63">
        <f>+bma!O63/data!$AJ63</f>
        <v>0</v>
      </c>
      <c r="P63">
        <f>+bma!P63/data!$AJ63</f>
        <v>0</v>
      </c>
      <c r="Q63">
        <f>+bma!Q63/data!$AJ63</f>
        <v>48.811357510732357</v>
      </c>
      <c r="R63">
        <f>+bma!R63/data!$AJ63</f>
        <v>19.548699865197868</v>
      </c>
      <c r="S63">
        <f>+bma!S63/data!$AJ63</f>
        <v>0</v>
      </c>
    </row>
    <row r="64" spans="1:19" x14ac:dyDescent="0.25">
      <c r="A64">
        <f>+data!AH64</f>
        <v>-1.0492957746478875</v>
      </c>
      <c r="B64">
        <f>+data!AL64</f>
        <v>6.4885300047617802</v>
      </c>
      <c r="C64">
        <f>+bma!C64/data!$AJ64</f>
        <v>6.4885300047617802</v>
      </c>
      <c r="D64">
        <f>+bma!D64/data!$AJ64</f>
        <v>6.4885300047617802</v>
      </c>
      <c r="E64">
        <f>+bma!E64/data!$AJ64</f>
        <v>0</v>
      </c>
      <c r="F64">
        <f>+bma!F64/data!$AJ64</f>
        <v>0</v>
      </c>
      <c r="G64">
        <f>+bma!G64/data!$AJ64</f>
        <v>6.4885300047617802</v>
      </c>
      <c r="H64">
        <f>+bma!H64/data!$AJ64</f>
        <v>6.4885300047617802</v>
      </c>
      <c r="I64">
        <f>+bma!I64/data!$AJ64</f>
        <v>6.4885300047617802</v>
      </c>
      <c r="J64">
        <f>+bma!L64/data!$AJ64</f>
        <v>0</v>
      </c>
      <c r="K64">
        <f>+bma!M64/data!$AJ64</f>
        <v>6.4885300047617802</v>
      </c>
      <c r="L64">
        <f>+bma!J64/data!$AJ64</f>
        <v>0</v>
      </c>
      <c r="M64">
        <f>+bma!K64/data!$AJ64</f>
        <v>6.4885300047617802</v>
      </c>
      <c r="N64">
        <f>+bma!N64/data!$AJ64</f>
        <v>0</v>
      </c>
      <c r="O64">
        <f>+bma!O64/data!$AJ64</f>
        <v>0</v>
      </c>
      <c r="P64">
        <f>+bma!P64/data!$AJ64</f>
        <v>0</v>
      </c>
      <c r="Q64">
        <f>+bma!Q64/data!$AJ64</f>
        <v>49.325169220258587</v>
      </c>
      <c r="R64">
        <f>+bma!R64/data!$AJ64</f>
        <v>19.754478835687348</v>
      </c>
      <c r="S64">
        <f>+bma!S64/data!$AJ64</f>
        <v>0</v>
      </c>
    </row>
    <row r="65" spans="1:19" x14ac:dyDescent="0.25">
      <c r="A65">
        <f>+data!AH65</f>
        <v>-1.2937062937062938</v>
      </c>
      <c r="B65">
        <f>+data!AL65</f>
        <v>6.4555151594876827</v>
      </c>
      <c r="C65">
        <f>+bma!C65/data!$AJ65</f>
        <v>6.4555151594876827</v>
      </c>
      <c r="D65">
        <f>+bma!D65/data!$AJ65</f>
        <v>6.4555151594876827</v>
      </c>
      <c r="E65">
        <f>+bma!E65/data!$AJ65</f>
        <v>0</v>
      </c>
      <c r="F65">
        <f>+bma!F65/data!$AJ65</f>
        <v>0</v>
      </c>
      <c r="G65">
        <f>+bma!G65/data!$AJ65</f>
        <v>6.4555151594876827</v>
      </c>
      <c r="H65">
        <f>+bma!H65/data!$AJ65</f>
        <v>6.4555151594876827</v>
      </c>
      <c r="I65">
        <f>+bma!I65/data!$AJ65</f>
        <v>6.4555151594876827</v>
      </c>
      <c r="J65">
        <f>+bma!L65/data!$AJ65</f>
        <v>0</v>
      </c>
      <c r="K65">
        <f>+bma!M65/data!$AJ65</f>
        <v>6.4555151594876827</v>
      </c>
      <c r="L65">
        <f>+bma!J65/data!$AJ65</f>
        <v>0</v>
      </c>
      <c r="M65">
        <f>+bma!K65/data!$AJ65</f>
        <v>6.4555151594876827</v>
      </c>
      <c r="N65">
        <f>+bma!N65/data!$AJ65</f>
        <v>0</v>
      </c>
      <c r="O65">
        <f>+bma!O65/data!$AJ65</f>
        <v>0</v>
      </c>
      <c r="P65">
        <f>+bma!P65/data!$AJ65</f>
        <v>0</v>
      </c>
      <c r="Q65">
        <f>+bma!Q65/data!$AJ65</f>
        <v>49.074193601939733</v>
      </c>
      <c r="R65">
        <f>+bma!R65/data!$AJ65</f>
        <v>19.653964379908917</v>
      </c>
      <c r="S65">
        <f>+bma!S65/data!$AJ65</f>
        <v>0</v>
      </c>
    </row>
    <row r="66" spans="1:19" x14ac:dyDescent="0.25">
      <c r="A66">
        <f>+data!AH66</f>
        <v>0.21487603305785125</v>
      </c>
      <c r="B66">
        <f>+data!AL66</f>
        <v>6.3282044617397331</v>
      </c>
      <c r="C66">
        <f>+bma!C66/data!$AJ66</f>
        <v>6.3282044617397331</v>
      </c>
      <c r="D66">
        <f>+bma!D66/data!$AJ66</f>
        <v>6.3282044617397331</v>
      </c>
      <c r="E66">
        <f>+bma!E66/data!$AJ66</f>
        <v>0</v>
      </c>
      <c r="F66">
        <f>+bma!F66/data!$AJ66</f>
        <v>0</v>
      </c>
      <c r="G66">
        <f>+bma!G66/data!$AJ66</f>
        <v>6.3282044617397331</v>
      </c>
      <c r="H66">
        <f>+bma!H66/data!$AJ66</f>
        <v>6.3282044617397331</v>
      </c>
      <c r="I66">
        <f>+bma!I66/data!$AJ66</f>
        <v>6.3282044617397331</v>
      </c>
      <c r="J66">
        <f>+bma!L66/data!$AJ66</f>
        <v>0</v>
      </c>
      <c r="K66">
        <f>+bma!M66/data!$AJ66</f>
        <v>6.3282044617397331</v>
      </c>
      <c r="L66">
        <f>+bma!J66/data!$AJ66</f>
        <v>0</v>
      </c>
      <c r="M66">
        <f>+bma!K66/data!$AJ66</f>
        <v>6.3282044617397331</v>
      </c>
      <c r="N66">
        <f>+bma!N66/data!$AJ66</f>
        <v>0</v>
      </c>
      <c r="O66">
        <f>+bma!O66/data!$AJ66</f>
        <v>0</v>
      </c>
      <c r="P66">
        <f>+bma!P66/data!$AJ66</f>
        <v>0</v>
      </c>
      <c r="Q66">
        <f>+bma!Q66/data!$AJ66</f>
        <v>48.106390154108198</v>
      </c>
      <c r="R66">
        <f>+bma!R66/data!$AJ66</f>
        <v>19.266364032469237</v>
      </c>
      <c r="S66">
        <f>+bma!S66/data!$AJ66</f>
        <v>0</v>
      </c>
    </row>
    <row r="67" spans="1:19" x14ac:dyDescent="0.25">
      <c r="A67">
        <f>+data!AH67</f>
        <v>-0.61077844311377238</v>
      </c>
      <c r="B67">
        <f>+data!AL67</f>
        <v>6.5094585263731783</v>
      </c>
      <c r="C67">
        <f>+bma!C67/data!$AJ67</f>
        <v>0</v>
      </c>
      <c r="D67">
        <f>+bma!D67/data!$AJ67</f>
        <v>6.5094585263731783</v>
      </c>
      <c r="E67">
        <f>+bma!E67/data!$AJ67</f>
        <v>0</v>
      </c>
      <c r="F67">
        <f>+bma!F67/data!$AJ67</f>
        <v>0</v>
      </c>
      <c r="G67">
        <f>+bma!G67/data!$AJ67</f>
        <v>6.5094585263731783</v>
      </c>
      <c r="H67">
        <f>+bma!H67/data!$AJ67</f>
        <v>6.5094585263731783</v>
      </c>
      <c r="I67">
        <f>+bma!I67/data!$AJ67</f>
        <v>6.5094585263731783</v>
      </c>
      <c r="J67">
        <f>+bma!L67/data!$AJ67</f>
        <v>0</v>
      </c>
      <c r="K67">
        <f>+bma!M67/data!$AJ67</f>
        <v>6.5094585263731783</v>
      </c>
      <c r="L67">
        <f>+bma!J67/data!$AJ67</f>
        <v>0</v>
      </c>
      <c r="M67">
        <f>+bma!K67/data!$AJ67</f>
        <v>0</v>
      </c>
      <c r="N67">
        <f>+bma!N67/data!$AJ67</f>
        <v>0</v>
      </c>
      <c r="O67">
        <f>+bma!O67/data!$AJ67</f>
        <v>0</v>
      </c>
      <c r="P67">
        <f>+bma!P67/data!$AJ67</f>
        <v>0</v>
      </c>
      <c r="Q67">
        <f>+bma!Q67/data!$AJ67</f>
        <v>49.484265790553316</v>
      </c>
      <c r="R67">
        <f>+bma!R67/data!$AJ67</f>
        <v>19.818196201089247</v>
      </c>
      <c r="S67">
        <f>+bma!S67/data!$AJ67</f>
        <v>0</v>
      </c>
    </row>
    <row r="68" spans="1:19" x14ac:dyDescent="0.25">
      <c r="A68">
        <f>+data!AH68</f>
        <v>-1.1902834008097165</v>
      </c>
      <c r="B68">
        <f>+data!AL68</f>
        <v>6.5128161784471654</v>
      </c>
      <c r="C68">
        <f>+bma!C68/data!$AJ68</f>
        <v>0</v>
      </c>
      <c r="D68">
        <f>+bma!D68/data!$AJ68</f>
        <v>6.5128161784471654</v>
      </c>
      <c r="E68">
        <f>+bma!E68/data!$AJ68</f>
        <v>0</v>
      </c>
      <c r="F68">
        <f>+bma!F68/data!$AJ68</f>
        <v>0</v>
      </c>
      <c r="G68">
        <f>+bma!G68/data!$AJ68</f>
        <v>6.5128161784471654</v>
      </c>
      <c r="H68">
        <f>+bma!H68/data!$AJ68</f>
        <v>6.5128161784471654</v>
      </c>
      <c r="I68">
        <f>+bma!I68/data!$AJ68</f>
        <v>6.5128161784471654</v>
      </c>
      <c r="J68">
        <f>+bma!L68/data!$AJ68</f>
        <v>0</v>
      </c>
      <c r="K68">
        <f>+bma!M68/data!$AJ68</f>
        <v>6.5128161784471654</v>
      </c>
      <c r="L68">
        <f>+bma!J68/data!$AJ68</f>
        <v>0</v>
      </c>
      <c r="M68">
        <f>+bma!K68/data!$AJ68</f>
        <v>0</v>
      </c>
      <c r="N68">
        <f>+bma!N68/data!$AJ68</f>
        <v>0</v>
      </c>
      <c r="O68">
        <f>+bma!O68/data!$AJ68</f>
        <v>0</v>
      </c>
      <c r="P68">
        <f>+bma!P68/data!$AJ68</f>
        <v>0</v>
      </c>
      <c r="Q68">
        <f>+bma!Q68/data!$AJ68</f>
        <v>49.509790332569864</v>
      </c>
      <c r="R68">
        <f>+bma!R68/data!$AJ68</f>
        <v>19.828418650054498</v>
      </c>
      <c r="S68">
        <f>+bma!S68/data!$AJ68</f>
        <v>0</v>
      </c>
    </row>
    <row r="69" spans="1:19" x14ac:dyDescent="0.25">
      <c r="A69">
        <f>+data!AH69</f>
        <v>-1.5461538461538462</v>
      </c>
      <c r="B69">
        <f>+data!AL69</f>
        <v>6.5871535366937</v>
      </c>
      <c r="C69">
        <f>+bma!C69/data!$AJ69</f>
        <v>6.5871535366937</v>
      </c>
      <c r="D69">
        <f>+bma!D69/data!$AJ69</f>
        <v>6.5871535366937</v>
      </c>
      <c r="E69">
        <f>+bma!E69/data!$AJ69</f>
        <v>0</v>
      </c>
      <c r="F69">
        <f>+bma!F69/data!$AJ69</f>
        <v>0</v>
      </c>
      <c r="G69">
        <f>+bma!G69/data!$AJ69</f>
        <v>6.5871535366937</v>
      </c>
      <c r="H69">
        <f>+bma!H69/data!$AJ69</f>
        <v>6.5871535366937</v>
      </c>
      <c r="I69">
        <f>+bma!I69/data!$AJ69</f>
        <v>6.5871535366937</v>
      </c>
      <c r="J69">
        <f>+bma!L69/data!$AJ69</f>
        <v>0</v>
      </c>
      <c r="K69">
        <f>+bma!M69/data!$AJ69</f>
        <v>6.5871535366937</v>
      </c>
      <c r="L69">
        <f>+bma!J69/data!$AJ69</f>
        <v>0</v>
      </c>
      <c r="M69">
        <f>+bma!K69/data!$AJ69</f>
        <v>0</v>
      </c>
      <c r="N69">
        <f>+bma!N69/data!$AJ69</f>
        <v>0</v>
      </c>
      <c r="O69">
        <f>+bma!O69/data!$AJ69</f>
        <v>0</v>
      </c>
      <c r="P69">
        <f>+bma!P69/data!$AJ69</f>
        <v>0</v>
      </c>
      <c r="Q69">
        <f>+bma!Q69/data!$AJ69</f>
        <v>50.074895644898909</v>
      </c>
      <c r="R69">
        <f>+bma!R69/data!$AJ69</f>
        <v>20.054740446995314</v>
      </c>
      <c r="S69">
        <f>+bma!S69/data!$AJ69</f>
        <v>0</v>
      </c>
    </row>
    <row r="70" spans="1:19" x14ac:dyDescent="0.25">
      <c r="A70">
        <f>+data!AH70</f>
        <v>-1.9523809523809523</v>
      </c>
      <c r="B70">
        <f>+data!AL70</f>
        <v>6.6190476190476186</v>
      </c>
      <c r="C70">
        <f>+bma!C70/data!$AJ70</f>
        <v>6.6190476190476186</v>
      </c>
      <c r="D70">
        <f>+bma!D70/data!$AJ70</f>
        <v>6.6190476190476186</v>
      </c>
      <c r="E70">
        <f>+bma!E70/data!$AJ70</f>
        <v>0</v>
      </c>
      <c r="F70">
        <f>+bma!F70/data!$AJ70</f>
        <v>0</v>
      </c>
      <c r="G70">
        <f>+bma!G70/data!$AJ70</f>
        <v>6.6190476190476186</v>
      </c>
      <c r="H70">
        <f>+bma!H70/data!$AJ70</f>
        <v>6.6190476190476186</v>
      </c>
      <c r="I70">
        <f>+bma!I70/data!$AJ70</f>
        <v>6.6190476190476186</v>
      </c>
      <c r="J70">
        <f>+bma!L70/data!$AJ70</f>
        <v>0</v>
      </c>
      <c r="K70">
        <f>+bma!M70/data!$AJ70</f>
        <v>6.6190476190476186</v>
      </c>
      <c r="L70">
        <f>+bma!J70/data!$AJ70</f>
        <v>0</v>
      </c>
      <c r="M70">
        <f>+bma!K70/data!$AJ70</f>
        <v>0</v>
      </c>
      <c r="N70">
        <f>+bma!N70/data!$AJ70</f>
        <v>0</v>
      </c>
      <c r="O70">
        <f>+bma!O70/data!$AJ70</f>
        <v>0</v>
      </c>
      <c r="P70">
        <f>+bma!P70/data!$AJ70</f>
        <v>0</v>
      </c>
      <c r="Q70">
        <f>+bma!Q70/data!$AJ70</f>
        <v>50.317351333333335</v>
      </c>
      <c r="R70">
        <f>+bma!R70/data!$AJ70</f>
        <v>20.151842714285713</v>
      </c>
      <c r="S70">
        <f>+bma!S70/data!$AJ70</f>
        <v>0</v>
      </c>
    </row>
    <row r="71" spans="1:19" x14ac:dyDescent="0.25">
      <c r="A71">
        <f>+data!AH71</f>
        <v>-0.125</v>
      </c>
      <c r="B71">
        <f>+data!AL71</f>
        <v>6.3257904644399963</v>
      </c>
      <c r="C71">
        <f>+bma!C71/data!$AJ71</f>
        <v>6.3257904644399963</v>
      </c>
      <c r="D71">
        <f>+bma!D71/data!$AJ71</f>
        <v>6.3257904644399963</v>
      </c>
      <c r="E71">
        <f>+bma!E71/data!$AJ71</f>
        <v>0</v>
      </c>
      <c r="F71">
        <f>+bma!F71/data!$AJ71</f>
        <v>0</v>
      </c>
      <c r="G71">
        <f>+bma!G71/data!$AJ71</f>
        <v>6.3257904644399963</v>
      </c>
      <c r="H71">
        <f>+bma!H71/data!$AJ71</f>
        <v>6.3257904644399963</v>
      </c>
      <c r="I71">
        <f>+bma!I71/data!$AJ71</f>
        <v>6.3257904644399963</v>
      </c>
      <c r="J71">
        <f>+bma!L71/data!$AJ71</f>
        <v>0</v>
      </c>
      <c r="K71">
        <f>+bma!M71/data!$AJ71</f>
        <v>6.3257904644399963</v>
      </c>
      <c r="L71">
        <f>+bma!J71/data!$AJ71</f>
        <v>0</v>
      </c>
      <c r="M71">
        <f>+bma!K71/data!$AJ71</f>
        <v>0</v>
      </c>
      <c r="N71">
        <f>+bma!N71/data!$AJ71</f>
        <v>0</v>
      </c>
      <c r="O71">
        <f>+bma!O71/data!$AJ71</f>
        <v>0</v>
      </c>
      <c r="P71">
        <f>+bma!P71/data!$AJ71</f>
        <v>0</v>
      </c>
      <c r="Q71">
        <f>+bma!Q71/data!$AJ71</f>
        <v>48.088039183207336</v>
      </c>
      <c r="R71">
        <f>+bma!R71/data!$AJ71</f>
        <v>19.25901456216825</v>
      </c>
      <c r="S71">
        <f>+bma!S71/data!$AJ71</f>
        <v>0</v>
      </c>
    </row>
    <row r="72" spans="1:19" x14ac:dyDescent="0.25">
      <c r="A72">
        <f>+data!AH72</f>
        <v>-0.26174496644295303</v>
      </c>
      <c r="B72">
        <f>+data!AL72</f>
        <v>19.443983913474579</v>
      </c>
      <c r="C72">
        <f>+bma!C72/data!$AJ72</f>
        <v>0</v>
      </c>
      <c r="D72">
        <f>+bma!D72/data!$AJ72</f>
        <v>0</v>
      </c>
      <c r="E72">
        <f>+bma!E72/data!$AJ72</f>
        <v>19.443983913474579</v>
      </c>
      <c r="F72">
        <f>+bma!F72/data!$AJ72</f>
        <v>0</v>
      </c>
      <c r="G72">
        <f>+bma!G72/data!$AJ72</f>
        <v>19.443983913474579</v>
      </c>
      <c r="H72">
        <f>+bma!H72/data!$AJ72</f>
        <v>19.443983913474579</v>
      </c>
      <c r="I72">
        <f>+bma!I72/data!$AJ72</f>
        <v>19.443983913474579</v>
      </c>
      <c r="J72">
        <f>+bma!L72/data!$AJ72</f>
        <v>0</v>
      </c>
      <c r="K72">
        <f>+bma!M72/data!$AJ72</f>
        <v>19.443983913474579</v>
      </c>
      <c r="L72">
        <f>+bma!J72/data!$AJ72</f>
        <v>0</v>
      </c>
      <c r="M72">
        <f>+bma!K72/data!$AJ72</f>
        <v>0</v>
      </c>
      <c r="N72">
        <f>+bma!N72/data!$AJ72</f>
        <v>0</v>
      </c>
      <c r="O72">
        <f>+bma!O72/data!$AJ72</f>
        <v>0</v>
      </c>
      <c r="P72">
        <f>+bma!P72/data!$AJ72</f>
        <v>0</v>
      </c>
      <c r="Q72">
        <f>+bma!Q72/data!$AJ72</f>
        <v>147.81126019981022</v>
      </c>
      <c r="R72">
        <f>+bma!R72/data!$AJ72</f>
        <v>59.197656236203365</v>
      </c>
      <c r="S72">
        <f>+bma!S72/data!$AJ72</f>
        <v>0</v>
      </c>
    </row>
    <row r="73" spans="1:19" x14ac:dyDescent="0.25">
      <c r="A73">
        <f>+data!AH73</f>
        <v>0.38961038961038957</v>
      </c>
      <c r="B73">
        <f>+data!AL73</f>
        <v>19.446125481845794</v>
      </c>
      <c r="C73">
        <f>+bma!C73/data!$AJ73</f>
        <v>0</v>
      </c>
      <c r="D73">
        <f>+bma!D73/data!$AJ73</f>
        <v>0</v>
      </c>
      <c r="E73">
        <f>+bma!E73/data!$AJ73</f>
        <v>19.446125481845794</v>
      </c>
      <c r="F73">
        <f>+bma!F73/data!$AJ73</f>
        <v>0</v>
      </c>
      <c r="G73">
        <f>+bma!G73/data!$AJ73</f>
        <v>19.446125481845794</v>
      </c>
      <c r="H73">
        <f>+bma!H73/data!$AJ73</f>
        <v>19.446125481845794</v>
      </c>
      <c r="I73">
        <f>+bma!I73/data!$AJ73</f>
        <v>19.446125481845794</v>
      </c>
      <c r="J73">
        <f>+bma!L73/data!$AJ73</f>
        <v>0</v>
      </c>
      <c r="K73">
        <f>+bma!M73/data!$AJ73</f>
        <v>19.446125481845794</v>
      </c>
      <c r="L73">
        <f>+bma!J73/data!$AJ73</f>
        <v>0</v>
      </c>
      <c r="M73">
        <f>+bma!K73/data!$AJ73</f>
        <v>0</v>
      </c>
      <c r="N73">
        <f>+bma!N73/data!$AJ73</f>
        <v>0</v>
      </c>
      <c r="O73">
        <f>+bma!O73/data!$AJ73</f>
        <v>0</v>
      </c>
      <c r="P73">
        <f>+bma!P73/data!$AJ73</f>
        <v>0</v>
      </c>
      <c r="Q73">
        <f>+bma!Q73/data!$AJ73</f>
        <v>147.8275401926945</v>
      </c>
      <c r="R73">
        <f>+bma!R73/data!$AJ73</f>
        <v>59.204176290365602</v>
      </c>
      <c r="S73">
        <f>+bma!S73/data!$AJ73</f>
        <v>0</v>
      </c>
    </row>
    <row r="74" spans="1:19" x14ac:dyDescent="0.25">
      <c r="A74">
        <f>+data!AH74</f>
        <v>0.4151785714285714</v>
      </c>
      <c r="B74">
        <f>+data!AL74</f>
        <v>19.446654551520513</v>
      </c>
      <c r="C74">
        <f>+bma!C74/data!$AJ74</f>
        <v>0</v>
      </c>
      <c r="D74">
        <f>+bma!D74/data!$AJ74</f>
        <v>0</v>
      </c>
      <c r="E74">
        <f>+bma!E74/data!$AJ74</f>
        <v>19.446654551520513</v>
      </c>
      <c r="F74">
        <f>+bma!F74/data!$AJ74</f>
        <v>0</v>
      </c>
      <c r="G74">
        <f>+bma!G74/data!$AJ74</f>
        <v>19.446654551520513</v>
      </c>
      <c r="H74">
        <f>+bma!H74/data!$AJ74</f>
        <v>19.446654551520513</v>
      </c>
      <c r="I74">
        <f>+bma!I74/data!$AJ74</f>
        <v>19.446654551520513</v>
      </c>
      <c r="J74">
        <f>+bma!L74/data!$AJ74</f>
        <v>0</v>
      </c>
      <c r="K74">
        <f>+bma!M74/data!$AJ74</f>
        <v>19.446654551520513</v>
      </c>
      <c r="L74">
        <f>+bma!J74/data!$AJ74</f>
        <v>0</v>
      </c>
      <c r="M74">
        <f>+bma!K74/data!$AJ74</f>
        <v>0</v>
      </c>
      <c r="N74">
        <f>+bma!N74/data!$AJ74</f>
        <v>0</v>
      </c>
      <c r="O74">
        <f>+bma!O74/data!$AJ74</f>
        <v>0</v>
      </c>
      <c r="P74">
        <f>+bma!P74/data!$AJ74</f>
        <v>0</v>
      </c>
      <c r="Q74">
        <f>+bma!Q74/data!$AJ74</f>
        <v>147.8315621285129</v>
      </c>
      <c r="R74">
        <f>+bma!R74/data!$AJ74</f>
        <v>59.205787055158886</v>
      </c>
      <c r="S74">
        <f>+bma!S74/data!$AJ74</f>
        <v>0</v>
      </c>
    </row>
    <row r="75" spans="1:19" x14ac:dyDescent="0.25">
      <c r="A75">
        <f>+data!AH75</f>
        <v>-7.4000000000000048</v>
      </c>
      <c r="B75">
        <f>+data!AL75</f>
        <v>8.1092539730853215</v>
      </c>
      <c r="C75">
        <f>+bma!C75/data!$AJ75</f>
        <v>0</v>
      </c>
      <c r="D75">
        <f>+bma!D75/data!$AJ75</f>
        <v>8.1092539730853215</v>
      </c>
      <c r="E75">
        <f>+bma!E75/data!$AJ75</f>
        <v>0</v>
      </c>
      <c r="F75">
        <f>+bma!F75/data!$AJ75</f>
        <v>0</v>
      </c>
      <c r="G75">
        <f>+bma!G75/data!$AJ75</f>
        <v>8.1092539730853215</v>
      </c>
      <c r="H75">
        <f>+bma!H75/data!$AJ75</f>
        <v>0</v>
      </c>
      <c r="I75">
        <f>+bma!I75/data!$AJ75</f>
        <v>0</v>
      </c>
      <c r="J75">
        <f>+bma!L75/data!$AJ75</f>
        <v>0</v>
      </c>
      <c r="K75">
        <f>+bma!M75/data!$AJ75</f>
        <v>0</v>
      </c>
      <c r="L75">
        <f>+bma!J75/data!$AJ75</f>
        <v>0</v>
      </c>
      <c r="M75">
        <f>+bma!K75/data!$AJ75</f>
        <v>0</v>
      </c>
      <c r="N75">
        <f>+bma!N75/data!$AJ75</f>
        <v>0</v>
      </c>
      <c r="O75">
        <f>+bma!O75/data!$AJ75</f>
        <v>8.1092539730853215</v>
      </c>
      <c r="P75">
        <f>+bma!P75/data!$AJ75</f>
        <v>8.1092539730853215</v>
      </c>
      <c r="Q75">
        <f>+bma!Q75/data!$AJ75</f>
        <v>61.702267387443683</v>
      </c>
      <c r="R75">
        <f>+bma!R75/data!$AJ75</f>
        <v>0</v>
      </c>
      <c r="S75">
        <f>+bma!S75/data!$AJ75</f>
        <v>8.1092539730853215</v>
      </c>
    </row>
    <row r="76" spans="1:19" x14ac:dyDescent="0.25">
      <c r="A76">
        <f>+data!AH76</f>
        <v>-6.1200000000000259</v>
      </c>
      <c r="B76">
        <f>+data!AL76</f>
        <v>6.9609194794940921</v>
      </c>
      <c r="C76">
        <f>+bma!C76/data!$AJ76</f>
        <v>0</v>
      </c>
      <c r="D76">
        <f>+bma!D76/data!$AJ76</f>
        <v>6.9609194794940921</v>
      </c>
      <c r="E76">
        <f>+bma!E76/data!$AJ76</f>
        <v>0</v>
      </c>
      <c r="F76">
        <f>+bma!F76/data!$AJ76</f>
        <v>0</v>
      </c>
      <c r="G76">
        <f>+bma!G76/data!$AJ76</f>
        <v>6.9609194794940921</v>
      </c>
      <c r="H76">
        <f>+bma!H76/data!$AJ76</f>
        <v>0</v>
      </c>
      <c r="I76">
        <f>+bma!I76/data!$AJ76</f>
        <v>0</v>
      </c>
      <c r="J76">
        <f>+bma!L76/data!$AJ76</f>
        <v>0</v>
      </c>
      <c r="K76">
        <f>+bma!M76/data!$AJ76</f>
        <v>0</v>
      </c>
      <c r="L76">
        <f>+bma!J76/data!$AJ76</f>
        <v>0</v>
      </c>
      <c r="M76">
        <f>+bma!K76/data!$AJ76</f>
        <v>0</v>
      </c>
      <c r="N76">
        <f>+bma!N76/data!$AJ76</f>
        <v>0</v>
      </c>
      <c r="O76">
        <f>+bma!O76/data!$AJ76</f>
        <v>6.9609194794940921</v>
      </c>
      <c r="P76">
        <f>+bma!P76/data!$AJ76</f>
        <v>6.9609194794940921</v>
      </c>
      <c r="Q76">
        <f>+bma!Q76/data!$AJ76</f>
        <v>52.964738360857694</v>
      </c>
      <c r="R76">
        <f>+bma!R76/data!$AJ76</f>
        <v>0</v>
      </c>
      <c r="S76">
        <f>+bma!S76/data!$AJ76</f>
        <v>6.9609194794940921</v>
      </c>
    </row>
    <row r="77" spans="1:19" x14ac:dyDescent="0.25">
      <c r="A77">
        <f>+data!AH77</f>
        <v>-5.4500000000000242</v>
      </c>
      <c r="B77">
        <f>+data!AL77</f>
        <v>6.3798510954410421</v>
      </c>
      <c r="C77">
        <f>+bma!C77/data!$AJ77</f>
        <v>0</v>
      </c>
      <c r="D77">
        <f>+bma!D77/data!$AJ77</f>
        <v>6.3798510954410421</v>
      </c>
      <c r="E77">
        <f>+bma!E77/data!$AJ77</f>
        <v>0</v>
      </c>
      <c r="F77">
        <f>+bma!F77/data!$AJ77</f>
        <v>0</v>
      </c>
      <c r="G77">
        <f>+bma!G77/data!$AJ77</f>
        <v>6.3798510954410421</v>
      </c>
      <c r="H77">
        <f>+bma!H77/data!$AJ77</f>
        <v>0</v>
      </c>
      <c r="I77">
        <f>+bma!I77/data!$AJ77</f>
        <v>0</v>
      </c>
      <c r="J77">
        <f>+bma!L77/data!$AJ77</f>
        <v>0</v>
      </c>
      <c r="K77">
        <f>+bma!M77/data!$AJ77</f>
        <v>0</v>
      </c>
      <c r="L77">
        <f>+bma!J77/data!$AJ77</f>
        <v>0</v>
      </c>
      <c r="M77">
        <f>+bma!K77/data!$AJ77</f>
        <v>0</v>
      </c>
      <c r="N77">
        <f>+bma!N77/data!$AJ77</f>
        <v>0</v>
      </c>
      <c r="O77">
        <f>+bma!O77/data!$AJ77</f>
        <v>6.3798510954410421</v>
      </c>
      <c r="P77">
        <f>+bma!P77/data!$AJ77</f>
        <v>6.3798510954410421</v>
      </c>
      <c r="Q77">
        <f>+bma!Q77/data!$AJ77</f>
        <v>48.543463984419581</v>
      </c>
      <c r="R77">
        <f>+bma!R77/data!$AJ77</f>
        <v>0</v>
      </c>
      <c r="S77">
        <f>+bma!S77/data!$AJ77</f>
        <v>6.3798510954410421</v>
      </c>
    </row>
    <row r="78" spans="1:19" x14ac:dyDescent="0.25">
      <c r="A78">
        <f>+data!AH78</f>
        <v>-6.6300000000000221</v>
      </c>
      <c r="B78">
        <f>+data!AL78</f>
        <v>7.4132921161923937</v>
      </c>
      <c r="C78">
        <f>+bma!C78/data!$AJ78</f>
        <v>0</v>
      </c>
      <c r="D78">
        <f>+bma!D78/data!$AJ78</f>
        <v>7.4132921161923937</v>
      </c>
      <c r="E78">
        <f>+bma!E78/data!$AJ78</f>
        <v>0</v>
      </c>
      <c r="F78">
        <f>+bma!F78/data!$AJ78</f>
        <v>0</v>
      </c>
      <c r="G78">
        <f>+bma!G78/data!$AJ78</f>
        <v>7.4132921161923937</v>
      </c>
      <c r="H78">
        <f>+bma!H78/data!$AJ78</f>
        <v>0</v>
      </c>
      <c r="I78">
        <f>+bma!I78/data!$AJ78</f>
        <v>0</v>
      </c>
      <c r="J78">
        <f>+bma!L78/data!$AJ78</f>
        <v>0</v>
      </c>
      <c r="K78">
        <f>+bma!M78/data!$AJ78</f>
        <v>0</v>
      </c>
      <c r="L78">
        <f>+bma!J78/data!$AJ78</f>
        <v>0</v>
      </c>
      <c r="M78">
        <f>+bma!K78/data!$AJ78</f>
        <v>0</v>
      </c>
      <c r="N78">
        <f>+bma!N78/data!$AJ78</f>
        <v>0</v>
      </c>
      <c r="O78">
        <f>+bma!O78/data!$AJ78</f>
        <v>7.4132921161923937</v>
      </c>
      <c r="P78">
        <f>+bma!P78/data!$AJ78</f>
        <v>7.4132921161923937</v>
      </c>
      <c r="Q78">
        <f>+bma!Q78/data!$AJ78</f>
        <v>56.406783397424931</v>
      </c>
      <c r="R78">
        <f>+bma!R78/data!$AJ78</f>
        <v>0</v>
      </c>
      <c r="S78">
        <f>+bma!S78/data!$AJ78</f>
        <v>7.4132921161923937</v>
      </c>
    </row>
    <row r="79" spans="1:19" x14ac:dyDescent="0.25">
      <c r="A79">
        <f>+data!AH79</f>
        <v>-4.212765957446809</v>
      </c>
      <c r="B79">
        <f>+data!AL79</f>
        <v>55.14297232660045</v>
      </c>
      <c r="C79">
        <f>+bma!C79/data!$AJ79</f>
        <v>0</v>
      </c>
      <c r="D79">
        <f>+bma!D79/data!$AJ79</f>
        <v>55.14297232660045</v>
      </c>
      <c r="E79">
        <f>+bma!E79/data!$AJ79</f>
        <v>0</v>
      </c>
      <c r="F79">
        <f>+bma!F79/data!$AJ79</f>
        <v>0</v>
      </c>
      <c r="G79">
        <f>+bma!G79/data!$AJ79</f>
        <v>0</v>
      </c>
      <c r="H79">
        <f>+bma!H79/data!$AJ79</f>
        <v>0</v>
      </c>
      <c r="I79">
        <f>+bma!I79/data!$AJ79</f>
        <v>0</v>
      </c>
      <c r="J79">
        <f>+bma!L79/data!$AJ79</f>
        <v>0</v>
      </c>
      <c r="K79">
        <f>+bma!M79/data!$AJ79</f>
        <v>0</v>
      </c>
      <c r="L79">
        <f>+bma!J79/data!$AJ79</f>
        <v>0</v>
      </c>
      <c r="M79">
        <f>+bma!K79/data!$AJ79</f>
        <v>0</v>
      </c>
      <c r="N79">
        <f>+bma!N79/data!$AJ79</f>
        <v>55.14297232660045</v>
      </c>
      <c r="O79">
        <f>+bma!O79/data!$AJ79</f>
        <v>0</v>
      </c>
      <c r="P79">
        <f>+bma!P79/data!$AJ79</f>
        <v>55.14297232660045</v>
      </c>
      <c r="Q79">
        <f>+bma!Q79/data!$AJ79</f>
        <v>419.16390012936535</v>
      </c>
      <c r="R79">
        <f>+bma!R79/data!$AJ79</f>
        <v>60.58073111367117</v>
      </c>
      <c r="S79">
        <f>+bma!S79/data!$AJ79</f>
        <v>0</v>
      </c>
    </row>
    <row r="80" spans="1:19" x14ac:dyDescent="0.25">
      <c r="A80">
        <f>+data!AH80</f>
        <v>-2.7707736389684814</v>
      </c>
      <c r="B80">
        <f>+data!AL80</f>
        <v>48.328844250182541</v>
      </c>
      <c r="C80">
        <f>+bma!C80/data!$AJ80</f>
        <v>0</v>
      </c>
      <c r="D80">
        <f>+bma!D80/data!$AJ80</f>
        <v>48.328844250182541</v>
      </c>
      <c r="E80">
        <f>+bma!E80/data!$AJ80</f>
        <v>0</v>
      </c>
      <c r="F80">
        <f>+bma!F80/data!$AJ80</f>
        <v>0</v>
      </c>
      <c r="G80">
        <f>+bma!G80/data!$AJ80</f>
        <v>0</v>
      </c>
      <c r="H80">
        <f>+bma!H80/data!$AJ80</f>
        <v>0</v>
      </c>
      <c r="I80">
        <f>+bma!I80/data!$AJ80</f>
        <v>0</v>
      </c>
      <c r="J80">
        <f>+bma!L80/data!$AJ80</f>
        <v>0</v>
      </c>
      <c r="K80">
        <f>+bma!M80/data!$AJ80</f>
        <v>0</v>
      </c>
      <c r="L80">
        <f>+bma!J80/data!$AJ80</f>
        <v>0</v>
      </c>
      <c r="M80">
        <f>+bma!K80/data!$AJ80</f>
        <v>0</v>
      </c>
      <c r="N80">
        <f>+bma!N80/data!$AJ80</f>
        <v>0</v>
      </c>
      <c r="O80">
        <f>+bma!O80/data!$AJ80</f>
        <v>48.328844250182541</v>
      </c>
      <c r="P80">
        <f>+bma!P80/data!$AJ80</f>
        <v>48.328844250182541</v>
      </c>
      <c r="Q80">
        <f>+bma!Q80/data!$AJ80</f>
        <v>367.3669733410261</v>
      </c>
      <c r="R80">
        <f>+bma!R80/data!$AJ80</f>
        <v>53.094648239381542</v>
      </c>
      <c r="S80">
        <f>+bma!S80/data!$AJ80</f>
        <v>0</v>
      </c>
    </row>
    <row r="81" spans="1:19" x14ac:dyDescent="0.25">
      <c r="A81">
        <f>+data!AH81</f>
        <v>0.79083094555873923</v>
      </c>
      <c r="B81">
        <f>+data!AL81</f>
        <v>16.632059811834893</v>
      </c>
      <c r="C81">
        <f>+bma!C81/data!$AJ81</f>
        <v>0</v>
      </c>
      <c r="D81">
        <f>+bma!D81/data!$AJ81</f>
        <v>16.632059811834893</v>
      </c>
      <c r="E81">
        <f>+bma!E81/data!$AJ81</f>
        <v>0</v>
      </c>
      <c r="F81">
        <f>+bma!F81/data!$AJ81</f>
        <v>0</v>
      </c>
      <c r="G81">
        <f>+bma!G81/data!$AJ81</f>
        <v>0</v>
      </c>
      <c r="H81">
        <f>+bma!H81/data!$AJ81</f>
        <v>0</v>
      </c>
      <c r="I81">
        <f>+bma!I81/data!$AJ81</f>
        <v>0</v>
      </c>
      <c r="J81">
        <f>+bma!L81/data!$AJ81</f>
        <v>0</v>
      </c>
      <c r="K81">
        <f>+bma!M81/data!$AJ81</f>
        <v>0</v>
      </c>
      <c r="L81">
        <f>+bma!J81/data!$AJ81</f>
        <v>0</v>
      </c>
      <c r="M81">
        <f>+bma!K81/data!$AJ81</f>
        <v>0</v>
      </c>
      <c r="N81">
        <f>+bma!N81/data!$AJ81</f>
        <v>16.632059811834893</v>
      </c>
      <c r="O81">
        <f>+bma!O81/data!$AJ81</f>
        <v>0</v>
      </c>
      <c r="P81">
        <f>+bma!P81/data!$AJ81</f>
        <v>16.632059811834893</v>
      </c>
      <c r="Q81">
        <f>+bma!Q81/data!$AJ81</f>
        <v>126.42697271780139</v>
      </c>
      <c r="R81">
        <f>+bma!R81/data!$AJ81</f>
        <v>18.272180493999556</v>
      </c>
      <c r="S81">
        <f>+bma!S81/data!$AJ81</f>
        <v>0</v>
      </c>
    </row>
    <row r="82" spans="1:19" x14ac:dyDescent="0.25">
      <c r="A82">
        <f>+data!AH82</f>
        <v>-2.25</v>
      </c>
      <c r="B82">
        <f>+data!AL82</f>
        <v>35.143456005350416</v>
      </c>
      <c r="C82">
        <f>+bma!C82/data!$AJ82</f>
        <v>0</v>
      </c>
      <c r="D82">
        <f>+bma!D82/data!$AJ82</f>
        <v>35.143456005350416</v>
      </c>
      <c r="E82">
        <f>+bma!E82/data!$AJ82</f>
        <v>0</v>
      </c>
      <c r="F82">
        <f>+bma!F82/data!$AJ82</f>
        <v>0</v>
      </c>
      <c r="G82">
        <f>+bma!G82/data!$AJ82</f>
        <v>0</v>
      </c>
      <c r="H82">
        <f>+bma!H82/data!$AJ82</f>
        <v>0</v>
      </c>
      <c r="I82">
        <f>+bma!I82/data!$AJ82</f>
        <v>0</v>
      </c>
      <c r="J82">
        <f>+bma!L82/data!$AJ82</f>
        <v>0</v>
      </c>
      <c r="K82">
        <f>+bma!M82/data!$AJ82</f>
        <v>0</v>
      </c>
      <c r="L82">
        <f>+bma!J82/data!$AJ82</f>
        <v>0</v>
      </c>
      <c r="M82">
        <f>+bma!K82/data!$AJ82</f>
        <v>0</v>
      </c>
      <c r="N82">
        <f>+bma!N82/data!$AJ82</f>
        <v>35.143456005350416</v>
      </c>
      <c r="O82">
        <f>+bma!O82/data!$AJ82</f>
        <v>0</v>
      </c>
      <c r="P82">
        <f>+bma!P82/data!$AJ82</f>
        <v>35.143456005350416</v>
      </c>
      <c r="Q82">
        <f>+bma!Q82/data!$AJ82</f>
        <v>267.13953676598265</v>
      </c>
      <c r="R82">
        <f>+bma!R82/data!$AJ82</f>
        <v>38.609022488950025</v>
      </c>
      <c r="S82">
        <f>+bma!S82/data!$AJ82</f>
        <v>0</v>
      </c>
    </row>
    <row r="83" spans="1:19" x14ac:dyDescent="0.25">
      <c r="A83">
        <f>+data!AH83</f>
        <v>-2.8099173553719012</v>
      </c>
      <c r="B83">
        <f>+data!AL83</f>
        <v>38.792984359855843</v>
      </c>
      <c r="C83">
        <f>+bma!C83/data!$AJ83</f>
        <v>0</v>
      </c>
      <c r="D83">
        <f>+bma!D83/data!$AJ83</f>
        <v>38.792984359855843</v>
      </c>
      <c r="E83">
        <f>+bma!E83/data!$AJ83</f>
        <v>0</v>
      </c>
      <c r="F83">
        <f>+bma!F83/data!$AJ83</f>
        <v>0</v>
      </c>
      <c r="G83">
        <f>+bma!G83/data!$AJ83</f>
        <v>0</v>
      </c>
      <c r="H83">
        <f>+bma!H83/data!$AJ83</f>
        <v>0</v>
      </c>
      <c r="I83">
        <f>+bma!I83/data!$AJ83</f>
        <v>0</v>
      </c>
      <c r="J83">
        <f>+bma!L83/data!$AJ83</f>
        <v>0</v>
      </c>
      <c r="K83">
        <f>+bma!M83/data!$AJ83</f>
        <v>0</v>
      </c>
      <c r="L83">
        <f>+bma!J83/data!$AJ83</f>
        <v>0</v>
      </c>
      <c r="M83">
        <f>+bma!K83/data!$AJ83</f>
        <v>0</v>
      </c>
      <c r="N83">
        <f>+bma!N83/data!$AJ83</f>
        <v>38.792984359855843</v>
      </c>
      <c r="O83">
        <f>+bma!O83/data!$AJ83</f>
        <v>0</v>
      </c>
      <c r="P83">
        <f>+bma!P83/data!$AJ83</f>
        <v>38.792984359855843</v>
      </c>
      <c r="Q83">
        <f>+bma!Q83/data!$AJ83</f>
        <v>294.88106889897693</v>
      </c>
      <c r="R83">
        <f>+bma!R83/data!$AJ83</f>
        <v>42.618438133549944</v>
      </c>
      <c r="S83">
        <f>+bma!S83/data!$AJ83</f>
        <v>0</v>
      </c>
    </row>
    <row r="84" spans="1:19" x14ac:dyDescent="0.25">
      <c r="A84">
        <f>+data!AH84</f>
        <v>-0.38451612903225807</v>
      </c>
      <c r="B84">
        <f>+data!AL84</f>
        <v>24.721404746767242</v>
      </c>
      <c r="C84">
        <f>+bma!C84/data!$AJ84</f>
        <v>0</v>
      </c>
      <c r="D84">
        <f>+bma!D84/data!$AJ84</f>
        <v>24.721404746767242</v>
      </c>
      <c r="E84">
        <f>+bma!E84/data!$AJ84</f>
        <v>0</v>
      </c>
      <c r="F84">
        <f>+bma!F84/data!$AJ84</f>
        <v>0</v>
      </c>
      <c r="G84">
        <f>+bma!G84/data!$AJ84</f>
        <v>0</v>
      </c>
      <c r="H84">
        <f>+bma!H84/data!$AJ84</f>
        <v>0</v>
      </c>
      <c r="I84">
        <f>+bma!I84/data!$AJ84</f>
        <v>0</v>
      </c>
      <c r="J84">
        <f>+bma!L84/data!$AJ84</f>
        <v>0</v>
      </c>
      <c r="K84">
        <f>+bma!M84/data!$AJ84</f>
        <v>0</v>
      </c>
      <c r="L84">
        <f>+bma!J84/data!$AJ84</f>
        <v>0</v>
      </c>
      <c r="M84">
        <f>+bma!K84/data!$AJ84</f>
        <v>0</v>
      </c>
      <c r="N84">
        <f>+bma!N84/data!$AJ84</f>
        <v>0</v>
      </c>
      <c r="O84">
        <f>+bma!O84/data!$AJ84</f>
        <v>24.721404746767242</v>
      </c>
      <c r="P84">
        <f>+bma!P84/data!$AJ84</f>
        <v>24.721404746767242</v>
      </c>
      <c r="Q84">
        <f>+bma!Q84/data!$AJ84</f>
        <v>187.91733548488602</v>
      </c>
      <c r="R84">
        <f>+bma!R84/data!$AJ84</f>
        <v>27.15923191165545</v>
      </c>
      <c r="S84">
        <f>+bma!S84/data!$AJ84</f>
        <v>0</v>
      </c>
    </row>
    <row r="85" spans="1:19" x14ac:dyDescent="0.25">
      <c r="A85">
        <f>+data!AH85</f>
        <v>-0.10698689956331878</v>
      </c>
      <c r="B85">
        <f>+data!AL85</f>
        <v>34.19080938200613</v>
      </c>
      <c r="C85">
        <f>+bma!C85/data!$AJ85</f>
        <v>0</v>
      </c>
      <c r="D85">
        <f>+bma!D85/data!$AJ85</f>
        <v>34.19080938200613</v>
      </c>
      <c r="E85">
        <f>+bma!E85/data!$AJ85</f>
        <v>0</v>
      </c>
      <c r="F85">
        <f>+bma!F85/data!$AJ85</f>
        <v>0</v>
      </c>
      <c r="G85">
        <f>+bma!G85/data!$AJ85</f>
        <v>0</v>
      </c>
      <c r="H85">
        <f>+bma!H85/data!$AJ85</f>
        <v>0</v>
      </c>
      <c r="I85">
        <f>+bma!I85/data!$AJ85</f>
        <v>0</v>
      </c>
      <c r="J85">
        <f>+bma!L85/data!$AJ85</f>
        <v>0</v>
      </c>
      <c r="K85">
        <f>+bma!M85/data!$AJ85</f>
        <v>0</v>
      </c>
      <c r="L85">
        <f>+bma!J85/data!$AJ85</f>
        <v>0</v>
      </c>
      <c r="M85">
        <f>+bma!K85/data!$AJ85</f>
        <v>0</v>
      </c>
      <c r="N85">
        <f>+bma!N85/data!$AJ85</f>
        <v>0</v>
      </c>
      <c r="O85">
        <f>+bma!O85/data!$AJ85</f>
        <v>34.19080938200613</v>
      </c>
      <c r="P85">
        <f>+bma!P85/data!$AJ85</f>
        <v>34.19080938200613</v>
      </c>
      <c r="Q85">
        <f>+bma!Q85/data!$AJ85</f>
        <v>259.89808681800014</v>
      </c>
      <c r="R85">
        <f>+bma!R85/data!$AJ85</f>
        <v>37.562433476784513</v>
      </c>
      <c r="S85">
        <f>+bma!S85/data!$AJ85</f>
        <v>0</v>
      </c>
    </row>
    <row r="86" spans="1:19" x14ac:dyDescent="0.25">
      <c r="A86">
        <f>+data!AH86</f>
        <v>-2.8183254344391786</v>
      </c>
      <c r="B86">
        <f>+data!AL86</f>
        <v>23.150441858729323</v>
      </c>
      <c r="C86">
        <f>+bma!C86/data!$AJ86</f>
        <v>0</v>
      </c>
      <c r="D86">
        <f>+bma!D86/data!$AJ86</f>
        <v>23.150441858729323</v>
      </c>
      <c r="E86">
        <f>+bma!E86/data!$AJ86</f>
        <v>0</v>
      </c>
      <c r="F86">
        <f>+bma!F86/data!$AJ86</f>
        <v>0</v>
      </c>
      <c r="G86">
        <f>+bma!G86/data!$AJ86</f>
        <v>0</v>
      </c>
      <c r="H86">
        <f>+bma!H86/data!$AJ86</f>
        <v>0</v>
      </c>
      <c r="I86">
        <f>+bma!I86/data!$AJ86</f>
        <v>0</v>
      </c>
      <c r="J86">
        <f>+bma!L86/data!$AJ86</f>
        <v>0</v>
      </c>
      <c r="K86">
        <f>+bma!M86/data!$AJ86</f>
        <v>0</v>
      </c>
      <c r="L86">
        <f>+bma!J86/data!$AJ86</f>
        <v>0</v>
      </c>
      <c r="M86">
        <f>+bma!K86/data!$AJ86</f>
        <v>0</v>
      </c>
      <c r="N86">
        <f>+bma!N86/data!$AJ86</f>
        <v>0</v>
      </c>
      <c r="O86">
        <f>+bma!O86/data!$AJ86</f>
        <v>23.150441858729323</v>
      </c>
      <c r="P86">
        <f>+bma!P86/data!$AJ86</f>
        <v>23.150441858729323</v>
      </c>
      <c r="Q86">
        <f>+bma!Q86/data!$AJ86</f>
        <v>175.9758150458288</v>
      </c>
      <c r="R86">
        <f>+bma!R86/data!$AJ86</f>
        <v>25.433353231302338</v>
      </c>
      <c r="S86">
        <f>+bma!S86/data!$AJ86</f>
        <v>0</v>
      </c>
    </row>
    <row r="87" spans="1:19" x14ac:dyDescent="0.25">
      <c r="A87">
        <f>+data!AH87</f>
        <v>-3.641025641025641</v>
      </c>
      <c r="B87">
        <f>+data!AL87</f>
        <v>55.165723667134159</v>
      </c>
      <c r="C87">
        <f>+bma!C87/data!$AJ87</f>
        <v>0</v>
      </c>
      <c r="D87">
        <f>+bma!D87/data!$AJ87</f>
        <v>0</v>
      </c>
      <c r="E87">
        <f>+bma!E87/data!$AJ87</f>
        <v>0</v>
      </c>
      <c r="F87">
        <f>+bma!F87/data!$AJ87</f>
        <v>0</v>
      </c>
      <c r="G87">
        <f>+bma!G87/data!$AJ87</f>
        <v>0</v>
      </c>
      <c r="H87">
        <f>+bma!H87/data!$AJ87</f>
        <v>0</v>
      </c>
      <c r="I87">
        <f>+bma!I87/data!$AJ87</f>
        <v>0</v>
      </c>
      <c r="J87">
        <f>+bma!L87/data!$AJ87</f>
        <v>0</v>
      </c>
      <c r="K87">
        <f>+bma!M87/data!$AJ87</f>
        <v>0</v>
      </c>
      <c r="L87">
        <f>+bma!J87/data!$AJ87</f>
        <v>0</v>
      </c>
      <c r="M87">
        <f>+bma!K87/data!$AJ87</f>
        <v>0</v>
      </c>
      <c r="N87">
        <f>+bma!N87/data!$AJ87</f>
        <v>55.165723667134159</v>
      </c>
      <c r="O87">
        <f>+bma!O87/data!$AJ87</f>
        <v>0</v>
      </c>
      <c r="P87">
        <f>+bma!P87/data!$AJ87</f>
        <v>55.165723667134159</v>
      </c>
      <c r="Q87">
        <f>+bma!Q87/data!$AJ87</f>
        <v>419.33684221480098</v>
      </c>
      <c r="R87">
        <f>+bma!R87/data!$AJ87</f>
        <v>60.605726009397593</v>
      </c>
      <c r="S87">
        <f>+bma!S87/data!$AJ87</f>
        <v>0</v>
      </c>
    </row>
    <row r="88" spans="1:19" x14ac:dyDescent="0.25">
      <c r="A88">
        <f>+data!AH88</f>
        <v>-1.8423913043478262</v>
      </c>
      <c r="B88">
        <f>+data!AL88</f>
        <v>48.356947853626338</v>
      </c>
      <c r="C88">
        <f>+bma!C88/data!$AJ88</f>
        <v>0</v>
      </c>
      <c r="D88">
        <f>+bma!D88/data!$AJ88</f>
        <v>0</v>
      </c>
      <c r="E88">
        <f>+bma!E88/data!$AJ88</f>
        <v>0</v>
      </c>
      <c r="F88">
        <f>+bma!F88/data!$AJ88</f>
        <v>0</v>
      </c>
      <c r="G88">
        <f>+bma!G88/data!$AJ88</f>
        <v>0</v>
      </c>
      <c r="H88">
        <f>+bma!H88/data!$AJ88</f>
        <v>0</v>
      </c>
      <c r="I88">
        <f>+bma!I88/data!$AJ88</f>
        <v>0</v>
      </c>
      <c r="J88">
        <f>+bma!L88/data!$AJ88</f>
        <v>0</v>
      </c>
      <c r="K88">
        <f>+bma!M88/data!$AJ88</f>
        <v>0</v>
      </c>
      <c r="L88">
        <f>+bma!J88/data!$AJ88</f>
        <v>0</v>
      </c>
      <c r="M88">
        <f>+bma!K88/data!$AJ88</f>
        <v>0</v>
      </c>
      <c r="N88">
        <f>+bma!N88/data!$AJ88</f>
        <v>0</v>
      </c>
      <c r="O88">
        <f>+bma!O88/data!$AJ88</f>
        <v>48.356947853626338</v>
      </c>
      <c r="P88">
        <f>+bma!P88/data!$AJ88</f>
        <v>48.356947853626338</v>
      </c>
      <c r="Q88">
        <f>+bma!Q88/data!$AJ88</f>
        <v>367.58060012845095</v>
      </c>
      <c r="R88">
        <f>+bma!R88/data!$AJ88</f>
        <v>53.125523195368132</v>
      </c>
      <c r="S88">
        <f>+bma!S88/data!$AJ88</f>
        <v>0</v>
      </c>
    </row>
    <row r="89" spans="1:19" x14ac:dyDescent="0.25">
      <c r="A89">
        <f>+data!AH89</f>
        <v>-1.7626728110599077</v>
      </c>
      <c r="B89">
        <f>+data!AL89</f>
        <v>16.855474346302149</v>
      </c>
      <c r="C89">
        <f>+bma!C89/data!$AJ89</f>
        <v>0</v>
      </c>
      <c r="D89">
        <f>+bma!D89/data!$AJ89</f>
        <v>0</v>
      </c>
      <c r="E89">
        <f>+bma!E89/data!$AJ89</f>
        <v>0</v>
      </c>
      <c r="F89">
        <f>+bma!F89/data!$AJ89</f>
        <v>0</v>
      </c>
      <c r="G89">
        <f>+bma!G89/data!$AJ89</f>
        <v>0</v>
      </c>
      <c r="H89">
        <f>+bma!H89/data!$AJ89</f>
        <v>0</v>
      </c>
      <c r="I89">
        <f>+bma!I89/data!$AJ89</f>
        <v>0</v>
      </c>
      <c r="J89">
        <f>+bma!L89/data!$AJ89</f>
        <v>0</v>
      </c>
      <c r="K89">
        <f>+bma!M89/data!$AJ89</f>
        <v>0</v>
      </c>
      <c r="L89">
        <f>+bma!J89/data!$AJ89</f>
        <v>0</v>
      </c>
      <c r="M89">
        <f>+bma!K89/data!$AJ89</f>
        <v>0</v>
      </c>
      <c r="N89">
        <f>+bma!N89/data!$AJ89</f>
        <v>16.855474346302149</v>
      </c>
      <c r="O89">
        <f>+bma!O89/data!$AJ89</f>
        <v>0</v>
      </c>
      <c r="P89">
        <f>+bma!P89/data!$AJ89</f>
        <v>16.855474346302149</v>
      </c>
      <c r="Q89">
        <f>+bma!Q89/data!$AJ89</f>
        <v>128.12523640692984</v>
      </c>
      <c r="R89">
        <f>+bma!R89/data!$AJ89</f>
        <v>18.517626382539696</v>
      </c>
      <c r="S89">
        <f>+bma!S89/data!$AJ89</f>
        <v>0</v>
      </c>
    </row>
    <row r="90" spans="1:19" x14ac:dyDescent="0.25">
      <c r="A90">
        <f>+data!AH90</f>
        <v>-0.76146788990825687</v>
      </c>
      <c r="B90">
        <f>+data!AL90</f>
        <v>35.150815543133014</v>
      </c>
      <c r="C90">
        <f>+bma!C90/data!$AJ90</f>
        <v>0</v>
      </c>
      <c r="D90">
        <f>+bma!D90/data!$AJ90</f>
        <v>0</v>
      </c>
      <c r="E90">
        <f>+bma!E90/data!$AJ90</f>
        <v>0</v>
      </c>
      <c r="F90">
        <f>+bma!F90/data!$AJ90</f>
        <v>0</v>
      </c>
      <c r="G90">
        <f>+bma!G90/data!$AJ90</f>
        <v>0</v>
      </c>
      <c r="H90">
        <f>+bma!H90/data!$AJ90</f>
        <v>0</v>
      </c>
      <c r="I90">
        <f>+bma!I90/data!$AJ90</f>
        <v>0</v>
      </c>
      <c r="J90">
        <f>+bma!L90/data!$AJ90</f>
        <v>0</v>
      </c>
      <c r="K90">
        <f>+bma!M90/data!$AJ90</f>
        <v>0</v>
      </c>
      <c r="L90">
        <f>+bma!J90/data!$AJ90</f>
        <v>0</v>
      </c>
      <c r="M90">
        <f>+bma!K90/data!$AJ90</f>
        <v>0</v>
      </c>
      <c r="N90">
        <f>+bma!N90/data!$AJ90</f>
        <v>35.150815543133014</v>
      </c>
      <c r="O90">
        <f>+bma!O90/data!$AJ90</f>
        <v>0</v>
      </c>
      <c r="P90">
        <f>+bma!P90/data!$AJ90</f>
        <v>35.150815543133014</v>
      </c>
      <c r="Q90">
        <f>+bma!Q90/data!$AJ90</f>
        <v>267.19547957120238</v>
      </c>
      <c r="R90">
        <f>+bma!R90/data!$AJ90</f>
        <v>38.61710776547244</v>
      </c>
      <c r="S90">
        <f>+bma!S90/data!$AJ90</f>
        <v>0</v>
      </c>
    </row>
    <row r="91" spans="1:19" x14ac:dyDescent="0.25">
      <c r="A91">
        <f>+data!AH91</f>
        <v>-2.6227544910179641</v>
      </c>
      <c r="B91">
        <f>+data!AL91</f>
        <v>38.844289684844988</v>
      </c>
      <c r="C91">
        <f>+bma!C91/data!$AJ91</f>
        <v>0</v>
      </c>
      <c r="D91">
        <f>+bma!D91/data!$AJ91</f>
        <v>0</v>
      </c>
      <c r="E91">
        <f>+bma!E91/data!$AJ91</f>
        <v>0</v>
      </c>
      <c r="F91">
        <f>+bma!F91/data!$AJ91</f>
        <v>0</v>
      </c>
      <c r="G91">
        <f>+bma!G91/data!$AJ91</f>
        <v>0</v>
      </c>
      <c r="H91">
        <f>+bma!H91/data!$AJ91</f>
        <v>0</v>
      </c>
      <c r="I91">
        <f>+bma!I91/data!$AJ91</f>
        <v>0</v>
      </c>
      <c r="J91">
        <f>+bma!L91/data!$AJ91</f>
        <v>0</v>
      </c>
      <c r="K91">
        <f>+bma!M91/data!$AJ91</f>
        <v>0</v>
      </c>
      <c r="L91">
        <f>+bma!J91/data!$AJ91</f>
        <v>0</v>
      </c>
      <c r="M91">
        <f>+bma!K91/data!$AJ91</f>
        <v>0</v>
      </c>
      <c r="N91">
        <f>+bma!N91/data!$AJ91</f>
        <v>38.844289684844988</v>
      </c>
      <c r="O91">
        <f>+bma!O91/data!$AJ91</f>
        <v>0</v>
      </c>
      <c r="P91">
        <f>+bma!P91/data!$AJ91</f>
        <v>38.844289684844988</v>
      </c>
      <c r="Q91">
        <f>+bma!Q91/data!$AJ91</f>
        <v>295.27106129896009</v>
      </c>
      <c r="R91">
        <f>+bma!R91/data!$AJ91</f>
        <v>42.674802779246917</v>
      </c>
      <c r="S91">
        <f>+bma!S91/data!$AJ91</f>
        <v>0</v>
      </c>
    </row>
    <row r="92" spans="1:19" x14ac:dyDescent="0.25">
      <c r="A92">
        <f>+data!AH92</f>
        <v>-1.2844827586206897</v>
      </c>
      <c r="B92">
        <f>+data!AL92</f>
        <v>24.852563166747888</v>
      </c>
      <c r="C92">
        <f>+bma!C92/data!$AJ92</f>
        <v>0</v>
      </c>
      <c r="D92">
        <f>+bma!D92/data!$AJ92</f>
        <v>0</v>
      </c>
      <c r="E92">
        <f>+bma!E92/data!$AJ92</f>
        <v>0</v>
      </c>
      <c r="F92">
        <f>+bma!F92/data!$AJ92</f>
        <v>0</v>
      </c>
      <c r="G92">
        <f>+bma!G92/data!$AJ92</f>
        <v>0</v>
      </c>
      <c r="H92">
        <f>+bma!H92/data!$AJ92</f>
        <v>0</v>
      </c>
      <c r="I92">
        <f>+bma!I92/data!$AJ92</f>
        <v>0</v>
      </c>
      <c r="J92">
        <f>+bma!L92/data!$AJ92</f>
        <v>0</v>
      </c>
      <c r="K92">
        <f>+bma!M92/data!$AJ92</f>
        <v>0</v>
      </c>
      <c r="L92">
        <f>+bma!J92/data!$AJ92</f>
        <v>0</v>
      </c>
      <c r="M92">
        <f>+bma!K92/data!$AJ92</f>
        <v>0</v>
      </c>
      <c r="N92">
        <f>+bma!N92/data!$AJ92</f>
        <v>0</v>
      </c>
      <c r="O92">
        <f>+bma!O92/data!$AJ92</f>
        <v>24.852563166747888</v>
      </c>
      <c r="P92">
        <f>+bma!P92/data!$AJ92</f>
        <v>24.852563166747888</v>
      </c>
      <c r="Q92">
        <f>+bma!Q92/data!$AJ92</f>
        <v>188.91432336084375</v>
      </c>
      <c r="R92">
        <f>+bma!R92/data!$AJ92</f>
        <v>27.303324125747231</v>
      </c>
      <c r="S92">
        <f>+bma!S92/data!$AJ92</f>
        <v>0</v>
      </c>
    </row>
    <row r="93" spans="1:19" x14ac:dyDescent="0.25">
      <c r="A93">
        <f>+data!AH93</f>
        <v>-2.0488721804511281</v>
      </c>
      <c r="B93">
        <f>+data!AL93</f>
        <v>34.324887140554836</v>
      </c>
      <c r="C93">
        <f>+bma!C93/data!$AJ93</f>
        <v>0</v>
      </c>
      <c r="D93">
        <f>+bma!D93/data!$AJ93</f>
        <v>0</v>
      </c>
      <c r="E93">
        <f>+bma!E93/data!$AJ93</f>
        <v>0</v>
      </c>
      <c r="F93">
        <f>+bma!F93/data!$AJ93</f>
        <v>0</v>
      </c>
      <c r="G93">
        <f>+bma!G93/data!$AJ93</f>
        <v>0</v>
      </c>
      <c r="H93">
        <f>+bma!H93/data!$AJ93</f>
        <v>0</v>
      </c>
      <c r="I93">
        <f>+bma!I93/data!$AJ93</f>
        <v>0</v>
      </c>
      <c r="J93">
        <f>+bma!L93/data!$AJ93</f>
        <v>0</v>
      </c>
      <c r="K93">
        <f>+bma!M93/data!$AJ93</f>
        <v>0</v>
      </c>
      <c r="L93">
        <f>+bma!J93/data!$AJ93</f>
        <v>0</v>
      </c>
      <c r="M93">
        <f>+bma!K93/data!$AJ93</f>
        <v>0</v>
      </c>
      <c r="N93">
        <f>+bma!N93/data!$AJ93</f>
        <v>0</v>
      </c>
      <c r="O93">
        <f>+bma!O93/data!$AJ93</f>
        <v>34.324887140554836</v>
      </c>
      <c r="P93">
        <f>+bma!P93/data!$AJ93</f>
        <v>34.324887140554836</v>
      </c>
      <c r="Q93">
        <f>+bma!Q93/data!$AJ93</f>
        <v>260.91726575998786</v>
      </c>
      <c r="R93">
        <f>+bma!R93/data!$AJ93</f>
        <v>37.709732911259231</v>
      </c>
      <c r="S93">
        <f>+bma!S93/data!$AJ93</f>
        <v>0</v>
      </c>
    </row>
    <row r="94" spans="1:19" x14ac:dyDescent="0.25">
      <c r="A94">
        <f>+data!AH94</f>
        <v>1.1423220973782771</v>
      </c>
      <c r="B94">
        <f>+data!AL94</f>
        <v>23.115036226970503</v>
      </c>
      <c r="C94">
        <f>+bma!C94/data!$AJ94</f>
        <v>0</v>
      </c>
      <c r="D94">
        <f>+bma!D94/data!$AJ94</f>
        <v>0</v>
      </c>
      <c r="E94">
        <f>+bma!E94/data!$AJ94</f>
        <v>0</v>
      </c>
      <c r="F94">
        <f>+bma!F94/data!$AJ94</f>
        <v>0</v>
      </c>
      <c r="G94">
        <f>+bma!G94/data!$AJ94</f>
        <v>0</v>
      </c>
      <c r="H94">
        <f>+bma!H94/data!$AJ94</f>
        <v>0</v>
      </c>
      <c r="I94">
        <f>+bma!I94/data!$AJ94</f>
        <v>0</v>
      </c>
      <c r="J94">
        <f>+bma!L94/data!$AJ94</f>
        <v>0</v>
      </c>
      <c r="K94">
        <f>+bma!M94/data!$AJ94</f>
        <v>0</v>
      </c>
      <c r="L94">
        <f>+bma!J94/data!$AJ94</f>
        <v>0</v>
      </c>
      <c r="M94">
        <f>+bma!K94/data!$AJ94</f>
        <v>0</v>
      </c>
      <c r="N94">
        <f>+bma!N94/data!$AJ94</f>
        <v>0</v>
      </c>
      <c r="O94">
        <f>+bma!O94/data!$AJ94</f>
        <v>23.115036226970503</v>
      </c>
      <c r="P94">
        <f>+bma!P94/data!$AJ94</f>
        <v>23.115036226970503</v>
      </c>
      <c r="Q94">
        <f>+bma!Q94/data!$AJ94</f>
        <v>175.70668260576605</v>
      </c>
      <c r="R94">
        <f>+bma!R94/data!$AJ94</f>
        <v>25.394456179384516</v>
      </c>
      <c r="S94">
        <f>+bma!S94/data!$AJ94</f>
        <v>0</v>
      </c>
    </row>
    <row r="95" spans="1:19" x14ac:dyDescent="0.25">
      <c r="A95">
        <f>+data!AH95</f>
        <v>-2.4500000000000002</v>
      </c>
      <c r="B95">
        <f>+data!AL95</f>
        <v>6.0829680255612057</v>
      </c>
      <c r="C95">
        <f>+bma!C95/data!$AJ95</f>
        <v>0</v>
      </c>
      <c r="D95">
        <f>+bma!D95/data!$AJ95</f>
        <v>6.0829680255612057</v>
      </c>
      <c r="E95">
        <f>+bma!E95/data!$AJ95</f>
        <v>0</v>
      </c>
      <c r="F95">
        <f>+bma!F95/data!$AJ95</f>
        <v>0</v>
      </c>
      <c r="G95">
        <f>+bma!G95/data!$AJ95</f>
        <v>6.0829680255612057</v>
      </c>
      <c r="H95">
        <f>+bma!H95/data!$AJ95</f>
        <v>0</v>
      </c>
      <c r="I95">
        <f>+bma!I95/data!$AJ95</f>
        <v>6.0829680255612057</v>
      </c>
      <c r="J95">
        <f>+bma!L95/data!$AJ95</f>
        <v>0</v>
      </c>
      <c r="K95">
        <f>+bma!M95/data!$AJ95</f>
        <v>6.0829680255612057</v>
      </c>
      <c r="L95">
        <f>+bma!J95/data!$AJ95</f>
        <v>0</v>
      </c>
      <c r="M95">
        <f>+bma!K95/data!$AJ95</f>
        <v>0</v>
      </c>
      <c r="N95">
        <f>+bma!N95/data!$AJ95</f>
        <v>0</v>
      </c>
      <c r="O95">
        <f>+bma!O95/data!$AJ95</f>
        <v>0</v>
      </c>
      <c r="P95">
        <f>+bma!P95/data!$AJ95</f>
        <v>6.0829680255612057</v>
      </c>
      <c r="Q95">
        <f>+bma!Q95/data!$AJ95</f>
        <v>46.193317064012682</v>
      </c>
      <c r="R95">
        <f>+bma!R95/data!$AJ95</f>
        <v>17.582040457977396</v>
      </c>
      <c r="S95">
        <f>+bma!S95/data!$AJ95</f>
        <v>6.0829680255612057</v>
      </c>
    </row>
    <row r="96" spans="1:19" x14ac:dyDescent="0.25">
      <c r="A96">
        <f>+data!AH96</f>
        <v>-0.76900000000000035</v>
      </c>
      <c r="B96">
        <f>+data!AL96</f>
        <v>4.5377704878056582</v>
      </c>
      <c r="C96">
        <f>+bma!C96/data!$AJ96</f>
        <v>0</v>
      </c>
      <c r="D96">
        <f>+bma!D96/data!$AJ96</f>
        <v>4.5377704878056582</v>
      </c>
      <c r="E96">
        <f>+bma!E96/data!$AJ96</f>
        <v>0</v>
      </c>
      <c r="F96">
        <f>+bma!F96/data!$AJ96</f>
        <v>0</v>
      </c>
      <c r="G96">
        <f>+bma!G96/data!$AJ96</f>
        <v>4.5377704878056582</v>
      </c>
      <c r="H96">
        <f>+bma!H96/data!$AJ96</f>
        <v>4.5377704878056582</v>
      </c>
      <c r="I96">
        <f>+bma!I96/data!$AJ96</f>
        <v>4.5377704878056582</v>
      </c>
      <c r="J96">
        <f>+bma!L96/data!$AJ96</f>
        <v>0</v>
      </c>
      <c r="K96">
        <f>+bma!M96/data!$AJ96</f>
        <v>4.5377704878056582</v>
      </c>
      <c r="L96">
        <f>+bma!J96/data!$AJ96</f>
        <v>0</v>
      </c>
      <c r="M96">
        <f>+bma!K96/data!$AJ96</f>
        <v>0</v>
      </c>
      <c r="N96">
        <f>+bma!N96/data!$AJ96</f>
        <v>0</v>
      </c>
      <c r="O96">
        <f>+bma!O96/data!$AJ96</f>
        <v>0</v>
      </c>
      <c r="P96">
        <f>+bma!P96/data!$AJ96</f>
        <v>4.5377704878056582</v>
      </c>
      <c r="Q96">
        <f>+bma!Q96/data!$AJ96</f>
        <v>34.459275476396655</v>
      </c>
      <c r="R96">
        <f>+bma!R96/data!$AJ96</f>
        <v>13.115844760379817</v>
      </c>
      <c r="S96">
        <f>+bma!S96/data!$AJ96</f>
        <v>4.5377704878056582</v>
      </c>
    </row>
    <row r="97" spans="1:19" x14ac:dyDescent="0.25">
      <c r="A97">
        <f>+data!AH97</f>
        <v>-2.7500000000000084</v>
      </c>
      <c r="B97">
        <f>+data!AL97</f>
        <v>6.2098711741871133</v>
      </c>
      <c r="C97">
        <f>+bma!C97/data!$AJ97</f>
        <v>0</v>
      </c>
      <c r="D97">
        <f>+bma!D97/data!$AJ97</f>
        <v>6.2098711741871133</v>
      </c>
      <c r="E97">
        <f>+bma!E97/data!$AJ97</f>
        <v>0</v>
      </c>
      <c r="F97">
        <f>+bma!F97/data!$AJ97</f>
        <v>0</v>
      </c>
      <c r="G97">
        <f>+bma!G97/data!$AJ97</f>
        <v>6.2098711741871133</v>
      </c>
      <c r="H97">
        <f>+bma!H97/data!$AJ97</f>
        <v>0</v>
      </c>
      <c r="I97">
        <f>+bma!I97/data!$AJ97</f>
        <v>6.2098711741871133</v>
      </c>
      <c r="J97">
        <f>+bma!L97/data!$AJ97</f>
        <v>0</v>
      </c>
      <c r="K97">
        <f>+bma!M97/data!$AJ97</f>
        <v>6.2098711741871133</v>
      </c>
      <c r="L97">
        <f>+bma!J97/data!$AJ97</f>
        <v>0</v>
      </c>
      <c r="M97">
        <f>+bma!K97/data!$AJ97</f>
        <v>0</v>
      </c>
      <c r="N97">
        <f>+bma!N97/data!$AJ97</f>
        <v>0</v>
      </c>
      <c r="O97">
        <f>+bma!O97/data!$AJ97</f>
        <v>0</v>
      </c>
      <c r="P97">
        <f>+bma!P97/data!$AJ97</f>
        <v>6.2098711741871133</v>
      </c>
      <c r="Q97">
        <f>+bma!Q97/data!$AJ97</f>
        <v>47.157004092493693</v>
      </c>
      <c r="R97">
        <f>+bma!R97/data!$AJ97</f>
        <v>17.948837765477556</v>
      </c>
      <c r="S97">
        <f>+bma!S97/data!$AJ97</f>
        <v>6.2098711741871133</v>
      </c>
    </row>
    <row r="98" spans="1:19" x14ac:dyDescent="0.25">
      <c r="A98">
        <f>+data!AH98</f>
        <v>3.4800000000000102</v>
      </c>
      <c r="B98">
        <f>+data!AL98</f>
        <v>6.3332771927336378</v>
      </c>
      <c r="C98">
        <f>+bma!C98/data!$AJ98</f>
        <v>0</v>
      </c>
      <c r="D98">
        <f>+bma!D98/data!$AJ98</f>
        <v>6.3332771927336378</v>
      </c>
      <c r="E98">
        <f>+bma!E98/data!$AJ98</f>
        <v>0</v>
      </c>
      <c r="F98">
        <f>+bma!F98/data!$AJ98</f>
        <v>0</v>
      </c>
      <c r="G98">
        <f>+bma!G98/data!$AJ98</f>
        <v>6.3332771927336378</v>
      </c>
      <c r="H98">
        <f>+bma!H98/data!$AJ98</f>
        <v>0</v>
      </c>
      <c r="I98">
        <f>+bma!I98/data!$AJ98</f>
        <v>6.3332771927336378</v>
      </c>
      <c r="J98">
        <f>+bma!L98/data!$AJ98</f>
        <v>0</v>
      </c>
      <c r="K98">
        <f>+bma!M98/data!$AJ98</f>
        <v>6.3332771927336378</v>
      </c>
      <c r="L98">
        <f>+bma!J98/data!$AJ98</f>
        <v>0</v>
      </c>
      <c r="M98">
        <f>+bma!K98/data!$AJ98</f>
        <v>0</v>
      </c>
      <c r="N98">
        <f>+bma!N98/data!$AJ98</f>
        <v>0</v>
      </c>
      <c r="O98">
        <f>+bma!O98/data!$AJ98</f>
        <v>0</v>
      </c>
      <c r="P98">
        <f>+bma!P98/data!$AJ98</f>
        <v>6.3332771927336378</v>
      </c>
      <c r="Q98">
        <f>+bma!Q98/data!$AJ98</f>
        <v>48.094134341801734</v>
      </c>
      <c r="R98">
        <f>+bma!R98/data!$AJ98</f>
        <v>18.305527066115911</v>
      </c>
      <c r="S98">
        <f>+bma!S98/data!$AJ98</f>
        <v>6.3332771927336378</v>
      </c>
    </row>
    <row r="99" spans="1:19" x14ac:dyDescent="0.25">
      <c r="A99">
        <f>+data!AH99</f>
        <v>3.3900000000000206</v>
      </c>
      <c r="B99">
        <f>+data!AL99</f>
        <v>6.204200190193748</v>
      </c>
      <c r="C99">
        <f>+bma!C99/data!$AJ99</f>
        <v>0</v>
      </c>
      <c r="D99">
        <f>+bma!D99/data!$AJ99</f>
        <v>6.204200190193748</v>
      </c>
      <c r="E99">
        <f>+bma!E99/data!$AJ99</f>
        <v>0</v>
      </c>
      <c r="F99">
        <f>+bma!F99/data!$AJ99</f>
        <v>0</v>
      </c>
      <c r="G99">
        <f>+bma!G99/data!$AJ99</f>
        <v>6.204200190193748</v>
      </c>
      <c r="H99">
        <f>+bma!H99/data!$AJ99</f>
        <v>0</v>
      </c>
      <c r="I99">
        <f>+bma!I99/data!$AJ99</f>
        <v>6.204200190193748</v>
      </c>
      <c r="J99">
        <f>+bma!L99/data!$AJ99</f>
        <v>0</v>
      </c>
      <c r="K99">
        <f>+bma!M99/data!$AJ99</f>
        <v>6.204200190193748</v>
      </c>
      <c r="L99">
        <f>+bma!J99/data!$AJ99</f>
        <v>0</v>
      </c>
      <c r="M99">
        <f>+bma!K99/data!$AJ99</f>
        <v>0</v>
      </c>
      <c r="N99">
        <f>+bma!N99/data!$AJ99</f>
        <v>0</v>
      </c>
      <c r="O99">
        <f>+bma!O99/data!$AJ99</f>
        <v>0</v>
      </c>
      <c r="P99">
        <f>+bma!P99/data!$AJ99</f>
        <v>6.204200190193748</v>
      </c>
      <c r="Q99">
        <f>+bma!Q99/data!$AJ99</f>
        <v>47.113939331908121</v>
      </c>
      <c r="R99">
        <f>+bma!R99/data!$AJ99</f>
        <v>17.932446512130685</v>
      </c>
      <c r="S99">
        <f>+bma!S99/data!$AJ99</f>
        <v>6.204200190193748</v>
      </c>
    </row>
    <row r="100" spans="1:19" x14ac:dyDescent="0.25">
      <c r="A100">
        <f>+data!AH100</f>
        <v>-3.5200000000000093</v>
      </c>
      <c r="B100">
        <f>+data!AL100</f>
        <v>6.4335371297599631</v>
      </c>
      <c r="C100">
        <f>+bma!C100/data!$AJ100</f>
        <v>0</v>
      </c>
      <c r="D100">
        <f>+bma!D100/data!$AJ100</f>
        <v>6.4335371297599631</v>
      </c>
      <c r="E100">
        <f>+bma!E100/data!$AJ100</f>
        <v>0</v>
      </c>
      <c r="F100">
        <f>+bma!F100/data!$AJ100</f>
        <v>0</v>
      </c>
      <c r="G100">
        <f>+bma!G100/data!$AJ100</f>
        <v>6.4335371297599631</v>
      </c>
      <c r="H100">
        <f>+bma!H100/data!$AJ100</f>
        <v>0</v>
      </c>
      <c r="I100">
        <f>+bma!I100/data!$AJ100</f>
        <v>6.4335371297599631</v>
      </c>
      <c r="J100">
        <f>+bma!L100/data!$AJ100</f>
        <v>0</v>
      </c>
      <c r="K100">
        <f>+bma!M100/data!$AJ100</f>
        <v>6.4335371297599631</v>
      </c>
      <c r="L100">
        <f>+bma!J100/data!$AJ100</f>
        <v>0</v>
      </c>
      <c r="M100">
        <f>+bma!K100/data!$AJ100</f>
        <v>0</v>
      </c>
      <c r="N100">
        <f>+bma!N100/data!$AJ100</f>
        <v>0</v>
      </c>
      <c r="O100">
        <f>+bma!O100/data!$AJ100</f>
        <v>0</v>
      </c>
      <c r="P100">
        <f>+bma!P100/data!$AJ100</f>
        <v>6.4335371297599631</v>
      </c>
      <c r="Q100">
        <f>+bma!Q100/data!$AJ100</f>
        <v>48.855496071867329</v>
      </c>
      <c r="R100">
        <f>+bma!R100/data!$AJ100</f>
        <v>18.595315580818564</v>
      </c>
      <c r="S100">
        <f>+bma!S100/data!$AJ100</f>
        <v>6.4335371297599631</v>
      </c>
    </row>
    <row r="101" spans="1:19" x14ac:dyDescent="0.25">
      <c r="A101">
        <f>+data!AH101</f>
        <v>-0.32432432432432434</v>
      </c>
      <c r="B101">
        <f>+data!AL101</f>
        <v>51.020634906548835</v>
      </c>
      <c r="C101">
        <f>+bma!C101/data!$AJ101</f>
        <v>0</v>
      </c>
      <c r="D101">
        <f>+bma!D101/data!$AJ101</f>
        <v>51.020634906548835</v>
      </c>
      <c r="E101">
        <f>+bma!E101/data!$AJ101</f>
        <v>51.020634906548835</v>
      </c>
      <c r="F101">
        <f>+bma!F101/data!$AJ101</f>
        <v>0</v>
      </c>
      <c r="G101">
        <f>+bma!G101/data!$AJ101</f>
        <v>51.020634906548835</v>
      </c>
      <c r="H101">
        <f>+bma!H101/data!$AJ101</f>
        <v>0</v>
      </c>
      <c r="I101">
        <f>+bma!I101/data!$AJ101</f>
        <v>0</v>
      </c>
      <c r="J101">
        <f>+bma!L101/data!$AJ101</f>
        <v>0</v>
      </c>
      <c r="K101">
        <f>+bma!M101/data!$AJ101</f>
        <v>51.020634906548835</v>
      </c>
      <c r="L101">
        <f>+bma!J101/data!$AJ101</f>
        <v>0</v>
      </c>
      <c r="M101">
        <f>+bma!K101/data!$AJ101</f>
        <v>0</v>
      </c>
      <c r="N101">
        <f>+bma!N101/data!$AJ101</f>
        <v>0</v>
      </c>
      <c r="O101">
        <f>+bma!O101/data!$AJ101</f>
        <v>51.020634906548835</v>
      </c>
      <c r="P101">
        <f>+bma!P101/data!$AJ101</f>
        <v>0</v>
      </c>
      <c r="Q101">
        <f>+bma!Q101/data!$AJ101</f>
        <v>388.03192855318724</v>
      </c>
      <c r="R101">
        <f>+bma!R101/data!$AJ101</f>
        <v>200.60425886207628</v>
      </c>
      <c r="S101">
        <f>+bma!S101/data!$AJ101</f>
        <v>51.020634906548835</v>
      </c>
    </row>
    <row r="102" spans="1:19" x14ac:dyDescent="0.25">
      <c r="A102">
        <f>+data!AH102</f>
        <v>-0.30303030303030304</v>
      </c>
      <c r="B102">
        <f>+data!AL102</f>
        <v>51.00090026033417</v>
      </c>
      <c r="C102">
        <f>+bma!C102/data!$AJ102</f>
        <v>0</v>
      </c>
      <c r="D102">
        <f>+bma!D102/data!$AJ102</f>
        <v>51.00090026033417</v>
      </c>
      <c r="E102">
        <f>+bma!E102/data!$AJ102</f>
        <v>51.00090026033417</v>
      </c>
      <c r="F102">
        <f>+bma!F102/data!$AJ102</f>
        <v>0</v>
      </c>
      <c r="G102">
        <f>+bma!G102/data!$AJ102</f>
        <v>51.00090026033417</v>
      </c>
      <c r="H102">
        <f>+bma!H102/data!$AJ102</f>
        <v>0</v>
      </c>
      <c r="I102">
        <f>+bma!I102/data!$AJ102</f>
        <v>0</v>
      </c>
      <c r="J102">
        <f>+bma!L102/data!$AJ102</f>
        <v>0</v>
      </c>
      <c r="K102">
        <f>+bma!M102/data!$AJ102</f>
        <v>51.00090026033417</v>
      </c>
      <c r="L102">
        <f>+bma!J102/data!$AJ102</f>
        <v>0</v>
      </c>
      <c r="M102">
        <f>+bma!K102/data!$AJ102</f>
        <v>0</v>
      </c>
      <c r="N102">
        <f>+bma!N102/data!$AJ102</f>
        <v>0</v>
      </c>
      <c r="O102">
        <f>+bma!O102/data!$AJ102</f>
        <v>51.00090026033417</v>
      </c>
      <c r="P102">
        <f>+bma!P102/data!$AJ102</f>
        <v>0</v>
      </c>
      <c r="Q102">
        <f>+bma!Q102/data!$AJ102</f>
        <v>387.88183883274343</v>
      </c>
      <c r="R102">
        <f>+bma!R102/data!$AJ102</f>
        <v>200.52666566698866</v>
      </c>
      <c r="S102">
        <f>+bma!S102/data!$AJ102</f>
        <v>51.00090026033417</v>
      </c>
    </row>
    <row r="103" spans="1:19" x14ac:dyDescent="0.25">
      <c r="A103">
        <f>+data!AH103</f>
        <v>-0.28205128205128205</v>
      </c>
      <c r="B103">
        <f>+data!AL103</f>
        <v>50.882998662870747</v>
      </c>
      <c r="C103">
        <f>+bma!C103/data!$AJ103</f>
        <v>0</v>
      </c>
      <c r="D103">
        <f>+bma!D103/data!$AJ103</f>
        <v>50.882998662870747</v>
      </c>
      <c r="E103">
        <f>+bma!E103/data!$AJ103</f>
        <v>50.882998662870747</v>
      </c>
      <c r="F103">
        <f>+bma!F103/data!$AJ103</f>
        <v>0</v>
      </c>
      <c r="G103">
        <f>+bma!G103/data!$AJ103</f>
        <v>50.882998662870747</v>
      </c>
      <c r="H103">
        <f>+bma!H103/data!$AJ103</f>
        <v>0</v>
      </c>
      <c r="I103">
        <f>+bma!I103/data!$AJ103</f>
        <v>0</v>
      </c>
      <c r="J103">
        <f>+bma!L103/data!$AJ103</f>
        <v>0</v>
      </c>
      <c r="K103">
        <f>+bma!M103/data!$AJ103</f>
        <v>50.882998662870747</v>
      </c>
      <c r="L103">
        <f>+bma!J103/data!$AJ103</f>
        <v>0</v>
      </c>
      <c r="M103">
        <f>+bma!K103/data!$AJ103</f>
        <v>0</v>
      </c>
      <c r="N103">
        <f>+bma!N103/data!$AJ103</f>
        <v>0</v>
      </c>
      <c r="O103">
        <f>+bma!O103/data!$AJ103</f>
        <v>50.882998662870747</v>
      </c>
      <c r="P103">
        <f>+bma!P103/data!$AJ103</f>
        <v>0</v>
      </c>
      <c r="Q103">
        <f>+bma!Q103/data!$AJ103</f>
        <v>386.98515096660788</v>
      </c>
      <c r="R103">
        <f>+bma!R103/data!$AJ103</f>
        <v>200.06309710064045</v>
      </c>
      <c r="S103">
        <f>+bma!S103/data!$AJ103</f>
        <v>50.882998662870747</v>
      </c>
    </row>
    <row r="104" spans="1:19" x14ac:dyDescent="0.25">
      <c r="A104">
        <f>+data!AH104</f>
        <v>-0.12121212121212122</v>
      </c>
      <c r="B104">
        <f>+data!AL104</f>
        <v>50.862704336068568</v>
      </c>
      <c r="C104">
        <f>+bma!C104/data!$AJ104</f>
        <v>0</v>
      </c>
      <c r="D104">
        <f>+bma!D104/data!$AJ104</f>
        <v>50.862704336068568</v>
      </c>
      <c r="E104">
        <f>+bma!E104/data!$AJ104</f>
        <v>50.862704336068568</v>
      </c>
      <c r="F104">
        <f>+bma!F104/data!$AJ104</f>
        <v>0</v>
      </c>
      <c r="G104">
        <f>+bma!G104/data!$AJ104</f>
        <v>50.862704336068568</v>
      </c>
      <c r="H104">
        <f>+bma!H104/data!$AJ104</f>
        <v>0</v>
      </c>
      <c r="I104">
        <f>+bma!I104/data!$AJ104</f>
        <v>0</v>
      </c>
      <c r="J104">
        <f>+bma!L104/data!$AJ104</f>
        <v>0</v>
      </c>
      <c r="K104">
        <f>+bma!M104/data!$AJ104</f>
        <v>50.862704336068568</v>
      </c>
      <c r="L104">
        <f>+bma!J104/data!$AJ104</f>
        <v>0</v>
      </c>
      <c r="M104">
        <f>+bma!K104/data!$AJ104</f>
        <v>0</v>
      </c>
      <c r="N104">
        <f>+bma!N104/data!$AJ104</f>
        <v>0</v>
      </c>
      <c r="O104">
        <f>+bma!O104/data!$AJ104</f>
        <v>50.862704336068568</v>
      </c>
      <c r="P104">
        <f>+bma!P104/data!$AJ104</f>
        <v>0</v>
      </c>
      <c r="Q104">
        <f>+bma!Q104/data!$AJ104</f>
        <v>386.8308046559012</v>
      </c>
      <c r="R104">
        <f>+bma!R104/data!$AJ104</f>
        <v>199.98330333886713</v>
      </c>
      <c r="S104">
        <f>+bma!S104/data!$AJ104</f>
        <v>50.862704336068568</v>
      </c>
    </row>
    <row r="105" spans="1:19" x14ac:dyDescent="0.25">
      <c r="A105">
        <f>+data!AH105</f>
        <v>2.375</v>
      </c>
      <c r="B105">
        <f>+data!AL105</f>
        <v>16.811919134947086</v>
      </c>
      <c r="C105">
        <f>+bma!C105/data!$AJ105</f>
        <v>0</v>
      </c>
      <c r="D105">
        <f>+bma!D105/data!$AJ105</f>
        <v>16.811919134947086</v>
      </c>
      <c r="E105">
        <f>+bma!E105/data!$AJ105</f>
        <v>0</v>
      </c>
      <c r="F105">
        <f>+bma!F105/data!$AJ105</f>
        <v>0</v>
      </c>
      <c r="G105">
        <f>+bma!G105/data!$AJ105</f>
        <v>0</v>
      </c>
      <c r="H105">
        <f>+bma!H105/data!$AJ105</f>
        <v>16.811919134947086</v>
      </c>
      <c r="I105">
        <f>+bma!I105/data!$AJ105</f>
        <v>16.811919134947086</v>
      </c>
      <c r="J105">
        <f>+bma!L105/data!$AJ105</f>
        <v>0</v>
      </c>
      <c r="K105">
        <f>+bma!M105/data!$AJ105</f>
        <v>16.811919134947086</v>
      </c>
      <c r="L105">
        <f>+bma!J105/data!$AJ105</f>
        <v>0</v>
      </c>
      <c r="M105">
        <f>+bma!K105/data!$AJ105</f>
        <v>0</v>
      </c>
      <c r="N105">
        <f>+bma!N105/data!$AJ105</f>
        <v>0</v>
      </c>
      <c r="O105">
        <f>+bma!O105/data!$AJ105</f>
        <v>16.811919134947086</v>
      </c>
      <c r="P105">
        <f>+bma!P105/data!$AJ105</f>
        <v>16.811919134947086</v>
      </c>
      <c r="Q105">
        <f>+bma!Q105/data!$AJ105</f>
        <v>127.88631867692283</v>
      </c>
      <c r="R105">
        <f>+bma!R105/data!$AJ105</f>
        <v>0</v>
      </c>
      <c r="S105">
        <f>+bma!S105/data!$AJ105</f>
        <v>0</v>
      </c>
    </row>
    <row r="106" spans="1:19" x14ac:dyDescent="0.25">
      <c r="A106">
        <f>+data!AH106</f>
        <v>3.714285714285714</v>
      </c>
      <c r="B106">
        <f>+data!AL106</f>
        <v>17.052739321509225</v>
      </c>
      <c r="C106">
        <f>+bma!C106/data!$AJ106</f>
        <v>0</v>
      </c>
      <c r="D106">
        <f>+bma!D106/data!$AJ106</f>
        <v>17.052739321509225</v>
      </c>
      <c r="E106">
        <f>+bma!E106/data!$AJ106</f>
        <v>0</v>
      </c>
      <c r="F106">
        <f>+bma!F106/data!$AJ106</f>
        <v>0</v>
      </c>
      <c r="G106">
        <f>+bma!G106/data!$AJ106</f>
        <v>0</v>
      </c>
      <c r="H106">
        <f>+bma!H106/data!$AJ106</f>
        <v>17.052739321509225</v>
      </c>
      <c r="I106">
        <f>+bma!I106/data!$AJ106</f>
        <v>17.052739321509225</v>
      </c>
      <c r="J106">
        <f>+bma!L106/data!$AJ106</f>
        <v>0</v>
      </c>
      <c r="K106">
        <f>+bma!M106/data!$AJ106</f>
        <v>17.052739321509225</v>
      </c>
      <c r="L106">
        <f>+bma!J106/data!$AJ106</f>
        <v>0</v>
      </c>
      <c r="M106">
        <f>+bma!K106/data!$AJ106</f>
        <v>0</v>
      </c>
      <c r="N106">
        <f>+bma!N106/data!$AJ106</f>
        <v>0</v>
      </c>
      <c r="O106">
        <f>+bma!O106/data!$AJ106</f>
        <v>17.052739321509225</v>
      </c>
      <c r="P106">
        <f>+bma!P106/data!$AJ106</f>
        <v>17.052739321509225</v>
      </c>
      <c r="Q106">
        <f>+bma!Q106/data!$AJ106</f>
        <v>129.71820990095938</v>
      </c>
      <c r="R106">
        <f>+bma!R106/data!$AJ106</f>
        <v>0</v>
      </c>
      <c r="S106">
        <f>+bma!S106/data!$AJ106</f>
        <v>0</v>
      </c>
    </row>
    <row r="107" spans="1:19" x14ac:dyDescent="0.25">
      <c r="A107">
        <f>+data!AH107</f>
        <v>-0.42857142857142855</v>
      </c>
      <c r="B107">
        <f>+data!AL107</f>
        <v>16.648833997292055</v>
      </c>
      <c r="C107">
        <f>+bma!C107/data!$AJ107</f>
        <v>0</v>
      </c>
      <c r="D107">
        <f>+bma!D107/data!$AJ107</f>
        <v>16.648833997292055</v>
      </c>
      <c r="E107">
        <f>+bma!E107/data!$AJ107</f>
        <v>0</v>
      </c>
      <c r="F107">
        <f>+bma!F107/data!$AJ107</f>
        <v>0</v>
      </c>
      <c r="G107">
        <f>+bma!G107/data!$AJ107</f>
        <v>0</v>
      </c>
      <c r="H107">
        <f>+bma!H107/data!$AJ107</f>
        <v>16.648833997292055</v>
      </c>
      <c r="I107">
        <f>+bma!I107/data!$AJ107</f>
        <v>16.648833997292055</v>
      </c>
      <c r="J107">
        <f>+bma!L107/data!$AJ107</f>
        <v>0</v>
      </c>
      <c r="K107">
        <f>+bma!M107/data!$AJ107</f>
        <v>16.648833997292055</v>
      </c>
      <c r="L107">
        <f>+bma!J107/data!$AJ107</f>
        <v>0</v>
      </c>
      <c r="M107">
        <f>+bma!K107/data!$AJ107</f>
        <v>0</v>
      </c>
      <c r="N107">
        <f>+bma!N107/data!$AJ107</f>
        <v>0</v>
      </c>
      <c r="O107">
        <f>+bma!O107/data!$AJ107</f>
        <v>16.648833997292055</v>
      </c>
      <c r="P107">
        <f>+bma!P107/data!$AJ107</f>
        <v>16.648833997292055</v>
      </c>
      <c r="Q107">
        <f>+bma!Q107/data!$AJ107</f>
        <v>126.64574895265699</v>
      </c>
      <c r="R107">
        <f>+bma!R107/data!$AJ107</f>
        <v>0</v>
      </c>
      <c r="S107">
        <f>+bma!S107/data!$AJ107</f>
        <v>0</v>
      </c>
    </row>
    <row r="108" spans="1:19" x14ac:dyDescent="0.25">
      <c r="A108">
        <f>+data!AH108</f>
        <v>-0.36363636363636365</v>
      </c>
      <c r="B108">
        <f>+data!AL108</f>
        <v>16.647289010675543</v>
      </c>
      <c r="C108">
        <f>+bma!C108/data!$AJ108</f>
        <v>0</v>
      </c>
      <c r="D108">
        <f>+bma!D108/data!$AJ108</f>
        <v>16.647289010675543</v>
      </c>
      <c r="E108">
        <f>+bma!E108/data!$AJ108</f>
        <v>0</v>
      </c>
      <c r="F108">
        <f>+bma!F108/data!$AJ108</f>
        <v>0</v>
      </c>
      <c r="G108">
        <f>+bma!G108/data!$AJ108</f>
        <v>0</v>
      </c>
      <c r="H108">
        <f>+bma!H108/data!$AJ108</f>
        <v>16.647289010675543</v>
      </c>
      <c r="I108">
        <f>+bma!I108/data!$AJ108</f>
        <v>16.647289010675543</v>
      </c>
      <c r="J108">
        <f>+bma!L108/data!$AJ108</f>
        <v>0</v>
      </c>
      <c r="K108">
        <f>+bma!M108/data!$AJ108</f>
        <v>16.647289010675543</v>
      </c>
      <c r="L108">
        <f>+bma!J108/data!$AJ108</f>
        <v>0</v>
      </c>
      <c r="M108">
        <f>+bma!K108/data!$AJ108</f>
        <v>0</v>
      </c>
      <c r="N108">
        <f>+bma!N108/data!$AJ108</f>
        <v>0</v>
      </c>
      <c r="O108">
        <f>+bma!O108/data!$AJ108</f>
        <v>16.647289010675543</v>
      </c>
      <c r="P108">
        <f>+bma!P108/data!$AJ108</f>
        <v>16.647289010675543</v>
      </c>
      <c r="Q108">
        <f>+bma!Q108/data!$AJ108</f>
        <v>126.63399641868362</v>
      </c>
      <c r="R108">
        <f>+bma!R108/data!$AJ108</f>
        <v>0</v>
      </c>
      <c r="S108">
        <f>+bma!S108/data!$AJ108</f>
        <v>0</v>
      </c>
    </row>
    <row r="109" spans="1:19" x14ac:dyDescent="0.25">
      <c r="A109">
        <f>+data!AH109</f>
        <v>0.92307692307692313</v>
      </c>
      <c r="B109">
        <f>+data!AL109</f>
        <v>16.668895314504713</v>
      </c>
      <c r="C109">
        <f>+bma!C109/data!$AJ109</f>
        <v>0</v>
      </c>
      <c r="D109">
        <f>+bma!D109/data!$AJ109</f>
        <v>16.668895314504713</v>
      </c>
      <c r="E109">
        <f>+bma!E109/data!$AJ109</f>
        <v>0</v>
      </c>
      <c r="F109">
        <f>+bma!F109/data!$AJ109</f>
        <v>0</v>
      </c>
      <c r="G109">
        <f>+bma!G109/data!$AJ109</f>
        <v>0</v>
      </c>
      <c r="H109">
        <f>+bma!H109/data!$AJ109</f>
        <v>16.668895314504713</v>
      </c>
      <c r="I109">
        <f>+bma!I109/data!$AJ109</f>
        <v>16.668895314504713</v>
      </c>
      <c r="J109">
        <f>+bma!L109/data!$AJ109</f>
        <v>0</v>
      </c>
      <c r="K109">
        <f>+bma!M109/data!$AJ109</f>
        <v>16.668895314504713</v>
      </c>
      <c r="L109">
        <f>+bma!J109/data!$AJ109</f>
        <v>0</v>
      </c>
      <c r="M109">
        <f>+bma!K109/data!$AJ109</f>
        <v>0</v>
      </c>
      <c r="N109">
        <f>+bma!N109/data!$AJ109</f>
        <v>0</v>
      </c>
      <c r="O109">
        <f>+bma!O109/data!$AJ109</f>
        <v>16.668895314504713</v>
      </c>
      <c r="P109">
        <f>+bma!P109/data!$AJ109</f>
        <v>16.668895314504713</v>
      </c>
      <c r="Q109">
        <f>+bma!Q109/data!$AJ109</f>
        <v>126.79835306558087</v>
      </c>
      <c r="R109">
        <f>+bma!R109/data!$AJ109</f>
        <v>0</v>
      </c>
      <c r="S109">
        <f>+bma!S109/data!$AJ109</f>
        <v>0</v>
      </c>
    </row>
    <row r="110" spans="1:19" x14ac:dyDescent="0.25">
      <c r="A110">
        <f>+data!AH110</f>
        <v>-2.6</v>
      </c>
      <c r="B110">
        <f>+data!AL110</f>
        <v>52.856030876334259</v>
      </c>
      <c r="C110">
        <f>+bma!C110/data!$AJ110</f>
        <v>0</v>
      </c>
      <c r="D110">
        <f>+bma!D110/data!$AJ110</f>
        <v>0</v>
      </c>
      <c r="E110">
        <f>+bma!E110/data!$AJ110</f>
        <v>0</v>
      </c>
      <c r="F110">
        <f>+bma!F110/data!$AJ110</f>
        <v>52.856030876334259</v>
      </c>
      <c r="G110">
        <f>+bma!G110/data!$AJ110</f>
        <v>0</v>
      </c>
      <c r="H110">
        <f>+bma!H110/data!$AJ110</f>
        <v>52.856030876334259</v>
      </c>
      <c r="I110">
        <f>+bma!I110/data!$AJ110</f>
        <v>52.856030876334259</v>
      </c>
      <c r="J110">
        <f>+bma!L110/data!$AJ110</f>
        <v>0</v>
      </c>
      <c r="K110">
        <f>+bma!M110/data!$AJ110</f>
        <v>52.856030876334259</v>
      </c>
      <c r="L110">
        <f>+bma!J110/data!$AJ110</f>
        <v>0</v>
      </c>
      <c r="M110">
        <f>+bma!K110/data!$AJ110</f>
        <v>0</v>
      </c>
      <c r="N110">
        <f>+bma!N110/data!$AJ110</f>
        <v>0</v>
      </c>
      <c r="O110">
        <f>+bma!O110/data!$AJ110</f>
        <v>0</v>
      </c>
      <c r="P110">
        <f>+bma!P110/data!$AJ110</f>
        <v>0</v>
      </c>
      <c r="Q110">
        <f>+bma!Q110/data!$AJ110</f>
        <v>402.04347898537839</v>
      </c>
      <c r="R110">
        <f>+bma!R110/data!$AJ110</f>
        <v>197.55840092554828</v>
      </c>
      <c r="S110">
        <f>+bma!S110/data!$AJ110</f>
        <v>0</v>
      </c>
    </row>
    <row r="111" spans="1:19" x14ac:dyDescent="0.25">
      <c r="A111">
        <f>+data!AH111</f>
        <v>-2.52</v>
      </c>
      <c r="B111">
        <f>+data!AL111</f>
        <v>52.852156058196904</v>
      </c>
      <c r="C111">
        <f>+bma!C111/data!$AJ111</f>
        <v>0</v>
      </c>
      <c r="D111">
        <f>+bma!D111/data!$AJ111</f>
        <v>0</v>
      </c>
      <c r="E111">
        <f>+bma!E111/data!$AJ111</f>
        <v>0</v>
      </c>
      <c r="F111">
        <f>+bma!F111/data!$AJ111</f>
        <v>52.852156058196904</v>
      </c>
      <c r="G111">
        <f>+bma!G111/data!$AJ111</f>
        <v>0</v>
      </c>
      <c r="H111">
        <f>+bma!H111/data!$AJ111</f>
        <v>52.852156058196904</v>
      </c>
      <c r="I111">
        <f>+bma!I111/data!$AJ111</f>
        <v>52.852156058196904</v>
      </c>
      <c r="J111">
        <f>+bma!L111/data!$AJ111</f>
        <v>0</v>
      </c>
      <c r="K111">
        <f>+bma!M111/data!$AJ111</f>
        <v>52.852156058196904</v>
      </c>
      <c r="L111">
        <f>+bma!J111/data!$AJ111</f>
        <v>0</v>
      </c>
      <c r="M111">
        <f>+bma!K111/data!$AJ111</f>
        <v>0</v>
      </c>
      <c r="N111">
        <f>+bma!N111/data!$AJ111</f>
        <v>0</v>
      </c>
      <c r="O111">
        <f>+bma!O111/data!$AJ111</f>
        <v>0</v>
      </c>
      <c r="P111">
        <f>+bma!P111/data!$AJ111</f>
        <v>0</v>
      </c>
      <c r="Q111">
        <f>+bma!Q111/data!$AJ111</f>
        <v>402.01400561519625</v>
      </c>
      <c r="R111">
        <f>+bma!R111/data!$AJ111</f>
        <v>197.54391813404084</v>
      </c>
      <c r="S111">
        <f>+bma!S111/data!$AJ111</f>
        <v>0</v>
      </c>
    </row>
    <row r="112" spans="1:19" x14ac:dyDescent="0.25">
      <c r="A112">
        <f>+data!AH112</f>
        <v>-1.6479999999999999</v>
      </c>
      <c r="B112">
        <f>+data!AL112</f>
        <v>49.312431536074143</v>
      </c>
      <c r="C112">
        <f>+bma!C112/data!$AJ112</f>
        <v>0</v>
      </c>
      <c r="D112">
        <f>+bma!D112/data!$AJ112</f>
        <v>0</v>
      </c>
      <c r="E112">
        <f>+bma!E112/data!$AJ112</f>
        <v>0</v>
      </c>
      <c r="F112">
        <f>+bma!F112/data!$AJ112</f>
        <v>49.312431536074143</v>
      </c>
      <c r="G112">
        <f>+bma!G112/data!$AJ112</f>
        <v>0</v>
      </c>
      <c r="H112">
        <f>+bma!H112/data!$AJ112</f>
        <v>49.312431536074143</v>
      </c>
      <c r="I112">
        <f>+bma!I112/data!$AJ112</f>
        <v>49.312431536074143</v>
      </c>
      <c r="J112">
        <f>+bma!L112/data!$AJ112</f>
        <v>0</v>
      </c>
      <c r="K112">
        <f>+bma!M112/data!$AJ112</f>
        <v>49.312431536074143</v>
      </c>
      <c r="L112">
        <f>+bma!J112/data!$AJ112</f>
        <v>0</v>
      </c>
      <c r="M112">
        <f>+bma!K112/data!$AJ112</f>
        <v>0</v>
      </c>
      <c r="N112">
        <f>+bma!N112/data!$AJ112</f>
        <v>0</v>
      </c>
      <c r="O112">
        <f>+bma!O112/data!$AJ112</f>
        <v>0</v>
      </c>
      <c r="P112">
        <f>+bma!P112/data!$AJ112</f>
        <v>0</v>
      </c>
      <c r="Q112">
        <f>+bma!Q112/data!$AJ112</f>
        <v>375.08948748681593</v>
      </c>
      <c r="R112">
        <f>+bma!R112/data!$AJ112</f>
        <v>184.31359597943825</v>
      </c>
      <c r="S112">
        <f>+bma!S112/data!$AJ112</f>
        <v>0</v>
      </c>
    </row>
    <row r="113" spans="1:19" x14ac:dyDescent="0.25">
      <c r="A113">
        <f>+data!AH113</f>
        <v>-2.5066666666666668</v>
      </c>
      <c r="B113">
        <f>+data!AL113</f>
        <v>51.188703614936152</v>
      </c>
      <c r="C113">
        <f>+bma!C113/data!$AJ113</f>
        <v>0</v>
      </c>
      <c r="D113">
        <f>+bma!D113/data!$AJ113</f>
        <v>0</v>
      </c>
      <c r="E113">
        <f>+bma!E113/data!$AJ113</f>
        <v>0</v>
      </c>
      <c r="F113">
        <f>+bma!F113/data!$AJ113</f>
        <v>51.188703614936152</v>
      </c>
      <c r="G113">
        <f>+bma!G113/data!$AJ113</f>
        <v>0</v>
      </c>
      <c r="H113">
        <f>+bma!H113/data!$AJ113</f>
        <v>51.188703614936152</v>
      </c>
      <c r="I113">
        <f>+bma!I113/data!$AJ113</f>
        <v>51.188703614936152</v>
      </c>
      <c r="J113">
        <f>+bma!L113/data!$AJ113</f>
        <v>0</v>
      </c>
      <c r="K113">
        <f>+bma!M113/data!$AJ113</f>
        <v>51.188703614936152</v>
      </c>
      <c r="L113">
        <f>+bma!J113/data!$AJ113</f>
        <v>0</v>
      </c>
      <c r="M113">
        <f>+bma!K113/data!$AJ113</f>
        <v>0</v>
      </c>
      <c r="N113">
        <f>+bma!N113/data!$AJ113</f>
        <v>0</v>
      </c>
      <c r="O113">
        <f>+bma!O113/data!$AJ113</f>
        <v>0</v>
      </c>
      <c r="P113">
        <f>+bma!P113/data!$AJ113</f>
        <v>0</v>
      </c>
      <c r="Q113">
        <f>+bma!Q113/data!$AJ113</f>
        <v>389.36114091220696</v>
      </c>
      <c r="R113">
        <f>+bma!R113/data!$AJ113</f>
        <v>191.32648184043842</v>
      </c>
      <c r="S113">
        <f>+bma!S113/data!$AJ113</f>
        <v>0</v>
      </c>
    </row>
    <row r="114" spans="1:19" x14ac:dyDescent="0.25">
      <c r="A114">
        <f>+data!AH114</f>
        <v>-1.7944444444444447</v>
      </c>
      <c r="B114">
        <f>+data!AL114</f>
        <v>47.499684534365045</v>
      </c>
      <c r="C114">
        <f>+bma!C114/data!$AJ114</f>
        <v>0</v>
      </c>
      <c r="D114">
        <f>+bma!D114/data!$AJ114</f>
        <v>0</v>
      </c>
      <c r="E114">
        <f>+bma!E114/data!$AJ114</f>
        <v>0</v>
      </c>
      <c r="F114">
        <f>+bma!F114/data!$AJ114</f>
        <v>47.499684534365045</v>
      </c>
      <c r="G114">
        <f>+bma!G114/data!$AJ114</f>
        <v>0</v>
      </c>
      <c r="H114">
        <f>+bma!H114/data!$AJ114</f>
        <v>47.499684534365045</v>
      </c>
      <c r="I114">
        <f>+bma!I114/data!$AJ114</f>
        <v>47.499684534365045</v>
      </c>
      <c r="J114">
        <f>+bma!L114/data!$AJ114</f>
        <v>0</v>
      </c>
      <c r="K114">
        <f>+bma!M114/data!$AJ114</f>
        <v>47.499684534365045</v>
      </c>
      <c r="L114">
        <f>+bma!J114/data!$AJ114</f>
        <v>0</v>
      </c>
      <c r="M114">
        <f>+bma!K114/data!$AJ114</f>
        <v>0</v>
      </c>
      <c r="N114">
        <f>+bma!N114/data!$AJ114</f>
        <v>0</v>
      </c>
      <c r="O114">
        <f>+bma!O114/data!$AJ114</f>
        <v>0</v>
      </c>
      <c r="P114">
        <f>+bma!P114/data!$AJ114</f>
        <v>0</v>
      </c>
      <c r="Q114">
        <f>+bma!Q114/data!$AJ114</f>
        <v>361.30103044597985</v>
      </c>
      <c r="R114">
        <f>+bma!R114/data!$AJ114</f>
        <v>177.5381458935602</v>
      </c>
      <c r="S114">
        <f>+bma!S114/data!$AJ114</f>
        <v>0</v>
      </c>
    </row>
    <row r="115" spans="1:19" x14ac:dyDescent="0.25">
      <c r="A115">
        <f>+data!AH115</f>
        <v>-1.2199999999999995</v>
      </c>
      <c r="B115">
        <f>+data!AL115</f>
        <v>6.1227771476675512</v>
      </c>
      <c r="C115">
        <f>+bma!C115/data!$AJ115</f>
        <v>6.1227771476675512</v>
      </c>
      <c r="D115">
        <f>+bma!D115/data!$AJ115</f>
        <v>6.1227771476675512</v>
      </c>
      <c r="E115">
        <f>+bma!E115/data!$AJ115</f>
        <v>0</v>
      </c>
      <c r="F115">
        <f>+bma!F115/data!$AJ115</f>
        <v>0</v>
      </c>
      <c r="G115">
        <f>+bma!G115/data!$AJ115</f>
        <v>6.1227771476675512</v>
      </c>
      <c r="H115">
        <f>+bma!H115/data!$AJ115</f>
        <v>0</v>
      </c>
      <c r="I115">
        <f>+bma!I115/data!$AJ115</f>
        <v>6.1227771476675512</v>
      </c>
      <c r="J115">
        <f>+bma!L115/data!$AJ115</f>
        <v>6.1227771476675512</v>
      </c>
      <c r="K115">
        <f>+bma!M115/data!$AJ115</f>
        <v>0</v>
      </c>
      <c r="L115">
        <f>+bma!J115/data!$AJ115</f>
        <v>0</v>
      </c>
      <c r="M115">
        <f>+bma!K115/data!$AJ115</f>
        <v>0</v>
      </c>
      <c r="N115">
        <f>+bma!N115/data!$AJ115</f>
        <v>0</v>
      </c>
      <c r="O115">
        <f>+bma!O115/data!$AJ115</f>
        <v>6.1227771476675512</v>
      </c>
      <c r="P115">
        <f>+bma!P115/data!$AJ115</f>
        <v>6.1227771476675512</v>
      </c>
      <c r="Q115">
        <f>+bma!Q115/data!$AJ115</f>
        <v>46.477095156926524</v>
      </c>
      <c r="R115">
        <f>+bma!R115/data!$AJ115</f>
        <v>13.453119018283834</v>
      </c>
      <c r="S115">
        <f>+bma!S115/data!$AJ115</f>
        <v>6.1227771476675512</v>
      </c>
    </row>
    <row r="116" spans="1:19" x14ac:dyDescent="0.25">
      <c r="A116">
        <f>+data!AH116</f>
        <v>-3.5172413793103443</v>
      </c>
      <c r="B116">
        <f>+data!AL116</f>
        <v>22.144321776029468</v>
      </c>
      <c r="C116">
        <f>+bma!C116/data!$AJ116</f>
        <v>22.144321776029468</v>
      </c>
      <c r="D116">
        <f>+bma!D116/data!$AJ116</f>
        <v>0</v>
      </c>
      <c r="E116">
        <f>+bma!E116/data!$AJ116</f>
        <v>22.144321776029468</v>
      </c>
      <c r="F116">
        <f>+bma!F116/data!$AJ116</f>
        <v>0</v>
      </c>
      <c r="G116">
        <f>+bma!G116/data!$AJ116</f>
        <v>0</v>
      </c>
      <c r="H116">
        <f>+bma!H116/data!$AJ116</f>
        <v>0</v>
      </c>
      <c r="I116">
        <f>+bma!I116/data!$AJ116</f>
        <v>0</v>
      </c>
      <c r="J116">
        <f>+bma!L116/data!$AJ116</f>
        <v>0</v>
      </c>
      <c r="K116">
        <f>+bma!M116/data!$AJ116</f>
        <v>22.144321776029468</v>
      </c>
      <c r="L116">
        <f>+bma!J116/data!$AJ116</f>
        <v>0</v>
      </c>
      <c r="M116">
        <f>+bma!K116/data!$AJ116</f>
        <v>0</v>
      </c>
      <c r="N116">
        <f>+bma!N116/data!$AJ116</f>
        <v>0</v>
      </c>
      <c r="O116">
        <f>+bma!O116/data!$AJ116</f>
        <v>0</v>
      </c>
      <c r="P116">
        <f>+bma!P116/data!$AJ116</f>
        <v>0</v>
      </c>
      <c r="Q116">
        <f>+bma!Q116/data!$AJ116</f>
        <v>168.46029273685284</v>
      </c>
      <c r="R116">
        <f>+bma!R116/data!$AJ116</f>
        <v>39.677287841096785</v>
      </c>
      <c r="S116">
        <f>+bma!S116/data!$AJ116</f>
        <v>22.144321776029468</v>
      </c>
    </row>
    <row r="117" spans="1:19" x14ac:dyDescent="0.25">
      <c r="A117">
        <f>+data!AH117</f>
        <v>-7.7777777777777795</v>
      </c>
      <c r="B117">
        <f>+data!AL117</f>
        <v>24.464133484766919</v>
      </c>
      <c r="C117">
        <f>+bma!C117/data!$AJ117</f>
        <v>0</v>
      </c>
      <c r="D117">
        <f>+bma!D117/data!$AJ117</f>
        <v>0</v>
      </c>
      <c r="E117">
        <f>+bma!E117/data!$AJ117</f>
        <v>24.464133484766919</v>
      </c>
      <c r="F117">
        <f>+bma!F117/data!$AJ117</f>
        <v>0</v>
      </c>
      <c r="G117">
        <f>+bma!G117/data!$AJ117</f>
        <v>0</v>
      </c>
      <c r="H117">
        <f>+bma!H117/data!$AJ117</f>
        <v>0</v>
      </c>
      <c r="I117">
        <f>+bma!I117/data!$AJ117</f>
        <v>0</v>
      </c>
      <c r="J117">
        <f>+bma!L117/data!$AJ117</f>
        <v>0</v>
      </c>
      <c r="K117">
        <f>+bma!M117/data!$AJ117</f>
        <v>24.464133484766919</v>
      </c>
      <c r="L117">
        <f>+bma!J117/data!$AJ117</f>
        <v>0</v>
      </c>
      <c r="M117">
        <f>+bma!K117/data!$AJ117</f>
        <v>0</v>
      </c>
      <c r="N117">
        <f>+bma!N117/data!$AJ117</f>
        <v>0</v>
      </c>
      <c r="O117">
        <f>+bma!O117/data!$AJ117</f>
        <v>0</v>
      </c>
      <c r="P117">
        <f>+bma!P117/data!$AJ117</f>
        <v>0</v>
      </c>
      <c r="Q117">
        <f>+bma!Q117/data!$AJ117</f>
        <v>186.10798425347966</v>
      </c>
      <c r="R117">
        <f>+bma!R117/data!$AJ117</f>
        <v>43.833831348532492</v>
      </c>
      <c r="S117">
        <f>+bma!S117/data!$AJ117</f>
        <v>24.464133484766919</v>
      </c>
    </row>
    <row r="118" spans="1:19" x14ac:dyDescent="0.25">
      <c r="A118">
        <f>+data!AH118</f>
        <v>-4.4594594594594597</v>
      </c>
      <c r="B118">
        <f>+data!AL118</f>
        <v>24.328723325948744</v>
      </c>
      <c r="C118">
        <f>+bma!C118/data!$AJ118</f>
        <v>24.328723325948744</v>
      </c>
      <c r="D118">
        <f>+bma!D118/data!$AJ118</f>
        <v>0</v>
      </c>
      <c r="E118">
        <f>+bma!E118/data!$AJ118</f>
        <v>24.328723325948744</v>
      </c>
      <c r="F118">
        <f>+bma!F118/data!$AJ118</f>
        <v>0</v>
      </c>
      <c r="G118">
        <f>+bma!G118/data!$AJ118</f>
        <v>0</v>
      </c>
      <c r="H118">
        <f>+bma!H118/data!$AJ118</f>
        <v>0</v>
      </c>
      <c r="I118">
        <f>+bma!I118/data!$AJ118</f>
        <v>0</v>
      </c>
      <c r="J118">
        <f>+bma!L118/data!$AJ118</f>
        <v>0</v>
      </c>
      <c r="K118">
        <f>+bma!M118/data!$AJ118</f>
        <v>24.328723325948744</v>
      </c>
      <c r="L118">
        <f>+bma!J118/data!$AJ118</f>
        <v>0</v>
      </c>
      <c r="M118">
        <f>+bma!K118/data!$AJ118</f>
        <v>0</v>
      </c>
      <c r="N118">
        <f>+bma!N118/data!$AJ118</f>
        <v>0</v>
      </c>
      <c r="O118">
        <f>+bma!O118/data!$AJ118</f>
        <v>0</v>
      </c>
      <c r="P118">
        <f>+bma!P118/data!$AJ118</f>
        <v>0</v>
      </c>
      <c r="Q118">
        <f>+bma!Q118/data!$AJ118</f>
        <v>185.07786758407929</v>
      </c>
      <c r="R118">
        <f>+bma!R118/data!$AJ118</f>
        <v>43.591208977778599</v>
      </c>
      <c r="S118">
        <f>+bma!S118/data!$AJ118</f>
        <v>24.328723325948744</v>
      </c>
    </row>
    <row r="119" spans="1:19" x14ac:dyDescent="0.25">
      <c r="A119">
        <f>+data!AH119</f>
        <v>-3.4000000000000035</v>
      </c>
      <c r="B119">
        <f>+data!AL119</f>
        <v>6.6000000000000014</v>
      </c>
      <c r="C119">
        <f>+bma!C119/data!$AJ119</f>
        <v>6.6000000000000014</v>
      </c>
      <c r="D119">
        <f>+bma!D119/data!$AJ119</f>
        <v>6.6000000000000014</v>
      </c>
      <c r="E119">
        <f>+bma!E119/data!$AJ119</f>
        <v>0</v>
      </c>
      <c r="F119">
        <f>+bma!F119/data!$AJ119</f>
        <v>6.6000000000000014</v>
      </c>
      <c r="G119">
        <f>+bma!G119/data!$AJ119</f>
        <v>0</v>
      </c>
      <c r="H119">
        <f>+bma!H119/data!$AJ119</f>
        <v>0</v>
      </c>
      <c r="I119">
        <f>+bma!I119/data!$AJ119</f>
        <v>0</v>
      </c>
      <c r="J119">
        <f>+bma!L119/data!$AJ119</f>
        <v>6.6000000000000014</v>
      </c>
      <c r="K119">
        <f>+bma!M119/data!$AJ119</f>
        <v>0</v>
      </c>
      <c r="L119">
        <f>+bma!J119/data!$AJ119</f>
        <v>0</v>
      </c>
      <c r="M119">
        <f>+bma!K119/data!$AJ119</f>
        <v>0</v>
      </c>
      <c r="N119">
        <f>+bma!N119/data!$AJ119</f>
        <v>0</v>
      </c>
      <c r="O119">
        <f>+bma!O119/data!$AJ119</f>
        <v>0</v>
      </c>
      <c r="P119">
        <f>+bma!P119/data!$AJ119</f>
        <v>6.6000000000000014</v>
      </c>
      <c r="Q119">
        <f>+bma!Q119/data!$AJ119</f>
        <v>50.126234400000008</v>
      </c>
      <c r="R119">
        <f>+bma!R119/data!$AJ119</f>
        <v>23.832058800000002</v>
      </c>
      <c r="S119">
        <f>+bma!S119/data!$AJ119</f>
        <v>6.6000000000000014</v>
      </c>
    </row>
    <row r="120" spans="1:19" x14ac:dyDescent="0.25">
      <c r="A120">
        <f>+data!AH120</f>
        <v>-3.73</v>
      </c>
      <c r="B120">
        <f>+data!AL120</f>
        <v>7.4103238795615418</v>
      </c>
      <c r="C120">
        <f>+bma!C120/data!$AJ120</f>
        <v>7.4103238795615418</v>
      </c>
      <c r="D120">
        <f>+bma!D120/data!$AJ120</f>
        <v>7.4103238795615418</v>
      </c>
      <c r="E120">
        <f>+bma!E120/data!$AJ120</f>
        <v>0</v>
      </c>
      <c r="F120">
        <f>+bma!F120/data!$AJ120</f>
        <v>7.4103238795615418</v>
      </c>
      <c r="G120">
        <f>+bma!G120/data!$AJ120</f>
        <v>0</v>
      </c>
      <c r="H120">
        <f>+bma!H120/data!$AJ120</f>
        <v>0</v>
      </c>
      <c r="I120">
        <f>+bma!I120/data!$AJ120</f>
        <v>0</v>
      </c>
      <c r="J120">
        <f>+bma!L120/data!$AJ120</f>
        <v>7.4103238795615418</v>
      </c>
      <c r="K120">
        <f>+bma!M120/data!$AJ120</f>
        <v>0</v>
      </c>
      <c r="L120">
        <f>+bma!J120/data!$AJ120</f>
        <v>0</v>
      </c>
      <c r="M120">
        <f>+bma!K120/data!$AJ120</f>
        <v>0</v>
      </c>
      <c r="N120">
        <f>+bma!N120/data!$AJ120</f>
        <v>0</v>
      </c>
      <c r="O120">
        <f>+bma!O120/data!$AJ120</f>
        <v>0</v>
      </c>
      <c r="P120">
        <f>+bma!P120/data!$AJ120</f>
        <v>7.4103238795615418</v>
      </c>
      <c r="Q120">
        <f>+bma!Q120/data!$AJ120</f>
        <v>56.28055026769988</v>
      </c>
      <c r="R120">
        <f>+bma!R120/data!$AJ120</f>
        <v>26.758071882538601</v>
      </c>
      <c r="S120">
        <f>+bma!S120/data!$AJ120</f>
        <v>7.4103238795615418</v>
      </c>
    </row>
    <row r="121" spans="1:19" x14ac:dyDescent="0.25">
      <c r="A121">
        <f>+data!AH121</f>
        <v>-3.530000000000002</v>
      </c>
      <c r="B121">
        <f>+data!AL121</f>
        <v>7.1736253038474223</v>
      </c>
      <c r="C121">
        <f>+bma!C121/data!$AJ121</f>
        <v>7.1736253038474223</v>
      </c>
      <c r="D121">
        <f>+bma!D121/data!$AJ121</f>
        <v>7.1736253038474223</v>
      </c>
      <c r="E121">
        <f>+bma!E121/data!$AJ121</f>
        <v>0</v>
      </c>
      <c r="F121">
        <f>+bma!F121/data!$AJ121</f>
        <v>7.1736253038474223</v>
      </c>
      <c r="G121">
        <f>+bma!G121/data!$AJ121</f>
        <v>0</v>
      </c>
      <c r="H121">
        <f>+bma!H121/data!$AJ121</f>
        <v>0</v>
      </c>
      <c r="I121">
        <f>+bma!I121/data!$AJ121</f>
        <v>0</v>
      </c>
      <c r="J121">
        <f>+bma!L121/data!$AJ121</f>
        <v>7.1736253038474223</v>
      </c>
      <c r="K121">
        <f>+bma!M121/data!$AJ121</f>
        <v>0</v>
      </c>
      <c r="L121">
        <f>+bma!J121/data!$AJ121</f>
        <v>0</v>
      </c>
      <c r="M121">
        <f>+bma!K121/data!$AJ121</f>
        <v>0</v>
      </c>
      <c r="N121">
        <f>+bma!N121/data!$AJ121</f>
        <v>0</v>
      </c>
      <c r="O121">
        <f>+bma!O121/data!$AJ121</f>
        <v>0</v>
      </c>
      <c r="P121">
        <f>+bma!P121/data!$AJ121</f>
        <v>7.1736253038474223</v>
      </c>
      <c r="Q121">
        <f>+bma!Q121/data!$AJ121</f>
        <v>54.482852042185932</v>
      </c>
      <c r="R121">
        <f>+bma!R121/data!$AJ121</f>
        <v>25.903372734918126</v>
      </c>
      <c r="S121">
        <f>+bma!S121/data!$AJ121</f>
        <v>7.1736253038474223</v>
      </c>
    </row>
    <row r="122" spans="1:19" x14ac:dyDescent="0.25">
      <c r="A122">
        <f>+data!AH122</f>
        <v>-0.30100000000000027</v>
      </c>
      <c r="B122">
        <f>+data!AL122</f>
        <v>5.6648566619112257</v>
      </c>
      <c r="C122">
        <f>+bma!C122/data!$AJ122</f>
        <v>5.6648566619112257</v>
      </c>
      <c r="D122">
        <f>+bma!D122/data!$AJ122</f>
        <v>5.6648566619112257</v>
      </c>
      <c r="E122">
        <f>+bma!E122/data!$AJ122</f>
        <v>0</v>
      </c>
      <c r="F122">
        <f>+bma!F122/data!$AJ122</f>
        <v>5.6648566619112257</v>
      </c>
      <c r="G122">
        <f>+bma!G122/data!$AJ122</f>
        <v>0</v>
      </c>
      <c r="H122">
        <f>+bma!H122/data!$AJ122</f>
        <v>0</v>
      </c>
      <c r="I122">
        <f>+bma!I122/data!$AJ122</f>
        <v>0</v>
      </c>
      <c r="J122">
        <f>+bma!L122/data!$AJ122</f>
        <v>5.6648566619112257</v>
      </c>
      <c r="K122">
        <f>+bma!M122/data!$AJ122</f>
        <v>0</v>
      </c>
      <c r="L122">
        <f>+bma!J122/data!$AJ122</f>
        <v>0</v>
      </c>
      <c r="M122">
        <f>+bma!K122/data!$AJ122</f>
        <v>0</v>
      </c>
      <c r="N122">
        <f>+bma!N122/data!$AJ122</f>
        <v>0</v>
      </c>
      <c r="O122">
        <f>+bma!O122/data!$AJ122</f>
        <v>5.6648566619112257</v>
      </c>
      <c r="P122">
        <f>+bma!P122/data!$AJ122</f>
        <v>5.6648566619112257</v>
      </c>
      <c r="Q122">
        <f>+bma!Q122/data!$AJ122</f>
        <v>43.023929223842984</v>
      </c>
      <c r="R122">
        <f>+bma!R122/data!$AJ122</f>
        <v>20.455332887915159</v>
      </c>
      <c r="S122">
        <f>+bma!S122/data!$AJ122</f>
        <v>5.6648566619112257</v>
      </c>
    </row>
    <row r="123" spans="1:19" x14ac:dyDescent="0.25">
      <c r="A123">
        <f>+data!AH123</f>
        <v>2.6600000000000024</v>
      </c>
      <c r="B123">
        <f>+data!AL123</f>
        <v>6.251047912150411</v>
      </c>
      <c r="C123">
        <f>+bma!C123/data!$AJ123</f>
        <v>6.251047912150411</v>
      </c>
      <c r="D123">
        <f>+bma!D123/data!$AJ123</f>
        <v>6.251047912150411</v>
      </c>
      <c r="E123">
        <f>+bma!E123/data!$AJ123</f>
        <v>0</v>
      </c>
      <c r="F123">
        <f>+bma!F123/data!$AJ123</f>
        <v>6.251047912150411</v>
      </c>
      <c r="G123">
        <f>+bma!G123/data!$AJ123</f>
        <v>0</v>
      </c>
      <c r="H123">
        <f>+bma!H123/data!$AJ123</f>
        <v>0</v>
      </c>
      <c r="I123">
        <f>+bma!I123/data!$AJ123</f>
        <v>0</v>
      </c>
      <c r="J123">
        <f>+bma!L123/data!$AJ123</f>
        <v>6.251047912150411</v>
      </c>
      <c r="K123">
        <f>+bma!M123/data!$AJ123</f>
        <v>0</v>
      </c>
      <c r="L123">
        <f>+bma!J123/data!$AJ123</f>
        <v>0</v>
      </c>
      <c r="M123">
        <f>+bma!K123/data!$AJ123</f>
        <v>0</v>
      </c>
      <c r="N123">
        <f>+bma!N123/data!$AJ123</f>
        <v>6.251047912150411</v>
      </c>
      <c r="O123">
        <f>+bma!O123/data!$AJ123</f>
        <v>0</v>
      </c>
      <c r="P123">
        <f>+bma!P123/data!$AJ123</f>
        <v>6.251047912150411</v>
      </c>
      <c r="Q123">
        <f>+bma!Q123/data!$AJ123</f>
        <v>47.475983771224563</v>
      </c>
      <c r="R123">
        <f>+bma!R123/data!$AJ123</f>
        <v>22.572021424846337</v>
      </c>
      <c r="S123">
        <f>+bma!S123/data!$AJ123</f>
        <v>6.251047912150411</v>
      </c>
    </row>
    <row r="124" spans="1:19" x14ac:dyDescent="0.25">
      <c r="A124">
        <f>+data!AH124</f>
        <v>2.69</v>
      </c>
      <c r="B124">
        <f>+data!AL124</f>
        <v>6.945221378761083</v>
      </c>
      <c r="C124">
        <f>+bma!C124/data!$AJ124</f>
        <v>6.945221378761083</v>
      </c>
      <c r="D124">
        <f>+bma!D124/data!$AJ124</f>
        <v>6.945221378761083</v>
      </c>
      <c r="E124">
        <f>+bma!E124/data!$AJ124</f>
        <v>0</v>
      </c>
      <c r="F124">
        <f>+bma!F124/data!$AJ124</f>
        <v>6.945221378761083</v>
      </c>
      <c r="G124">
        <f>+bma!G124/data!$AJ124</f>
        <v>0</v>
      </c>
      <c r="H124">
        <f>+bma!H124/data!$AJ124</f>
        <v>0</v>
      </c>
      <c r="I124">
        <f>+bma!I124/data!$AJ124</f>
        <v>0</v>
      </c>
      <c r="J124">
        <f>+bma!L124/data!$AJ124</f>
        <v>6.945221378761083</v>
      </c>
      <c r="K124">
        <f>+bma!M124/data!$AJ124</f>
        <v>0</v>
      </c>
      <c r="L124">
        <f>+bma!J124/data!$AJ124</f>
        <v>0</v>
      </c>
      <c r="M124">
        <f>+bma!K124/data!$AJ124</f>
        <v>0</v>
      </c>
      <c r="N124">
        <f>+bma!N124/data!$AJ124</f>
        <v>6.945221378761083</v>
      </c>
      <c r="O124">
        <f>+bma!O124/data!$AJ124</f>
        <v>0</v>
      </c>
      <c r="P124">
        <f>+bma!P124/data!$AJ124</f>
        <v>6.945221378761083</v>
      </c>
      <c r="Q124">
        <f>+bma!Q124/data!$AJ124</f>
        <v>52.748150726010493</v>
      </c>
      <c r="R124">
        <f>+bma!R124/data!$AJ124</f>
        <v>25.078624890553211</v>
      </c>
      <c r="S124">
        <f>+bma!S124/data!$AJ124</f>
        <v>6.945221378761083</v>
      </c>
    </row>
    <row r="125" spans="1:19" x14ac:dyDescent="0.25">
      <c r="A125">
        <f>+data!AH125</f>
        <v>1.2699999999999994</v>
      </c>
      <c r="B125">
        <f>+data!AL125</f>
        <v>6.3728251192073371</v>
      </c>
      <c r="C125">
        <f>+bma!C125/data!$AJ125</f>
        <v>6.3728251192073371</v>
      </c>
      <c r="D125">
        <f>+bma!D125/data!$AJ125</f>
        <v>6.3728251192073371</v>
      </c>
      <c r="E125">
        <f>+bma!E125/data!$AJ125</f>
        <v>0</v>
      </c>
      <c r="F125">
        <f>+bma!F125/data!$AJ125</f>
        <v>6.3728251192073371</v>
      </c>
      <c r="G125">
        <f>+bma!G125/data!$AJ125</f>
        <v>0</v>
      </c>
      <c r="H125">
        <f>+bma!H125/data!$AJ125</f>
        <v>0</v>
      </c>
      <c r="I125">
        <f>+bma!I125/data!$AJ125</f>
        <v>0</v>
      </c>
      <c r="J125">
        <f>+bma!L125/data!$AJ125</f>
        <v>6.3728251192073371</v>
      </c>
      <c r="K125">
        <f>+bma!M125/data!$AJ125</f>
        <v>0</v>
      </c>
      <c r="L125">
        <f>+bma!J125/data!$AJ125</f>
        <v>0</v>
      </c>
      <c r="M125">
        <f>+bma!K125/data!$AJ125</f>
        <v>0</v>
      </c>
      <c r="N125">
        <f>+bma!N125/data!$AJ125</f>
        <v>6.3728251192073371</v>
      </c>
      <c r="O125">
        <f>+bma!O125/data!$AJ125</f>
        <v>0</v>
      </c>
      <c r="P125">
        <f>+bma!P125/data!$AJ125</f>
        <v>6.3728251192073371</v>
      </c>
      <c r="Q125">
        <f>+bma!Q125/data!$AJ125</f>
        <v>48.400867532665899</v>
      </c>
      <c r="R125">
        <f>+bma!R125/data!$AJ125</f>
        <v>23.011748933797918</v>
      </c>
      <c r="S125">
        <f>+bma!S125/data!$AJ125</f>
        <v>6.3728251192073371</v>
      </c>
    </row>
    <row r="126" spans="1:19" x14ac:dyDescent="0.25">
      <c r="A126">
        <f>+data!AH126</f>
        <v>-3.7200000000000037</v>
      </c>
      <c r="B126">
        <f>+data!AL126</f>
        <v>7.3374655024742728</v>
      </c>
      <c r="C126">
        <f>+bma!C126/data!$AJ126</f>
        <v>7.3374655024742728</v>
      </c>
      <c r="D126">
        <f>+bma!D126/data!$AJ126</f>
        <v>0</v>
      </c>
      <c r="E126">
        <f>+bma!E126/data!$AJ126</f>
        <v>7.3374655024742728</v>
      </c>
      <c r="F126">
        <f>+bma!F126/data!$AJ126</f>
        <v>7.3374655024742728</v>
      </c>
      <c r="G126">
        <f>+bma!G126/data!$AJ126</f>
        <v>0</v>
      </c>
      <c r="H126">
        <f>+bma!H126/data!$AJ126</f>
        <v>0</v>
      </c>
      <c r="I126">
        <f>+bma!I126/data!$AJ126</f>
        <v>0</v>
      </c>
      <c r="J126">
        <f>+bma!L126/data!$AJ126</f>
        <v>7.3374655024742728</v>
      </c>
      <c r="K126">
        <f>+bma!M126/data!$AJ126</f>
        <v>0</v>
      </c>
      <c r="L126">
        <f>+bma!J126/data!$AJ126</f>
        <v>0</v>
      </c>
      <c r="M126">
        <f>+bma!K126/data!$AJ126</f>
        <v>0</v>
      </c>
      <c r="N126">
        <f>+bma!N126/data!$AJ126</f>
        <v>0</v>
      </c>
      <c r="O126">
        <f>+bma!O126/data!$AJ126</f>
        <v>0</v>
      </c>
      <c r="P126">
        <f>+bma!P126/data!$AJ126</f>
        <v>7.3374655024742728</v>
      </c>
      <c r="Q126">
        <f>+bma!Q126/data!$AJ126</f>
        <v>55.727199345293819</v>
      </c>
      <c r="R126">
        <f>+bma!R126/data!$AJ126</f>
        <v>26.494986257263395</v>
      </c>
      <c r="S126">
        <f>+bma!S126/data!$AJ126</f>
        <v>7.3374655024742728</v>
      </c>
    </row>
    <row r="127" spans="1:19" x14ac:dyDescent="0.25">
      <c r="A127">
        <f>+data!AH127</f>
        <v>-3.5700000000000021</v>
      </c>
      <c r="B127">
        <f>+data!AL127</f>
        <v>7.1235454655669894</v>
      </c>
      <c r="C127">
        <f>+bma!C127/data!$AJ127</f>
        <v>7.1235454655669894</v>
      </c>
      <c r="D127">
        <f>+bma!D127/data!$AJ127</f>
        <v>0</v>
      </c>
      <c r="E127">
        <f>+bma!E127/data!$AJ127</f>
        <v>7.1235454655669894</v>
      </c>
      <c r="F127">
        <f>+bma!F127/data!$AJ127</f>
        <v>7.1235454655669894</v>
      </c>
      <c r="G127">
        <f>+bma!G127/data!$AJ127</f>
        <v>0</v>
      </c>
      <c r="H127">
        <f>+bma!H127/data!$AJ127</f>
        <v>0</v>
      </c>
      <c r="I127">
        <f>+bma!I127/data!$AJ127</f>
        <v>0</v>
      </c>
      <c r="J127">
        <f>+bma!L127/data!$AJ127</f>
        <v>7.1235454655669894</v>
      </c>
      <c r="K127">
        <f>+bma!M127/data!$AJ127</f>
        <v>0</v>
      </c>
      <c r="L127">
        <f>+bma!J127/data!$AJ127</f>
        <v>0</v>
      </c>
      <c r="M127">
        <f>+bma!K127/data!$AJ127</f>
        <v>0</v>
      </c>
      <c r="N127">
        <f>+bma!N127/data!$AJ127</f>
        <v>0</v>
      </c>
      <c r="O127">
        <f>+bma!O127/data!$AJ127</f>
        <v>0</v>
      </c>
      <c r="P127">
        <f>+bma!P127/data!$AJ127</f>
        <v>7.1235454655669894</v>
      </c>
      <c r="Q127">
        <f>+bma!Q127/data!$AJ127</f>
        <v>54.102501479707279</v>
      </c>
      <c r="R127">
        <f>+bma!R127/data!$AJ127</f>
        <v>25.722538545434222</v>
      </c>
      <c r="S127">
        <f>+bma!S127/data!$AJ127</f>
        <v>7.1235454655669894</v>
      </c>
    </row>
    <row r="128" spans="1:19" x14ac:dyDescent="0.25">
      <c r="A128">
        <f>+data!AH128</f>
        <v>2.8600000000000008</v>
      </c>
      <c r="B128">
        <f>+data!AL128</f>
        <v>6.9411526420328782</v>
      </c>
      <c r="C128">
        <f>+bma!C128/data!$AJ128</f>
        <v>6.9411526420328782</v>
      </c>
      <c r="D128">
        <f>+bma!D128/data!$AJ128</f>
        <v>0</v>
      </c>
      <c r="E128">
        <f>+bma!E128/data!$AJ128</f>
        <v>6.9411526420328782</v>
      </c>
      <c r="F128">
        <f>+bma!F128/data!$AJ128</f>
        <v>6.9411526420328782</v>
      </c>
      <c r="G128">
        <f>+bma!G128/data!$AJ128</f>
        <v>0</v>
      </c>
      <c r="H128">
        <f>+bma!H128/data!$AJ128</f>
        <v>0</v>
      </c>
      <c r="I128">
        <f>+bma!I128/data!$AJ128</f>
        <v>0</v>
      </c>
      <c r="J128">
        <f>+bma!L128/data!$AJ128</f>
        <v>6.9411526420328782</v>
      </c>
      <c r="K128">
        <f>+bma!M128/data!$AJ128</f>
        <v>0</v>
      </c>
      <c r="L128">
        <f>+bma!J128/data!$AJ128</f>
        <v>0</v>
      </c>
      <c r="M128">
        <f>+bma!K128/data!$AJ128</f>
        <v>0</v>
      </c>
      <c r="N128">
        <f>+bma!N128/data!$AJ128</f>
        <v>6.9411526420328782</v>
      </c>
      <c r="O128">
        <f>+bma!O128/data!$AJ128</f>
        <v>0</v>
      </c>
      <c r="P128">
        <f>+bma!P128/data!$AJ128</f>
        <v>6.9411526420328782</v>
      </c>
      <c r="Q128">
        <f>+bma!Q128/data!$AJ128</f>
        <v>52.717249142533241</v>
      </c>
      <c r="R128">
        <f>+bma!R128/data!$AJ128</f>
        <v>25.063933015864077</v>
      </c>
      <c r="S128">
        <f>+bma!S128/data!$AJ128</f>
        <v>6.9411526420328782</v>
      </c>
    </row>
    <row r="129" spans="1:19" x14ac:dyDescent="0.25">
      <c r="A129">
        <f>+data!AH129</f>
        <v>1.5500000000000003</v>
      </c>
      <c r="B129">
        <f>+data!AL129</f>
        <v>6.3562960912783169</v>
      </c>
      <c r="C129">
        <f>+bma!C129/data!$AJ129</f>
        <v>6.3562960912783169</v>
      </c>
      <c r="D129">
        <f>+bma!D129/data!$AJ129</f>
        <v>0</v>
      </c>
      <c r="E129">
        <f>+bma!E129/data!$AJ129</f>
        <v>6.3562960912783169</v>
      </c>
      <c r="F129">
        <f>+bma!F129/data!$AJ129</f>
        <v>6.3562960912783169</v>
      </c>
      <c r="G129">
        <f>+bma!G129/data!$AJ129</f>
        <v>0</v>
      </c>
      <c r="H129">
        <f>+bma!H129/data!$AJ129</f>
        <v>0</v>
      </c>
      <c r="I129">
        <f>+bma!I129/data!$AJ129</f>
        <v>0</v>
      </c>
      <c r="J129">
        <f>+bma!L129/data!$AJ129</f>
        <v>6.3562960912783169</v>
      </c>
      <c r="K129">
        <f>+bma!M129/data!$AJ129</f>
        <v>0</v>
      </c>
      <c r="L129">
        <f>+bma!J129/data!$AJ129</f>
        <v>0</v>
      </c>
      <c r="M129">
        <f>+bma!K129/data!$AJ129</f>
        <v>0</v>
      </c>
      <c r="N129">
        <f>+bma!N129/data!$AJ129</f>
        <v>6.3562960912783169</v>
      </c>
      <c r="O129">
        <f>+bma!O129/data!$AJ129</f>
        <v>0</v>
      </c>
      <c r="P129">
        <f>+bma!P129/data!$AJ129</f>
        <v>6.3562960912783169</v>
      </c>
      <c r="Q129">
        <f>+bma!Q129/data!$AJ129</f>
        <v>48.275331482912229</v>
      </c>
      <c r="R129">
        <f>+bma!R129/data!$AJ129</f>
        <v>22.952063969326517</v>
      </c>
      <c r="S129">
        <f>+bma!S129/data!$AJ129</f>
        <v>6.3562960912783169</v>
      </c>
    </row>
    <row r="130" spans="1:19" x14ac:dyDescent="0.25">
      <c r="A130">
        <f>+data!AH130</f>
        <v>-3.8200000000000007</v>
      </c>
      <c r="B130">
        <f>+data!AL130</f>
        <v>7.3886669975036776</v>
      </c>
      <c r="C130">
        <f>+bma!C130/data!$AJ130</f>
        <v>7.3886669975036776</v>
      </c>
      <c r="D130">
        <f>+bma!D130/data!$AJ130</f>
        <v>0</v>
      </c>
      <c r="E130">
        <f>+bma!E130/data!$AJ130</f>
        <v>7.3886669975036776</v>
      </c>
      <c r="F130">
        <f>+bma!F130/data!$AJ130</f>
        <v>7.3886669975036776</v>
      </c>
      <c r="G130">
        <f>+bma!G130/data!$AJ130</f>
        <v>0</v>
      </c>
      <c r="H130">
        <f>+bma!H130/data!$AJ130</f>
        <v>0</v>
      </c>
      <c r="I130">
        <f>+bma!I130/data!$AJ130</f>
        <v>0</v>
      </c>
      <c r="J130">
        <f>+bma!L130/data!$AJ130</f>
        <v>7.3886669975036776</v>
      </c>
      <c r="K130">
        <f>+bma!M130/data!$AJ130</f>
        <v>0</v>
      </c>
      <c r="L130">
        <f>+bma!J130/data!$AJ130</f>
        <v>0</v>
      </c>
      <c r="M130">
        <f>+bma!K130/data!$AJ130</f>
        <v>0</v>
      </c>
      <c r="N130">
        <f>+bma!N130/data!$AJ130</f>
        <v>0</v>
      </c>
      <c r="O130">
        <f>+bma!O130/data!$AJ130</f>
        <v>0</v>
      </c>
      <c r="P130">
        <f>+bma!P130/data!$AJ130</f>
        <v>7.3886669975036776</v>
      </c>
      <c r="Q130">
        <f>+bma!Q130/data!$AJ130</f>
        <v>56.116068760668725</v>
      </c>
      <c r="R130">
        <f>+bma!R130/data!$AJ130</f>
        <v>26.679870657291982</v>
      </c>
      <c r="S130">
        <f>+bma!S130/data!$AJ130</f>
        <v>7.3886669975036776</v>
      </c>
    </row>
    <row r="131" spans="1:19" x14ac:dyDescent="0.25">
      <c r="A131">
        <f>+data!AH131</f>
        <v>-3.7199999999999989</v>
      </c>
      <c r="B131">
        <f>+data!AL131</f>
        <v>7.199888888031535</v>
      </c>
      <c r="C131">
        <f>+bma!C131/data!$AJ131</f>
        <v>7.199888888031535</v>
      </c>
      <c r="D131">
        <f>+bma!D131/data!$AJ131</f>
        <v>0</v>
      </c>
      <c r="E131">
        <f>+bma!E131/data!$AJ131</f>
        <v>7.199888888031535</v>
      </c>
      <c r="F131">
        <f>+bma!F131/data!$AJ131</f>
        <v>7.199888888031535</v>
      </c>
      <c r="G131">
        <f>+bma!G131/data!$AJ131</f>
        <v>0</v>
      </c>
      <c r="H131">
        <f>+bma!H131/data!$AJ131</f>
        <v>0</v>
      </c>
      <c r="I131">
        <f>+bma!I131/data!$AJ131</f>
        <v>0</v>
      </c>
      <c r="J131">
        <f>+bma!L131/data!$AJ131</f>
        <v>7.199888888031535</v>
      </c>
      <c r="K131">
        <f>+bma!M131/data!$AJ131</f>
        <v>0</v>
      </c>
      <c r="L131">
        <f>+bma!J131/data!$AJ131</f>
        <v>0</v>
      </c>
      <c r="M131">
        <f>+bma!K131/data!$AJ131</f>
        <v>0</v>
      </c>
      <c r="N131">
        <f>+bma!N131/data!$AJ131</f>
        <v>0</v>
      </c>
      <c r="O131">
        <f>+bma!O131/data!$AJ131</f>
        <v>0</v>
      </c>
      <c r="P131">
        <f>+bma!P131/data!$AJ131</f>
        <v>7.199888888031535</v>
      </c>
      <c r="Q131">
        <f>+bma!Q131/data!$AJ131</f>
        <v>54.682320917488504</v>
      </c>
      <c r="R131">
        <f>+bma!R131/data!$AJ131</f>
        <v>25.998208383793052</v>
      </c>
      <c r="S131">
        <f>+bma!S131/data!$AJ131</f>
        <v>7.199888888031535</v>
      </c>
    </row>
    <row r="132" spans="1:19" x14ac:dyDescent="0.25">
      <c r="A132">
        <f>+data!AH132</f>
        <v>3.1099999999999994</v>
      </c>
      <c r="B132">
        <f>+data!AL132</f>
        <v>7.0478436418524506</v>
      </c>
      <c r="C132">
        <f>+bma!C132/data!$AJ132</f>
        <v>7.0478436418524506</v>
      </c>
      <c r="D132">
        <f>+bma!D132/data!$AJ132</f>
        <v>0</v>
      </c>
      <c r="E132">
        <f>+bma!E132/data!$AJ132</f>
        <v>7.0478436418524506</v>
      </c>
      <c r="F132">
        <f>+bma!F132/data!$AJ132</f>
        <v>7.0478436418524506</v>
      </c>
      <c r="G132">
        <f>+bma!G132/data!$AJ132</f>
        <v>0</v>
      </c>
      <c r="H132">
        <f>+bma!H132/data!$AJ132</f>
        <v>0</v>
      </c>
      <c r="I132">
        <f>+bma!I132/data!$AJ132</f>
        <v>0</v>
      </c>
      <c r="J132">
        <f>+bma!L132/data!$AJ132</f>
        <v>7.0478436418524506</v>
      </c>
      <c r="K132">
        <f>+bma!M132/data!$AJ132</f>
        <v>0</v>
      </c>
      <c r="L132">
        <f>+bma!J132/data!$AJ132</f>
        <v>0</v>
      </c>
      <c r="M132">
        <f>+bma!K132/data!$AJ132</f>
        <v>0</v>
      </c>
      <c r="N132">
        <f>+bma!N132/data!$AJ132</f>
        <v>7.0478436418524506</v>
      </c>
      <c r="O132">
        <f>+bma!O132/data!$AJ132</f>
        <v>0</v>
      </c>
      <c r="P132">
        <f>+bma!P132/data!$AJ132</f>
        <v>7.0478436418524506</v>
      </c>
      <c r="Q132">
        <f>+bma!Q132/data!$AJ132</f>
        <v>53.527554910006906</v>
      </c>
      <c r="R132">
        <f>+bma!R132/data!$AJ132</f>
        <v>25.449185467550564</v>
      </c>
      <c r="S132">
        <f>+bma!S132/data!$AJ132</f>
        <v>7.0478436418524506</v>
      </c>
    </row>
    <row r="133" spans="1:19" x14ac:dyDescent="0.25">
      <c r="A133">
        <f>+data!AH133</f>
        <v>2.0600000000000005</v>
      </c>
      <c r="B133">
        <f>+data!AL133</f>
        <v>6.4995076736626762</v>
      </c>
      <c r="C133">
        <f>+bma!C133/data!$AJ133</f>
        <v>6.4995076736626762</v>
      </c>
      <c r="D133">
        <f>+bma!D133/data!$AJ133</f>
        <v>0</v>
      </c>
      <c r="E133">
        <f>+bma!E133/data!$AJ133</f>
        <v>6.4995076736626762</v>
      </c>
      <c r="F133">
        <f>+bma!F133/data!$AJ133</f>
        <v>6.4995076736626762</v>
      </c>
      <c r="G133">
        <f>+bma!G133/data!$AJ133</f>
        <v>0</v>
      </c>
      <c r="H133">
        <f>+bma!H133/data!$AJ133</f>
        <v>0</v>
      </c>
      <c r="I133">
        <f>+bma!I133/data!$AJ133</f>
        <v>0</v>
      </c>
      <c r="J133">
        <f>+bma!L133/data!$AJ133</f>
        <v>6.4995076736626762</v>
      </c>
      <c r="K133">
        <f>+bma!M133/data!$AJ133</f>
        <v>0</v>
      </c>
      <c r="L133">
        <f>+bma!J133/data!$AJ133</f>
        <v>0</v>
      </c>
      <c r="M133">
        <f>+bma!K133/data!$AJ133</f>
        <v>0</v>
      </c>
      <c r="N133">
        <f>+bma!N133/data!$AJ133</f>
        <v>6.4995076736626762</v>
      </c>
      <c r="O133">
        <f>+bma!O133/data!$AJ133</f>
        <v>0</v>
      </c>
      <c r="P133">
        <f>+bma!P133/data!$AJ133</f>
        <v>6.4995076736626762</v>
      </c>
      <c r="Q133">
        <f>+bma!Q133/data!$AJ133</f>
        <v>49.363006838577881</v>
      </c>
      <c r="R133">
        <f>+bma!R133/data!$AJ133</f>
        <v>23.469189249966682</v>
      </c>
      <c r="S133">
        <f>+bma!S133/data!$AJ133</f>
        <v>6.4995076736626762</v>
      </c>
    </row>
    <row r="134" spans="1:19" x14ac:dyDescent="0.25">
      <c r="A134">
        <f>+data!AH134</f>
        <v>0.54000000000000059</v>
      </c>
      <c r="B134">
        <f>+data!AL134</f>
        <v>5.682569841189812</v>
      </c>
      <c r="C134">
        <f>+bma!C134/data!$AJ134</f>
        <v>5.682569841189812</v>
      </c>
      <c r="D134">
        <f>+bma!D134/data!$AJ134</f>
        <v>5.682569841189812</v>
      </c>
      <c r="E134">
        <f>+bma!E134/data!$AJ134</f>
        <v>0</v>
      </c>
      <c r="F134">
        <f>+bma!F134/data!$AJ134</f>
        <v>5.682569841189812</v>
      </c>
      <c r="G134">
        <f>+bma!G134/data!$AJ134</f>
        <v>0</v>
      </c>
      <c r="H134">
        <f>+bma!H134/data!$AJ134</f>
        <v>0</v>
      </c>
      <c r="I134">
        <f>+bma!I134/data!$AJ134</f>
        <v>0</v>
      </c>
      <c r="J134">
        <f>+bma!L134/data!$AJ134</f>
        <v>5.682569841189812</v>
      </c>
      <c r="K134">
        <f>+bma!M134/data!$AJ134</f>
        <v>0</v>
      </c>
      <c r="L134">
        <f>+bma!J134/data!$AJ134</f>
        <v>0</v>
      </c>
      <c r="M134">
        <f>+bma!K134/data!$AJ134</f>
        <v>0</v>
      </c>
      <c r="N134">
        <f>+bma!N134/data!$AJ134</f>
        <v>0</v>
      </c>
      <c r="O134">
        <f>+bma!O134/data!$AJ134</f>
        <v>0</v>
      </c>
      <c r="P134">
        <f>+bma!P134/data!$AJ134</f>
        <v>5.682569841189812</v>
      </c>
      <c r="Q134">
        <f>+bma!Q134/data!$AJ134</f>
        <v>43.158458765735048</v>
      </c>
      <c r="R134">
        <f>+bma!R134/data!$AJ134</f>
        <v>20.519293725809433</v>
      </c>
      <c r="S134">
        <f>+bma!S134/data!$AJ134</f>
        <v>5.682569841189812</v>
      </c>
    </row>
    <row r="135" spans="1:19" x14ac:dyDescent="0.25">
      <c r="A135">
        <f>+data!AH135</f>
        <v>-0.75000000000000044</v>
      </c>
      <c r="B135">
        <f>+data!AL135</f>
        <v>5.7063561052566625</v>
      </c>
      <c r="C135">
        <f>+bma!C135/data!$AJ135</f>
        <v>5.7063561052566625</v>
      </c>
      <c r="D135">
        <f>+bma!D135/data!$AJ135</f>
        <v>5.7063561052566625</v>
      </c>
      <c r="E135">
        <f>+bma!E135/data!$AJ135</f>
        <v>0</v>
      </c>
      <c r="F135">
        <f>+bma!F135/data!$AJ135</f>
        <v>5.7063561052566625</v>
      </c>
      <c r="G135">
        <f>+bma!G135/data!$AJ135</f>
        <v>0</v>
      </c>
      <c r="H135">
        <f>+bma!H135/data!$AJ135</f>
        <v>0</v>
      </c>
      <c r="I135">
        <f>+bma!I135/data!$AJ135</f>
        <v>0</v>
      </c>
      <c r="J135">
        <f>+bma!L135/data!$AJ135</f>
        <v>5.7063561052566625</v>
      </c>
      <c r="K135">
        <f>+bma!M135/data!$AJ135</f>
        <v>0</v>
      </c>
      <c r="L135">
        <f>+bma!J135/data!$AJ135</f>
        <v>0</v>
      </c>
      <c r="M135">
        <f>+bma!K135/data!$AJ135</f>
        <v>0</v>
      </c>
      <c r="N135">
        <f>+bma!N135/data!$AJ135</f>
        <v>0</v>
      </c>
      <c r="O135">
        <f>+bma!O135/data!$AJ135</f>
        <v>5.7063561052566625</v>
      </c>
      <c r="P135">
        <f>+bma!P135/data!$AJ135</f>
        <v>5.7063561052566625</v>
      </c>
      <c r="Q135">
        <f>+bma!Q135/data!$AJ135</f>
        <v>43.339112682116145</v>
      </c>
      <c r="R135">
        <f>+bma!R135/data!$AJ135</f>
        <v>20.605183974881179</v>
      </c>
      <c r="S135">
        <f>+bma!S135/data!$AJ135</f>
        <v>5.7063561052566625</v>
      </c>
    </row>
    <row r="136" spans="1:19" x14ac:dyDescent="0.25">
      <c r="A136">
        <f>+data!AH136</f>
        <v>1.6200000000000043</v>
      </c>
      <c r="B136">
        <f>+data!AL136</f>
        <v>5.8842501646344045</v>
      </c>
      <c r="C136">
        <f>+bma!C136/data!$AJ136</f>
        <v>5.8842501646344045</v>
      </c>
      <c r="D136">
        <f>+bma!D136/data!$AJ136</f>
        <v>5.8842501646344045</v>
      </c>
      <c r="E136">
        <f>+bma!E136/data!$AJ136</f>
        <v>0</v>
      </c>
      <c r="F136">
        <f>+bma!F136/data!$AJ136</f>
        <v>5.8842501646344045</v>
      </c>
      <c r="G136">
        <f>+bma!G136/data!$AJ136</f>
        <v>0</v>
      </c>
      <c r="H136">
        <f>+bma!H136/data!$AJ136</f>
        <v>0</v>
      </c>
      <c r="I136">
        <f>+bma!I136/data!$AJ136</f>
        <v>0</v>
      </c>
      <c r="J136">
        <f>+bma!L136/data!$AJ136</f>
        <v>5.8842501646344045</v>
      </c>
      <c r="K136">
        <f>+bma!M136/data!$AJ136</f>
        <v>0</v>
      </c>
      <c r="L136">
        <f>+bma!J136/data!$AJ136</f>
        <v>0</v>
      </c>
      <c r="M136">
        <f>+bma!K136/data!$AJ136</f>
        <v>0</v>
      </c>
      <c r="N136">
        <f>+bma!N136/data!$AJ136</f>
        <v>5.8842501646344045</v>
      </c>
      <c r="O136">
        <f>+bma!O136/data!$AJ136</f>
        <v>0</v>
      </c>
      <c r="P136">
        <f>+bma!P136/data!$AJ136</f>
        <v>5.8842501646344045</v>
      </c>
      <c r="Q136">
        <f>+bma!Q136/data!$AJ136</f>
        <v>44.690197427379204</v>
      </c>
      <c r="R136">
        <f>+bma!R136/data!$AJ136</f>
        <v>21.247544835981333</v>
      </c>
      <c r="S136">
        <f>+bma!S136/data!$AJ136</f>
        <v>5.8842501646344045</v>
      </c>
    </row>
    <row r="137" spans="1:19" x14ac:dyDescent="0.25">
      <c r="A137">
        <f>+data!AH137</f>
        <v>1.949999999999998</v>
      </c>
      <c r="B137">
        <f>+data!AL137</f>
        <v>6.5423619588035624</v>
      </c>
      <c r="C137">
        <f>+bma!C137/data!$AJ137</f>
        <v>6.5423619588035624</v>
      </c>
      <c r="D137">
        <f>+bma!D137/data!$AJ137</f>
        <v>6.5423619588035624</v>
      </c>
      <c r="E137">
        <f>+bma!E137/data!$AJ137</f>
        <v>0</v>
      </c>
      <c r="F137">
        <f>+bma!F137/data!$AJ137</f>
        <v>6.5423619588035624</v>
      </c>
      <c r="G137">
        <f>+bma!G137/data!$AJ137</f>
        <v>0</v>
      </c>
      <c r="H137">
        <f>+bma!H137/data!$AJ137</f>
        <v>0</v>
      </c>
      <c r="I137">
        <f>+bma!I137/data!$AJ137</f>
        <v>0</v>
      </c>
      <c r="J137">
        <f>+bma!L137/data!$AJ137</f>
        <v>6.5423619588035624</v>
      </c>
      <c r="K137">
        <f>+bma!M137/data!$AJ137</f>
        <v>0</v>
      </c>
      <c r="L137">
        <f>+bma!J137/data!$AJ137</f>
        <v>0</v>
      </c>
      <c r="M137">
        <f>+bma!K137/data!$AJ137</f>
        <v>0</v>
      </c>
      <c r="N137">
        <f>+bma!N137/data!$AJ137</f>
        <v>6.5423619588035624</v>
      </c>
      <c r="O137">
        <f>+bma!O137/data!$AJ137</f>
        <v>0</v>
      </c>
      <c r="P137">
        <f>+bma!P137/data!$AJ137</f>
        <v>6.5423619588035624</v>
      </c>
      <c r="Q137">
        <f>+bma!Q137/data!$AJ137</f>
        <v>49.688480163125838</v>
      </c>
      <c r="R137">
        <f>+bma!R137/data!$AJ137</f>
        <v>23.623932559559041</v>
      </c>
      <c r="S137">
        <f>+bma!S137/data!$AJ137</f>
        <v>6.5423619588035624</v>
      </c>
    </row>
    <row r="138" spans="1:19" x14ac:dyDescent="0.25">
      <c r="A138">
        <f>+data!AH138</f>
        <v>0.9500000000000044</v>
      </c>
      <c r="B138">
        <f>+data!AL138</f>
        <v>6.2371868658875371</v>
      </c>
      <c r="C138">
        <f>+bma!C138/data!$AJ138</f>
        <v>6.2371868658875371</v>
      </c>
      <c r="D138">
        <f>+bma!D138/data!$AJ138</f>
        <v>6.2371868658875371</v>
      </c>
      <c r="E138">
        <f>+bma!E138/data!$AJ138</f>
        <v>0</v>
      </c>
      <c r="F138">
        <f>+bma!F138/data!$AJ138</f>
        <v>6.2371868658875371</v>
      </c>
      <c r="G138">
        <f>+bma!G138/data!$AJ138</f>
        <v>0</v>
      </c>
      <c r="H138">
        <f>+bma!H138/data!$AJ138</f>
        <v>0</v>
      </c>
      <c r="I138">
        <f>+bma!I138/data!$AJ138</f>
        <v>0</v>
      </c>
      <c r="J138">
        <f>+bma!L138/data!$AJ138</f>
        <v>6.2371868658875371</v>
      </c>
      <c r="K138">
        <f>+bma!M138/data!$AJ138</f>
        <v>0</v>
      </c>
      <c r="L138">
        <f>+bma!J138/data!$AJ138</f>
        <v>0</v>
      </c>
      <c r="M138">
        <f>+bma!K138/data!$AJ138</f>
        <v>0</v>
      </c>
      <c r="N138">
        <f>+bma!N138/data!$AJ138</f>
        <v>6.2371868658875371</v>
      </c>
      <c r="O138">
        <f>+bma!O138/data!$AJ138</f>
        <v>0</v>
      </c>
      <c r="P138">
        <f>+bma!P138/data!$AJ138</f>
        <v>6.2371868658875371</v>
      </c>
      <c r="Q138">
        <f>+bma!Q138/data!$AJ138</f>
        <v>47.370710732739404</v>
      </c>
      <c r="R138">
        <f>+bma!R138/data!$AJ138</f>
        <v>22.521970323396893</v>
      </c>
      <c r="S138">
        <f>+bma!S138/data!$AJ138</f>
        <v>6.2371868658875371</v>
      </c>
    </row>
    <row r="139" spans="1:19" x14ac:dyDescent="0.25">
      <c r="A139">
        <f>+data!AH139</f>
        <v>0.69999999999999774</v>
      </c>
      <c r="B139">
        <f>+data!AL139</f>
        <v>6.1229078059366531</v>
      </c>
      <c r="C139">
        <f>+bma!C139/data!$AJ139</f>
        <v>6.1229078059366531</v>
      </c>
      <c r="D139">
        <f>+bma!D139/data!$AJ139</f>
        <v>6.1229078059366531</v>
      </c>
      <c r="E139">
        <f>+bma!E139/data!$AJ139</f>
        <v>0</v>
      </c>
      <c r="F139">
        <f>+bma!F139/data!$AJ139</f>
        <v>6.1229078059366531</v>
      </c>
      <c r="G139">
        <f>+bma!G139/data!$AJ139</f>
        <v>0</v>
      </c>
      <c r="H139">
        <f>+bma!H139/data!$AJ139</f>
        <v>0</v>
      </c>
      <c r="I139">
        <f>+bma!I139/data!$AJ139</f>
        <v>0</v>
      </c>
      <c r="J139">
        <f>+bma!L139/data!$AJ139</f>
        <v>6.1229078059366531</v>
      </c>
      <c r="K139">
        <f>+bma!M139/data!$AJ139</f>
        <v>0</v>
      </c>
      <c r="L139">
        <f>+bma!J139/data!$AJ139</f>
        <v>0</v>
      </c>
      <c r="M139">
        <f>+bma!K139/data!$AJ139</f>
        <v>0</v>
      </c>
      <c r="N139">
        <f>+bma!N139/data!$AJ139</f>
        <v>6.1229078059366531</v>
      </c>
      <c r="O139">
        <f>+bma!O139/data!$AJ139</f>
        <v>0</v>
      </c>
      <c r="P139">
        <f>+bma!P139/data!$AJ139</f>
        <v>6.1229078059366531</v>
      </c>
      <c r="Q139">
        <f>+bma!Q139/data!$AJ139</f>
        <v>46.502774528783398</v>
      </c>
      <c r="R139">
        <f>+bma!R139/data!$AJ139</f>
        <v>22.109318008797167</v>
      </c>
      <c r="S139">
        <f>+bma!S139/data!$AJ139</f>
        <v>6.1229078059366531</v>
      </c>
    </row>
    <row r="140" spans="1:19" x14ac:dyDescent="0.25">
      <c r="A140">
        <f>+data!AH140</f>
        <v>-3.0705128205128207</v>
      </c>
      <c r="B140">
        <f>+data!AL140</f>
        <v>84.121507648049999</v>
      </c>
      <c r="C140">
        <f>+bma!C140/data!$AJ140</f>
        <v>0</v>
      </c>
      <c r="D140">
        <f>+bma!D140/data!$AJ140</f>
        <v>0</v>
      </c>
      <c r="E140">
        <f>+bma!E140/data!$AJ140</f>
        <v>0</v>
      </c>
      <c r="F140">
        <f>+bma!F140/data!$AJ140</f>
        <v>0</v>
      </c>
      <c r="G140">
        <f>+bma!G140/data!$AJ140</f>
        <v>84.121507648049999</v>
      </c>
      <c r="H140">
        <f>+bma!H140/data!$AJ140</f>
        <v>84.121507648049999</v>
      </c>
      <c r="I140">
        <f>+bma!I140/data!$AJ140</f>
        <v>84.121507648049999</v>
      </c>
      <c r="J140">
        <f>+bma!L140/data!$AJ140</f>
        <v>0</v>
      </c>
      <c r="K140">
        <f>+bma!M140/data!$AJ140</f>
        <v>84.121507648049999</v>
      </c>
      <c r="L140">
        <f>+bma!J140/data!$AJ140</f>
        <v>0</v>
      </c>
      <c r="M140">
        <f>+bma!K140/data!$AJ140</f>
        <v>0</v>
      </c>
      <c r="N140">
        <f>+bma!N140/data!$AJ140</f>
        <v>0</v>
      </c>
      <c r="O140">
        <f>+bma!O140/data!$AJ140</f>
        <v>0</v>
      </c>
      <c r="P140">
        <f>+bma!P140/data!$AJ140</f>
        <v>84.121507648049999</v>
      </c>
      <c r="Q140">
        <f>+bma!Q140/data!$AJ140</f>
        <v>639.86082631603574</v>
      </c>
      <c r="R140">
        <f>+bma!R140/data!$AJ140</f>
        <v>344.42247423125525</v>
      </c>
      <c r="S140">
        <f>+bma!S140/data!$AJ140</f>
        <v>0</v>
      </c>
    </row>
    <row r="141" spans="1:19" x14ac:dyDescent="0.25">
      <c r="A141">
        <f>+data!AH141</f>
        <v>0.27914110429447858</v>
      </c>
      <c r="B141">
        <f>+data!AL141</f>
        <v>84.065914137396419</v>
      </c>
      <c r="C141">
        <f>+bma!C141/data!$AJ141</f>
        <v>0</v>
      </c>
      <c r="D141">
        <f>+bma!D141/data!$AJ141</f>
        <v>0</v>
      </c>
      <c r="E141">
        <f>+bma!E141/data!$AJ141</f>
        <v>0</v>
      </c>
      <c r="F141">
        <f>+bma!F141/data!$AJ141</f>
        <v>0</v>
      </c>
      <c r="G141">
        <f>+bma!G141/data!$AJ141</f>
        <v>84.065914137396419</v>
      </c>
      <c r="H141">
        <f>+bma!H141/data!$AJ141</f>
        <v>84.065914137396419</v>
      </c>
      <c r="I141">
        <f>+bma!I141/data!$AJ141</f>
        <v>84.065914137396419</v>
      </c>
      <c r="J141">
        <f>+bma!L141/data!$AJ141</f>
        <v>0</v>
      </c>
      <c r="K141">
        <f>+bma!M141/data!$AJ141</f>
        <v>84.065914137396419</v>
      </c>
      <c r="L141">
        <f>+bma!J141/data!$AJ141</f>
        <v>0</v>
      </c>
      <c r="M141">
        <f>+bma!K141/data!$AJ141</f>
        <v>0</v>
      </c>
      <c r="N141">
        <f>+bma!N141/data!$AJ141</f>
        <v>84.065914137396419</v>
      </c>
      <c r="O141">
        <f>+bma!O141/data!$AJ141</f>
        <v>0</v>
      </c>
      <c r="P141">
        <f>+bma!P141/data!$AJ141</f>
        <v>84.065914137396419</v>
      </c>
      <c r="Q141">
        <f>+bma!Q141/data!$AJ141</f>
        <v>639.43796050372248</v>
      </c>
      <c r="R141">
        <f>+bma!R141/data!$AJ141</f>
        <v>344.19485521887827</v>
      </c>
      <c r="S141">
        <f>+bma!S141/data!$AJ141</f>
        <v>0</v>
      </c>
    </row>
    <row r="142" spans="1:19" x14ac:dyDescent="0.25">
      <c r="A142">
        <f>+data!AH142</f>
        <v>0.33214285714285713</v>
      </c>
      <c r="B142">
        <f>+data!AL142</f>
        <v>84.066106837878209</v>
      </c>
      <c r="C142">
        <f>+bma!C142/data!$AJ142</f>
        <v>0</v>
      </c>
      <c r="D142">
        <f>+bma!D142/data!$AJ142</f>
        <v>0</v>
      </c>
      <c r="E142">
        <f>+bma!E142/data!$AJ142</f>
        <v>0</v>
      </c>
      <c r="F142">
        <f>+bma!F142/data!$AJ142</f>
        <v>0</v>
      </c>
      <c r="G142">
        <f>+bma!G142/data!$AJ142</f>
        <v>84.066106837878209</v>
      </c>
      <c r="H142">
        <f>+bma!H142/data!$AJ142</f>
        <v>84.066106837878209</v>
      </c>
      <c r="I142">
        <f>+bma!I142/data!$AJ142</f>
        <v>84.066106837878209</v>
      </c>
      <c r="J142">
        <f>+bma!L142/data!$AJ142</f>
        <v>0</v>
      </c>
      <c r="K142">
        <f>+bma!M142/data!$AJ142</f>
        <v>84.066106837878209</v>
      </c>
      <c r="L142">
        <f>+bma!J142/data!$AJ142</f>
        <v>0</v>
      </c>
      <c r="M142">
        <f>+bma!K142/data!$AJ142</f>
        <v>0</v>
      </c>
      <c r="N142">
        <f>+bma!N142/data!$AJ142</f>
        <v>0</v>
      </c>
      <c r="O142">
        <f>+bma!O142/data!$AJ142</f>
        <v>84.066106837878209</v>
      </c>
      <c r="P142">
        <f>+bma!P142/data!$AJ142</f>
        <v>84.066106837878209</v>
      </c>
      <c r="Q142">
        <f>+bma!Q142/data!$AJ142</f>
        <v>639.43942625835473</v>
      </c>
      <c r="R142">
        <f>+bma!R142/data!$AJ142</f>
        <v>344.19564420113238</v>
      </c>
      <c r="S142">
        <f>+bma!S142/data!$AJ142</f>
        <v>0</v>
      </c>
    </row>
    <row r="143" spans="1:19" x14ac:dyDescent="0.25">
      <c r="A143">
        <f>+data!AH143</f>
        <v>-3.2123893805309733</v>
      </c>
      <c r="B143">
        <f>+data!AL143</f>
        <v>84.795751341279754</v>
      </c>
      <c r="C143">
        <f>+bma!C143/data!$AJ143</f>
        <v>0</v>
      </c>
      <c r="D143">
        <f>+bma!D143/data!$AJ143</f>
        <v>0</v>
      </c>
      <c r="E143">
        <f>+bma!E143/data!$AJ143</f>
        <v>0</v>
      </c>
      <c r="F143">
        <f>+bma!F143/data!$AJ143</f>
        <v>0</v>
      </c>
      <c r="G143">
        <f>+bma!G143/data!$AJ143</f>
        <v>84.795751341279754</v>
      </c>
      <c r="H143">
        <f>+bma!H143/data!$AJ143</f>
        <v>84.795751341279754</v>
      </c>
      <c r="I143">
        <f>+bma!I143/data!$AJ143</f>
        <v>84.795751341279754</v>
      </c>
      <c r="J143">
        <f>+bma!L143/data!$AJ143</f>
        <v>0</v>
      </c>
      <c r="K143">
        <f>+bma!M143/data!$AJ143</f>
        <v>84.795751341279754</v>
      </c>
      <c r="L143">
        <f>+bma!J143/data!$AJ143</f>
        <v>0</v>
      </c>
      <c r="M143">
        <f>+bma!K143/data!$AJ143</f>
        <v>0</v>
      </c>
      <c r="N143">
        <f>+bma!N143/data!$AJ143</f>
        <v>0</v>
      </c>
      <c r="O143">
        <f>+bma!O143/data!$AJ143</f>
        <v>0</v>
      </c>
      <c r="P143">
        <f>+bma!P143/data!$AJ143</f>
        <v>84.795751341279754</v>
      </c>
      <c r="Q143">
        <f>+bma!Q143/data!$AJ143</f>
        <v>644.98938545329418</v>
      </c>
      <c r="R143">
        <f>+bma!R143/data!$AJ143</f>
        <v>347.18306052541203</v>
      </c>
      <c r="S143">
        <f>+bma!S143/data!$AJ143</f>
        <v>0</v>
      </c>
    </row>
    <row r="144" spans="1:19" x14ac:dyDescent="0.25">
      <c r="A144">
        <f>+data!AH144</f>
        <v>0.76659038901601828</v>
      </c>
      <c r="B144">
        <f>+data!AL144</f>
        <v>84.738348230447187</v>
      </c>
      <c r="C144">
        <f>+bma!C144/data!$AJ144</f>
        <v>0</v>
      </c>
      <c r="D144">
        <f>+bma!D144/data!$AJ144</f>
        <v>0</v>
      </c>
      <c r="E144">
        <f>+bma!E144/data!$AJ144</f>
        <v>0</v>
      </c>
      <c r="F144">
        <f>+bma!F144/data!$AJ144</f>
        <v>0</v>
      </c>
      <c r="G144">
        <f>+bma!G144/data!$AJ144</f>
        <v>84.738348230447187</v>
      </c>
      <c r="H144">
        <f>+bma!H144/data!$AJ144</f>
        <v>84.738348230447187</v>
      </c>
      <c r="I144">
        <f>+bma!I144/data!$AJ144</f>
        <v>84.738348230447187</v>
      </c>
      <c r="J144">
        <f>+bma!L144/data!$AJ144</f>
        <v>0</v>
      </c>
      <c r="K144">
        <f>+bma!M144/data!$AJ144</f>
        <v>84.738348230447187</v>
      </c>
      <c r="L144">
        <f>+bma!J144/data!$AJ144</f>
        <v>0</v>
      </c>
      <c r="M144">
        <f>+bma!K144/data!$AJ144</f>
        <v>0</v>
      </c>
      <c r="N144">
        <f>+bma!N144/data!$AJ144</f>
        <v>84.738348230447187</v>
      </c>
      <c r="O144">
        <f>+bma!O144/data!$AJ144</f>
        <v>0</v>
      </c>
      <c r="P144">
        <f>+bma!P144/data!$AJ144</f>
        <v>84.738348230447187</v>
      </c>
      <c r="Q144">
        <f>+bma!Q144/data!$AJ144</f>
        <v>644.55275511989475</v>
      </c>
      <c r="R144">
        <f>+bma!R144/data!$AJ144</f>
        <v>346.9480323855903</v>
      </c>
      <c r="S144">
        <f>+bma!S144/data!$AJ144</f>
        <v>0</v>
      </c>
    </row>
    <row r="145" spans="1:19" x14ac:dyDescent="0.25">
      <c r="A145">
        <f>+data!AH145</f>
        <v>5.8479532163742687E-3</v>
      </c>
      <c r="B145">
        <f>+data!AL145</f>
        <v>84.734880859056844</v>
      </c>
      <c r="C145">
        <f>+bma!C145/data!$AJ145</f>
        <v>0</v>
      </c>
      <c r="D145">
        <f>+bma!D145/data!$AJ145</f>
        <v>0</v>
      </c>
      <c r="E145">
        <f>+bma!E145/data!$AJ145</f>
        <v>0</v>
      </c>
      <c r="F145">
        <f>+bma!F145/data!$AJ145</f>
        <v>0</v>
      </c>
      <c r="G145">
        <f>+bma!G145/data!$AJ145</f>
        <v>84.734880859056844</v>
      </c>
      <c r="H145">
        <f>+bma!H145/data!$AJ145</f>
        <v>84.734880859056844</v>
      </c>
      <c r="I145">
        <f>+bma!I145/data!$AJ145</f>
        <v>84.734880859056844</v>
      </c>
      <c r="J145">
        <f>+bma!L145/data!$AJ145</f>
        <v>0</v>
      </c>
      <c r="K145">
        <f>+bma!M145/data!$AJ145</f>
        <v>84.734880859056844</v>
      </c>
      <c r="L145">
        <f>+bma!J145/data!$AJ145</f>
        <v>0</v>
      </c>
      <c r="M145">
        <f>+bma!K145/data!$AJ145</f>
        <v>0</v>
      </c>
      <c r="N145">
        <f>+bma!N145/data!$AJ145</f>
        <v>0</v>
      </c>
      <c r="O145">
        <f>+bma!O145/data!$AJ145</f>
        <v>84.734880859056844</v>
      </c>
      <c r="P145">
        <f>+bma!P145/data!$AJ145</f>
        <v>84.734880859056844</v>
      </c>
      <c r="Q145">
        <f>+bma!Q145/data!$AJ145</f>
        <v>644.52638094775966</v>
      </c>
      <c r="R145">
        <f>+bma!R145/data!$AJ145</f>
        <v>346.93383577087508</v>
      </c>
      <c r="S145">
        <f>+bma!S145/data!$AJ145</f>
        <v>0</v>
      </c>
    </row>
    <row r="146" spans="1:19" x14ac:dyDescent="0.25">
      <c r="A146">
        <f>+data!AH146</f>
        <v>-1.1898340248962656</v>
      </c>
      <c r="B146">
        <f>+data!AL146</f>
        <v>61.841860458808966</v>
      </c>
      <c r="C146">
        <f>+bma!C146/data!$AJ146</f>
        <v>61.841860458808966</v>
      </c>
      <c r="D146">
        <f>+bma!D146/data!$AJ146</f>
        <v>0</v>
      </c>
      <c r="E146">
        <f>+bma!E146/data!$AJ146</f>
        <v>0</v>
      </c>
      <c r="F146">
        <f>+bma!F146/data!$AJ146</f>
        <v>0</v>
      </c>
      <c r="G146">
        <f>+bma!G146/data!$AJ146</f>
        <v>61.841860458808966</v>
      </c>
      <c r="H146">
        <f>+bma!H146/data!$AJ146</f>
        <v>61.841860458808966</v>
      </c>
      <c r="I146">
        <f>+bma!I146/data!$AJ146</f>
        <v>61.841860458808966</v>
      </c>
      <c r="J146">
        <f>+bma!L146/data!$AJ146</f>
        <v>0</v>
      </c>
      <c r="K146">
        <f>+bma!M146/data!$AJ146</f>
        <v>61.841860458808966</v>
      </c>
      <c r="L146">
        <f>+bma!J146/data!$AJ146</f>
        <v>0</v>
      </c>
      <c r="M146">
        <f>+bma!K146/data!$AJ146</f>
        <v>0</v>
      </c>
      <c r="N146">
        <f>+bma!N146/data!$AJ146</f>
        <v>0</v>
      </c>
      <c r="O146">
        <f>+bma!O146/data!$AJ146</f>
        <v>0</v>
      </c>
      <c r="P146">
        <f>+bma!P146/data!$AJ146</f>
        <v>61.841860458808966</v>
      </c>
      <c r="Q146">
        <f>+bma!Q146/data!$AJ146</f>
        <v>470.39318529155901</v>
      </c>
      <c r="R146">
        <f>+bma!R146/data!$AJ146</f>
        <v>253.20191216022218</v>
      </c>
      <c r="S146">
        <f>+bma!S146/data!$AJ146</f>
        <v>0</v>
      </c>
    </row>
    <row r="147" spans="1:19" x14ac:dyDescent="0.25">
      <c r="A147">
        <f>+data!AH147</f>
        <v>1.1841652323580034</v>
      </c>
      <c r="B147">
        <f>+data!AL147</f>
        <v>61.841751651271366</v>
      </c>
      <c r="C147">
        <f>+bma!C147/data!$AJ147</f>
        <v>61.841751651271366</v>
      </c>
      <c r="D147">
        <f>+bma!D147/data!$AJ147</f>
        <v>0</v>
      </c>
      <c r="E147">
        <f>+bma!E147/data!$AJ147</f>
        <v>0</v>
      </c>
      <c r="F147">
        <f>+bma!F147/data!$AJ147</f>
        <v>0</v>
      </c>
      <c r="G147">
        <f>+bma!G147/data!$AJ147</f>
        <v>61.841751651271366</v>
      </c>
      <c r="H147">
        <f>+bma!H147/data!$AJ147</f>
        <v>61.841751651271366</v>
      </c>
      <c r="I147">
        <f>+bma!I147/data!$AJ147</f>
        <v>61.841751651271366</v>
      </c>
      <c r="J147">
        <f>+bma!L147/data!$AJ147</f>
        <v>0</v>
      </c>
      <c r="K147">
        <f>+bma!M147/data!$AJ147</f>
        <v>61.841751651271366</v>
      </c>
      <c r="L147">
        <f>+bma!J147/data!$AJ147</f>
        <v>0</v>
      </c>
      <c r="M147">
        <f>+bma!K147/data!$AJ147</f>
        <v>0</v>
      </c>
      <c r="N147">
        <f>+bma!N147/data!$AJ147</f>
        <v>61.841751651271366</v>
      </c>
      <c r="O147">
        <f>+bma!O147/data!$AJ147</f>
        <v>0</v>
      </c>
      <c r="P147">
        <f>+bma!P147/data!$AJ147</f>
        <v>61.841751651271366</v>
      </c>
      <c r="Q147">
        <f>+bma!Q147/data!$AJ147</f>
        <v>470.39235765921075</v>
      </c>
      <c r="R147">
        <f>+bma!R147/data!$AJ147</f>
        <v>253.20146666462466</v>
      </c>
      <c r="S147">
        <f>+bma!S147/data!$AJ147</f>
        <v>0</v>
      </c>
    </row>
    <row r="148" spans="1:19" x14ac:dyDescent="0.25">
      <c r="A148">
        <f>+data!AH148</f>
        <v>0.57840236686390545</v>
      </c>
      <c r="B148">
        <f>+data!AL148</f>
        <v>61.833118547409484</v>
      </c>
      <c r="C148">
        <f>+bma!C148/data!$AJ148</f>
        <v>61.833118547409484</v>
      </c>
      <c r="D148">
        <f>+bma!D148/data!$AJ148</f>
        <v>0</v>
      </c>
      <c r="E148">
        <f>+bma!E148/data!$AJ148</f>
        <v>0</v>
      </c>
      <c r="F148">
        <f>+bma!F148/data!$AJ148</f>
        <v>0</v>
      </c>
      <c r="G148">
        <f>+bma!G148/data!$AJ148</f>
        <v>61.833118547409484</v>
      </c>
      <c r="H148">
        <f>+bma!H148/data!$AJ148</f>
        <v>61.833118547409484</v>
      </c>
      <c r="I148">
        <f>+bma!I148/data!$AJ148</f>
        <v>61.833118547409484</v>
      </c>
      <c r="J148">
        <f>+bma!L148/data!$AJ148</f>
        <v>0</v>
      </c>
      <c r="K148">
        <f>+bma!M148/data!$AJ148</f>
        <v>61.833118547409484</v>
      </c>
      <c r="L148">
        <f>+bma!J148/data!$AJ148</f>
        <v>0</v>
      </c>
      <c r="M148">
        <f>+bma!K148/data!$AJ148</f>
        <v>0</v>
      </c>
      <c r="N148">
        <f>+bma!N148/data!$AJ148</f>
        <v>0</v>
      </c>
      <c r="O148">
        <f>+bma!O148/data!$AJ148</f>
        <v>61.833118547409484</v>
      </c>
      <c r="P148">
        <f>+bma!P148/data!$AJ148</f>
        <v>61.833118547409484</v>
      </c>
      <c r="Q148">
        <f>+bma!Q148/data!$AJ148</f>
        <v>470.3266909215929</v>
      </c>
      <c r="R148">
        <f>+bma!R148/data!$AJ148</f>
        <v>253.16611975899326</v>
      </c>
      <c r="S148">
        <f>+bma!S148/data!$AJ148</f>
        <v>0</v>
      </c>
    </row>
    <row r="149" spans="1:19" x14ac:dyDescent="0.25">
      <c r="A149">
        <f>+data!AH149</f>
        <v>-3.2307692307692308</v>
      </c>
      <c r="B149">
        <f>+data!AL149</f>
        <v>36.680210874836654</v>
      </c>
      <c r="C149">
        <f>+bma!C149/data!$AJ149</f>
        <v>0</v>
      </c>
      <c r="D149">
        <f>+bma!D149/data!$AJ149</f>
        <v>0</v>
      </c>
      <c r="E149">
        <f>+bma!E149/data!$AJ149</f>
        <v>0</v>
      </c>
      <c r="F149">
        <f>+bma!F149/data!$AJ149</f>
        <v>0</v>
      </c>
      <c r="G149">
        <f>+bma!G149/data!$AJ149</f>
        <v>36.680210874836654</v>
      </c>
      <c r="H149">
        <f>+bma!H149/data!$AJ149</f>
        <v>36.680210874836654</v>
      </c>
      <c r="I149">
        <f>+bma!I149/data!$AJ149</f>
        <v>36.680210874836654</v>
      </c>
      <c r="J149">
        <f>+bma!L149/data!$AJ149</f>
        <v>0</v>
      </c>
      <c r="K149">
        <f>+bma!M149/data!$AJ149</f>
        <v>36.680210874836654</v>
      </c>
      <c r="L149">
        <f>+bma!J149/data!$AJ149</f>
        <v>0</v>
      </c>
      <c r="M149">
        <f>+bma!K149/data!$AJ149</f>
        <v>0</v>
      </c>
      <c r="N149">
        <f>+bma!N149/data!$AJ149</f>
        <v>0</v>
      </c>
      <c r="O149">
        <f>+bma!O149/data!$AJ149</f>
        <v>0</v>
      </c>
      <c r="P149">
        <f>+bma!P149/data!$AJ149</f>
        <v>36.680210874836654</v>
      </c>
      <c r="Q149">
        <f>+bma!Q149/data!$AJ149</f>
        <v>279.003915835827</v>
      </c>
      <c r="R149">
        <f>+bma!R149/data!$AJ149</f>
        <v>150.18143799433307</v>
      </c>
      <c r="S149">
        <f>+bma!S149/data!$AJ149</f>
        <v>0</v>
      </c>
    </row>
    <row r="150" spans="1:19" x14ac:dyDescent="0.25">
      <c r="A150">
        <f>+data!AH150</f>
        <v>2.5751978891820579</v>
      </c>
      <c r="B150">
        <f>+data!AL150</f>
        <v>36.628290216285656</v>
      </c>
      <c r="C150">
        <f>+bma!C150/data!$AJ150</f>
        <v>0</v>
      </c>
      <c r="D150">
        <f>+bma!D150/data!$AJ150</f>
        <v>0</v>
      </c>
      <c r="E150">
        <f>+bma!E150/data!$AJ150</f>
        <v>0</v>
      </c>
      <c r="F150">
        <f>+bma!F150/data!$AJ150</f>
        <v>0</v>
      </c>
      <c r="G150">
        <f>+bma!G150/data!$AJ150</f>
        <v>36.628290216285656</v>
      </c>
      <c r="H150">
        <f>+bma!H150/data!$AJ150</f>
        <v>36.628290216285656</v>
      </c>
      <c r="I150">
        <f>+bma!I150/data!$AJ150</f>
        <v>36.628290216285656</v>
      </c>
      <c r="J150">
        <f>+bma!L150/data!$AJ150</f>
        <v>0</v>
      </c>
      <c r="K150">
        <f>+bma!M150/data!$AJ150</f>
        <v>36.628290216285656</v>
      </c>
      <c r="L150">
        <f>+bma!J150/data!$AJ150</f>
        <v>0</v>
      </c>
      <c r="M150">
        <f>+bma!K150/data!$AJ150</f>
        <v>0</v>
      </c>
      <c r="N150">
        <f>+bma!N150/data!$AJ150</f>
        <v>36.628290216285656</v>
      </c>
      <c r="O150">
        <f>+bma!O150/data!$AJ150</f>
        <v>0</v>
      </c>
      <c r="P150">
        <f>+bma!P150/data!$AJ150</f>
        <v>36.628290216285656</v>
      </c>
      <c r="Q150">
        <f>+bma!Q150/data!$AJ150</f>
        <v>278.60898716167264</v>
      </c>
      <c r="R150">
        <f>+bma!R150/data!$AJ150</f>
        <v>149.9688569055981</v>
      </c>
      <c r="S150">
        <f>+bma!S150/data!$AJ150</f>
        <v>0</v>
      </c>
    </row>
    <row r="151" spans="1:19" x14ac:dyDescent="0.25">
      <c r="A151">
        <f>+data!AH151</f>
        <v>0.71922246220302377</v>
      </c>
      <c r="B151">
        <f>+data!AL151</f>
        <v>36.544729865606307</v>
      </c>
      <c r="C151">
        <f>+bma!C151/data!$AJ151</f>
        <v>0</v>
      </c>
      <c r="D151">
        <f>+bma!D151/data!$AJ151</f>
        <v>0</v>
      </c>
      <c r="E151">
        <f>+bma!E151/data!$AJ151</f>
        <v>0</v>
      </c>
      <c r="F151">
        <f>+bma!F151/data!$AJ151</f>
        <v>0</v>
      </c>
      <c r="G151">
        <f>+bma!G151/data!$AJ151</f>
        <v>36.544729865606307</v>
      </c>
      <c r="H151">
        <f>+bma!H151/data!$AJ151</f>
        <v>36.544729865606307</v>
      </c>
      <c r="I151">
        <f>+bma!I151/data!$AJ151</f>
        <v>36.544729865606307</v>
      </c>
      <c r="J151">
        <f>+bma!L151/data!$AJ151</f>
        <v>0</v>
      </c>
      <c r="K151">
        <f>+bma!M151/data!$AJ151</f>
        <v>36.544729865606307</v>
      </c>
      <c r="L151">
        <f>+bma!J151/data!$AJ151</f>
        <v>0</v>
      </c>
      <c r="M151">
        <f>+bma!K151/data!$AJ151</f>
        <v>0</v>
      </c>
      <c r="N151">
        <f>+bma!N151/data!$AJ151</f>
        <v>0</v>
      </c>
      <c r="O151">
        <f>+bma!O151/data!$AJ151</f>
        <v>36.544729865606307</v>
      </c>
      <c r="P151">
        <f>+bma!P151/data!$AJ151</f>
        <v>36.544729865606307</v>
      </c>
      <c r="Q151">
        <f>+bma!Q151/data!$AJ151</f>
        <v>277.97339471298943</v>
      </c>
      <c r="R151">
        <f>+bma!R151/data!$AJ151</f>
        <v>149.62673200159585</v>
      </c>
      <c r="S151">
        <f>+bma!S151/data!$AJ151</f>
        <v>0</v>
      </c>
    </row>
    <row r="152" spans="1:19" x14ac:dyDescent="0.25">
      <c r="A152">
        <f>+data!AH152</f>
        <v>-2.737577639751553</v>
      </c>
      <c r="B152">
        <f>+data!AL152</f>
        <v>36.84418992641401</v>
      </c>
      <c r="C152">
        <f>+bma!C152/data!$AJ152</f>
        <v>0</v>
      </c>
      <c r="D152">
        <f>+bma!D152/data!$AJ152</f>
        <v>0</v>
      </c>
      <c r="E152">
        <f>+bma!E152/data!$AJ152</f>
        <v>0</v>
      </c>
      <c r="F152">
        <f>+bma!F152/data!$AJ152</f>
        <v>0</v>
      </c>
      <c r="G152">
        <f>+bma!G152/data!$AJ152</f>
        <v>36.84418992641401</v>
      </c>
      <c r="H152">
        <f>+bma!H152/data!$AJ152</f>
        <v>36.84418992641401</v>
      </c>
      <c r="I152">
        <f>+bma!I152/data!$AJ152</f>
        <v>36.84418992641401</v>
      </c>
      <c r="J152">
        <f>+bma!L152/data!$AJ152</f>
        <v>0</v>
      </c>
      <c r="K152">
        <f>+bma!M152/data!$AJ152</f>
        <v>36.84418992641401</v>
      </c>
      <c r="L152">
        <f>+bma!J152/data!$AJ152</f>
        <v>0</v>
      </c>
      <c r="M152">
        <f>+bma!K152/data!$AJ152</f>
        <v>0</v>
      </c>
      <c r="N152">
        <f>+bma!N152/data!$AJ152</f>
        <v>0</v>
      </c>
      <c r="O152">
        <f>+bma!O152/data!$AJ152</f>
        <v>0</v>
      </c>
      <c r="P152">
        <f>+bma!P152/data!$AJ152</f>
        <v>36.84418992641401</v>
      </c>
      <c r="Q152">
        <f>+bma!Q152/data!$AJ152</f>
        <v>280.25120412599637</v>
      </c>
      <c r="R152">
        <f>+bma!R152/data!$AJ152</f>
        <v>150.85282480426355</v>
      </c>
      <c r="S152">
        <f>+bma!S152/data!$AJ152</f>
        <v>0</v>
      </c>
    </row>
    <row r="153" spans="1:19" x14ac:dyDescent="0.25">
      <c r="A153">
        <f>+data!AH153</f>
        <v>0.33483146067415731</v>
      </c>
      <c r="B153">
        <f>+data!AL153</f>
        <v>36.743871762609025</v>
      </c>
      <c r="C153">
        <f>+bma!C153/data!$AJ153</f>
        <v>0</v>
      </c>
      <c r="D153">
        <f>+bma!D153/data!$AJ153</f>
        <v>0</v>
      </c>
      <c r="E153">
        <f>+bma!E153/data!$AJ153</f>
        <v>0</v>
      </c>
      <c r="F153">
        <f>+bma!F153/data!$AJ153</f>
        <v>0</v>
      </c>
      <c r="G153">
        <f>+bma!G153/data!$AJ153</f>
        <v>36.743871762609025</v>
      </c>
      <c r="H153">
        <f>+bma!H153/data!$AJ153</f>
        <v>36.743871762609025</v>
      </c>
      <c r="I153">
        <f>+bma!I153/data!$AJ153</f>
        <v>36.743871762609025</v>
      </c>
      <c r="J153">
        <f>+bma!L153/data!$AJ153</f>
        <v>0</v>
      </c>
      <c r="K153">
        <f>+bma!M153/data!$AJ153</f>
        <v>36.743871762609025</v>
      </c>
      <c r="L153">
        <f>+bma!J153/data!$AJ153</f>
        <v>0</v>
      </c>
      <c r="M153">
        <f>+bma!K153/data!$AJ153</f>
        <v>0</v>
      </c>
      <c r="N153">
        <f>+bma!N153/data!$AJ153</f>
        <v>36.743871762609025</v>
      </c>
      <c r="O153">
        <f>+bma!O153/data!$AJ153</f>
        <v>0</v>
      </c>
      <c r="P153">
        <f>+bma!P153/data!$AJ153</f>
        <v>36.743871762609025</v>
      </c>
      <c r="Q153">
        <f>+bma!Q153/data!$AJ153</f>
        <v>279.4881452486481</v>
      </c>
      <c r="R153">
        <f>+bma!R153/data!$AJ153</f>
        <v>150.44208763187942</v>
      </c>
      <c r="S153">
        <f>+bma!S153/data!$AJ153</f>
        <v>0</v>
      </c>
    </row>
    <row r="154" spans="1:19" x14ac:dyDescent="0.25">
      <c r="A154">
        <f>+data!AH154</f>
        <v>0.3054003724394786</v>
      </c>
      <c r="B154">
        <f>+data!AL154</f>
        <v>36.743615355425845</v>
      </c>
      <c r="C154">
        <f>+bma!C154/data!$AJ154</f>
        <v>0</v>
      </c>
      <c r="D154">
        <f>+bma!D154/data!$AJ154</f>
        <v>0</v>
      </c>
      <c r="E154">
        <f>+bma!E154/data!$AJ154</f>
        <v>0</v>
      </c>
      <c r="F154">
        <f>+bma!F154/data!$AJ154</f>
        <v>0</v>
      </c>
      <c r="G154">
        <f>+bma!G154/data!$AJ154</f>
        <v>36.743615355425845</v>
      </c>
      <c r="H154">
        <f>+bma!H154/data!$AJ154</f>
        <v>36.743615355425845</v>
      </c>
      <c r="I154">
        <f>+bma!I154/data!$AJ154</f>
        <v>36.743615355425845</v>
      </c>
      <c r="J154">
        <f>+bma!L154/data!$AJ154</f>
        <v>0</v>
      </c>
      <c r="K154">
        <f>+bma!M154/data!$AJ154</f>
        <v>36.743615355425845</v>
      </c>
      <c r="L154">
        <f>+bma!J154/data!$AJ154</f>
        <v>0</v>
      </c>
      <c r="M154">
        <f>+bma!K154/data!$AJ154</f>
        <v>0</v>
      </c>
      <c r="N154">
        <f>+bma!N154/data!$AJ154</f>
        <v>0</v>
      </c>
      <c r="O154">
        <f>+bma!O154/data!$AJ154</f>
        <v>36.743615355425845</v>
      </c>
      <c r="P154">
        <f>+bma!P154/data!$AJ154</f>
        <v>36.743615355425845</v>
      </c>
      <c r="Q154">
        <f>+bma!Q154/data!$AJ154</f>
        <v>279.48619491612686</v>
      </c>
      <c r="R154">
        <f>+bma!R154/data!$AJ154</f>
        <v>150.441037812411</v>
      </c>
      <c r="S154">
        <f>+bma!S154/data!$AJ154</f>
        <v>0</v>
      </c>
    </row>
    <row r="155" spans="1:19" x14ac:dyDescent="0.25">
      <c r="A155">
        <f>+data!AH155</f>
        <v>-1.4315068493150684</v>
      </c>
      <c r="B155">
        <f>+data!AL155</f>
        <v>27.111791011654621</v>
      </c>
      <c r="C155">
        <f>+bma!C155/data!$AJ155</f>
        <v>27.111791011654621</v>
      </c>
      <c r="D155">
        <f>+bma!D155/data!$AJ155</f>
        <v>0</v>
      </c>
      <c r="E155">
        <f>+bma!E155/data!$AJ155</f>
        <v>0</v>
      </c>
      <c r="F155">
        <f>+bma!F155/data!$AJ155</f>
        <v>0</v>
      </c>
      <c r="G155">
        <f>+bma!G155/data!$AJ155</f>
        <v>27.111791011654621</v>
      </c>
      <c r="H155">
        <f>+bma!H155/data!$AJ155</f>
        <v>27.111791011654621</v>
      </c>
      <c r="I155">
        <f>+bma!I155/data!$AJ155</f>
        <v>27.111791011654621</v>
      </c>
      <c r="J155">
        <f>+bma!L155/data!$AJ155</f>
        <v>0</v>
      </c>
      <c r="K155">
        <f>+bma!M155/data!$AJ155</f>
        <v>27.111791011654621</v>
      </c>
      <c r="L155">
        <f>+bma!J155/data!$AJ155</f>
        <v>0</v>
      </c>
      <c r="M155">
        <f>+bma!K155/data!$AJ155</f>
        <v>0</v>
      </c>
      <c r="N155">
        <f>+bma!N155/data!$AJ155</f>
        <v>0</v>
      </c>
      <c r="O155">
        <f>+bma!O155/data!$AJ155</f>
        <v>0</v>
      </c>
      <c r="P155">
        <f>+bma!P155/data!$AJ155</f>
        <v>27.111791011654621</v>
      </c>
      <c r="Q155">
        <f>+bma!Q155/data!$AJ155</f>
        <v>206.22280180955755</v>
      </c>
      <c r="R155">
        <f>+bma!R155/data!$AJ155</f>
        <v>111.00502596961303</v>
      </c>
      <c r="S155">
        <f>+bma!S155/data!$AJ155</f>
        <v>0</v>
      </c>
    </row>
    <row r="156" spans="1:19" x14ac:dyDescent="0.25">
      <c r="A156">
        <f>+data!AH156</f>
        <v>-0.23447069116360456</v>
      </c>
      <c r="B156">
        <f>+data!AL156</f>
        <v>27.074988024097344</v>
      </c>
      <c r="C156">
        <f>+bma!C156/data!$AJ156</f>
        <v>27.074988024097344</v>
      </c>
      <c r="D156">
        <f>+bma!D156/data!$AJ156</f>
        <v>0</v>
      </c>
      <c r="E156">
        <f>+bma!E156/data!$AJ156</f>
        <v>0</v>
      </c>
      <c r="F156">
        <f>+bma!F156/data!$AJ156</f>
        <v>0</v>
      </c>
      <c r="G156">
        <f>+bma!G156/data!$AJ156</f>
        <v>27.074988024097344</v>
      </c>
      <c r="H156">
        <f>+bma!H156/data!$AJ156</f>
        <v>27.074988024097344</v>
      </c>
      <c r="I156">
        <f>+bma!I156/data!$AJ156</f>
        <v>27.074988024097344</v>
      </c>
      <c r="J156">
        <f>+bma!L156/data!$AJ156</f>
        <v>0</v>
      </c>
      <c r="K156">
        <f>+bma!M156/data!$AJ156</f>
        <v>27.074988024097344</v>
      </c>
      <c r="L156">
        <f>+bma!J156/data!$AJ156</f>
        <v>0</v>
      </c>
      <c r="M156">
        <f>+bma!K156/data!$AJ156</f>
        <v>0</v>
      </c>
      <c r="N156">
        <f>+bma!N156/data!$AJ156</f>
        <v>27.074988024097344</v>
      </c>
      <c r="O156">
        <f>+bma!O156/data!$AJ156</f>
        <v>0</v>
      </c>
      <c r="P156">
        <f>+bma!P156/data!$AJ156</f>
        <v>27.074988024097344</v>
      </c>
      <c r="Q156">
        <f>+bma!Q156/data!$AJ156</f>
        <v>205.94286400663776</v>
      </c>
      <c r="R156">
        <f>+bma!R156/data!$AJ156</f>
        <v>110.85434184152284</v>
      </c>
      <c r="S156">
        <f>+bma!S156/data!$AJ156</f>
        <v>0</v>
      </c>
    </row>
    <row r="157" spans="1:19" x14ac:dyDescent="0.25">
      <c r="A157">
        <f>+data!AH157</f>
        <v>-0.28858578607322322</v>
      </c>
      <c r="B157">
        <f>+data!AL157</f>
        <v>27.075510738597778</v>
      </c>
      <c r="C157">
        <f>+bma!C157/data!$AJ157</f>
        <v>27.075510738597778</v>
      </c>
      <c r="D157">
        <f>+bma!D157/data!$AJ157</f>
        <v>0</v>
      </c>
      <c r="E157">
        <f>+bma!E157/data!$AJ157</f>
        <v>0</v>
      </c>
      <c r="F157">
        <f>+bma!F157/data!$AJ157</f>
        <v>0</v>
      </c>
      <c r="G157">
        <f>+bma!G157/data!$AJ157</f>
        <v>27.075510738597778</v>
      </c>
      <c r="H157">
        <f>+bma!H157/data!$AJ157</f>
        <v>27.075510738597778</v>
      </c>
      <c r="I157">
        <f>+bma!I157/data!$AJ157</f>
        <v>27.075510738597778</v>
      </c>
      <c r="J157">
        <f>+bma!L157/data!$AJ157</f>
        <v>0</v>
      </c>
      <c r="K157">
        <f>+bma!M157/data!$AJ157</f>
        <v>27.075510738597778</v>
      </c>
      <c r="L157">
        <f>+bma!J157/data!$AJ157</f>
        <v>0</v>
      </c>
      <c r="M157">
        <f>+bma!K157/data!$AJ157</f>
        <v>0</v>
      </c>
      <c r="N157">
        <f>+bma!N157/data!$AJ157</f>
        <v>0</v>
      </c>
      <c r="O157">
        <f>+bma!O157/data!$AJ157</f>
        <v>27.075510738597778</v>
      </c>
      <c r="P157">
        <f>+bma!P157/data!$AJ157</f>
        <v>27.075510738597778</v>
      </c>
      <c r="Q157">
        <f>+bma!Q157/data!$AJ157</f>
        <v>205.94683997594129</v>
      </c>
      <c r="R157">
        <f>+bma!R157/data!$AJ157</f>
        <v>110.85648201502411</v>
      </c>
      <c r="S157">
        <f>+bma!S157/data!$AJ157</f>
        <v>0</v>
      </c>
    </row>
    <row r="158" spans="1:19" x14ac:dyDescent="0.25">
      <c r="A158">
        <f>+data!AH158</f>
        <v>-2.0131195335276968</v>
      </c>
      <c r="B158">
        <f>+data!AL158</f>
        <v>28.775903986778083</v>
      </c>
      <c r="C158">
        <f>+bma!C158/data!$AJ158</f>
        <v>0</v>
      </c>
      <c r="D158">
        <f>+bma!D158/data!$AJ158</f>
        <v>0</v>
      </c>
      <c r="E158">
        <f>+bma!E158/data!$AJ158</f>
        <v>0</v>
      </c>
      <c r="F158">
        <f>+bma!F158/data!$AJ158</f>
        <v>0</v>
      </c>
      <c r="G158">
        <f>+bma!G158/data!$AJ158</f>
        <v>28.775903986778083</v>
      </c>
      <c r="H158">
        <f>+bma!H158/data!$AJ158</f>
        <v>28.775903986778083</v>
      </c>
      <c r="I158">
        <f>+bma!I158/data!$AJ158</f>
        <v>28.775903986778083</v>
      </c>
      <c r="J158">
        <f>+bma!L158/data!$AJ158</f>
        <v>0</v>
      </c>
      <c r="K158">
        <f>+bma!M158/data!$AJ158</f>
        <v>28.775903986778083</v>
      </c>
      <c r="L158">
        <f>+bma!J158/data!$AJ158</f>
        <v>0</v>
      </c>
      <c r="M158">
        <f>+bma!K158/data!$AJ158</f>
        <v>0</v>
      </c>
      <c r="N158">
        <f>+bma!N158/data!$AJ158</f>
        <v>0</v>
      </c>
      <c r="O158">
        <f>+bma!O158/data!$AJ158</f>
        <v>0</v>
      </c>
      <c r="P158">
        <f>+bma!P158/data!$AJ158</f>
        <v>28.775903986778083</v>
      </c>
      <c r="Q158">
        <f>+bma!Q158/data!$AJ158</f>
        <v>218.88069077418095</v>
      </c>
      <c r="R158">
        <f>+bma!R158/data!$AJ158</f>
        <v>117.8184786087449</v>
      </c>
      <c r="S158">
        <f>+bma!S158/data!$AJ158</f>
        <v>0</v>
      </c>
    </row>
    <row r="159" spans="1:19" x14ac:dyDescent="0.25">
      <c r="A159">
        <f>+data!AH159</f>
        <v>-0.33868974042027195</v>
      </c>
      <c r="B159">
        <f>+data!AL159</f>
        <v>28.707398188276589</v>
      </c>
      <c r="C159">
        <f>+bma!C159/data!$AJ159</f>
        <v>0</v>
      </c>
      <c r="D159">
        <f>+bma!D159/data!$AJ159</f>
        <v>0</v>
      </c>
      <c r="E159">
        <f>+bma!E159/data!$AJ159</f>
        <v>0</v>
      </c>
      <c r="F159">
        <f>+bma!F159/data!$AJ159</f>
        <v>0</v>
      </c>
      <c r="G159">
        <f>+bma!G159/data!$AJ159</f>
        <v>28.707398188276589</v>
      </c>
      <c r="H159">
        <f>+bma!H159/data!$AJ159</f>
        <v>28.707398188276589</v>
      </c>
      <c r="I159">
        <f>+bma!I159/data!$AJ159</f>
        <v>28.707398188276589</v>
      </c>
      <c r="J159">
        <f>+bma!L159/data!$AJ159</f>
        <v>0</v>
      </c>
      <c r="K159">
        <f>+bma!M159/data!$AJ159</f>
        <v>28.707398188276589</v>
      </c>
      <c r="L159">
        <f>+bma!J159/data!$AJ159</f>
        <v>0</v>
      </c>
      <c r="M159">
        <f>+bma!K159/data!$AJ159</f>
        <v>0</v>
      </c>
      <c r="N159">
        <f>+bma!N159/data!$AJ159</f>
        <v>28.707398188276589</v>
      </c>
      <c r="O159">
        <f>+bma!O159/data!$AJ159</f>
        <v>0</v>
      </c>
      <c r="P159">
        <f>+bma!P159/data!$AJ159</f>
        <v>28.707398188276589</v>
      </c>
      <c r="Q159">
        <f>+bma!Q159/data!$AJ159</f>
        <v>218.35960909052878</v>
      </c>
      <c r="R159">
        <f>+bma!R159/data!$AJ159</f>
        <v>117.5379922351793</v>
      </c>
      <c r="S159">
        <f>+bma!S159/data!$AJ159</f>
        <v>0</v>
      </c>
    </row>
    <row r="160" spans="1:19" x14ac:dyDescent="0.25">
      <c r="A160">
        <f>+data!AH160</f>
        <v>-0.49545454545454543</v>
      </c>
      <c r="B160">
        <f>+data!AL160</f>
        <v>28.709675637432959</v>
      </c>
      <c r="C160">
        <f>+bma!C160/data!$AJ160</f>
        <v>0</v>
      </c>
      <c r="D160">
        <f>+bma!D160/data!$AJ160</f>
        <v>0</v>
      </c>
      <c r="E160">
        <f>+bma!E160/data!$AJ160</f>
        <v>0</v>
      </c>
      <c r="F160">
        <f>+bma!F160/data!$AJ160</f>
        <v>0</v>
      </c>
      <c r="G160">
        <f>+bma!G160/data!$AJ160</f>
        <v>28.709675637432959</v>
      </c>
      <c r="H160">
        <f>+bma!H160/data!$AJ160</f>
        <v>28.709675637432959</v>
      </c>
      <c r="I160">
        <f>+bma!I160/data!$AJ160</f>
        <v>28.709675637432959</v>
      </c>
      <c r="J160">
        <f>+bma!L160/data!$AJ160</f>
        <v>0</v>
      </c>
      <c r="K160">
        <f>+bma!M160/data!$AJ160</f>
        <v>28.709675637432959</v>
      </c>
      <c r="L160">
        <f>+bma!J160/data!$AJ160</f>
        <v>0</v>
      </c>
      <c r="M160">
        <f>+bma!K160/data!$AJ160</f>
        <v>0</v>
      </c>
      <c r="N160">
        <f>+bma!N160/data!$AJ160</f>
        <v>0</v>
      </c>
      <c r="O160">
        <f>+bma!O160/data!$AJ160</f>
        <v>28.709675637432959</v>
      </c>
      <c r="P160">
        <f>+bma!P160/data!$AJ160</f>
        <v>28.709675637432959</v>
      </c>
      <c r="Q160">
        <f>+bma!Q160/data!$AJ160</f>
        <v>218.37693225246241</v>
      </c>
      <c r="R160">
        <f>+bma!R160/data!$AJ160</f>
        <v>117.54731689774545</v>
      </c>
      <c r="S160">
        <f>+bma!S160/data!$AJ160</f>
        <v>0</v>
      </c>
    </row>
    <row r="161" spans="1:19" x14ac:dyDescent="0.25">
      <c r="A161">
        <f>+data!AH161</f>
        <v>-1.8878326996197718</v>
      </c>
      <c r="B161">
        <f>+data!AL161</f>
        <v>29.044171744116817</v>
      </c>
      <c r="C161">
        <f>+bma!C161/data!$AJ161</f>
        <v>0</v>
      </c>
      <c r="D161">
        <f>+bma!D161/data!$AJ161</f>
        <v>0</v>
      </c>
      <c r="E161">
        <f>+bma!E161/data!$AJ161</f>
        <v>0</v>
      </c>
      <c r="F161">
        <f>+bma!F161/data!$AJ161</f>
        <v>0</v>
      </c>
      <c r="G161">
        <f>+bma!G161/data!$AJ161</f>
        <v>29.044171744116817</v>
      </c>
      <c r="H161">
        <f>+bma!H161/data!$AJ161</f>
        <v>29.044171744116817</v>
      </c>
      <c r="I161">
        <f>+bma!I161/data!$AJ161</f>
        <v>29.044171744116817</v>
      </c>
      <c r="J161">
        <f>+bma!L161/data!$AJ161</f>
        <v>0</v>
      </c>
      <c r="K161">
        <f>+bma!M161/data!$AJ161</f>
        <v>29.044171744116817</v>
      </c>
      <c r="L161">
        <f>+bma!J161/data!$AJ161</f>
        <v>0</v>
      </c>
      <c r="M161">
        <f>+bma!K161/data!$AJ161</f>
        <v>0</v>
      </c>
      <c r="N161">
        <f>+bma!N161/data!$AJ161</f>
        <v>0</v>
      </c>
      <c r="O161">
        <f>+bma!O161/data!$AJ161</f>
        <v>0</v>
      </c>
      <c r="P161">
        <f>+bma!P161/data!$AJ161</f>
        <v>29.044171744116817</v>
      </c>
      <c r="Q161">
        <f>+bma!Q161/data!$AJ161</f>
        <v>220.92123942438923</v>
      </c>
      <c r="R161">
        <f>+bma!R161/data!$AJ161</f>
        <v>118.91685935966596</v>
      </c>
      <c r="S161">
        <f>+bma!S161/data!$AJ161</f>
        <v>0</v>
      </c>
    </row>
    <row r="162" spans="1:19" x14ac:dyDescent="0.25">
      <c r="A162">
        <f>+data!AH162</f>
        <v>0.43639427127211455</v>
      </c>
      <c r="B162">
        <f>+data!AL162</f>
        <v>28.986038707626111</v>
      </c>
      <c r="C162">
        <f>+bma!C162/data!$AJ162</f>
        <v>0</v>
      </c>
      <c r="D162">
        <f>+bma!D162/data!$AJ162</f>
        <v>0</v>
      </c>
      <c r="E162">
        <f>+bma!E162/data!$AJ162</f>
        <v>0</v>
      </c>
      <c r="F162">
        <f>+bma!F162/data!$AJ162</f>
        <v>0</v>
      </c>
      <c r="G162">
        <f>+bma!G162/data!$AJ162</f>
        <v>28.986038707626111</v>
      </c>
      <c r="H162">
        <f>+bma!H162/data!$AJ162</f>
        <v>28.986038707626111</v>
      </c>
      <c r="I162">
        <f>+bma!I162/data!$AJ162</f>
        <v>28.986038707626111</v>
      </c>
      <c r="J162">
        <f>+bma!L162/data!$AJ162</f>
        <v>0</v>
      </c>
      <c r="K162">
        <f>+bma!M162/data!$AJ162</f>
        <v>28.986038707626111</v>
      </c>
      <c r="L162">
        <f>+bma!J162/data!$AJ162</f>
        <v>0</v>
      </c>
      <c r="M162">
        <f>+bma!K162/data!$AJ162</f>
        <v>0</v>
      </c>
      <c r="N162">
        <f>+bma!N162/data!$AJ162</f>
        <v>28.986038707626111</v>
      </c>
      <c r="O162">
        <f>+bma!O162/data!$AJ162</f>
        <v>0</v>
      </c>
      <c r="P162">
        <f>+bma!P162/data!$AJ162</f>
        <v>28.986038707626111</v>
      </c>
      <c r="Q162">
        <f>+bma!Q162/data!$AJ162</f>
        <v>220.47905699322274</v>
      </c>
      <c r="R162">
        <f>+bma!R162/data!$AJ162</f>
        <v>118.67884265237542</v>
      </c>
      <c r="S162">
        <f>+bma!S162/data!$AJ162</f>
        <v>0</v>
      </c>
    </row>
    <row r="163" spans="1:19" x14ac:dyDescent="0.25">
      <c r="A163">
        <f>+data!AH163</f>
        <v>1.591187270501836E-2</v>
      </c>
      <c r="B163">
        <f>+data!AL163</f>
        <v>28.982757860281222</v>
      </c>
      <c r="C163">
        <f>+bma!C163/data!$AJ163</f>
        <v>0</v>
      </c>
      <c r="D163">
        <f>+bma!D163/data!$AJ163</f>
        <v>0</v>
      </c>
      <c r="E163">
        <f>+bma!E163/data!$AJ163</f>
        <v>0</v>
      </c>
      <c r="F163">
        <f>+bma!F163/data!$AJ163</f>
        <v>0</v>
      </c>
      <c r="G163">
        <f>+bma!G163/data!$AJ163</f>
        <v>28.982757860281222</v>
      </c>
      <c r="H163">
        <f>+bma!H163/data!$AJ163</f>
        <v>28.982757860281222</v>
      </c>
      <c r="I163">
        <f>+bma!I163/data!$AJ163</f>
        <v>28.982757860281222</v>
      </c>
      <c r="J163">
        <f>+bma!L163/data!$AJ163</f>
        <v>0</v>
      </c>
      <c r="K163">
        <f>+bma!M163/data!$AJ163</f>
        <v>28.982757860281222</v>
      </c>
      <c r="L163">
        <f>+bma!J163/data!$AJ163</f>
        <v>0</v>
      </c>
      <c r="M163">
        <f>+bma!K163/data!$AJ163</f>
        <v>0</v>
      </c>
      <c r="N163">
        <f>+bma!N163/data!$AJ163</f>
        <v>0</v>
      </c>
      <c r="O163">
        <f>+bma!O163/data!$AJ163</f>
        <v>28.982757860281222</v>
      </c>
      <c r="P163">
        <f>+bma!P163/data!$AJ163</f>
        <v>28.982757860281222</v>
      </c>
      <c r="Q163">
        <f>+bma!Q163/data!$AJ163</f>
        <v>220.45410159534876</v>
      </c>
      <c r="R163">
        <f>+bma!R163/data!$AJ163</f>
        <v>118.66540973145311</v>
      </c>
      <c r="S163">
        <f>+bma!S163/data!$AJ163</f>
        <v>0</v>
      </c>
    </row>
    <row r="164" spans="1:19" x14ac:dyDescent="0.25">
      <c r="A164">
        <f>+data!AH164</f>
        <v>-0.19623655913978494</v>
      </c>
      <c r="B164">
        <f>+data!AL164</f>
        <v>21.331631648496629</v>
      </c>
      <c r="C164">
        <f>+bma!C164/data!$AJ164</f>
        <v>21.331631648496629</v>
      </c>
      <c r="D164">
        <f>+bma!D164/data!$AJ164</f>
        <v>0</v>
      </c>
      <c r="E164">
        <f>+bma!E164/data!$AJ164</f>
        <v>0</v>
      </c>
      <c r="F164">
        <f>+bma!F164/data!$AJ164</f>
        <v>0</v>
      </c>
      <c r="G164">
        <f>+bma!G164/data!$AJ164</f>
        <v>21.331631648496629</v>
      </c>
      <c r="H164">
        <f>+bma!H164/data!$AJ164</f>
        <v>21.331631648496629</v>
      </c>
      <c r="I164">
        <f>+bma!I164/data!$AJ164</f>
        <v>21.331631648496629</v>
      </c>
      <c r="J164">
        <f>+bma!L164/data!$AJ164</f>
        <v>0</v>
      </c>
      <c r="K164">
        <f>+bma!M164/data!$AJ164</f>
        <v>21.331631648496629</v>
      </c>
      <c r="L164">
        <f>+bma!J164/data!$AJ164</f>
        <v>0</v>
      </c>
      <c r="M164">
        <f>+bma!K164/data!$AJ164</f>
        <v>0</v>
      </c>
      <c r="N164">
        <f>+bma!N164/data!$AJ164</f>
        <v>0</v>
      </c>
      <c r="O164">
        <f>+bma!O164/data!$AJ164</f>
        <v>0</v>
      </c>
      <c r="P164">
        <f>+bma!P164/data!$AJ164</f>
        <v>21.331631648496629</v>
      </c>
      <c r="Q164">
        <f>+bma!Q164/data!$AJ164</f>
        <v>162.25666699154496</v>
      </c>
      <c r="R164">
        <f>+bma!R164/data!$AJ164</f>
        <v>87.339059381863919</v>
      </c>
      <c r="S164">
        <f>+bma!S164/data!$AJ164</f>
        <v>0</v>
      </c>
    </row>
    <row r="165" spans="1:19" x14ac:dyDescent="0.25">
      <c r="A165">
        <f>+data!AH165</f>
        <v>0.25757575757575762</v>
      </c>
      <c r="B165">
        <f>+data!AL165</f>
        <v>21.332284108151445</v>
      </c>
      <c r="C165">
        <f>+bma!C165/data!$AJ165</f>
        <v>21.332284108151445</v>
      </c>
      <c r="D165">
        <f>+bma!D165/data!$AJ165</f>
        <v>0</v>
      </c>
      <c r="E165">
        <f>+bma!E165/data!$AJ165</f>
        <v>0</v>
      </c>
      <c r="F165">
        <f>+bma!F165/data!$AJ165</f>
        <v>0</v>
      </c>
      <c r="G165">
        <f>+bma!G165/data!$AJ165</f>
        <v>21.332284108151445</v>
      </c>
      <c r="H165">
        <f>+bma!H165/data!$AJ165</f>
        <v>21.332284108151445</v>
      </c>
      <c r="I165">
        <f>+bma!I165/data!$AJ165</f>
        <v>21.332284108151445</v>
      </c>
      <c r="J165">
        <f>+bma!L165/data!$AJ165</f>
        <v>0</v>
      </c>
      <c r="K165">
        <f>+bma!M165/data!$AJ165</f>
        <v>21.332284108151445</v>
      </c>
      <c r="L165">
        <f>+bma!J165/data!$AJ165</f>
        <v>0</v>
      </c>
      <c r="M165">
        <f>+bma!K165/data!$AJ165</f>
        <v>0</v>
      </c>
      <c r="N165">
        <f>+bma!N165/data!$AJ165</f>
        <v>21.332284108151445</v>
      </c>
      <c r="O165">
        <f>+bma!O165/data!$AJ165</f>
        <v>0</v>
      </c>
      <c r="P165">
        <f>+bma!P165/data!$AJ165</f>
        <v>21.332284108151445</v>
      </c>
      <c r="Q165">
        <f>+bma!Q165/data!$AJ165</f>
        <v>162.26162985283383</v>
      </c>
      <c r="R165">
        <f>+bma!R165/data!$AJ165</f>
        <v>87.341730776789319</v>
      </c>
      <c r="S165">
        <f>+bma!S165/data!$AJ165</f>
        <v>0</v>
      </c>
    </row>
    <row r="166" spans="1:19" x14ac:dyDescent="0.25">
      <c r="A166">
        <f>+data!AH166</f>
        <v>-0.22412773506800712</v>
      </c>
      <c r="B166">
        <f>+data!AL166</f>
        <v>21.331906460549337</v>
      </c>
      <c r="C166">
        <f>+bma!C166/data!$AJ166</f>
        <v>21.331906460549337</v>
      </c>
      <c r="D166">
        <f>+bma!D166/data!$AJ166</f>
        <v>0</v>
      </c>
      <c r="E166">
        <f>+bma!E166/data!$AJ166</f>
        <v>0</v>
      </c>
      <c r="F166">
        <f>+bma!F166/data!$AJ166</f>
        <v>0</v>
      </c>
      <c r="G166">
        <f>+bma!G166/data!$AJ166</f>
        <v>21.331906460549337</v>
      </c>
      <c r="H166">
        <f>+bma!H166/data!$AJ166</f>
        <v>21.331906460549337</v>
      </c>
      <c r="I166">
        <f>+bma!I166/data!$AJ166</f>
        <v>21.331906460549337</v>
      </c>
      <c r="J166">
        <f>+bma!L166/data!$AJ166</f>
        <v>0</v>
      </c>
      <c r="K166">
        <f>+bma!M166/data!$AJ166</f>
        <v>21.331906460549337</v>
      </c>
      <c r="L166">
        <f>+bma!J166/data!$AJ166</f>
        <v>0</v>
      </c>
      <c r="M166">
        <f>+bma!K166/data!$AJ166</f>
        <v>0</v>
      </c>
      <c r="N166">
        <f>+bma!N166/data!$AJ166</f>
        <v>0</v>
      </c>
      <c r="O166">
        <f>+bma!O166/data!$AJ166</f>
        <v>21.331906460549337</v>
      </c>
      <c r="P166">
        <f>+bma!P166/data!$AJ166</f>
        <v>21.331906460549337</v>
      </c>
      <c r="Q166">
        <f>+bma!Q166/data!$AJ166</f>
        <v>162.25875731864497</v>
      </c>
      <c r="R166">
        <f>+bma!R166/data!$AJ166</f>
        <v>87.340184557217881</v>
      </c>
      <c r="S166">
        <f>+bma!S166/data!$AJ166</f>
        <v>0</v>
      </c>
    </row>
    <row r="167" spans="1:19" x14ac:dyDescent="0.25">
      <c r="A167">
        <f>+data!AH167</f>
        <v>-1.0017211703958693</v>
      </c>
      <c r="B167">
        <f>+data!AL167</f>
        <v>59.371739449869743</v>
      </c>
      <c r="C167">
        <f>+bma!C167/data!$AJ167</f>
        <v>0</v>
      </c>
      <c r="D167">
        <f>+bma!D167/data!$AJ167</f>
        <v>0</v>
      </c>
      <c r="E167">
        <f>+bma!E167/data!$AJ167</f>
        <v>0</v>
      </c>
      <c r="F167">
        <f>+bma!F167/data!$AJ167</f>
        <v>0</v>
      </c>
      <c r="G167">
        <f>+bma!G167/data!$AJ167</f>
        <v>59.371739449869743</v>
      </c>
      <c r="H167">
        <f>+bma!H167/data!$AJ167</f>
        <v>59.371739449869743</v>
      </c>
      <c r="I167">
        <f>+bma!I167/data!$AJ167</f>
        <v>59.371739449869743</v>
      </c>
      <c r="J167">
        <f>+bma!L167/data!$AJ167</f>
        <v>0</v>
      </c>
      <c r="K167">
        <f>+bma!M167/data!$AJ167</f>
        <v>59.371739449869743</v>
      </c>
      <c r="L167">
        <f>+bma!J167/data!$AJ167</f>
        <v>0</v>
      </c>
      <c r="M167">
        <f>+bma!K167/data!$AJ167</f>
        <v>0</v>
      </c>
      <c r="N167">
        <f>+bma!N167/data!$AJ167</f>
        <v>0</v>
      </c>
      <c r="O167">
        <f>+bma!O167/data!$AJ167</f>
        <v>0</v>
      </c>
      <c r="P167">
        <f>+bma!P167/data!$AJ167</f>
        <v>59.371739449869743</v>
      </c>
      <c r="Q167">
        <f>+bma!Q167/data!$AJ167</f>
        <v>451.60448649061578</v>
      </c>
      <c r="R167">
        <f>+bma!R167/data!$AJ167</f>
        <v>243.08838455787691</v>
      </c>
      <c r="S167">
        <f>+bma!S167/data!$AJ167</f>
        <v>0</v>
      </c>
    </row>
    <row r="168" spans="1:19" x14ac:dyDescent="0.25">
      <c r="A168">
        <f>+data!AH168</f>
        <v>0.71428571428571441</v>
      </c>
      <c r="B168">
        <f>+data!AL168</f>
        <v>59.367585466158481</v>
      </c>
      <c r="C168">
        <f>+bma!C168/data!$AJ168</f>
        <v>0</v>
      </c>
      <c r="D168">
        <f>+bma!D168/data!$AJ168</f>
        <v>0</v>
      </c>
      <c r="E168">
        <f>+bma!E168/data!$AJ168</f>
        <v>0</v>
      </c>
      <c r="F168">
        <f>+bma!F168/data!$AJ168</f>
        <v>0</v>
      </c>
      <c r="G168">
        <f>+bma!G168/data!$AJ168</f>
        <v>59.367585466158481</v>
      </c>
      <c r="H168">
        <f>+bma!H168/data!$AJ168</f>
        <v>59.367585466158481</v>
      </c>
      <c r="I168">
        <f>+bma!I168/data!$AJ168</f>
        <v>59.367585466158481</v>
      </c>
      <c r="J168">
        <f>+bma!L168/data!$AJ168</f>
        <v>0</v>
      </c>
      <c r="K168">
        <f>+bma!M168/data!$AJ168</f>
        <v>59.367585466158481</v>
      </c>
      <c r="L168">
        <f>+bma!J168/data!$AJ168</f>
        <v>0</v>
      </c>
      <c r="M168">
        <f>+bma!K168/data!$AJ168</f>
        <v>0</v>
      </c>
      <c r="N168">
        <f>+bma!N168/data!$AJ168</f>
        <v>59.367585466158481</v>
      </c>
      <c r="O168">
        <f>+bma!O168/data!$AJ168</f>
        <v>0</v>
      </c>
      <c r="P168">
        <f>+bma!P168/data!$AJ168</f>
        <v>59.367585466158481</v>
      </c>
      <c r="Q168">
        <f>+bma!Q168/data!$AJ168</f>
        <v>451.57288967876229</v>
      </c>
      <c r="R168">
        <f>+bma!R168/data!$AJ168</f>
        <v>243.07137671543862</v>
      </c>
      <c r="S168">
        <f>+bma!S168/data!$AJ168</f>
        <v>0</v>
      </c>
    </row>
    <row r="169" spans="1:19" x14ac:dyDescent="0.25">
      <c r="A169">
        <f>+data!AH169</f>
        <v>1.3816425120772948</v>
      </c>
      <c r="B169">
        <f>+data!AL169</f>
        <v>59.379364564056921</v>
      </c>
      <c r="C169">
        <f>+bma!C169/data!$AJ169</f>
        <v>0</v>
      </c>
      <c r="D169">
        <f>+bma!D169/data!$AJ169</f>
        <v>0</v>
      </c>
      <c r="E169">
        <f>+bma!E169/data!$AJ169</f>
        <v>0</v>
      </c>
      <c r="F169">
        <f>+bma!F169/data!$AJ169</f>
        <v>0</v>
      </c>
      <c r="G169">
        <f>+bma!G169/data!$AJ169</f>
        <v>59.379364564056921</v>
      </c>
      <c r="H169">
        <f>+bma!H169/data!$AJ169</f>
        <v>59.379364564056921</v>
      </c>
      <c r="I169">
        <f>+bma!I169/data!$AJ169</f>
        <v>59.379364564056921</v>
      </c>
      <c r="J169">
        <f>+bma!L169/data!$AJ169</f>
        <v>0</v>
      </c>
      <c r="K169">
        <f>+bma!M169/data!$AJ169</f>
        <v>59.379364564056921</v>
      </c>
      <c r="L169">
        <f>+bma!J169/data!$AJ169</f>
        <v>0</v>
      </c>
      <c r="M169">
        <f>+bma!K169/data!$AJ169</f>
        <v>0</v>
      </c>
      <c r="N169">
        <f>+bma!N169/data!$AJ169</f>
        <v>0</v>
      </c>
      <c r="O169">
        <f>+bma!O169/data!$AJ169</f>
        <v>59.379364564056921</v>
      </c>
      <c r="P169">
        <f>+bma!P169/data!$AJ169</f>
        <v>59.379364564056921</v>
      </c>
      <c r="Q169">
        <f>+bma!Q169/data!$AJ169</f>
        <v>451.66248606766783</v>
      </c>
      <c r="R169">
        <f>+bma!R169/data!$AJ169</f>
        <v>243.11960440602363</v>
      </c>
      <c r="S169">
        <f>+bma!S169/data!$AJ169</f>
        <v>0</v>
      </c>
    </row>
    <row r="170" spans="1:19" x14ac:dyDescent="0.25">
      <c r="A170">
        <f>+data!AH170</f>
        <v>-0.45741324921135651</v>
      </c>
      <c r="B170">
        <f>+data!AL170</f>
        <v>59.784690572759125</v>
      </c>
      <c r="C170">
        <f>+bma!C170/data!$AJ170</f>
        <v>0</v>
      </c>
      <c r="D170">
        <f>+bma!D170/data!$AJ170</f>
        <v>0</v>
      </c>
      <c r="E170">
        <f>+bma!E170/data!$AJ170</f>
        <v>0</v>
      </c>
      <c r="F170">
        <f>+bma!F170/data!$AJ170</f>
        <v>0</v>
      </c>
      <c r="G170">
        <f>+bma!G170/data!$AJ170</f>
        <v>59.784690572759125</v>
      </c>
      <c r="H170">
        <f>+bma!H170/data!$AJ170</f>
        <v>59.784690572759125</v>
      </c>
      <c r="I170">
        <f>+bma!I170/data!$AJ170</f>
        <v>59.784690572759125</v>
      </c>
      <c r="J170">
        <f>+bma!L170/data!$AJ170</f>
        <v>0</v>
      </c>
      <c r="K170">
        <f>+bma!M170/data!$AJ170</f>
        <v>59.784690572759125</v>
      </c>
      <c r="L170">
        <f>+bma!J170/data!$AJ170</f>
        <v>0</v>
      </c>
      <c r="M170">
        <f>+bma!K170/data!$AJ170</f>
        <v>0</v>
      </c>
      <c r="N170">
        <f>+bma!N170/data!$AJ170</f>
        <v>0</v>
      </c>
      <c r="O170">
        <f>+bma!O170/data!$AJ170</f>
        <v>0</v>
      </c>
      <c r="P170">
        <f>+bma!P170/data!$AJ170</f>
        <v>59.784690572759125</v>
      </c>
      <c r="Q170">
        <f>+bma!Q170/data!$AJ170</f>
        <v>454.74555295634815</v>
      </c>
      <c r="R170">
        <f>+bma!R170/data!$AJ170</f>
        <v>244.77914892312344</v>
      </c>
      <c r="S170">
        <f>+bma!S170/data!$AJ170</f>
        <v>0</v>
      </c>
    </row>
    <row r="171" spans="1:19" x14ac:dyDescent="0.25">
      <c r="A171">
        <f>+data!AH171</f>
        <v>1.1923809523809525</v>
      </c>
      <c r="B171">
        <f>+data!AL171</f>
        <v>59.794830648941563</v>
      </c>
      <c r="C171">
        <f>+bma!C171/data!$AJ171</f>
        <v>0</v>
      </c>
      <c r="D171">
        <f>+bma!D171/data!$AJ171</f>
        <v>0</v>
      </c>
      <c r="E171">
        <f>+bma!E171/data!$AJ171</f>
        <v>0</v>
      </c>
      <c r="F171">
        <f>+bma!F171/data!$AJ171</f>
        <v>0</v>
      </c>
      <c r="G171">
        <f>+bma!G171/data!$AJ171</f>
        <v>59.794830648941563</v>
      </c>
      <c r="H171">
        <f>+bma!H171/data!$AJ171</f>
        <v>59.794830648941563</v>
      </c>
      <c r="I171">
        <f>+bma!I171/data!$AJ171</f>
        <v>59.794830648941563</v>
      </c>
      <c r="J171">
        <f>+bma!L171/data!$AJ171</f>
        <v>0</v>
      </c>
      <c r="K171">
        <f>+bma!M171/data!$AJ171</f>
        <v>59.794830648941563</v>
      </c>
      <c r="L171">
        <f>+bma!J171/data!$AJ171</f>
        <v>0</v>
      </c>
      <c r="M171">
        <f>+bma!K171/data!$AJ171</f>
        <v>0</v>
      </c>
      <c r="N171">
        <f>+bma!N171/data!$AJ171</f>
        <v>59.794830648941563</v>
      </c>
      <c r="O171">
        <f>+bma!O171/data!$AJ171</f>
        <v>0</v>
      </c>
      <c r="P171">
        <f>+bma!P171/data!$AJ171</f>
        <v>59.794830648941563</v>
      </c>
      <c r="Q171">
        <f>+bma!Q171/data!$AJ171</f>
        <v>454.82268231014132</v>
      </c>
      <c r="R171">
        <f>+bma!R171/data!$AJ171</f>
        <v>244.82066589334062</v>
      </c>
      <c r="S171">
        <f>+bma!S171/data!$AJ171</f>
        <v>0</v>
      </c>
    </row>
    <row r="172" spans="1:19" x14ac:dyDescent="0.25">
      <c r="A172">
        <f>+data!AH172</f>
        <v>-3.9639639639639644E-2</v>
      </c>
      <c r="B172">
        <f>+data!AL172</f>
        <v>59.782953852256504</v>
      </c>
      <c r="C172">
        <f>+bma!C172/data!$AJ172</f>
        <v>0</v>
      </c>
      <c r="D172">
        <f>+bma!D172/data!$AJ172</f>
        <v>0</v>
      </c>
      <c r="E172">
        <f>+bma!E172/data!$AJ172</f>
        <v>0</v>
      </c>
      <c r="F172">
        <f>+bma!F172/data!$AJ172</f>
        <v>0</v>
      </c>
      <c r="G172">
        <f>+bma!G172/data!$AJ172</f>
        <v>59.782953852256504</v>
      </c>
      <c r="H172">
        <f>+bma!H172/data!$AJ172</f>
        <v>59.782953852256504</v>
      </c>
      <c r="I172">
        <f>+bma!I172/data!$AJ172</f>
        <v>59.782953852256504</v>
      </c>
      <c r="J172">
        <f>+bma!L172/data!$AJ172</f>
        <v>0</v>
      </c>
      <c r="K172">
        <f>+bma!M172/data!$AJ172</f>
        <v>59.782953852256504</v>
      </c>
      <c r="L172">
        <f>+bma!J172/data!$AJ172</f>
        <v>0</v>
      </c>
      <c r="M172">
        <f>+bma!K172/data!$AJ172</f>
        <v>0</v>
      </c>
      <c r="N172">
        <f>+bma!N172/data!$AJ172</f>
        <v>0</v>
      </c>
      <c r="O172">
        <f>+bma!O172/data!$AJ172</f>
        <v>59.782953852256504</v>
      </c>
      <c r="P172">
        <f>+bma!P172/data!$AJ172</f>
        <v>59.782953852256504</v>
      </c>
      <c r="Q172">
        <f>+bma!Q172/data!$AJ172</f>
        <v>454.73234278635766</v>
      </c>
      <c r="R172">
        <f>+bma!R172/data!$AJ172</f>
        <v>244.77203819021713</v>
      </c>
      <c r="S172">
        <f>+bma!S172/data!$AJ172</f>
        <v>0</v>
      </c>
    </row>
    <row r="173" spans="1:19" x14ac:dyDescent="0.25">
      <c r="A173">
        <f>+data!AH173</f>
        <v>0.53341148886283707</v>
      </c>
      <c r="B173">
        <f>+data!AL173</f>
        <v>44.286392129145618</v>
      </c>
      <c r="C173">
        <f>+bma!C173/data!$AJ173</f>
        <v>44.286392129145618</v>
      </c>
      <c r="D173">
        <f>+bma!D173/data!$AJ173</f>
        <v>0</v>
      </c>
      <c r="E173">
        <f>+bma!E173/data!$AJ173</f>
        <v>0</v>
      </c>
      <c r="F173">
        <f>+bma!F173/data!$AJ173</f>
        <v>0</v>
      </c>
      <c r="G173">
        <f>+bma!G173/data!$AJ173</f>
        <v>44.286392129145618</v>
      </c>
      <c r="H173">
        <f>+bma!H173/data!$AJ173</f>
        <v>44.286392129145618</v>
      </c>
      <c r="I173">
        <f>+bma!I173/data!$AJ173</f>
        <v>44.286392129145618</v>
      </c>
      <c r="J173">
        <f>+bma!L173/data!$AJ173</f>
        <v>0</v>
      </c>
      <c r="K173">
        <f>+bma!M173/data!$AJ173</f>
        <v>44.286392129145618</v>
      </c>
      <c r="L173">
        <f>+bma!J173/data!$AJ173</f>
        <v>0</v>
      </c>
      <c r="M173">
        <f>+bma!K173/data!$AJ173</f>
        <v>0</v>
      </c>
      <c r="N173">
        <f>+bma!N173/data!$AJ173</f>
        <v>0</v>
      </c>
      <c r="O173">
        <f>+bma!O173/data!$AJ173</f>
        <v>0</v>
      </c>
      <c r="P173">
        <f>+bma!P173/data!$AJ173</f>
        <v>44.286392129145618</v>
      </c>
      <c r="Q173">
        <f>+bma!Q173/data!$AJ173</f>
        <v>336.85948165442767</v>
      </c>
      <c r="R173">
        <f>+bma!R173/data!$AJ173</f>
        <v>181.32376818200672</v>
      </c>
      <c r="S173">
        <f>+bma!S173/data!$AJ173</f>
        <v>0</v>
      </c>
    </row>
    <row r="174" spans="1:19" x14ac:dyDescent="0.25">
      <c r="A174">
        <f>+data!AH174</f>
        <v>1.2873510540788267</v>
      </c>
      <c r="B174">
        <f>+data!AL174</f>
        <v>44.301887913907663</v>
      </c>
      <c r="C174">
        <f>+bma!C174/data!$AJ174</f>
        <v>44.301887913907663</v>
      </c>
      <c r="D174">
        <f>+bma!D174/data!$AJ174</f>
        <v>0</v>
      </c>
      <c r="E174">
        <f>+bma!E174/data!$AJ174</f>
        <v>0</v>
      </c>
      <c r="F174">
        <f>+bma!F174/data!$AJ174</f>
        <v>0</v>
      </c>
      <c r="G174">
        <f>+bma!G174/data!$AJ174</f>
        <v>44.301887913907663</v>
      </c>
      <c r="H174">
        <f>+bma!H174/data!$AJ174</f>
        <v>44.301887913907663</v>
      </c>
      <c r="I174">
        <f>+bma!I174/data!$AJ174</f>
        <v>44.301887913907663</v>
      </c>
      <c r="J174">
        <f>+bma!L174/data!$AJ174</f>
        <v>0</v>
      </c>
      <c r="K174">
        <f>+bma!M174/data!$AJ174</f>
        <v>44.301887913907663</v>
      </c>
      <c r="L174">
        <f>+bma!J174/data!$AJ174</f>
        <v>0</v>
      </c>
      <c r="M174">
        <f>+bma!K174/data!$AJ174</f>
        <v>0</v>
      </c>
      <c r="N174">
        <f>+bma!N174/data!$AJ174</f>
        <v>44.301887913907663</v>
      </c>
      <c r="O174">
        <f>+bma!O174/data!$AJ174</f>
        <v>0</v>
      </c>
      <c r="P174">
        <f>+bma!P174/data!$AJ174</f>
        <v>44.301887913907663</v>
      </c>
      <c r="Q174">
        <f>+bma!Q174/data!$AJ174</f>
        <v>336.97734860569227</v>
      </c>
      <c r="R174">
        <f>+bma!R174/data!$AJ174</f>
        <v>181.38721327086827</v>
      </c>
      <c r="S174">
        <f>+bma!S174/data!$AJ174</f>
        <v>0</v>
      </c>
    </row>
    <row r="175" spans="1:19" x14ac:dyDescent="0.25">
      <c r="A175">
        <f>+data!AH175</f>
        <v>0.54136874361593457</v>
      </c>
      <c r="B175">
        <f>+data!AL175</f>
        <v>44.286488685789529</v>
      </c>
      <c r="C175">
        <f>+bma!C175/data!$AJ175</f>
        <v>44.286488685789529</v>
      </c>
      <c r="D175">
        <f>+bma!D175/data!$AJ175</f>
        <v>0</v>
      </c>
      <c r="E175">
        <f>+bma!E175/data!$AJ175</f>
        <v>0</v>
      </c>
      <c r="F175">
        <f>+bma!F175/data!$AJ175</f>
        <v>0</v>
      </c>
      <c r="G175">
        <f>+bma!G175/data!$AJ175</f>
        <v>44.286488685789529</v>
      </c>
      <c r="H175">
        <f>+bma!H175/data!$AJ175</f>
        <v>44.286488685789529</v>
      </c>
      <c r="I175">
        <f>+bma!I175/data!$AJ175</f>
        <v>44.286488685789529</v>
      </c>
      <c r="J175">
        <f>+bma!L175/data!$AJ175</f>
        <v>0</v>
      </c>
      <c r="K175">
        <f>+bma!M175/data!$AJ175</f>
        <v>44.286488685789529</v>
      </c>
      <c r="L175">
        <f>+bma!J175/data!$AJ175</f>
        <v>0</v>
      </c>
      <c r="M175">
        <f>+bma!K175/data!$AJ175</f>
        <v>0</v>
      </c>
      <c r="N175">
        <f>+bma!N175/data!$AJ175</f>
        <v>0</v>
      </c>
      <c r="O175">
        <f>+bma!O175/data!$AJ175</f>
        <v>44.286488685789529</v>
      </c>
      <c r="P175">
        <f>+bma!P175/data!$AJ175</f>
        <v>44.286488685789529</v>
      </c>
      <c r="Q175">
        <f>+bma!Q175/data!$AJ175</f>
        <v>336.86021610172526</v>
      </c>
      <c r="R175">
        <f>+bma!R175/data!$AJ175</f>
        <v>181.32416351821894</v>
      </c>
      <c r="S175">
        <f>+bma!S175/data!$AJ175</f>
        <v>0</v>
      </c>
    </row>
    <row r="176" spans="1:19" x14ac:dyDescent="0.25">
      <c r="A176">
        <f>+data!AH176</f>
        <v>-0.19358074222668006</v>
      </c>
      <c r="B176">
        <f>+data!AL176</f>
        <v>29.223919543821651</v>
      </c>
      <c r="C176">
        <f>+bma!C176/data!$AJ176</f>
        <v>0</v>
      </c>
      <c r="D176">
        <f>+bma!D176/data!$AJ176</f>
        <v>0</v>
      </c>
      <c r="E176">
        <f>+bma!E176/data!$AJ176</f>
        <v>0</v>
      </c>
      <c r="F176">
        <f>+bma!F176/data!$AJ176</f>
        <v>0</v>
      </c>
      <c r="G176">
        <f>+bma!G176/data!$AJ176</f>
        <v>29.223919543821651</v>
      </c>
      <c r="H176">
        <f>+bma!H176/data!$AJ176</f>
        <v>29.223919543821651</v>
      </c>
      <c r="I176">
        <f>+bma!I176/data!$AJ176</f>
        <v>29.223919543821651</v>
      </c>
      <c r="J176">
        <f>+bma!L176/data!$AJ176</f>
        <v>0</v>
      </c>
      <c r="K176">
        <f>+bma!M176/data!$AJ176</f>
        <v>29.223919543821651</v>
      </c>
      <c r="L176">
        <f>+bma!J176/data!$AJ176</f>
        <v>0</v>
      </c>
      <c r="M176">
        <f>+bma!K176/data!$AJ176</f>
        <v>0</v>
      </c>
      <c r="N176">
        <f>+bma!N176/data!$AJ176</f>
        <v>0</v>
      </c>
      <c r="O176">
        <f>+bma!O176/data!$AJ176</f>
        <v>0</v>
      </c>
      <c r="P176">
        <f>+bma!P176/data!$AJ176</f>
        <v>29.223919543821651</v>
      </c>
      <c r="Q176">
        <f>+bma!Q176/data!$AJ176</f>
        <v>222.28847093109047</v>
      </c>
      <c r="R176">
        <f>+bma!R176/data!$AJ176</f>
        <v>119.65280886464845</v>
      </c>
      <c r="S176">
        <f>+bma!S176/data!$AJ176</f>
        <v>0</v>
      </c>
    </row>
    <row r="177" spans="1:19" x14ac:dyDescent="0.25">
      <c r="A177">
        <f>+data!AH177</f>
        <v>-0.14299610894941633</v>
      </c>
      <c r="B177">
        <f>+data!AL177</f>
        <v>29.223628246457949</v>
      </c>
      <c r="C177">
        <f>+bma!C177/data!$AJ177</f>
        <v>0</v>
      </c>
      <c r="D177">
        <f>+bma!D177/data!$AJ177</f>
        <v>0</v>
      </c>
      <c r="E177">
        <f>+bma!E177/data!$AJ177</f>
        <v>0</v>
      </c>
      <c r="F177">
        <f>+bma!F177/data!$AJ177</f>
        <v>0</v>
      </c>
      <c r="G177">
        <f>+bma!G177/data!$AJ177</f>
        <v>29.223628246457949</v>
      </c>
      <c r="H177">
        <f>+bma!H177/data!$AJ177</f>
        <v>29.223628246457949</v>
      </c>
      <c r="I177">
        <f>+bma!I177/data!$AJ177</f>
        <v>29.223628246457949</v>
      </c>
      <c r="J177">
        <f>+bma!L177/data!$AJ177</f>
        <v>0</v>
      </c>
      <c r="K177">
        <f>+bma!M177/data!$AJ177</f>
        <v>29.223628246457949</v>
      </c>
      <c r="L177">
        <f>+bma!J177/data!$AJ177</f>
        <v>0</v>
      </c>
      <c r="M177">
        <f>+bma!K177/data!$AJ177</f>
        <v>0</v>
      </c>
      <c r="N177">
        <f>+bma!N177/data!$AJ177</f>
        <v>29.223628246457949</v>
      </c>
      <c r="O177">
        <f>+bma!O177/data!$AJ177</f>
        <v>0</v>
      </c>
      <c r="P177">
        <f>+bma!P177/data!$AJ177</f>
        <v>29.223628246457949</v>
      </c>
      <c r="Q177">
        <f>+bma!Q177/data!$AJ177</f>
        <v>222.28625521031879</v>
      </c>
      <c r="R177">
        <f>+bma!R177/data!$AJ177</f>
        <v>119.65161619274386</v>
      </c>
      <c r="S177">
        <f>+bma!S177/data!$AJ177</f>
        <v>0</v>
      </c>
    </row>
    <row r="178" spans="1:19" x14ac:dyDescent="0.25">
      <c r="A178">
        <f>+data!AH178</f>
        <v>-1.0786384976525822</v>
      </c>
      <c r="B178">
        <f>+data!AL178</f>
        <v>29.243178025115849</v>
      </c>
      <c r="C178">
        <f>+bma!C178/data!$AJ178</f>
        <v>0</v>
      </c>
      <c r="D178">
        <f>+bma!D178/data!$AJ178</f>
        <v>0</v>
      </c>
      <c r="E178">
        <f>+bma!E178/data!$AJ178</f>
        <v>0</v>
      </c>
      <c r="F178">
        <f>+bma!F178/data!$AJ178</f>
        <v>0</v>
      </c>
      <c r="G178">
        <f>+bma!G178/data!$AJ178</f>
        <v>29.243178025115849</v>
      </c>
      <c r="H178">
        <f>+bma!H178/data!$AJ178</f>
        <v>29.243178025115849</v>
      </c>
      <c r="I178">
        <f>+bma!I178/data!$AJ178</f>
        <v>29.243178025115849</v>
      </c>
      <c r="J178">
        <f>+bma!L178/data!$AJ178</f>
        <v>0</v>
      </c>
      <c r="K178">
        <f>+bma!M178/data!$AJ178</f>
        <v>29.243178025115849</v>
      </c>
      <c r="L178">
        <f>+bma!J178/data!$AJ178</f>
        <v>0</v>
      </c>
      <c r="M178">
        <f>+bma!K178/data!$AJ178</f>
        <v>0</v>
      </c>
      <c r="N178">
        <f>+bma!N178/data!$AJ178</f>
        <v>0</v>
      </c>
      <c r="O178">
        <f>+bma!O178/data!$AJ178</f>
        <v>29.243178025115849</v>
      </c>
      <c r="P178">
        <f>+bma!P178/data!$AJ178</f>
        <v>29.243178025115849</v>
      </c>
      <c r="Q178">
        <f>+bma!Q178/data!$AJ178</f>
        <v>222.43495841210489</v>
      </c>
      <c r="R178">
        <f>+bma!R178/data!$AJ178</f>
        <v>119.73165973124294</v>
      </c>
      <c r="S178">
        <f>+bma!S178/data!$AJ178</f>
        <v>0</v>
      </c>
    </row>
    <row r="179" spans="1:19" x14ac:dyDescent="0.25">
      <c r="A179">
        <f>+data!AH179</f>
        <v>-0.14757481940144479</v>
      </c>
      <c r="B179">
        <f>+data!AL179</f>
        <v>29.648301440846851</v>
      </c>
      <c r="C179">
        <f>+bma!C179/data!$AJ179</f>
        <v>0</v>
      </c>
      <c r="D179">
        <f>+bma!D179/data!$AJ179</f>
        <v>0</v>
      </c>
      <c r="E179">
        <f>+bma!E179/data!$AJ179</f>
        <v>0</v>
      </c>
      <c r="F179">
        <f>+bma!F179/data!$AJ179</f>
        <v>0</v>
      </c>
      <c r="G179">
        <f>+bma!G179/data!$AJ179</f>
        <v>29.648301440846851</v>
      </c>
      <c r="H179">
        <f>+bma!H179/data!$AJ179</f>
        <v>29.648301440846851</v>
      </c>
      <c r="I179">
        <f>+bma!I179/data!$AJ179</f>
        <v>29.648301440846851</v>
      </c>
      <c r="J179">
        <f>+bma!L179/data!$AJ179</f>
        <v>0</v>
      </c>
      <c r="K179">
        <f>+bma!M179/data!$AJ179</f>
        <v>29.648301440846851</v>
      </c>
      <c r="L179">
        <f>+bma!J179/data!$AJ179</f>
        <v>0</v>
      </c>
      <c r="M179">
        <f>+bma!K179/data!$AJ179</f>
        <v>0</v>
      </c>
      <c r="N179">
        <f>+bma!N179/data!$AJ179</f>
        <v>0</v>
      </c>
      <c r="O179">
        <f>+bma!O179/data!$AJ179</f>
        <v>0</v>
      </c>
      <c r="P179">
        <f>+bma!P179/data!$AJ179</f>
        <v>29.648301440846851</v>
      </c>
      <c r="Q179">
        <f>+bma!Q179/data!$AJ179</f>
        <v>225.51648430004019</v>
      </c>
      <c r="R179">
        <f>+bma!R179/data!$AJ179</f>
        <v>121.39037476282408</v>
      </c>
      <c r="S179">
        <f>+bma!S179/data!$AJ179</f>
        <v>0</v>
      </c>
    </row>
    <row r="180" spans="1:19" x14ac:dyDescent="0.25">
      <c r="A180">
        <f>+data!AH180</f>
        <v>1.375615763546798</v>
      </c>
      <c r="B180">
        <f>+data!AL180</f>
        <v>29.679830166780242</v>
      </c>
      <c r="C180">
        <f>+bma!C180/data!$AJ180</f>
        <v>0</v>
      </c>
      <c r="D180">
        <f>+bma!D180/data!$AJ180</f>
        <v>0</v>
      </c>
      <c r="E180">
        <f>+bma!E180/data!$AJ180</f>
        <v>0</v>
      </c>
      <c r="F180">
        <f>+bma!F180/data!$AJ180</f>
        <v>0</v>
      </c>
      <c r="G180">
        <f>+bma!G180/data!$AJ180</f>
        <v>29.679830166780242</v>
      </c>
      <c r="H180">
        <f>+bma!H180/data!$AJ180</f>
        <v>29.679830166780242</v>
      </c>
      <c r="I180">
        <f>+bma!I180/data!$AJ180</f>
        <v>29.679830166780242</v>
      </c>
      <c r="J180">
        <f>+bma!L180/data!$AJ180</f>
        <v>0</v>
      </c>
      <c r="K180">
        <f>+bma!M180/data!$AJ180</f>
        <v>29.679830166780242</v>
      </c>
      <c r="L180">
        <f>+bma!J180/data!$AJ180</f>
        <v>0</v>
      </c>
      <c r="M180">
        <f>+bma!K180/data!$AJ180</f>
        <v>0</v>
      </c>
      <c r="N180">
        <f>+bma!N180/data!$AJ180</f>
        <v>29.679830166780242</v>
      </c>
      <c r="O180">
        <f>+bma!O180/data!$AJ180</f>
        <v>0</v>
      </c>
      <c r="P180">
        <f>+bma!P180/data!$AJ180</f>
        <v>29.679830166780242</v>
      </c>
      <c r="Q180">
        <f>+bma!Q180/data!$AJ180</f>
        <v>225.75630402263522</v>
      </c>
      <c r="R180">
        <f>+bma!R180/data!$AJ180</f>
        <v>121.51946424420584</v>
      </c>
      <c r="S180">
        <f>+bma!S180/data!$AJ180</f>
        <v>0</v>
      </c>
    </row>
    <row r="181" spans="1:19" x14ac:dyDescent="0.25">
      <c r="A181">
        <f>+data!AH181</f>
        <v>-1.2235449735449735</v>
      </c>
      <c r="B181">
        <f>+data!AL181</f>
        <v>29.673170749050179</v>
      </c>
      <c r="C181">
        <f>+bma!C181/data!$AJ181</f>
        <v>0</v>
      </c>
      <c r="D181">
        <f>+bma!D181/data!$AJ181</f>
        <v>0</v>
      </c>
      <c r="E181">
        <f>+bma!E181/data!$AJ181</f>
        <v>0</v>
      </c>
      <c r="F181">
        <f>+bma!F181/data!$AJ181</f>
        <v>0</v>
      </c>
      <c r="G181">
        <f>+bma!G181/data!$AJ181</f>
        <v>29.673170749050179</v>
      </c>
      <c r="H181">
        <f>+bma!H181/data!$AJ181</f>
        <v>29.673170749050179</v>
      </c>
      <c r="I181">
        <f>+bma!I181/data!$AJ181</f>
        <v>29.673170749050179</v>
      </c>
      <c r="J181">
        <f>+bma!L181/data!$AJ181</f>
        <v>0</v>
      </c>
      <c r="K181">
        <f>+bma!M181/data!$AJ181</f>
        <v>29.673170749050179</v>
      </c>
      <c r="L181">
        <f>+bma!J181/data!$AJ181</f>
        <v>0</v>
      </c>
      <c r="M181">
        <f>+bma!K181/data!$AJ181</f>
        <v>0</v>
      </c>
      <c r="N181">
        <f>+bma!N181/data!$AJ181</f>
        <v>0</v>
      </c>
      <c r="O181">
        <f>+bma!O181/data!$AJ181</f>
        <v>29.673170749050179</v>
      </c>
      <c r="P181">
        <f>+bma!P181/data!$AJ181</f>
        <v>29.673170749050179</v>
      </c>
      <c r="Q181">
        <f>+bma!Q181/data!$AJ181</f>
        <v>225.70564990752629</v>
      </c>
      <c r="R181">
        <f>+bma!R181/data!$AJ181</f>
        <v>121.49219829051984</v>
      </c>
      <c r="S181">
        <f>+bma!S181/data!$AJ181</f>
        <v>0</v>
      </c>
    </row>
    <row r="182" spans="1:19" x14ac:dyDescent="0.25">
      <c r="A182">
        <f>+data!AH182</f>
        <v>5.417463352453792E-2</v>
      </c>
      <c r="B182">
        <f>+data!AL182</f>
        <v>21.424353780007408</v>
      </c>
      <c r="C182">
        <f>+bma!C182/data!$AJ182</f>
        <v>21.424353780007408</v>
      </c>
      <c r="D182">
        <f>+bma!D182/data!$AJ182</f>
        <v>0</v>
      </c>
      <c r="E182">
        <f>+bma!E182/data!$AJ182</f>
        <v>0</v>
      </c>
      <c r="F182">
        <f>+bma!F182/data!$AJ182</f>
        <v>0</v>
      </c>
      <c r="G182">
        <f>+bma!G182/data!$AJ182</f>
        <v>21.424353780007408</v>
      </c>
      <c r="H182">
        <f>+bma!H182/data!$AJ182</f>
        <v>21.424353780007408</v>
      </c>
      <c r="I182">
        <f>+bma!I182/data!$AJ182</f>
        <v>21.424353780007408</v>
      </c>
      <c r="J182">
        <f>+bma!L182/data!$AJ182</f>
        <v>0</v>
      </c>
      <c r="K182">
        <f>+bma!M182/data!$AJ182</f>
        <v>21.424353780007408</v>
      </c>
      <c r="L182">
        <f>+bma!J182/data!$AJ182</f>
        <v>0</v>
      </c>
      <c r="M182">
        <f>+bma!K182/data!$AJ182</f>
        <v>0</v>
      </c>
      <c r="N182">
        <f>+bma!N182/data!$AJ182</f>
        <v>0</v>
      </c>
      <c r="O182">
        <f>+bma!O182/data!$AJ182</f>
        <v>0</v>
      </c>
      <c r="P182">
        <f>+bma!P182/data!$AJ182</f>
        <v>21.424353780007408</v>
      </c>
      <c r="Q182">
        <f>+bma!Q182/data!$AJ182</f>
        <v>162.96194750000296</v>
      </c>
      <c r="R182">
        <f>+bma!R182/data!$AJ182</f>
        <v>87.71869577740442</v>
      </c>
      <c r="S182">
        <f>+bma!S182/data!$AJ182</f>
        <v>0</v>
      </c>
    </row>
    <row r="183" spans="1:19" x14ac:dyDescent="0.25">
      <c r="A183">
        <f>+data!AH183</f>
        <v>0.63967310549777112</v>
      </c>
      <c r="B183">
        <f>+data!AL183</f>
        <v>21.433832640988339</v>
      </c>
      <c r="C183">
        <f>+bma!C183/data!$AJ183</f>
        <v>21.433832640988339</v>
      </c>
      <c r="D183">
        <f>+bma!D183/data!$AJ183</f>
        <v>0</v>
      </c>
      <c r="E183">
        <f>+bma!E183/data!$AJ183</f>
        <v>0</v>
      </c>
      <c r="F183">
        <f>+bma!F183/data!$AJ183</f>
        <v>0</v>
      </c>
      <c r="G183">
        <f>+bma!G183/data!$AJ183</f>
        <v>21.433832640988339</v>
      </c>
      <c r="H183">
        <f>+bma!H183/data!$AJ183</f>
        <v>21.433832640988339</v>
      </c>
      <c r="I183">
        <f>+bma!I183/data!$AJ183</f>
        <v>21.433832640988339</v>
      </c>
      <c r="J183">
        <f>+bma!L183/data!$AJ183</f>
        <v>0</v>
      </c>
      <c r="K183">
        <f>+bma!M183/data!$AJ183</f>
        <v>21.433832640988339</v>
      </c>
      <c r="L183">
        <f>+bma!J183/data!$AJ183</f>
        <v>0</v>
      </c>
      <c r="M183">
        <f>+bma!K183/data!$AJ183</f>
        <v>0</v>
      </c>
      <c r="N183">
        <f>+bma!N183/data!$AJ183</f>
        <v>21.433832640988339</v>
      </c>
      <c r="O183">
        <f>+bma!O183/data!$AJ183</f>
        <v>0</v>
      </c>
      <c r="P183">
        <f>+bma!P183/data!$AJ183</f>
        <v>21.433832640988339</v>
      </c>
      <c r="Q183">
        <f>+bma!Q183/data!$AJ183</f>
        <v>163.034047394422</v>
      </c>
      <c r="R183">
        <f>+bma!R183/data!$AJ183</f>
        <v>87.757505504467389</v>
      </c>
      <c r="S183">
        <f>+bma!S183/data!$AJ183</f>
        <v>0</v>
      </c>
    </row>
    <row r="184" spans="1:19" x14ac:dyDescent="0.25">
      <c r="A184">
        <f>+data!AH184</f>
        <v>1.0567139282735614</v>
      </c>
      <c r="B184">
        <f>+data!AL184</f>
        <v>21.450329702039717</v>
      </c>
      <c r="C184">
        <f>+bma!C184/data!$AJ184</f>
        <v>21.450329702039717</v>
      </c>
      <c r="D184">
        <f>+bma!D184/data!$AJ184</f>
        <v>0</v>
      </c>
      <c r="E184">
        <f>+bma!E184/data!$AJ184</f>
        <v>0</v>
      </c>
      <c r="F184">
        <f>+bma!F184/data!$AJ184</f>
        <v>0</v>
      </c>
      <c r="G184">
        <f>+bma!G184/data!$AJ184</f>
        <v>21.450329702039717</v>
      </c>
      <c r="H184">
        <f>+bma!H184/data!$AJ184</f>
        <v>21.450329702039717</v>
      </c>
      <c r="I184">
        <f>+bma!I184/data!$AJ184</f>
        <v>21.450329702039717</v>
      </c>
      <c r="J184">
        <f>+bma!L184/data!$AJ184</f>
        <v>0</v>
      </c>
      <c r="K184">
        <f>+bma!M184/data!$AJ184</f>
        <v>21.450329702039717</v>
      </c>
      <c r="L184">
        <f>+bma!J184/data!$AJ184</f>
        <v>0</v>
      </c>
      <c r="M184">
        <f>+bma!K184/data!$AJ184</f>
        <v>0</v>
      </c>
      <c r="N184">
        <f>+bma!N184/data!$AJ184</f>
        <v>0</v>
      </c>
      <c r="O184">
        <f>+bma!O184/data!$AJ184</f>
        <v>21.450329702039717</v>
      </c>
      <c r="P184">
        <f>+bma!P184/data!$AJ184</f>
        <v>21.450329702039717</v>
      </c>
      <c r="Q184">
        <f>+bma!Q184/data!$AJ184</f>
        <v>163.15953044163848</v>
      </c>
      <c r="R184">
        <f>+bma!R184/data!$AJ184</f>
        <v>87.825050163897799</v>
      </c>
      <c r="S184">
        <f>+bma!S184/data!$AJ184</f>
        <v>0</v>
      </c>
    </row>
    <row r="185" spans="1:19" x14ac:dyDescent="0.25">
      <c r="A185">
        <f>+data!AH185</f>
        <v>-3.6147186147186146</v>
      </c>
      <c r="B185">
        <f>+data!AL185</f>
        <v>27.804067879783233</v>
      </c>
      <c r="C185">
        <f>+bma!C185/data!$AJ185</f>
        <v>0</v>
      </c>
      <c r="D185">
        <f>+bma!D185/data!$AJ185</f>
        <v>0</v>
      </c>
      <c r="E185">
        <f>+bma!E185/data!$AJ185</f>
        <v>0</v>
      </c>
      <c r="F185">
        <f>+bma!F185/data!$AJ185</f>
        <v>0</v>
      </c>
      <c r="G185">
        <f>+bma!G185/data!$AJ185</f>
        <v>27.804067879783233</v>
      </c>
      <c r="H185">
        <f>+bma!H185/data!$AJ185</f>
        <v>27.804067879783233</v>
      </c>
      <c r="I185">
        <f>+bma!I185/data!$AJ185</f>
        <v>27.804067879783233</v>
      </c>
      <c r="J185">
        <f>+bma!L185/data!$AJ185</f>
        <v>0</v>
      </c>
      <c r="K185">
        <f>+bma!M185/data!$AJ185</f>
        <v>27.804067879783233</v>
      </c>
      <c r="L185">
        <f>+bma!J185/data!$AJ185</f>
        <v>0</v>
      </c>
      <c r="M185">
        <f>+bma!K185/data!$AJ185</f>
        <v>0</v>
      </c>
      <c r="N185">
        <f>+bma!N185/data!$AJ185</f>
        <v>0</v>
      </c>
      <c r="O185">
        <f>+bma!O185/data!$AJ185</f>
        <v>0</v>
      </c>
      <c r="P185">
        <f>+bma!P185/data!$AJ185</f>
        <v>27.804067879783233</v>
      </c>
      <c r="Q185">
        <f>+bma!Q185/data!$AJ185</f>
        <v>211.48852827196862</v>
      </c>
      <c r="R185">
        <f>+bma!R185/data!$AJ185</f>
        <v>113.83944630325107</v>
      </c>
      <c r="S185">
        <f>+bma!S185/data!$AJ185</f>
        <v>0</v>
      </c>
    </row>
    <row r="186" spans="1:19" x14ac:dyDescent="0.25">
      <c r="A186">
        <f>+data!AH186</f>
        <v>1.8562548562548562</v>
      </c>
      <c r="B186">
        <f>+data!AL186</f>
        <v>27.630520843649862</v>
      </c>
      <c r="C186">
        <f>+bma!C186/data!$AJ186</f>
        <v>0</v>
      </c>
      <c r="D186">
        <f>+bma!D186/data!$AJ186</f>
        <v>0</v>
      </c>
      <c r="E186">
        <f>+bma!E186/data!$AJ186</f>
        <v>0</v>
      </c>
      <c r="F186">
        <f>+bma!F186/data!$AJ186</f>
        <v>0</v>
      </c>
      <c r="G186">
        <f>+bma!G186/data!$AJ186</f>
        <v>27.630520843649862</v>
      </c>
      <c r="H186">
        <f>+bma!H186/data!$AJ186</f>
        <v>27.630520843649862</v>
      </c>
      <c r="I186">
        <f>+bma!I186/data!$AJ186</f>
        <v>27.630520843649862</v>
      </c>
      <c r="J186">
        <f>+bma!L186/data!$AJ186</f>
        <v>0</v>
      </c>
      <c r="K186">
        <f>+bma!M186/data!$AJ186</f>
        <v>27.630520843649862</v>
      </c>
      <c r="L186">
        <f>+bma!J186/data!$AJ186</f>
        <v>0</v>
      </c>
      <c r="M186">
        <f>+bma!K186/data!$AJ186</f>
        <v>0</v>
      </c>
      <c r="N186">
        <f>+bma!N186/data!$AJ186</f>
        <v>27.630520843649862</v>
      </c>
      <c r="O186">
        <f>+bma!O186/data!$AJ186</f>
        <v>0</v>
      </c>
      <c r="P186">
        <f>+bma!P186/data!$AJ186</f>
        <v>27.630520843649862</v>
      </c>
      <c r="Q186">
        <f>+bma!Q186/data!$AJ186</f>
        <v>210.16846217888818</v>
      </c>
      <c r="R186">
        <f>+bma!R186/data!$AJ186</f>
        <v>113.12888486359358</v>
      </c>
      <c r="S186">
        <f>+bma!S186/data!$AJ186</f>
        <v>0</v>
      </c>
    </row>
    <row r="187" spans="1:19" x14ac:dyDescent="0.25">
      <c r="A187">
        <f>+data!AH187</f>
        <v>1.282442748091603</v>
      </c>
      <c r="B187">
        <f>+data!AL187</f>
        <v>27.5979104173148</v>
      </c>
      <c r="C187">
        <f>+bma!C187/data!$AJ187</f>
        <v>0</v>
      </c>
      <c r="D187">
        <f>+bma!D187/data!$AJ187</f>
        <v>0</v>
      </c>
      <c r="E187">
        <f>+bma!E187/data!$AJ187</f>
        <v>0</v>
      </c>
      <c r="F187">
        <f>+bma!F187/data!$AJ187</f>
        <v>0</v>
      </c>
      <c r="G187">
        <f>+bma!G187/data!$AJ187</f>
        <v>27.5979104173148</v>
      </c>
      <c r="H187">
        <f>+bma!H187/data!$AJ187</f>
        <v>27.5979104173148</v>
      </c>
      <c r="I187">
        <f>+bma!I187/data!$AJ187</f>
        <v>27.5979104173148</v>
      </c>
      <c r="J187">
        <f>+bma!L187/data!$AJ187</f>
        <v>0</v>
      </c>
      <c r="K187">
        <f>+bma!M187/data!$AJ187</f>
        <v>27.5979104173148</v>
      </c>
      <c r="L187">
        <f>+bma!J187/data!$AJ187</f>
        <v>0</v>
      </c>
      <c r="M187">
        <f>+bma!K187/data!$AJ187</f>
        <v>0</v>
      </c>
      <c r="N187">
        <f>+bma!N187/data!$AJ187</f>
        <v>0</v>
      </c>
      <c r="O187">
        <f>+bma!O187/data!$AJ187</f>
        <v>27.5979104173148</v>
      </c>
      <c r="P187">
        <f>+bma!P187/data!$AJ187</f>
        <v>27.5979104173148</v>
      </c>
      <c r="Q187">
        <f>+bma!Q187/data!$AJ187</f>
        <v>209.92041462333827</v>
      </c>
      <c r="R187">
        <f>+bma!R187/data!$AJ187</f>
        <v>112.99536652758076</v>
      </c>
      <c r="S187">
        <f>+bma!S187/data!$AJ187</f>
        <v>0</v>
      </c>
    </row>
    <row r="188" spans="1:19" x14ac:dyDescent="0.25">
      <c r="A188">
        <f>+data!AH188</f>
        <v>-3.3787375415282388</v>
      </c>
      <c r="B188">
        <f>+data!AL188</f>
        <v>27.935924315736042</v>
      </c>
      <c r="C188">
        <f>+bma!C188/data!$AJ188</f>
        <v>0</v>
      </c>
      <c r="D188">
        <f>+bma!D188/data!$AJ188</f>
        <v>0</v>
      </c>
      <c r="E188">
        <f>+bma!E188/data!$AJ188</f>
        <v>0</v>
      </c>
      <c r="F188">
        <f>+bma!F188/data!$AJ188</f>
        <v>0</v>
      </c>
      <c r="G188">
        <f>+bma!G188/data!$AJ188</f>
        <v>27.935924315736042</v>
      </c>
      <c r="H188">
        <f>+bma!H188/data!$AJ188</f>
        <v>27.935924315736042</v>
      </c>
      <c r="I188">
        <f>+bma!I188/data!$AJ188</f>
        <v>27.935924315736042</v>
      </c>
      <c r="J188">
        <f>+bma!L188/data!$AJ188</f>
        <v>0</v>
      </c>
      <c r="K188">
        <f>+bma!M188/data!$AJ188</f>
        <v>27.935924315736042</v>
      </c>
      <c r="L188">
        <f>+bma!J188/data!$AJ188</f>
        <v>0</v>
      </c>
      <c r="M188">
        <f>+bma!K188/data!$AJ188</f>
        <v>0</v>
      </c>
      <c r="N188">
        <f>+bma!N188/data!$AJ188</f>
        <v>0</v>
      </c>
      <c r="O188">
        <f>+bma!O188/data!$AJ188</f>
        <v>0</v>
      </c>
      <c r="P188">
        <f>+bma!P188/data!$AJ188</f>
        <v>27.935924315736042</v>
      </c>
      <c r="Q188">
        <f>+bma!Q188/data!$AJ188</f>
        <v>212.49147948412283</v>
      </c>
      <c r="R188">
        <f>+bma!R188/data!$AJ188</f>
        <v>114.37931204251228</v>
      </c>
      <c r="S188">
        <f>+bma!S188/data!$AJ188</f>
        <v>0</v>
      </c>
    </row>
    <row r="189" spans="1:19" x14ac:dyDescent="0.25">
      <c r="A189">
        <f>+data!AH189</f>
        <v>0.23590633130962704</v>
      </c>
      <c r="B189">
        <f>+data!AL189</f>
        <v>27.731852657136915</v>
      </c>
      <c r="C189">
        <f>+bma!C189/data!$AJ189</f>
        <v>0</v>
      </c>
      <c r="D189">
        <f>+bma!D189/data!$AJ189</f>
        <v>0</v>
      </c>
      <c r="E189">
        <f>+bma!E189/data!$AJ189</f>
        <v>0</v>
      </c>
      <c r="F189">
        <f>+bma!F189/data!$AJ189</f>
        <v>0</v>
      </c>
      <c r="G189">
        <f>+bma!G189/data!$AJ189</f>
        <v>27.731852657136915</v>
      </c>
      <c r="H189">
        <f>+bma!H189/data!$AJ189</f>
        <v>27.731852657136915</v>
      </c>
      <c r="I189">
        <f>+bma!I189/data!$AJ189</f>
        <v>27.731852657136915</v>
      </c>
      <c r="J189">
        <f>+bma!L189/data!$AJ189</f>
        <v>0</v>
      </c>
      <c r="K189">
        <f>+bma!M189/data!$AJ189</f>
        <v>27.731852657136915</v>
      </c>
      <c r="L189">
        <f>+bma!J189/data!$AJ189</f>
        <v>0</v>
      </c>
      <c r="M189">
        <f>+bma!K189/data!$AJ189</f>
        <v>0</v>
      </c>
      <c r="N189">
        <f>+bma!N189/data!$AJ189</f>
        <v>27.731852657136915</v>
      </c>
      <c r="O189">
        <f>+bma!O189/data!$AJ189</f>
        <v>0</v>
      </c>
      <c r="P189">
        <f>+bma!P189/data!$AJ189</f>
        <v>27.731852657136915</v>
      </c>
      <c r="Q189">
        <f>+bma!Q189/data!$AJ189</f>
        <v>210.93923126901436</v>
      </c>
      <c r="R189">
        <f>+bma!R189/data!$AJ189</f>
        <v>113.54377226748524</v>
      </c>
      <c r="S189">
        <f>+bma!S189/data!$AJ189</f>
        <v>0</v>
      </c>
    </row>
    <row r="190" spans="1:19" x14ac:dyDescent="0.25">
      <c r="A190">
        <f>+data!AH190</f>
        <v>0.73376623376623373</v>
      </c>
      <c r="B190">
        <f>+data!AL190</f>
        <v>27.740555381711726</v>
      </c>
      <c r="C190">
        <f>+bma!C190/data!$AJ190</f>
        <v>0</v>
      </c>
      <c r="D190">
        <f>+bma!D190/data!$AJ190</f>
        <v>0</v>
      </c>
      <c r="E190">
        <f>+bma!E190/data!$AJ190</f>
        <v>0</v>
      </c>
      <c r="F190">
        <f>+bma!F190/data!$AJ190</f>
        <v>0</v>
      </c>
      <c r="G190">
        <f>+bma!G190/data!$AJ190</f>
        <v>27.740555381711726</v>
      </c>
      <c r="H190">
        <f>+bma!H190/data!$AJ190</f>
        <v>27.740555381711726</v>
      </c>
      <c r="I190">
        <f>+bma!I190/data!$AJ190</f>
        <v>27.740555381711726</v>
      </c>
      <c r="J190">
        <f>+bma!L190/data!$AJ190</f>
        <v>0</v>
      </c>
      <c r="K190">
        <f>+bma!M190/data!$AJ190</f>
        <v>27.740555381711726</v>
      </c>
      <c r="L190">
        <f>+bma!J190/data!$AJ190</f>
        <v>0</v>
      </c>
      <c r="M190">
        <f>+bma!K190/data!$AJ190</f>
        <v>0</v>
      </c>
      <c r="N190">
        <f>+bma!N190/data!$AJ190</f>
        <v>0</v>
      </c>
      <c r="O190">
        <f>+bma!O190/data!$AJ190</f>
        <v>27.740555381711726</v>
      </c>
      <c r="P190">
        <f>+bma!P190/data!$AJ190</f>
        <v>27.740555381711726</v>
      </c>
      <c r="Q190">
        <f>+bma!Q190/data!$AJ190</f>
        <v>211.0054275687875</v>
      </c>
      <c r="R190">
        <f>+bma!R190/data!$AJ190</f>
        <v>113.5794042243345</v>
      </c>
      <c r="S190">
        <f>+bma!S190/data!$AJ190</f>
        <v>0</v>
      </c>
    </row>
    <row r="191" spans="1:19" x14ac:dyDescent="0.25">
      <c r="A191">
        <f>+data!AH191</f>
        <v>-3.5550964187327825</v>
      </c>
      <c r="B191">
        <f>+data!AL191</f>
        <v>20.533843053517447</v>
      </c>
      <c r="C191">
        <f>+bma!C191/data!$AJ191</f>
        <v>20.533843053517447</v>
      </c>
      <c r="D191">
        <f>+bma!D191/data!$AJ191</f>
        <v>0</v>
      </c>
      <c r="E191">
        <f>+bma!E191/data!$AJ191</f>
        <v>0</v>
      </c>
      <c r="F191">
        <f>+bma!F191/data!$AJ191</f>
        <v>0</v>
      </c>
      <c r="G191">
        <f>+bma!G191/data!$AJ191</f>
        <v>20.533843053517447</v>
      </c>
      <c r="H191">
        <f>+bma!H191/data!$AJ191</f>
        <v>20.533843053517447</v>
      </c>
      <c r="I191">
        <f>+bma!I191/data!$AJ191</f>
        <v>20.533843053517447</v>
      </c>
      <c r="J191">
        <f>+bma!L191/data!$AJ191</f>
        <v>0</v>
      </c>
      <c r="K191">
        <f>+bma!M191/data!$AJ191</f>
        <v>20.533843053517447</v>
      </c>
      <c r="L191">
        <f>+bma!J191/data!$AJ191</f>
        <v>0</v>
      </c>
      <c r="M191">
        <f>+bma!K191/data!$AJ191</f>
        <v>0</v>
      </c>
      <c r="N191">
        <f>+bma!N191/data!$AJ191</f>
        <v>0</v>
      </c>
      <c r="O191">
        <f>+bma!O191/data!$AJ191</f>
        <v>0</v>
      </c>
      <c r="P191">
        <f>+bma!P191/data!$AJ191</f>
        <v>20.533843053517447</v>
      </c>
      <c r="Q191">
        <f>+bma!Q191/data!$AJ191</f>
        <v>156.18837739615847</v>
      </c>
      <c r="R191">
        <f>+bma!R191/data!$AJ191</f>
        <v>84.072637636953885</v>
      </c>
      <c r="S191">
        <f>+bma!S191/data!$AJ191</f>
        <v>0</v>
      </c>
    </row>
    <row r="192" spans="1:19" x14ac:dyDescent="0.25">
      <c r="A192">
        <f>+data!AH192</f>
        <v>1.5542168674698795</v>
      </c>
      <c r="B192">
        <f>+data!AL192</f>
        <v>20.283382116183876</v>
      </c>
      <c r="C192">
        <f>+bma!C192/data!$AJ192</f>
        <v>20.283382116183876</v>
      </c>
      <c r="D192">
        <f>+bma!D192/data!$AJ192</f>
        <v>0</v>
      </c>
      <c r="E192">
        <f>+bma!E192/data!$AJ192</f>
        <v>0</v>
      </c>
      <c r="F192">
        <f>+bma!F192/data!$AJ192</f>
        <v>0</v>
      </c>
      <c r="G192">
        <f>+bma!G192/data!$AJ192</f>
        <v>20.283382116183876</v>
      </c>
      <c r="H192">
        <f>+bma!H192/data!$AJ192</f>
        <v>20.283382116183876</v>
      </c>
      <c r="I192">
        <f>+bma!I192/data!$AJ192</f>
        <v>20.283382116183876</v>
      </c>
      <c r="J192">
        <f>+bma!L192/data!$AJ192</f>
        <v>0</v>
      </c>
      <c r="K192">
        <f>+bma!M192/data!$AJ192</f>
        <v>20.283382116183876</v>
      </c>
      <c r="L192">
        <f>+bma!J192/data!$AJ192</f>
        <v>0</v>
      </c>
      <c r="M192">
        <f>+bma!K192/data!$AJ192</f>
        <v>0</v>
      </c>
      <c r="N192">
        <f>+bma!N192/data!$AJ192</f>
        <v>20.283382116183876</v>
      </c>
      <c r="O192">
        <f>+bma!O192/data!$AJ192</f>
        <v>0</v>
      </c>
      <c r="P192">
        <f>+bma!P192/data!$AJ192</f>
        <v>20.283382116183876</v>
      </c>
      <c r="Q192">
        <f>+bma!Q192/data!$AJ192</f>
        <v>154.28327432795564</v>
      </c>
      <c r="R192">
        <f>+bma!R192/data!$AJ192</f>
        <v>83.047164150486864</v>
      </c>
      <c r="S192">
        <f>+bma!S192/data!$AJ192</f>
        <v>0</v>
      </c>
    </row>
    <row r="193" spans="1:19" x14ac:dyDescent="0.25">
      <c r="A193">
        <f>+data!AH193</f>
        <v>2.0269413629160065</v>
      </c>
      <c r="B193">
        <f>+data!AL193</f>
        <v>20.325070511284821</v>
      </c>
      <c r="C193">
        <f>+bma!C193/data!$AJ193</f>
        <v>20.325070511284821</v>
      </c>
      <c r="D193">
        <f>+bma!D193/data!$AJ193</f>
        <v>0</v>
      </c>
      <c r="E193">
        <f>+bma!E193/data!$AJ193</f>
        <v>0</v>
      </c>
      <c r="F193">
        <f>+bma!F193/data!$AJ193</f>
        <v>0</v>
      </c>
      <c r="G193">
        <f>+bma!G193/data!$AJ193</f>
        <v>20.325070511284821</v>
      </c>
      <c r="H193">
        <f>+bma!H193/data!$AJ193</f>
        <v>20.325070511284821</v>
      </c>
      <c r="I193">
        <f>+bma!I193/data!$AJ193</f>
        <v>20.325070511284821</v>
      </c>
      <c r="J193">
        <f>+bma!L193/data!$AJ193</f>
        <v>0</v>
      </c>
      <c r="K193">
        <f>+bma!M193/data!$AJ193</f>
        <v>20.325070511284821</v>
      </c>
      <c r="L193">
        <f>+bma!J193/data!$AJ193</f>
        <v>0</v>
      </c>
      <c r="M193">
        <f>+bma!K193/data!$AJ193</f>
        <v>0</v>
      </c>
      <c r="N193">
        <f>+bma!N193/data!$AJ193</f>
        <v>0</v>
      </c>
      <c r="O193">
        <f>+bma!O193/data!$AJ193</f>
        <v>20.325070511284821</v>
      </c>
      <c r="P193">
        <f>+bma!P193/data!$AJ193</f>
        <v>20.325070511284821</v>
      </c>
      <c r="Q193">
        <f>+bma!Q193/data!$AJ193</f>
        <v>154.60037243619072</v>
      </c>
      <c r="R193">
        <f>+bma!R193/data!$AJ193</f>
        <v>83.217850822526444</v>
      </c>
      <c r="S193">
        <f>+bma!S193/data!$AJ193</f>
        <v>0</v>
      </c>
    </row>
    <row r="194" spans="1:19" x14ac:dyDescent="0.25">
      <c r="A194">
        <f>+data!AH194</f>
        <v>-2.3192771084337349</v>
      </c>
      <c r="B194">
        <f>+data!AL194</f>
        <v>79.400119938862204</v>
      </c>
      <c r="C194">
        <f>+bma!C194/data!$AJ194</f>
        <v>0</v>
      </c>
      <c r="D194">
        <f>+bma!D194/data!$AJ194</f>
        <v>0</v>
      </c>
      <c r="E194">
        <f>+bma!E194/data!$AJ194</f>
        <v>0</v>
      </c>
      <c r="F194">
        <f>+bma!F194/data!$AJ194</f>
        <v>0</v>
      </c>
      <c r="G194">
        <f>+bma!G194/data!$AJ194</f>
        <v>79.400119938862204</v>
      </c>
      <c r="H194">
        <f>+bma!H194/data!$AJ194</f>
        <v>79.400119938862204</v>
      </c>
      <c r="I194">
        <f>+bma!I194/data!$AJ194</f>
        <v>79.400119938862204</v>
      </c>
      <c r="J194">
        <f>+bma!L194/data!$AJ194</f>
        <v>0</v>
      </c>
      <c r="K194">
        <f>+bma!M194/data!$AJ194</f>
        <v>79.400119938862204</v>
      </c>
      <c r="L194">
        <f>+bma!J194/data!$AJ194</f>
        <v>0</v>
      </c>
      <c r="M194">
        <f>+bma!K194/data!$AJ194</f>
        <v>0</v>
      </c>
      <c r="N194">
        <f>+bma!N194/data!$AJ194</f>
        <v>0</v>
      </c>
      <c r="O194">
        <f>+bma!O194/data!$AJ194</f>
        <v>0</v>
      </c>
      <c r="P194">
        <f>+bma!P194/data!$AJ194</f>
        <v>79.400119938862204</v>
      </c>
      <c r="Q194">
        <f>+bma!Q194/data!$AJ194</f>
        <v>603.94811950152223</v>
      </c>
      <c r="R194">
        <f>+bma!R194/data!$AJ194</f>
        <v>325.0914840710808</v>
      </c>
      <c r="S194">
        <f>+bma!S194/data!$AJ194</f>
        <v>0</v>
      </c>
    </row>
    <row r="195" spans="1:19" x14ac:dyDescent="0.25">
      <c r="A195">
        <f>+data!AH195</f>
        <v>2.9498525073746317E-3</v>
      </c>
      <c r="B195">
        <f>+data!AL195</f>
        <v>79.366239728877346</v>
      </c>
      <c r="C195">
        <f>+bma!C195/data!$AJ195</f>
        <v>0</v>
      </c>
      <c r="D195">
        <f>+bma!D195/data!$AJ195</f>
        <v>0</v>
      </c>
      <c r="E195">
        <f>+bma!E195/data!$AJ195</f>
        <v>0</v>
      </c>
      <c r="F195">
        <f>+bma!F195/data!$AJ195</f>
        <v>0</v>
      </c>
      <c r="G195">
        <f>+bma!G195/data!$AJ195</f>
        <v>79.366239728877346</v>
      </c>
      <c r="H195">
        <f>+bma!H195/data!$AJ195</f>
        <v>79.366239728877346</v>
      </c>
      <c r="I195">
        <f>+bma!I195/data!$AJ195</f>
        <v>79.366239728877346</v>
      </c>
      <c r="J195">
        <f>+bma!L195/data!$AJ195</f>
        <v>0</v>
      </c>
      <c r="K195">
        <f>+bma!M195/data!$AJ195</f>
        <v>79.366239728877346</v>
      </c>
      <c r="L195">
        <f>+bma!J195/data!$AJ195</f>
        <v>0</v>
      </c>
      <c r="M195">
        <f>+bma!K195/data!$AJ195</f>
        <v>0</v>
      </c>
      <c r="N195">
        <f>+bma!N195/data!$AJ195</f>
        <v>79.366239728877346</v>
      </c>
      <c r="O195">
        <f>+bma!O195/data!$AJ195</f>
        <v>0</v>
      </c>
      <c r="P195">
        <f>+bma!P195/data!$AJ195</f>
        <v>79.366239728877346</v>
      </c>
      <c r="Q195">
        <f>+bma!Q195/data!$AJ195</f>
        <v>603.69041347885582</v>
      </c>
      <c r="R195">
        <f>+bma!R195/data!$AJ195</f>
        <v>324.95276680273031</v>
      </c>
      <c r="S195">
        <f>+bma!S195/data!$AJ195</f>
        <v>0</v>
      </c>
    </row>
    <row r="196" spans="1:19" x14ac:dyDescent="0.25">
      <c r="A196">
        <f>+data!AH196</f>
        <v>8.7378640776699032E-2</v>
      </c>
      <c r="B196">
        <f>+data!AL196</f>
        <v>79.366287774009336</v>
      </c>
      <c r="C196">
        <f>+bma!C196/data!$AJ196</f>
        <v>0</v>
      </c>
      <c r="D196">
        <f>+bma!D196/data!$AJ196</f>
        <v>0</v>
      </c>
      <c r="E196">
        <f>+bma!E196/data!$AJ196</f>
        <v>0</v>
      </c>
      <c r="F196">
        <f>+bma!F196/data!$AJ196</f>
        <v>0</v>
      </c>
      <c r="G196">
        <f>+bma!G196/data!$AJ196</f>
        <v>79.366287774009336</v>
      </c>
      <c r="H196">
        <f>+bma!H196/data!$AJ196</f>
        <v>79.366287774009336</v>
      </c>
      <c r="I196">
        <f>+bma!I196/data!$AJ196</f>
        <v>79.366287774009336</v>
      </c>
      <c r="J196">
        <f>+bma!L196/data!$AJ196</f>
        <v>0</v>
      </c>
      <c r="K196">
        <f>+bma!M196/data!$AJ196</f>
        <v>79.366287774009336</v>
      </c>
      <c r="L196">
        <f>+bma!J196/data!$AJ196</f>
        <v>0</v>
      </c>
      <c r="M196">
        <f>+bma!K196/data!$AJ196</f>
        <v>0</v>
      </c>
      <c r="N196">
        <f>+bma!N196/data!$AJ196</f>
        <v>0</v>
      </c>
      <c r="O196">
        <f>+bma!O196/data!$AJ196</f>
        <v>79.366287774009336</v>
      </c>
      <c r="P196">
        <f>+bma!P196/data!$AJ196</f>
        <v>79.366287774009336</v>
      </c>
      <c r="Q196">
        <f>+bma!Q196/data!$AJ196</f>
        <v>603.69077892877135</v>
      </c>
      <c r="R196">
        <f>+bma!R196/data!$AJ196</f>
        <v>324.95296351607624</v>
      </c>
      <c r="S196">
        <f>+bma!S196/data!$AJ196</f>
        <v>0</v>
      </c>
    </row>
    <row r="197" spans="1:19" x14ac:dyDescent="0.25">
      <c r="A197">
        <f>+data!AH197</f>
        <v>-2.2934782608695654</v>
      </c>
      <c r="B197">
        <f>+data!AL197</f>
        <v>80.05160861927186</v>
      </c>
      <c r="C197">
        <f>+bma!C197/data!$AJ197</f>
        <v>0</v>
      </c>
      <c r="D197">
        <f>+bma!D197/data!$AJ197</f>
        <v>0</v>
      </c>
      <c r="E197">
        <f>+bma!E197/data!$AJ197</f>
        <v>0</v>
      </c>
      <c r="F197">
        <f>+bma!F197/data!$AJ197</f>
        <v>0</v>
      </c>
      <c r="G197">
        <f>+bma!G197/data!$AJ197</f>
        <v>80.05160861927186</v>
      </c>
      <c r="H197">
        <f>+bma!H197/data!$AJ197</f>
        <v>80.05160861927186</v>
      </c>
      <c r="I197">
        <f>+bma!I197/data!$AJ197</f>
        <v>80.05160861927186</v>
      </c>
      <c r="J197">
        <f>+bma!L197/data!$AJ197</f>
        <v>0</v>
      </c>
      <c r="K197">
        <f>+bma!M197/data!$AJ197</f>
        <v>80.05160861927186</v>
      </c>
      <c r="L197">
        <f>+bma!J197/data!$AJ197</f>
        <v>0</v>
      </c>
      <c r="M197">
        <f>+bma!K197/data!$AJ197</f>
        <v>0</v>
      </c>
      <c r="N197">
        <f>+bma!N197/data!$AJ197</f>
        <v>0</v>
      </c>
      <c r="O197">
        <f>+bma!O197/data!$AJ197</f>
        <v>0</v>
      </c>
      <c r="P197">
        <f>+bma!P197/data!$AJ197</f>
        <v>80.05160861927186</v>
      </c>
      <c r="Q197">
        <f>+bma!Q197/data!$AJ197</f>
        <v>608.90359518232606</v>
      </c>
      <c r="R197">
        <f>+bma!R197/data!$AJ197</f>
        <v>327.75890349227262</v>
      </c>
      <c r="S197">
        <f>+bma!S197/data!$AJ197</f>
        <v>0</v>
      </c>
    </row>
    <row r="198" spans="1:19" x14ac:dyDescent="0.25">
      <c r="A198">
        <f>+data!AH198</f>
        <v>0.77181208053691286</v>
      </c>
      <c r="B198">
        <f>+data!AL198</f>
        <v>80.022469931186592</v>
      </c>
      <c r="C198">
        <f>+bma!C198/data!$AJ198</f>
        <v>0</v>
      </c>
      <c r="D198">
        <f>+bma!D198/data!$AJ198</f>
        <v>0</v>
      </c>
      <c r="E198">
        <f>+bma!E198/data!$AJ198</f>
        <v>0</v>
      </c>
      <c r="F198">
        <f>+bma!F198/data!$AJ198</f>
        <v>0</v>
      </c>
      <c r="G198">
        <f>+bma!G198/data!$AJ198</f>
        <v>80.022469931186592</v>
      </c>
      <c r="H198">
        <f>+bma!H198/data!$AJ198</f>
        <v>80.022469931186592</v>
      </c>
      <c r="I198">
        <f>+bma!I198/data!$AJ198</f>
        <v>80.022469931186592</v>
      </c>
      <c r="J198">
        <f>+bma!L198/data!$AJ198</f>
        <v>0</v>
      </c>
      <c r="K198">
        <f>+bma!M198/data!$AJ198</f>
        <v>80.022469931186592</v>
      </c>
      <c r="L198">
        <f>+bma!J198/data!$AJ198</f>
        <v>0</v>
      </c>
      <c r="M198">
        <f>+bma!K198/data!$AJ198</f>
        <v>0</v>
      </c>
      <c r="N198">
        <f>+bma!N198/data!$AJ198</f>
        <v>80.022469931186592</v>
      </c>
      <c r="O198">
        <f>+bma!O198/data!$AJ198</f>
        <v>0</v>
      </c>
      <c r="P198">
        <f>+bma!P198/data!$AJ198</f>
        <v>80.022469931186592</v>
      </c>
      <c r="Q198">
        <f>+bma!Q198/data!$AJ198</f>
        <v>608.68195501493858</v>
      </c>
      <c r="R198">
        <f>+bma!R198/data!$AJ198</f>
        <v>327.63959965040414</v>
      </c>
      <c r="S198">
        <f>+bma!S198/data!$AJ198</f>
        <v>0</v>
      </c>
    </row>
    <row r="199" spans="1:19" x14ac:dyDescent="0.25">
      <c r="A199">
        <f>+data!AH199</f>
        <v>-0.20370370370370372</v>
      </c>
      <c r="B199">
        <f>+data!AL199</f>
        <v>80.019007087059634</v>
      </c>
      <c r="C199">
        <f>+bma!C199/data!$AJ199</f>
        <v>0</v>
      </c>
      <c r="D199">
        <f>+bma!D199/data!$AJ199</f>
        <v>0</v>
      </c>
      <c r="E199">
        <f>+bma!E199/data!$AJ199</f>
        <v>0</v>
      </c>
      <c r="F199">
        <f>+bma!F199/data!$AJ199</f>
        <v>0</v>
      </c>
      <c r="G199">
        <f>+bma!G199/data!$AJ199</f>
        <v>80.019007087059634</v>
      </c>
      <c r="H199">
        <f>+bma!H199/data!$AJ199</f>
        <v>80.019007087059634</v>
      </c>
      <c r="I199">
        <f>+bma!I199/data!$AJ199</f>
        <v>80.019007087059634</v>
      </c>
      <c r="J199">
        <f>+bma!L199/data!$AJ199</f>
        <v>0</v>
      </c>
      <c r="K199">
        <f>+bma!M199/data!$AJ199</f>
        <v>80.019007087059634</v>
      </c>
      <c r="L199">
        <f>+bma!J199/data!$AJ199</f>
        <v>0</v>
      </c>
      <c r="M199">
        <f>+bma!K199/data!$AJ199</f>
        <v>0</v>
      </c>
      <c r="N199">
        <f>+bma!N199/data!$AJ199</f>
        <v>0</v>
      </c>
      <c r="O199">
        <f>+bma!O199/data!$AJ199</f>
        <v>80.019007087059634</v>
      </c>
      <c r="P199">
        <f>+bma!P199/data!$AJ199</f>
        <v>80.019007087059634</v>
      </c>
      <c r="Q199">
        <f>+bma!Q199/data!$AJ199</f>
        <v>608.65561527892544</v>
      </c>
      <c r="R199">
        <f>+bma!R199/data!$AJ199</f>
        <v>327.62542157186715</v>
      </c>
      <c r="S199">
        <f>+bma!S199/data!$AJ199</f>
        <v>0</v>
      </c>
    </row>
    <row r="200" spans="1:19" x14ac:dyDescent="0.25">
      <c r="A200">
        <f>+data!AH200</f>
        <v>-0.72727272727272718</v>
      </c>
      <c r="B200">
        <f>+data!AL200</f>
        <v>58.365477172895922</v>
      </c>
      <c r="C200">
        <f>+bma!C200/data!$AJ200</f>
        <v>58.365477172895922</v>
      </c>
      <c r="D200">
        <f>+bma!D200/data!$AJ200</f>
        <v>0</v>
      </c>
      <c r="E200">
        <f>+bma!E200/data!$AJ200</f>
        <v>0</v>
      </c>
      <c r="F200">
        <f>+bma!F200/data!$AJ200</f>
        <v>0</v>
      </c>
      <c r="G200">
        <f>+bma!G200/data!$AJ200</f>
        <v>58.365477172895922</v>
      </c>
      <c r="H200">
        <f>+bma!H200/data!$AJ200</f>
        <v>58.365477172895922</v>
      </c>
      <c r="I200">
        <f>+bma!I200/data!$AJ200</f>
        <v>58.365477172895922</v>
      </c>
      <c r="J200">
        <f>+bma!L200/data!$AJ200</f>
        <v>0</v>
      </c>
      <c r="K200">
        <f>+bma!M200/data!$AJ200</f>
        <v>58.365477172895922</v>
      </c>
      <c r="L200">
        <f>+bma!J200/data!$AJ200</f>
        <v>0</v>
      </c>
      <c r="M200">
        <f>+bma!K200/data!$AJ200</f>
        <v>0</v>
      </c>
      <c r="N200">
        <f>+bma!N200/data!$AJ200</f>
        <v>0</v>
      </c>
      <c r="O200">
        <f>+bma!O200/data!$AJ200</f>
        <v>0</v>
      </c>
      <c r="P200">
        <f>+bma!P200/data!$AJ200</f>
        <v>58.365477172895922</v>
      </c>
      <c r="Q200">
        <f>+bma!Q200/data!$AJ200</f>
        <v>443.95046518218948</v>
      </c>
      <c r="R200">
        <f>+bma!R200/data!$AJ200</f>
        <v>238.96839963546054</v>
      </c>
      <c r="S200">
        <f>+bma!S200/data!$AJ200</f>
        <v>0</v>
      </c>
    </row>
    <row r="201" spans="1:19" x14ac:dyDescent="0.25">
      <c r="A201">
        <f>+data!AH201</f>
        <v>1.0872142252328534</v>
      </c>
      <c r="B201">
        <f>+data!AL201</f>
        <v>58.371071900142013</v>
      </c>
      <c r="C201">
        <f>+bma!C201/data!$AJ201</f>
        <v>58.371071900142013</v>
      </c>
      <c r="D201">
        <f>+bma!D201/data!$AJ201</f>
        <v>0</v>
      </c>
      <c r="E201">
        <f>+bma!E201/data!$AJ201</f>
        <v>0</v>
      </c>
      <c r="F201">
        <f>+bma!F201/data!$AJ201</f>
        <v>0</v>
      </c>
      <c r="G201">
        <f>+bma!G201/data!$AJ201</f>
        <v>58.371071900142013</v>
      </c>
      <c r="H201">
        <f>+bma!H201/data!$AJ201</f>
        <v>58.371071900142013</v>
      </c>
      <c r="I201">
        <f>+bma!I201/data!$AJ201</f>
        <v>58.371071900142013</v>
      </c>
      <c r="J201">
        <f>+bma!L201/data!$AJ201</f>
        <v>0</v>
      </c>
      <c r="K201">
        <f>+bma!M201/data!$AJ201</f>
        <v>58.371071900142013</v>
      </c>
      <c r="L201">
        <f>+bma!J201/data!$AJ201</f>
        <v>0</v>
      </c>
      <c r="M201">
        <f>+bma!K201/data!$AJ201</f>
        <v>0</v>
      </c>
      <c r="N201">
        <f>+bma!N201/data!$AJ201</f>
        <v>58.371071900142013</v>
      </c>
      <c r="O201">
        <f>+bma!O201/data!$AJ201</f>
        <v>0</v>
      </c>
      <c r="P201">
        <f>+bma!P201/data!$AJ201</f>
        <v>58.371071900142013</v>
      </c>
      <c r="Q201">
        <f>+bma!Q201/data!$AJ201</f>
        <v>443.99302084837745</v>
      </c>
      <c r="R201">
        <f>+bma!R201/data!$AJ201</f>
        <v>238.99130637898693</v>
      </c>
      <c r="S201">
        <f>+bma!S201/data!$AJ201</f>
        <v>0</v>
      </c>
    </row>
    <row r="202" spans="1:19" x14ac:dyDescent="0.25">
      <c r="A202">
        <f>+data!AH202</f>
        <v>0.35732323232323226</v>
      </c>
      <c r="B202">
        <f>+data!AL202</f>
        <v>58.36203971668877</v>
      </c>
      <c r="C202">
        <f>+bma!C202/data!$AJ202</f>
        <v>58.36203971668877</v>
      </c>
      <c r="D202">
        <f>+bma!D202/data!$AJ202</f>
        <v>0</v>
      </c>
      <c r="E202">
        <f>+bma!E202/data!$AJ202</f>
        <v>0</v>
      </c>
      <c r="F202">
        <f>+bma!F202/data!$AJ202</f>
        <v>0</v>
      </c>
      <c r="G202">
        <f>+bma!G202/data!$AJ202</f>
        <v>58.36203971668877</v>
      </c>
      <c r="H202">
        <f>+bma!H202/data!$AJ202</f>
        <v>58.36203971668877</v>
      </c>
      <c r="I202">
        <f>+bma!I202/data!$AJ202</f>
        <v>58.36203971668877</v>
      </c>
      <c r="J202">
        <f>+bma!L202/data!$AJ202</f>
        <v>0</v>
      </c>
      <c r="K202">
        <f>+bma!M202/data!$AJ202</f>
        <v>58.36203971668877</v>
      </c>
      <c r="L202">
        <f>+bma!J202/data!$AJ202</f>
        <v>0</v>
      </c>
      <c r="M202">
        <f>+bma!K202/data!$AJ202</f>
        <v>0</v>
      </c>
      <c r="N202">
        <f>+bma!N202/data!$AJ202</f>
        <v>0</v>
      </c>
      <c r="O202">
        <f>+bma!O202/data!$AJ202</f>
        <v>58.36203971668877</v>
      </c>
      <c r="P202">
        <f>+bma!P202/data!$AJ202</f>
        <v>58.36203971668877</v>
      </c>
      <c r="Q202">
        <f>+bma!Q202/data!$AJ202</f>
        <v>443.92431855654485</v>
      </c>
      <c r="R202">
        <f>+bma!R202/data!$AJ202</f>
        <v>238.95432550382608</v>
      </c>
      <c r="S202">
        <f>+bma!S202/data!$AJ202</f>
        <v>0</v>
      </c>
    </row>
    <row r="203" spans="1:19" x14ac:dyDescent="0.25">
      <c r="A203">
        <f>+data!AH203</f>
        <v>-2.625</v>
      </c>
      <c r="B203">
        <f>+data!AL203</f>
        <v>79.961807289480404</v>
      </c>
      <c r="C203">
        <f>+bma!C203/data!$AJ203</f>
        <v>0</v>
      </c>
      <c r="D203">
        <f>+bma!D203/data!$AJ203</f>
        <v>0</v>
      </c>
      <c r="E203">
        <f>+bma!E203/data!$AJ203</f>
        <v>0</v>
      </c>
      <c r="F203">
        <f>+bma!F203/data!$AJ203</f>
        <v>0</v>
      </c>
      <c r="G203">
        <f>+bma!G203/data!$AJ203</f>
        <v>79.961807289480404</v>
      </c>
      <c r="H203">
        <f>+bma!H203/data!$AJ203</f>
        <v>79.961807289480404</v>
      </c>
      <c r="I203">
        <f>+bma!I203/data!$AJ203</f>
        <v>79.961807289480404</v>
      </c>
      <c r="J203">
        <f>+bma!L203/data!$AJ203</f>
        <v>0</v>
      </c>
      <c r="K203">
        <f>+bma!M203/data!$AJ203</f>
        <v>79.961807289480404</v>
      </c>
      <c r="L203">
        <f>+bma!J203/data!$AJ203</f>
        <v>0</v>
      </c>
      <c r="M203">
        <f>+bma!K203/data!$AJ203</f>
        <v>0</v>
      </c>
      <c r="N203">
        <f>+bma!N203/data!$AJ203</f>
        <v>0</v>
      </c>
      <c r="O203">
        <f>+bma!O203/data!$AJ203</f>
        <v>0</v>
      </c>
      <c r="P203">
        <f>+bma!P203/data!$AJ203</f>
        <v>79.961807289480404</v>
      </c>
      <c r="Q203">
        <f>+bma!Q203/data!$AJ203</f>
        <v>608.22053142501625</v>
      </c>
      <c r="R203">
        <f>+bma!R203/data!$AJ203</f>
        <v>327.39122586664763</v>
      </c>
      <c r="S203">
        <f>+bma!S203/data!$AJ203</f>
        <v>0</v>
      </c>
    </row>
    <row r="204" spans="1:19" x14ac:dyDescent="0.25">
      <c r="A204">
        <f>+data!AH204</f>
        <v>0.77477477477477474</v>
      </c>
      <c r="B204">
        <f>+data!AL204</f>
        <v>79.922464150898321</v>
      </c>
      <c r="C204">
        <f>+bma!C204/data!$AJ204</f>
        <v>0</v>
      </c>
      <c r="D204">
        <f>+bma!D204/data!$AJ204</f>
        <v>0</v>
      </c>
      <c r="E204">
        <f>+bma!E204/data!$AJ204</f>
        <v>0</v>
      </c>
      <c r="F204">
        <f>+bma!F204/data!$AJ204</f>
        <v>0</v>
      </c>
      <c r="G204">
        <f>+bma!G204/data!$AJ204</f>
        <v>79.922464150898321</v>
      </c>
      <c r="H204">
        <f>+bma!H204/data!$AJ204</f>
        <v>79.922464150898321</v>
      </c>
      <c r="I204">
        <f>+bma!I204/data!$AJ204</f>
        <v>79.922464150898321</v>
      </c>
      <c r="J204">
        <f>+bma!L204/data!$AJ204</f>
        <v>0</v>
      </c>
      <c r="K204">
        <f>+bma!M204/data!$AJ204</f>
        <v>79.922464150898321</v>
      </c>
      <c r="L204">
        <f>+bma!J204/data!$AJ204</f>
        <v>0</v>
      </c>
      <c r="M204">
        <f>+bma!K204/data!$AJ204</f>
        <v>0</v>
      </c>
      <c r="N204">
        <f>+bma!N204/data!$AJ204</f>
        <v>79.922464150898321</v>
      </c>
      <c r="O204">
        <f>+bma!O204/data!$AJ204</f>
        <v>0</v>
      </c>
      <c r="P204">
        <f>+bma!P204/data!$AJ204</f>
        <v>79.922464150898321</v>
      </c>
      <c r="Q204">
        <f>+bma!Q204/data!$AJ204</f>
        <v>607.92127224782314</v>
      </c>
      <c r="R204">
        <f>+bma!R204/data!$AJ204</f>
        <v>327.23014148390973</v>
      </c>
      <c r="S204">
        <f>+bma!S204/data!$AJ204</f>
        <v>0</v>
      </c>
    </row>
    <row r="205" spans="1:19" x14ac:dyDescent="0.25">
      <c r="A205">
        <f>+data!AH205</f>
        <v>0.22021660649819497</v>
      </c>
      <c r="B205">
        <f>+data!AL205</f>
        <v>79.919012101963432</v>
      </c>
      <c r="C205">
        <f>+bma!C205/data!$AJ205</f>
        <v>0</v>
      </c>
      <c r="D205">
        <f>+bma!D205/data!$AJ205</f>
        <v>0</v>
      </c>
      <c r="E205">
        <f>+bma!E205/data!$AJ205</f>
        <v>0</v>
      </c>
      <c r="F205">
        <f>+bma!F205/data!$AJ205</f>
        <v>0</v>
      </c>
      <c r="G205">
        <f>+bma!G205/data!$AJ205</f>
        <v>79.919012101963432</v>
      </c>
      <c r="H205">
        <f>+bma!H205/data!$AJ205</f>
        <v>79.919012101963432</v>
      </c>
      <c r="I205">
        <f>+bma!I205/data!$AJ205</f>
        <v>79.919012101963432</v>
      </c>
      <c r="J205">
        <f>+bma!L205/data!$AJ205</f>
        <v>0</v>
      </c>
      <c r="K205">
        <f>+bma!M205/data!$AJ205</f>
        <v>79.919012101963432</v>
      </c>
      <c r="L205">
        <f>+bma!J205/data!$AJ205</f>
        <v>0</v>
      </c>
      <c r="M205">
        <f>+bma!K205/data!$AJ205</f>
        <v>0</v>
      </c>
      <c r="N205">
        <f>+bma!N205/data!$AJ205</f>
        <v>0</v>
      </c>
      <c r="O205">
        <f>+bma!O205/data!$AJ205</f>
        <v>79.919012101963432</v>
      </c>
      <c r="P205">
        <f>+bma!P205/data!$AJ205</f>
        <v>79.919012101963432</v>
      </c>
      <c r="Q205">
        <f>+bma!Q205/data!$AJ205</f>
        <v>607.89501462422936</v>
      </c>
      <c r="R205">
        <f>+bma!R205/data!$AJ205</f>
        <v>327.21600760461342</v>
      </c>
      <c r="S205">
        <f>+bma!S205/data!$AJ205</f>
        <v>0</v>
      </c>
    </row>
    <row r="206" spans="1:19" x14ac:dyDescent="0.25">
      <c r="A206">
        <f>+data!AH206</f>
        <v>-1.5939999999999999</v>
      </c>
      <c r="B206">
        <f>+data!AL206</f>
        <v>80.619729818450764</v>
      </c>
      <c r="C206">
        <f>+bma!C206/data!$AJ206</f>
        <v>0</v>
      </c>
      <c r="D206">
        <f>+bma!D206/data!$AJ206</f>
        <v>0</v>
      </c>
      <c r="E206">
        <f>+bma!E206/data!$AJ206</f>
        <v>0</v>
      </c>
      <c r="F206">
        <f>+bma!F206/data!$AJ206</f>
        <v>0</v>
      </c>
      <c r="G206">
        <f>+bma!G206/data!$AJ206</f>
        <v>80.619729818450764</v>
      </c>
      <c r="H206">
        <f>+bma!H206/data!$AJ206</f>
        <v>80.619729818450764</v>
      </c>
      <c r="I206">
        <f>+bma!I206/data!$AJ206</f>
        <v>80.619729818450764</v>
      </c>
      <c r="J206">
        <f>+bma!L206/data!$AJ206</f>
        <v>0</v>
      </c>
      <c r="K206">
        <f>+bma!M206/data!$AJ206</f>
        <v>80.619729818450764</v>
      </c>
      <c r="L206">
        <f>+bma!J206/data!$AJ206</f>
        <v>0</v>
      </c>
      <c r="M206">
        <f>+bma!K206/data!$AJ206</f>
        <v>0</v>
      </c>
      <c r="N206">
        <f>+bma!N206/data!$AJ206</f>
        <v>0</v>
      </c>
      <c r="O206">
        <f>+bma!O206/data!$AJ206</f>
        <v>0</v>
      </c>
      <c r="P206">
        <f>+bma!P206/data!$AJ206</f>
        <v>80.619729818450764</v>
      </c>
      <c r="Q206">
        <f>+bma!Q206/data!$AJ206</f>
        <v>613.22494545430607</v>
      </c>
      <c r="R206">
        <f>+bma!R206/data!$AJ206</f>
        <v>330.08498768352479</v>
      </c>
      <c r="S206">
        <f>+bma!S206/data!$AJ206</f>
        <v>0</v>
      </c>
    </row>
    <row r="207" spans="1:19" x14ac:dyDescent="0.25">
      <c r="A207">
        <f>+data!AH207</f>
        <v>1.1663201663201663</v>
      </c>
      <c r="B207">
        <f>+data!AL207</f>
        <v>80.612407870813314</v>
      </c>
      <c r="C207">
        <f>+bma!C207/data!$AJ207</f>
        <v>0</v>
      </c>
      <c r="D207">
        <f>+bma!D207/data!$AJ207</f>
        <v>0</v>
      </c>
      <c r="E207">
        <f>+bma!E207/data!$AJ207</f>
        <v>0</v>
      </c>
      <c r="F207">
        <f>+bma!F207/data!$AJ207</f>
        <v>0</v>
      </c>
      <c r="G207">
        <f>+bma!G207/data!$AJ207</f>
        <v>80.612407870813314</v>
      </c>
      <c r="H207">
        <f>+bma!H207/data!$AJ207</f>
        <v>80.612407870813314</v>
      </c>
      <c r="I207">
        <f>+bma!I207/data!$AJ207</f>
        <v>80.612407870813314</v>
      </c>
      <c r="J207">
        <f>+bma!L207/data!$AJ207</f>
        <v>0</v>
      </c>
      <c r="K207">
        <f>+bma!M207/data!$AJ207</f>
        <v>80.612407870813314</v>
      </c>
      <c r="L207">
        <f>+bma!J207/data!$AJ207</f>
        <v>0</v>
      </c>
      <c r="M207">
        <f>+bma!K207/data!$AJ207</f>
        <v>0</v>
      </c>
      <c r="N207">
        <f>+bma!N207/data!$AJ207</f>
        <v>80.612407870813314</v>
      </c>
      <c r="O207">
        <f>+bma!O207/data!$AJ207</f>
        <v>0</v>
      </c>
      <c r="P207">
        <f>+bma!P207/data!$AJ207</f>
        <v>80.612407870813314</v>
      </c>
      <c r="Q207">
        <f>+bma!Q207/data!$AJ207</f>
        <v>613.16925187966001</v>
      </c>
      <c r="R207">
        <f>+bma!R207/data!$AJ207</f>
        <v>330.05500910382511</v>
      </c>
      <c r="S207">
        <f>+bma!S207/data!$AJ207</f>
        <v>0</v>
      </c>
    </row>
    <row r="208" spans="1:19" x14ac:dyDescent="0.25">
      <c r="A208">
        <f>+data!AH208</f>
        <v>-0.26038781163434904</v>
      </c>
      <c r="B208">
        <f>+data!AL208</f>
        <v>80.604390710509364</v>
      </c>
      <c r="C208">
        <f>+bma!C208/data!$AJ208</f>
        <v>0</v>
      </c>
      <c r="D208">
        <f>+bma!D208/data!$AJ208</f>
        <v>0</v>
      </c>
      <c r="E208">
        <f>+bma!E208/data!$AJ208</f>
        <v>0</v>
      </c>
      <c r="F208">
        <f>+bma!F208/data!$AJ208</f>
        <v>0</v>
      </c>
      <c r="G208">
        <f>+bma!G208/data!$AJ208</f>
        <v>80.604390710509364</v>
      </c>
      <c r="H208">
        <f>+bma!H208/data!$AJ208</f>
        <v>80.604390710509364</v>
      </c>
      <c r="I208">
        <f>+bma!I208/data!$AJ208</f>
        <v>80.604390710509364</v>
      </c>
      <c r="J208">
        <f>+bma!L208/data!$AJ208</f>
        <v>0</v>
      </c>
      <c r="K208">
        <f>+bma!M208/data!$AJ208</f>
        <v>80.604390710509364</v>
      </c>
      <c r="L208">
        <f>+bma!J208/data!$AJ208</f>
        <v>0</v>
      </c>
      <c r="M208">
        <f>+bma!K208/data!$AJ208</f>
        <v>0</v>
      </c>
      <c r="N208">
        <f>+bma!N208/data!$AJ208</f>
        <v>0</v>
      </c>
      <c r="O208">
        <f>+bma!O208/data!$AJ208</f>
        <v>80.604390710509364</v>
      </c>
      <c r="P208">
        <f>+bma!P208/data!$AJ208</f>
        <v>80.604390710509364</v>
      </c>
      <c r="Q208">
        <f>+bma!Q208/data!$AJ208</f>
        <v>613.10827024772993</v>
      </c>
      <c r="R208">
        <f>+bma!R208/data!$AJ208</f>
        <v>330.02218408362046</v>
      </c>
      <c r="S208">
        <f>+bma!S208/data!$AJ208</f>
        <v>0</v>
      </c>
    </row>
    <row r="209" spans="1:19" x14ac:dyDescent="0.25">
      <c r="A209">
        <f>+data!AH209</f>
        <v>-0.30857648099027407</v>
      </c>
      <c r="B209">
        <f>+data!AL209</f>
        <v>19.055057581771312</v>
      </c>
      <c r="C209">
        <f>+bma!C209/data!$AJ209</f>
        <v>19.055057581771312</v>
      </c>
      <c r="D209">
        <f>+bma!D209/data!$AJ209</f>
        <v>0</v>
      </c>
      <c r="E209">
        <f>+bma!E209/data!$AJ209</f>
        <v>0</v>
      </c>
      <c r="F209">
        <f>+bma!F209/data!$AJ209</f>
        <v>0</v>
      </c>
      <c r="G209">
        <f>+bma!G209/data!$AJ209</f>
        <v>19.055057581771312</v>
      </c>
      <c r="H209">
        <f>+bma!H209/data!$AJ209</f>
        <v>19.055057581771312</v>
      </c>
      <c r="I209">
        <f>+bma!I209/data!$AJ209</f>
        <v>19.055057581771312</v>
      </c>
      <c r="J209">
        <f>+bma!L209/data!$AJ209</f>
        <v>0</v>
      </c>
      <c r="K209">
        <f>+bma!M209/data!$AJ209</f>
        <v>19.055057581771312</v>
      </c>
      <c r="L209">
        <f>+bma!J209/data!$AJ209</f>
        <v>0</v>
      </c>
      <c r="M209">
        <f>+bma!K209/data!$AJ209</f>
        <v>0</v>
      </c>
      <c r="N209">
        <f>+bma!N209/data!$AJ209</f>
        <v>0</v>
      </c>
      <c r="O209">
        <f>+bma!O209/data!$AJ209</f>
        <v>0</v>
      </c>
      <c r="P209">
        <f>+bma!P209/data!$AJ209</f>
        <v>19.055057581771312</v>
      </c>
      <c r="Q209">
        <f>+bma!Q209/data!$AJ209</f>
        <v>144.94016132929431</v>
      </c>
      <c r="R209">
        <f>+bma!R209/data!$AJ209</f>
        <v>78.01797973463745</v>
      </c>
      <c r="S209">
        <f>+bma!S209/data!$AJ209</f>
        <v>0</v>
      </c>
    </row>
    <row r="210" spans="1:19" x14ac:dyDescent="0.25">
      <c r="A210">
        <f>+data!AH210</f>
        <v>1.334763948497854</v>
      </c>
      <c r="B210">
        <f>+data!AL210</f>
        <v>19.099256393854962</v>
      </c>
      <c r="C210">
        <f>+bma!C210/data!$AJ210</f>
        <v>19.099256393854962</v>
      </c>
      <c r="D210">
        <f>+bma!D210/data!$AJ210</f>
        <v>0</v>
      </c>
      <c r="E210">
        <f>+bma!E210/data!$AJ210</f>
        <v>0</v>
      </c>
      <c r="F210">
        <f>+bma!F210/data!$AJ210</f>
        <v>0</v>
      </c>
      <c r="G210">
        <f>+bma!G210/data!$AJ210</f>
        <v>19.099256393854962</v>
      </c>
      <c r="H210">
        <f>+bma!H210/data!$AJ210</f>
        <v>19.099256393854962</v>
      </c>
      <c r="I210">
        <f>+bma!I210/data!$AJ210</f>
        <v>19.099256393854962</v>
      </c>
      <c r="J210">
        <f>+bma!L210/data!$AJ210</f>
        <v>0</v>
      </c>
      <c r="K210">
        <f>+bma!M210/data!$AJ210</f>
        <v>19.099256393854962</v>
      </c>
      <c r="L210">
        <f>+bma!J210/data!$AJ210</f>
        <v>0</v>
      </c>
      <c r="M210">
        <f>+bma!K210/data!$AJ210</f>
        <v>0</v>
      </c>
      <c r="N210">
        <f>+bma!N210/data!$AJ210</f>
        <v>19.099256393854962</v>
      </c>
      <c r="O210">
        <f>+bma!O210/data!$AJ210</f>
        <v>0</v>
      </c>
      <c r="P210">
        <f>+bma!P210/data!$AJ210</f>
        <v>19.099256393854962</v>
      </c>
      <c r="Q210">
        <f>+bma!Q210/data!$AJ210</f>
        <v>145.27635464314164</v>
      </c>
      <c r="R210">
        <f>+bma!R210/data!$AJ210</f>
        <v>78.198944919898082</v>
      </c>
      <c r="S210">
        <f>+bma!S210/data!$AJ210</f>
        <v>0</v>
      </c>
    </row>
    <row r="211" spans="1:19" x14ac:dyDescent="0.25">
      <c r="A211">
        <f>+data!AH211</f>
        <v>0.74257425742574257</v>
      </c>
      <c r="B211">
        <f>+data!AL211</f>
        <v>19.067024322840499</v>
      </c>
      <c r="C211">
        <f>+bma!C211/data!$AJ211</f>
        <v>19.067024322840499</v>
      </c>
      <c r="D211">
        <f>+bma!D211/data!$AJ211</f>
        <v>0</v>
      </c>
      <c r="E211">
        <f>+bma!E211/data!$AJ211</f>
        <v>0</v>
      </c>
      <c r="F211">
        <f>+bma!F211/data!$AJ211</f>
        <v>0</v>
      </c>
      <c r="G211">
        <f>+bma!G211/data!$AJ211</f>
        <v>19.067024322840499</v>
      </c>
      <c r="H211">
        <f>+bma!H211/data!$AJ211</f>
        <v>19.067024322840499</v>
      </c>
      <c r="I211">
        <f>+bma!I211/data!$AJ211</f>
        <v>19.067024322840499</v>
      </c>
      <c r="J211">
        <f>+bma!L211/data!$AJ211</f>
        <v>0</v>
      </c>
      <c r="K211">
        <f>+bma!M211/data!$AJ211</f>
        <v>19.067024322840499</v>
      </c>
      <c r="L211">
        <f>+bma!J211/data!$AJ211</f>
        <v>0</v>
      </c>
      <c r="M211">
        <f>+bma!K211/data!$AJ211</f>
        <v>0</v>
      </c>
      <c r="N211">
        <f>+bma!N211/data!$AJ211</f>
        <v>0</v>
      </c>
      <c r="O211">
        <f>+bma!O211/data!$AJ211</f>
        <v>19.067024322840499</v>
      </c>
      <c r="P211">
        <f>+bma!P211/data!$AJ211</f>
        <v>19.067024322840499</v>
      </c>
      <c r="Q211">
        <f>+bma!Q211/data!$AJ211</f>
        <v>145.03118500496211</v>
      </c>
      <c r="R211">
        <f>+bma!R211/data!$AJ211</f>
        <v>78.06697570110039</v>
      </c>
      <c r="S211">
        <f>+bma!S211/data!$AJ211</f>
        <v>0</v>
      </c>
    </row>
    <row r="212" spans="1:19" x14ac:dyDescent="0.25">
      <c r="A212">
        <f>+data!AH212</f>
        <v>-2.4838709677419355</v>
      </c>
      <c r="B212">
        <f>+data!AL212</f>
        <v>79.957298697394663</v>
      </c>
      <c r="C212">
        <f>+bma!C212/data!$AJ212</f>
        <v>0</v>
      </c>
      <c r="D212">
        <f>+bma!D212/data!$AJ212</f>
        <v>0</v>
      </c>
      <c r="E212">
        <f>+bma!E212/data!$AJ212</f>
        <v>0</v>
      </c>
      <c r="F212">
        <f>+bma!F212/data!$AJ212</f>
        <v>0</v>
      </c>
      <c r="G212">
        <f>+bma!G212/data!$AJ212</f>
        <v>79.957298697394663</v>
      </c>
      <c r="H212">
        <f>+bma!H212/data!$AJ212</f>
        <v>79.957298697394663</v>
      </c>
      <c r="I212">
        <f>+bma!I212/data!$AJ212</f>
        <v>79.957298697394663</v>
      </c>
      <c r="J212">
        <f>+bma!L212/data!$AJ212</f>
        <v>0</v>
      </c>
      <c r="K212">
        <f>+bma!M212/data!$AJ212</f>
        <v>79.957298697394663</v>
      </c>
      <c r="L212">
        <f>+bma!J212/data!$AJ212</f>
        <v>0</v>
      </c>
      <c r="M212">
        <f>+bma!K212/data!$AJ212</f>
        <v>0</v>
      </c>
      <c r="N212">
        <f>+bma!N212/data!$AJ212</f>
        <v>0</v>
      </c>
      <c r="O212">
        <f>+bma!O212/data!$AJ212</f>
        <v>0</v>
      </c>
      <c r="P212">
        <f>+bma!P212/data!$AJ212</f>
        <v>79.957298697394663</v>
      </c>
      <c r="Q212">
        <f>+bma!Q212/data!$AJ212</f>
        <v>608.18623732427841</v>
      </c>
      <c r="R212">
        <f>+bma!R212/data!$AJ212</f>
        <v>327.37276613518435</v>
      </c>
      <c r="S212">
        <f>+bma!S212/data!$AJ212</f>
        <v>0</v>
      </c>
    </row>
    <row r="213" spans="1:19" x14ac:dyDescent="0.25">
      <c r="A213">
        <f>+data!AH213</f>
        <v>0.77910447761194035</v>
      </c>
      <c r="B213">
        <f>+data!AL213</f>
        <v>79.922506240651856</v>
      </c>
      <c r="C213">
        <f>+bma!C213/data!$AJ213</f>
        <v>0</v>
      </c>
      <c r="D213">
        <f>+bma!D213/data!$AJ213</f>
        <v>0</v>
      </c>
      <c r="E213">
        <f>+bma!E213/data!$AJ213</f>
        <v>0</v>
      </c>
      <c r="F213">
        <f>+bma!F213/data!$AJ213</f>
        <v>0</v>
      </c>
      <c r="G213">
        <f>+bma!G213/data!$AJ213</f>
        <v>79.922506240651856</v>
      </c>
      <c r="H213">
        <f>+bma!H213/data!$AJ213</f>
        <v>79.922506240651856</v>
      </c>
      <c r="I213">
        <f>+bma!I213/data!$AJ213</f>
        <v>79.922506240651856</v>
      </c>
      <c r="J213">
        <f>+bma!L213/data!$AJ213</f>
        <v>0</v>
      </c>
      <c r="K213">
        <f>+bma!M213/data!$AJ213</f>
        <v>79.922506240651856</v>
      </c>
      <c r="L213">
        <f>+bma!J213/data!$AJ213</f>
        <v>0</v>
      </c>
      <c r="M213">
        <f>+bma!K213/data!$AJ213</f>
        <v>0</v>
      </c>
      <c r="N213">
        <f>+bma!N213/data!$AJ213</f>
        <v>79.922506240651856</v>
      </c>
      <c r="O213">
        <f>+bma!O213/data!$AJ213</f>
        <v>0</v>
      </c>
      <c r="P213">
        <f>+bma!P213/data!$AJ213</f>
        <v>79.922506240651856</v>
      </c>
      <c r="Q213">
        <f>+bma!Q213/data!$AJ213</f>
        <v>607.92159239881937</v>
      </c>
      <c r="R213">
        <f>+bma!R213/data!$AJ213</f>
        <v>327.23031381388171</v>
      </c>
      <c r="S213">
        <f>+bma!S213/data!$AJ213</f>
        <v>0</v>
      </c>
    </row>
    <row r="214" spans="1:19" x14ac:dyDescent="0.25">
      <c r="A214">
        <f>+data!AH214</f>
        <v>0.3029197080291971</v>
      </c>
      <c r="B214">
        <f>+data!AL214</f>
        <v>79.919282781751193</v>
      </c>
      <c r="C214">
        <f>+bma!C214/data!$AJ214</f>
        <v>0</v>
      </c>
      <c r="D214">
        <f>+bma!D214/data!$AJ214</f>
        <v>0</v>
      </c>
      <c r="E214">
        <f>+bma!E214/data!$AJ214</f>
        <v>0</v>
      </c>
      <c r="F214">
        <f>+bma!F214/data!$AJ214</f>
        <v>0</v>
      </c>
      <c r="G214">
        <f>+bma!G214/data!$AJ214</f>
        <v>79.919282781751193</v>
      </c>
      <c r="H214">
        <f>+bma!H214/data!$AJ214</f>
        <v>79.919282781751193</v>
      </c>
      <c r="I214">
        <f>+bma!I214/data!$AJ214</f>
        <v>79.919282781751193</v>
      </c>
      <c r="J214">
        <f>+bma!L214/data!$AJ214</f>
        <v>0</v>
      </c>
      <c r="K214">
        <f>+bma!M214/data!$AJ214</f>
        <v>79.919282781751193</v>
      </c>
      <c r="L214">
        <f>+bma!J214/data!$AJ214</f>
        <v>0</v>
      </c>
      <c r="M214">
        <f>+bma!K214/data!$AJ214</f>
        <v>0</v>
      </c>
      <c r="N214">
        <f>+bma!N214/data!$AJ214</f>
        <v>0</v>
      </c>
      <c r="O214">
        <f>+bma!O214/data!$AJ214</f>
        <v>79.919282781751193</v>
      </c>
      <c r="P214">
        <f>+bma!P214/data!$AJ214</f>
        <v>79.919282781751193</v>
      </c>
      <c r="Q214">
        <f>+bma!Q214/data!$AJ214</f>
        <v>607.89707351971879</v>
      </c>
      <c r="R214">
        <f>+bma!R214/data!$AJ214</f>
        <v>327.21711586104902</v>
      </c>
      <c r="S214">
        <f>+bma!S214/data!$AJ214</f>
        <v>0</v>
      </c>
    </row>
    <row r="215" spans="1:19" x14ac:dyDescent="0.25">
      <c r="A215">
        <f>+data!AH215</f>
        <v>-1.6694045174537988</v>
      </c>
      <c r="B215">
        <f>+data!AL215</f>
        <v>80.621255953023294</v>
      </c>
      <c r="C215">
        <f>+bma!C215/data!$AJ215</f>
        <v>0</v>
      </c>
      <c r="D215">
        <f>+bma!D215/data!$AJ215</f>
        <v>0</v>
      </c>
      <c r="E215">
        <f>+bma!E215/data!$AJ215</f>
        <v>0</v>
      </c>
      <c r="F215">
        <f>+bma!F215/data!$AJ215</f>
        <v>0</v>
      </c>
      <c r="G215">
        <f>+bma!G215/data!$AJ215</f>
        <v>80.621255953023294</v>
      </c>
      <c r="H215">
        <f>+bma!H215/data!$AJ215</f>
        <v>80.621255953023294</v>
      </c>
      <c r="I215">
        <f>+bma!I215/data!$AJ215</f>
        <v>80.621255953023294</v>
      </c>
      <c r="J215">
        <f>+bma!L215/data!$AJ215</f>
        <v>0</v>
      </c>
      <c r="K215">
        <f>+bma!M215/data!$AJ215</f>
        <v>80.621255953023294</v>
      </c>
      <c r="L215">
        <f>+bma!J215/data!$AJ215</f>
        <v>0</v>
      </c>
      <c r="M215">
        <f>+bma!K215/data!$AJ215</f>
        <v>0</v>
      </c>
      <c r="N215">
        <f>+bma!N215/data!$AJ215</f>
        <v>0</v>
      </c>
      <c r="O215">
        <f>+bma!O215/data!$AJ215</f>
        <v>0</v>
      </c>
      <c r="P215">
        <f>+bma!P215/data!$AJ215</f>
        <v>80.621255953023294</v>
      </c>
      <c r="Q215">
        <f>+bma!Q215/data!$AJ215</f>
        <v>613.23655382600498</v>
      </c>
      <c r="R215">
        <f>+bma!R215/data!$AJ215</f>
        <v>330.0912362049811</v>
      </c>
      <c r="S215">
        <f>+bma!S215/data!$AJ215</f>
        <v>0</v>
      </c>
    </row>
    <row r="216" spans="1:19" x14ac:dyDescent="0.25">
      <c r="A216">
        <f>+data!AH216</f>
        <v>1.1645833333333333</v>
      </c>
      <c r="B216">
        <f>+data!AL216</f>
        <v>80.612382760592538</v>
      </c>
      <c r="C216">
        <f>+bma!C216/data!$AJ216</f>
        <v>0</v>
      </c>
      <c r="D216">
        <f>+bma!D216/data!$AJ216</f>
        <v>0</v>
      </c>
      <c r="E216">
        <f>+bma!E216/data!$AJ216</f>
        <v>0</v>
      </c>
      <c r="F216">
        <f>+bma!F216/data!$AJ216</f>
        <v>0</v>
      </c>
      <c r="G216">
        <f>+bma!G216/data!$AJ216</f>
        <v>80.612382760592538</v>
      </c>
      <c r="H216">
        <f>+bma!H216/data!$AJ216</f>
        <v>80.612382760592538</v>
      </c>
      <c r="I216">
        <f>+bma!I216/data!$AJ216</f>
        <v>80.612382760592538</v>
      </c>
      <c r="J216">
        <f>+bma!L216/data!$AJ216</f>
        <v>0</v>
      </c>
      <c r="K216">
        <f>+bma!M216/data!$AJ216</f>
        <v>80.612382760592538</v>
      </c>
      <c r="L216">
        <f>+bma!J216/data!$AJ216</f>
        <v>0</v>
      </c>
      <c r="M216">
        <f>+bma!K216/data!$AJ216</f>
        <v>0</v>
      </c>
      <c r="N216">
        <f>+bma!N216/data!$AJ216</f>
        <v>80.612382760592538</v>
      </c>
      <c r="O216">
        <f>+bma!O216/data!$AJ216</f>
        <v>0</v>
      </c>
      <c r="P216">
        <f>+bma!P216/data!$AJ216</f>
        <v>80.612382760592538</v>
      </c>
      <c r="Q216">
        <f>+bma!Q216/data!$AJ216</f>
        <v>613.16906088157793</v>
      </c>
      <c r="R216">
        <f>+bma!R216/data!$AJ216</f>
        <v>330.05490629391824</v>
      </c>
      <c r="S216">
        <f>+bma!S216/data!$AJ216</f>
        <v>0</v>
      </c>
    </row>
    <row r="217" spans="1:19" x14ac:dyDescent="0.25">
      <c r="A217">
        <f>+data!AH217</f>
        <v>-0.22033898305084745</v>
      </c>
      <c r="B217">
        <f>+data!AL217</f>
        <v>80.604271284265394</v>
      </c>
      <c r="C217">
        <f>+bma!C217/data!$AJ217</f>
        <v>0</v>
      </c>
      <c r="D217">
        <f>+bma!D217/data!$AJ217</f>
        <v>0</v>
      </c>
      <c r="E217">
        <f>+bma!E217/data!$AJ217</f>
        <v>0</v>
      </c>
      <c r="F217">
        <f>+bma!F217/data!$AJ217</f>
        <v>0</v>
      </c>
      <c r="G217">
        <f>+bma!G217/data!$AJ217</f>
        <v>80.604271284265394</v>
      </c>
      <c r="H217">
        <f>+bma!H217/data!$AJ217</f>
        <v>80.604271284265394</v>
      </c>
      <c r="I217">
        <f>+bma!I217/data!$AJ217</f>
        <v>80.604271284265394</v>
      </c>
      <c r="J217">
        <f>+bma!L217/data!$AJ217</f>
        <v>0</v>
      </c>
      <c r="K217">
        <f>+bma!M217/data!$AJ217</f>
        <v>80.604271284265394</v>
      </c>
      <c r="L217">
        <f>+bma!J217/data!$AJ217</f>
        <v>0</v>
      </c>
      <c r="M217">
        <f>+bma!K217/data!$AJ217</f>
        <v>0</v>
      </c>
      <c r="N217">
        <f>+bma!N217/data!$AJ217</f>
        <v>0</v>
      </c>
      <c r="O217">
        <f>+bma!O217/data!$AJ217</f>
        <v>80.604271284265394</v>
      </c>
      <c r="P217">
        <f>+bma!P217/data!$AJ217</f>
        <v>80.604271284265394</v>
      </c>
      <c r="Q217">
        <f>+bma!Q217/data!$AJ217</f>
        <v>613.10736184538086</v>
      </c>
      <c r="R217">
        <f>+bma!R217/data!$AJ217</f>
        <v>330.02169511137561</v>
      </c>
      <c r="S217">
        <f>+bma!S217/data!$AJ217</f>
        <v>0</v>
      </c>
    </row>
    <row r="218" spans="1:19" x14ac:dyDescent="0.25">
      <c r="A218">
        <f>+data!AH218</f>
        <v>-0.97874306839186687</v>
      </c>
      <c r="B218">
        <f>+data!AL218</f>
        <v>61.114302237642576</v>
      </c>
      <c r="C218">
        <f>+bma!C218/data!$AJ218</f>
        <v>61.114302237642576</v>
      </c>
      <c r="D218">
        <f>+bma!D218/data!$AJ218</f>
        <v>0</v>
      </c>
      <c r="E218">
        <f>+bma!E218/data!$AJ218</f>
        <v>0</v>
      </c>
      <c r="F218">
        <f>+bma!F218/data!$AJ218</f>
        <v>0</v>
      </c>
      <c r="G218">
        <f>+bma!G218/data!$AJ218</f>
        <v>61.114302237642576</v>
      </c>
      <c r="H218">
        <f>+bma!H218/data!$AJ218</f>
        <v>61.114302237642576</v>
      </c>
      <c r="I218">
        <f>+bma!I218/data!$AJ218</f>
        <v>61.114302237642576</v>
      </c>
      <c r="J218">
        <f>+bma!L218/data!$AJ218</f>
        <v>0</v>
      </c>
      <c r="K218">
        <f>+bma!M218/data!$AJ218</f>
        <v>61.114302237642576</v>
      </c>
      <c r="L218">
        <f>+bma!J218/data!$AJ218</f>
        <v>0</v>
      </c>
      <c r="M218">
        <f>+bma!K218/data!$AJ218</f>
        <v>0</v>
      </c>
      <c r="N218">
        <f>+bma!N218/data!$AJ218</f>
        <v>0</v>
      </c>
      <c r="O218">
        <f>+bma!O218/data!$AJ218</f>
        <v>0</v>
      </c>
      <c r="P218">
        <f>+bma!P218/data!$AJ218</f>
        <v>61.114302237642576</v>
      </c>
      <c r="Q218">
        <f>+bma!Q218/data!$AJ218</f>
        <v>464.85909516877763</v>
      </c>
      <c r="R218">
        <f>+bma!R218/data!$AJ218</f>
        <v>250.22303779518066</v>
      </c>
      <c r="S218">
        <f>+bma!S218/data!$AJ218</f>
        <v>0</v>
      </c>
    </row>
    <row r="219" spans="1:19" x14ac:dyDescent="0.25">
      <c r="A219">
        <f>+data!AH219</f>
        <v>1.3273350471293917</v>
      </c>
      <c r="B219">
        <f>+data!AL219</f>
        <v>61.120878743088582</v>
      </c>
      <c r="C219">
        <f>+bma!C219/data!$AJ219</f>
        <v>61.120878743088582</v>
      </c>
      <c r="D219">
        <f>+bma!D219/data!$AJ219</f>
        <v>0</v>
      </c>
      <c r="E219">
        <f>+bma!E219/data!$AJ219</f>
        <v>0</v>
      </c>
      <c r="F219">
        <f>+bma!F219/data!$AJ219</f>
        <v>0</v>
      </c>
      <c r="G219">
        <f>+bma!G219/data!$AJ219</f>
        <v>61.120878743088582</v>
      </c>
      <c r="H219">
        <f>+bma!H219/data!$AJ219</f>
        <v>61.120878743088582</v>
      </c>
      <c r="I219">
        <f>+bma!I219/data!$AJ219</f>
        <v>61.120878743088582</v>
      </c>
      <c r="J219">
        <f>+bma!L219/data!$AJ219</f>
        <v>0</v>
      </c>
      <c r="K219">
        <f>+bma!M219/data!$AJ219</f>
        <v>61.120878743088582</v>
      </c>
      <c r="L219">
        <f>+bma!J219/data!$AJ219</f>
        <v>0</v>
      </c>
      <c r="M219">
        <f>+bma!K219/data!$AJ219</f>
        <v>0</v>
      </c>
      <c r="N219">
        <f>+bma!N219/data!$AJ219</f>
        <v>61.120878743088582</v>
      </c>
      <c r="O219">
        <f>+bma!O219/data!$AJ219</f>
        <v>0</v>
      </c>
      <c r="P219">
        <f>+bma!P219/data!$AJ219</f>
        <v>61.120878743088582</v>
      </c>
      <c r="Q219">
        <f>+bma!Q219/data!$AJ219</f>
        <v>464.90911862088404</v>
      </c>
      <c r="R219">
        <f>+bma!R219/data!$AJ219</f>
        <v>250.24996427737099</v>
      </c>
      <c r="S219">
        <f>+bma!S219/data!$AJ219</f>
        <v>0</v>
      </c>
    </row>
    <row r="220" spans="1:19" x14ac:dyDescent="0.25">
      <c r="A220">
        <f>+data!AH220</f>
        <v>0.5691411935953421</v>
      </c>
      <c r="B220">
        <f>+data!AL220</f>
        <v>61.109114882300879</v>
      </c>
      <c r="C220">
        <f>+bma!C220/data!$AJ220</f>
        <v>61.109114882300879</v>
      </c>
      <c r="D220">
        <f>+bma!D220/data!$AJ220</f>
        <v>0</v>
      </c>
      <c r="E220">
        <f>+bma!E220/data!$AJ220</f>
        <v>0</v>
      </c>
      <c r="F220">
        <f>+bma!F220/data!$AJ220</f>
        <v>0</v>
      </c>
      <c r="G220">
        <f>+bma!G220/data!$AJ220</f>
        <v>61.109114882300879</v>
      </c>
      <c r="H220">
        <f>+bma!H220/data!$AJ220</f>
        <v>61.109114882300879</v>
      </c>
      <c r="I220">
        <f>+bma!I220/data!$AJ220</f>
        <v>61.109114882300879</v>
      </c>
      <c r="J220">
        <f>+bma!L220/data!$AJ220</f>
        <v>0</v>
      </c>
      <c r="K220">
        <f>+bma!M220/data!$AJ220</f>
        <v>61.109114882300879</v>
      </c>
      <c r="L220">
        <f>+bma!J220/data!$AJ220</f>
        <v>0</v>
      </c>
      <c r="M220">
        <f>+bma!K220/data!$AJ220</f>
        <v>0</v>
      </c>
      <c r="N220">
        <f>+bma!N220/data!$AJ220</f>
        <v>0</v>
      </c>
      <c r="O220">
        <f>+bma!O220/data!$AJ220</f>
        <v>61.109114882300879</v>
      </c>
      <c r="P220">
        <f>+bma!P220/data!$AJ220</f>
        <v>61.109114882300879</v>
      </c>
      <c r="Q220">
        <f>+bma!Q220/data!$AJ220</f>
        <v>464.81963813135485</v>
      </c>
      <c r="R220">
        <f>+bma!R220/data!$AJ220</f>
        <v>250.20179897277418</v>
      </c>
      <c r="S220">
        <f>+bma!S220/data!$AJ220</f>
        <v>0</v>
      </c>
    </row>
    <row r="221" spans="1:19" x14ac:dyDescent="0.25">
      <c r="A221">
        <f>+data!AH221</f>
        <v>-2.335112059765208</v>
      </c>
      <c r="B221">
        <f>+data!AL221</f>
        <v>27.137662912116454</v>
      </c>
      <c r="C221">
        <f>+bma!C221/data!$AJ221</f>
        <v>27.137662912116454</v>
      </c>
      <c r="D221">
        <f>+bma!D221/data!$AJ221</f>
        <v>0</v>
      </c>
      <c r="E221">
        <f>+bma!E221/data!$AJ221</f>
        <v>0</v>
      </c>
      <c r="F221">
        <f>+bma!F221/data!$AJ221</f>
        <v>0</v>
      </c>
      <c r="G221">
        <f>+bma!G221/data!$AJ221</f>
        <v>27.137662912116454</v>
      </c>
      <c r="H221">
        <f>+bma!H221/data!$AJ221</f>
        <v>27.137662912116454</v>
      </c>
      <c r="I221">
        <f>+bma!I221/data!$AJ221</f>
        <v>27.137662912116454</v>
      </c>
      <c r="J221">
        <f>+bma!L221/data!$AJ221</f>
        <v>0</v>
      </c>
      <c r="K221">
        <f>+bma!M221/data!$AJ221</f>
        <v>27.137662912116454</v>
      </c>
      <c r="L221">
        <f>+bma!J221/data!$AJ221</f>
        <v>0</v>
      </c>
      <c r="M221">
        <f>+bma!K221/data!$AJ221</f>
        <v>0</v>
      </c>
      <c r="N221">
        <f>+bma!N221/data!$AJ221</f>
        <v>0</v>
      </c>
      <c r="O221">
        <f>+bma!O221/data!$AJ221</f>
        <v>0</v>
      </c>
      <c r="P221">
        <f>+bma!P221/data!$AJ221</f>
        <v>27.137662912116454</v>
      </c>
      <c r="Q221">
        <f>+bma!Q221/data!$AJ221</f>
        <v>206.41959352276766</v>
      </c>
      <c r="R221">
        <f>+bma!R221/data!$AJ221</f>
        <v>111.11095445590944</v>
      </c>
      <c r="S221">
        <f>+bma!S221/data!$AJ221</f>
        <v>0</v>
      </c>
    </row>
    <row r="222" spans="1:19" x14ac:dyDescent="0.25">
      <c r="A222">
        <f>+data!AH222</f>
        <v>0.44863861386138615</v>
      </c>
      <c r="B222">
        <f>+data!AL222</f>
        <v>27.040733655096112</v>
      </c>
      <c r="C222">
        <f>+bma!C222/data!$AJ222</f>
        <v>27.040733655096112</v>
      </c>
      <c r="D222">
        <f>+bma!D222/data!$AJ222</f>
        <v>0</v>
      </c>
      <c r="E222">
        <f>+bma!E222/data!$AJ222</f>
        <v>0</v>
      </c>
      <c r="F222">
        <f>+bma!F222/data!$AJ222</f>
        <v>0</v>
      </c>
      <c r="G222">
        <f>+bma!G222/data!$AJ222</f>
        <v>27.040733655096112</v>
      </c>
      <c r="H222">
        <f>+bma!H222/data!$AJ222</f>
        <v>27.040733655096112</v>
      </c>
      <c r="I222">
        <f>+bma!I222/data!$AJ222</f>
        <v>27.040733655096112</v>
      </c>
      <c r="J222">
        <f>+bma!L222/data!$AJ222</f>
        <v>0</v>
      </c>
      <c r="K222">
        <f>+bma!M222/data!$AJ222</f>
        <v>27.040733655096112</v>
      </c>
      <c r="L222">
        <f>+bma!J222/data!$AJ222</f>
        <v>0</v>
      </c>
      <c r="M222">
        <f>+bma!K222/data!$AJ222</f>
        <v>0</v>
      </c>
      <c r="N222">
        <f>+bma!N222/data!$AJ222</f>
        <v>27.040733655096112</v>
      </c>
      <c r="O222">
        <f>+bma!O222/data!$AJ222</f>
        <v>0</v>
      </c>
      <c r="P222">
        <f>+bma!P222/data!$AJ222</f>
        <v>27.040733655096112</v>
      </c>
      <c r="Q222">
        <f>+bma!Q222/data!$AJ222</f>
        <v>205.68231198531919</v>
      </c>
      <c r="R222">
        <f>+bma!R222/data!$AJ222</f>
        <v>110.71409263707447</v>
      </c>
      <c r="S222">
        <f>+bma!S222/data!$AJ222</f>
        <v>0</v>
      </c>
    </row>
    <row r="223" spans="1:19" x14ac:dyDescent="0.25">
      <c r="A223">
        <f>+data!AH223</f>
        <v>-0.46287425149700595</v>
      </c>
      <c r="B223">
        <f>+data!AL223</f>
        <v>27.040973587737163</v>
      </c>
      <c r="C223">
        <f>+bma!C223/data!$AJ223</f>
        <v>27.040973587737163</v>
      </c>
      <c r="D223">
        <f>+bma!D223/data!$AJ223</f>
        <v>0</v>
      </c>
      <c r="E223">
        <f>+bma!E223/data!$AJ223</f>
        <v>0</v>
      </c>
      <c r="F223">
        <f>+bma!F223/data!$AJ223</f>
        <v>0</v>
      </c>
      <c r="G223">
        <f>+bma!G223/data!$AJ223</f>
        <v>27.040973587737163</v>
      </c>
      <c r="H223">
        <f>+bma!H223/data!$AJ223</f>
        <v>27.040973587737163</v>
      </c>
      <c r="I223">
        <f>+bma!I223/data!$AJ223</f>
        <v>27.040973587737163</v>
      </c>
      <c r="J223">
        <f>+bma!L223/data!$AJ223</f>
        <v>0</v>
      </c>
      <c r="K223">
        <f>+bma!M223/data!$AJ223</f>
        <v>27.040973587737163</v>
      </c>
      <c r="L223">
        <f>+bma!J223/data!$AJ223</f>
        <v>0</v>
      </c>
      <c r="M223">
        <f>+bma!K223/data!$AJ223</f>
        <v>0</v>
      </c>
      <c r="N223">
        <f>+bma!N223/data!$AJ223</f>
        <v>0</v>
      </c>
      <c r="O223">
        <f>+bma!O223/data!$AJ223</f>
        <v>27.040973587737163</v>
      </c>
      <c r="P223">
        <f>+bma!P223/data!$AJ223</f>
        <v>27.040973587737163</v>
      </c>
      <c r="Q223">
        <f>+bma!Q223/data!$AJ223</f>
        <v>205.6841370060809</v>
      </c>
      <c r="R223">
        <f>+bma!R223/data!$AJ223</f>
        <v>110.7150750040837</v>
      </c>
      <c r="S223">
        <f>+bma!S223/data!$AJ223</f>
        <v>0</v>
      </c>
    </row>
    <row r="224" spans="1:19" x14ac:dyDescent="0.25">
      <c r="A224">
        <f>+data!AH224</f>
        <v>-2.4713656387665202</v>
      </c>
      <c r="B224">
        <f>+data!AL224</f>
        <v>27.168136633204632</v>
      </c>
      <c r="C224">
        <f>+bma!C224/data!$AJ224</f>
        <v>27.168136633204632</v>
      </c>
      <c r="D224">
        <f>+bma!D224/data!$AJ224</f>
        <v>0</v>
      </c>
      <c r="E224">
        <f>+bma!E224/data!$AJ224</f>
        <v>0</v>
      </c>
      <c r="F224">
        <f>+bma!F224/data!$AJ224</f>
        <v>0</v>
      </c>
      <c r="G224">
        <f>+bma!G224/data!$AJ224</f>
        <v>27.168136633204632</v>
      </c>
      <c r="H224">
        <f>+bma!H224/data!$AJ224</f>
        <v>27.168136633204632</v>
      </c>
      <c r="I224">
        <f>+bma!I224/data!$AJ224</f>
        <v>27.168136633204632</v>
      </c>
      <c r="J224">
        <f>+bma!L224/data!$AJ224</f>
        <v>0</v>
      </c>
      <c r="K224">
        <f>+bma!M224/data!$AJ224</f>
        <v>27.168136633204632</v>
      </c>
      <c r="L224">
        <f>+bma!J224/data!$AJ224</f>
        <v>0</v>
      </c>
      <c r="M224">
        <f>+bma!K224/data!$AJ224</f>
        <v>0</v>
      </c>
      <c r="N224">
        <f>+bma!N224/data!$AJ224</f>
        <v>0</v>
      </c>
      <c r="O224">
        <f>+bma!O224/data!$AJ224</f>
        <v>0</v>
      </c>
      <c r="P224">
        <f>+bma!P224/data!$AJ224</f>
        <v>27.168136633204632</v>
      </c>
      <c r="Q224">
        <f>+bma!Q224/data!$AJ224</f>
        <v>206.65138846916813</v>
      </c>
      <c r="R224">
        <f>+bma!R224/data!$AJ224</f>
        <v>111.23572438347821</v>
      </c>
      <c r="S224">
        <f>+bma!S224/data!$AJ224</f>
        <v>0</v>
      </c>
    </row>
    <row r="225" spans="1:19" x14ac:dyDescent="0.25">
      <c r="A225">
        <f>+data!AH225</f>
        <v>0.73056994818652843</v>
      </c>
      <c r="B225">
        <f>+data!AL225</f>
        <v>27.065360379074821</v>
      </c>
      <c r="C225">
        <f>+bma!C225/data!$AJ225</f>
        <v>27.065360379074821</v>
      </c>
      <c r="D225">
        <f>+bma!D225/data!$AJ225</f>
        <v>0</v>
      </c>
      <c r="E225">
        <f>+bma!E225/data!$AJ225</f>
        <v>0</v>
      </c>
      <c r="F225">
        <f>+bma!F225/data!$AJ225</f>
        <v>0</v>
      </c>
      <c r="G225">
        <f>+bma!G225/data!$AJ225</f>
        <v>27.065360379074821</v>
      </c>
      <c r="H225">
        <f>+bma!H225/data!$AJ225</f>
        <v>27.065360379074821</v>
      </c>
      <c r="I225">
        <f>+bma!I225/data!$AJ225</f>
        <v>27.065360379074821</v>
      </c>
      <c r="J225">
        <f>+bma!L225/data!$AJ225</f>
        <v>0</v>
      </c>
      <c r="K225">
        <f>+bma!M225/data!$AJ225</f>
        <v>27.065360379074821</v>
      </c>
      <c r="L225">
        <f>+bma!J225/data!$AJ225</f>
        <v>0</v>
      </c>
      <c r="M225">
        <f>+bma!K225/data!$AJ225</f>
        <v>0</v>
      </c>
      <c r="N225">
        <f>+bma!N225/data!$AJ225</f>
        <v>27.065360379074821</v>
      </c>
      <c r="O225">
        <f>+bma!O225/data!$AJ225</f>
        <v>0</v>
      </c>
      <c r="P225">
        <f>+bma!P225/data!$AJ225</f>
        <v>27.065360379074821</v>
      </c>
      <c r="Q225">
        <f>+bma!Q225/data!$AJ225</f>
        <v>205.86963240307017</v>
      </c>
      <c r="R225">
        <f>+bma!R225/data!$AJ225</f>
        <v>110.81492294126309</v>
      </c>
      <c r="S225">
        <f>+bma!S225/data!$AJ225</f>
        <v>0</v>
      </c>
    </row>
    <row r="226" spans="1:19" x14ac:dyDescent="0.25">
      <c r="A226">
        <f>+data!AH226</f>
        <v>0.35721393034825871</v>
      </c>
      <c r="B226">
        <f>+data!AL226</f>
        <v>27.057856563150651</v>
      </c>
      <c r="C226">
        <f>+bma!C226/data!$AJ226</f>
        <v>27.057856563150651</v>
      </c>
      <c r="D226">
        <f>+bma!D226/data!$AJ226</f>
        <v>0</v>
      </c>
      <c r="E226">
        <f>+bma!E226/data!$AJ226</f>
        <v>0</v>
      </c>
      <c r="F226">
        <f>+bma!F226/data!$AJ226</f>
        <v>0</v>
      </c>
      <c r="G226">
        <f>+bma!G226/data!$AJ226</f>
        <v>27.057856563150651</v>
      </c>
      <c r="H226">
        <f>+bma!H226/data!$AJ226</f>
        <v>27.057856563150651</v>
      </c>
      <c r="I226">
        <f>+bma!I226/data!$AJ226</f>
        <v>27.057856563150651</v>
      </c>
      <c r="J226">
        <f>+bma!L226/data!$AJ226</f>
        <v>0</v>
      </c>
      <c r="K226">
        <f>+bma!M226/data!$AJ226</f>
        <v>27.057856563150651</v>
      </c>
      <c r="L226">
        <f>+bma!J226/data!$AJ226</f>
        <v>0</v>
      </c>
      <c r="M226">
        <f>+bma!K226/data!$AJ226</f>
        <v>0</v>
      </c>
      <c r="N226">
        <f>+bma!N226/data!$AJ226</f>
        <v>0</v>
      </c>
      <c r="O226">
        <f>+bma!O226/data!$AJ226</f>
        <v>27.057856563150651</v>
      </c>
      <c r="P226">
        <f>+bma!P226/data!$AJ226</f>
        <v>27.057856563150651</v>
      </c>
      <c r="Q226">
        <f>+bma!Q226/data!$AJ226</f>
        <v>205.81255546767036</v>
      </c>
      <c r="R226">
        <f>+bma!R226/data!$AJ226</f>
        <v>110.78419973005305</v>
      </c>
      <c r="S226">
        <f>+bma!S226/data!$AJ226</f>
        <v>0</v>
      </c>
    </row>
    <row r="227" spans="1:19" x14ac:dyDescent="0.25">
      <c r="A227">
        <f>+data!AH227</f>
        <v>-0.50118443316412864</v>
      </c>
      <c r="B227">
        <f>+data!AL227</f>
        <v>21.336616082126191</v>
      </c>
      <c r="C227">
        <f>+bma!C227/data!$AJ227</f>
        <v>21.336616082126191</v>
      </c>
      <c r="D227">
        <f>+bma!D227/data!$AJ227</f>
        <v>0</v>
      </c>
      <c r="E227">
        <f>+bma!E227/data!$AJ227</f>
        <v>0</v>
      </c>
      <c r="F227">
        <f>+bma!F227/data!$AJ227</f>
        <v>0</v>
      </c>
      <c r="G227">
        <f>+bma!G227/data!$AJ227</f>
        <v>21.336616082126191</v>
      </c>
      <c r="H227">
        <f>+bma!H227/data!$AJ227</f>
        <v>21.336616082126191</v>
      </c>
      <c r="I227">
        <f>+bma!I227/data!$AJ227</f>
        <v>21.336616082126191</v>
      </c>
      <c r="J227">
        <f>+bma!L227/data!$AJ227</f>
        <v>0</v>
      </c>
      <c r="K227">
        <f>+bma!M227/data!$AJ227</f>
        <v>21.336616082126191</v>
      </c>
      <c r="L227">
        <f>+bma!J227/data!$AJ227</f>
        <v>0</v>
      </c>
      <c r="M227">
        <f>+bma!K227/data!$AJ227</f>
        <v>0</v>
      </c>
      <c r="N227">
        <f>+bma!N227/data!$AJ227</f>
        <v>0</v>
      </c>
      <c r="O227">
        <f>+bma!O227/data!$AJ227</f>
        <v>0</v>
      </c>
      <c r="P227">
        <f>+bma!P227/data!$AJ227</f>
        <v>21.336616082126191</v>
      </c>
      <c r="Q227">
        <f>+bma!Q227/data!$AJ227</f>
        <v>162.29458052769166</v>
      </c>
      <c r="R227">
        <f>+bma!R227/data!$AJ227</f>
        <v>87.359467372772954</v>
      </c>
      <c r="S227">
        <f>+bma!S227/data!$AJ227</f>
        <v>0</v>
      </c>
    </row>
    <row r="228" spans="1:19" x14ac:dyDescent="0.25">
      <c r="A228">
        <f>+data!AH228</f>
        <v>5.5427251732101616E-3</v>
      </c>
      <c r="B228">
        <f>+data!AL228</f>
        <v>21.330729727831685</v>
      </c>
      <c r="C228">
        <f>+bma!C228/data!$AJ228</f>
        <v>21.330729727831685</v>
      </c>
      <c r="D228">
        <f>+bma!D228/data!$AJ228</f>
        <v>0</v>
      </c>
      <c r="E228">
        <f>+bma!E228/data!$AJ228</f>
        <v>0</v>
      </c>
      <c r="F228">
        <f>+bma!F228/data!$AJ228</f>
        <v>0</v>
      </c>
      <c r="G228">
        <f>+bma!G228/data!$AJ228</f>
        <v>21.330729727831685</v>
      </c>
      <c r="H228">
        <f>+bma!H228/data!$AJ228</f>
        <v>21.330729727831685</v>
      </c>
      <c r="I228">
        <f>+bma!I228/data!$AJ228</f>
        <v>21.330729727831685</v>
      </c>
      <c r="J228">
        <f>+bma!L228/data!$AJ228</f>
        <v>0</v>
      </c>
      <c r="K228">
        <f>+bma!M228/data!$AJ228</f>
        <v>21.330729727831685</v>
      </c>
      <c r="L228">
        <f>+bma!J228/data!$AJ228</f>
        <v>0</v>
      </c>
      <c r="M228">
        <f>+bma!K228/data!$AJ228</f>
        <v>0</v>
      </c>
      <c r="N228">
        <f>+bma!N228/data!$AJ228</f>
        <v>21.330729727831685</v>
      </c>
      <c r="O228">
        <f>+bma!O228/data!$AJ228</f>
        <v>0</v>
      </c>
      <c r="P228">
        <f>+bma!P228/data!$AJ228</f>
        <v>21.330729727831685</v>
      </c>
      <c r="Q228">
        <f>+bma!Q228/data!$AJ228</f>
        <v>162.24980663302219</v>
      </c>
      <c r="R228">
        <f>+bma!R228/data!$AJ228</f>
        <v>87.335366607499012</v>
      </c>
      <c r="S228">
        <f>+bma!S228/data!$AJ228</f>
        <v>0</v>
      </c>
    </row>
    <row r="229" spans="1:19" x14ac:dyDescent="0.25">
      <c r="A229">
        <f>+data!AH229</f>
        <v>-0.20928491201797078</v>
      </c>
      <c r="B229">
        <f>+data!AL229</f>
        <v>21.33175567491805</v>
      </c>
      <c r="C229">
        <f>+bma!C229/data!$AJ229</f>
        <v>21.33175567491805</v>
      </c>
      <c r="D229">
        <f>+bma!D229/data!$AJ229</f>
        <v>0</v>
      </c>
      <c r="E229">
        <f>+bma!E229/data!$AJ229</f>
        <v>0</v>
      </c>
      <c r="F229">
        <f>+bma!F229/data!$AJ229</f>
        <v>0</v>
      </c>
      <c r="G229">
        <f>+bma!G229/data!$AJ229</f>
        <v>21.33175567491805</v>
      </c>
      <c r="H229">
        <f>+bma!H229/data!$AJ229</f>
        <v>21.33175567491805</v>
      </c>
      <c r="I229">
        <f>+bma!I229/data!$AJ229</f>
        <v>21.33175567491805</v>
      </c>
      <c r="J229">
        <f>+bma!L229/data!$AJ229</f>
        <v>0</v>
      </c>
      <c r="K229">
        <f>+bma!M229/data!$AJ229</f>
        <v>21.33175567491805</v>
      </c>
      <c r="L229">
        <f>+bma!J229/data!$AJ229</f>
        <v>0</v>
      </c>
      <c r="M229">
        <f>+bma!K229/data!$AJ229</f>
        <v>0</v>
      </c>
      <c r="N229">
        <f>+bma!N229/data!$AJ229</f>
        <v>0</v>
      </c>
      <c r="O229">
        <f>+bma!O229/data!$AJ229</f>
        <v>21.33175567491805</v>
      </c>
      <c r="P229">
        <f>+bma!P229/data!$AJ229</f>
        <v>21.33175567491805</v>
      </c>
      <c r="Q229">
        <f>+bma!Q229/data!$AJ229</f>
        <v>162.25761038462855</v>
      </c>
      <c r="R229">
        <f>+bma!R229/data!$AJ229</f>
        <v>87.339567188822343</v>
      </c>
      <c r="S229">
        <f>+bma!S229/data!$AJ229</f>
        <v>0</v>
      </c>
    </row>
    <row r="230" spans="1:19" x14ac:dyDescent="0.25">
      <c r="A230">
        <f>+data!AH230</f>
        <v>-5.5027513756878435E-2</v>
      </c>
      <c r="B230">
        <f>+data!AL230</f>
        <v>21.307346808724692</v>
      </c>
      <c r="C230">
        <f>+bma!C230/data!$AJ230</f>
        <v>21.307346808724692</v>
      </c>
      <c r="D230">
        <f>+bma!D230/data!$AJ230</f>
        <v>0</v>
      </c>
      <c r="E230">
        <f>+bma!E230/data!$AJ230</f>
        <v>0</v>
      </c>
      <c r="F230">
        <f>+bma!F230/data!$AJ230</f>
        <v>0</v>
      </c>
      <c r="G230">
        <f>+bma!G230/data!$AJ230</f>
        <v>21.307346808724692</v>
      </c>
      <c r="H230">
        <f>+bma!H230/data!$AJ230</f>
        <v>21.307346808724692</v>
      </c>
      <c r="I230">
        <f>+bma!I230/data!$AJ230</f>
        <v>21.307346808724692</v>
      </c>
      <c r="J230">
        <f>+bma!L230/data!$AJ230</f>
        <v>0</v>
      </c>
      <c r="K230">
        <f>+bma!M230/data!$AJ230</f>
        <v>21.307346808724692</v>
      </c>
      <c r="L230">
        <f>+bma!J230/data!$AJ230</f>
        <v>0</v>
      </c>
      <c r="M230">
        <f>+bma!K230/data!$AJ230</f>
        <v>0</v>
      </c>
      <c r="N230">
        <f>+bma!N230/data!$AJ230</f>
        <v>0</v>
      </c>
      <c r="O230">
        <f>+bma!O230/data!$AJ230</f>
        <v>0</v>
      </c>
      <c r="P230">
        <f>+bma!P230/data!$AJ230</f>
        <v>21.307346808724692</v>
      </c>
      <c r="Q230">
        <f>+bma!Q230/data!$AJ230</f>
        <v>162.0719470777218</v>
      </c>
      <c r="R230">
        <f>+bma!R230/data!$AJ230</f>
        <v>87.239628869567895</v>
      </c>
      <c r="S230">
        <f>+bma!S230/data!$AJ230</f>
        <v>0</v>
      </c>
    </row>
    <row r="231" spans="1:19" x14ac:dyDescent="0.25">
      <c r="A231">
        <f>+data!AH231</f>
        <v>7.8483715963694606E-2</v>
      </c>
      <c r="B231">
        <f>+data!AL231</f>
        <v>21.307420296546258</v>
      </c>
      <c r="C231">
        <f>+bma!C231/data!$AJ231</f>
        <v>21.307420296546258</v>
      </c>
      <c r="D231">
        <f>+bma!D231/data!$AJ231</f>
        <v>0</v>
      </c>
      <c r="E231">
        <f>+bma!E231/data!$AJ231</f>
        <v>0</v>
      </c>
      <c r="F231">
        <f>+bma!F231/data!$AJ231</f>
        <v>0</v>
      </c>
      <c r="G231">
        <f>+bma!G231/data!$AJ231</f>
        <v>21.307420296546258</v>
      </c>
      <c r="H231">
        <f>+bma!H231/data!$AJ231</f>
        <v>21.307420296546258</v>
      </c>
      <c r="I231">
        <f>+bma!I231/data!$AJ231</f>
        <v>21.307420296546258</v>
      </c>
      <c r="J231">
        <f>+bma!L231/data!$AJ231</f>
        <v>0</v>
      </c>
      <c r="K231">
        <f>+bma!M231/data!$AJ231</f>
        <v>21.307420296546258</v>
      </c>
      <c r="L231">
        <f>+bma!J231/data!$AJ231</f>
        <v>0</v>
      </c>
      <c r="M231">
        <f>+bma!K231/data!$AJ231</f>
        <v>0</v>
      </c>
      <c r="N231">
        <f>+bma!N231/data!$AJ231</f>
        <v>21.307420296546258</v>
      </c>
      <c r="O231">
        <f>+bma!O231/data!$AJ231</f>
        <v>0</v>
      </c>
      <c r="P231">
        <f>+bma!P231/data!$AJ231</f>
        <v>21.307420296546258</v>
      </c>
      <c r="Q231">
        <f>+bma!Q231/data!$AJ231</f>
        <v>162.0725060546059</v>
      </c>
      <c r="R231">
        <f>+bma!R231/data!$AJ231</f>
        <v>87.239929754062672</v>
      </c>
      <c r="S231">
        <f>+bma!S231/data!$AJ231</f>
        <v>0</v>
      </c>
    </row>
    <row r="232" spans="1:19" x14ac:dyDescent="0.25">
      <c r="A232">
        <f>+data!AH232</f>
        <v>0.26758241758241758</v>
      </c>
      <c r="B232">
        <f>+data!AL232</f>
        <v>21.308955871891033</v>
      </c>
      <c r="C232">
        <f>+bma!C232/data!$AJ232</f>
        <v>21.308955871891033</v>
      </c>
      <c r="D232">
        <f>+bma!D232/data!$AJ232</f>
        <v>0</v>
      </c>
      <c r="E232">
        <f>+bma!E232/data!$AJ232</f>
        <v>0</v>
      </c>
      <c r="F232">
        <f>+bma!F232/data!$AJ232</f>
        <v>0</v>
      </c>
      <c r="G232">
        <f>+bma!G232/data!$AJ232</f>
        <v>21.308955871891033</v>
      </c>
      <c r="H232">
        <f>+bma!H232/data!$AJ232</f>
        <v>21.308955871891033</v>
      </c>
      <c r="I232">
        <f>+bma!I232/data!$AJ232</f>
        <v>21.308955871891033</v>
      </c>
      <c r="J232">
        <f>+bma!L232/data!$AJ232</f>
        <v>0</v>
      </c>
      <c r="K232">
        <f>+bma!M232/data!$AJ232</f>
        <v>21.308955871891033</v>
      </c>
      <c r="L232">
        <f>+bma!J232/data!$AJ232</f>
        <v>0</v>
      </c>
      <c r="M232">
        <f>+bma!K232/data!$AJ232</f>
        <v>0</v>
      </c>
      <c r="N232">
        <f>+bma!N232/data!$AJ232</f>
        <v>0</v>
      </c>
      <c r="O232">
        <f>+bma!O232/data!$AJ232</f>
        <v>21.308955871891033</v>
      </c>
      <c r="P232">
        <f>+bma!P232/data!$AJ232</f>
        <v>21.308955871891033</v>
      </c>
      <c r="Q232">
        <f>+bma!Q232/data!$AJ232</f>
        <v>162.08418623648151</v>
      </c>
      <c r="R232">
        <f>+bma!R232/data!$AJ232</f>
        <v>87.246216929297688</v>
      </c>
      <c r="S232">
        <f>+bma!S232/data!$AJ232</f>
        <v>0</v>
      </c>
    </row>
    <row r="233" spans="1:19" x14ac:dyDescent="0.25">
      <c r="A233">
        <f>+data!AH233</f>
        <v>-1.3706606942889137</v>
      </c>
      <c r="B233">
        <f>+data!AL233</f>
        <v>44.134778924776192</v>
      </c>
      <c r="C233">
        <f>+bma!C233/data!$AJ233</f>
        <v>44.134778924776192</v>
      </c>
      <c r="D233">
        <f>+bma!D233/data!$AJ233</f>
        <v>0</v>
      </c>
      <c r="E233">
        <f>+bma!E233/data!$AJ233</f>
        <v>0</v>
      </c>
      <c r="F233">
        <f>+bma!F233/data!$AJ233</f>
        <v>0</v>
      </c>
      <c r="G233">
        <f>+bma!G233/data!$AJ233</f>
        <v>44.134778924776192</v>
      </c>
      <c r="H233">
        <f>+bma!H233/data!$AJ233</f>
        <v>44.134778924776192</v>
      </c>
      <c r="I233">
        <f>+bma!I233/data!$AJ233</f>
        <v>44.134778924776192</v>
      </c>
      <c r="J233">
        <f>+bma!L233/data!$AJ233</f>
        <v>0</v>
      </c>
      <c r="K233">
        <f>+bma!M233/data!$AJ233</f>
        <v>44.134778924776192</v>
      </c>
      <c r="L233">
        <f>+bma!J233/data!$AJ233</f>
        <v>0</v>
      </c>
      <c r="M233">
        <f>+bma!K233/data!$AJ233</f>
        <v>0</v>
      </c>
      <c r="N233">
        <f>+bma!N233/data!$AJ233</f>
        <v>0</v>
      </c>
      <c r="O233">
        <f>+bma!O233/data!$AJ233</f>
        <v>0</v>
      </c>
      <c r="P233">
        <f>+bma!P233/data!$AJ233</f>
        <v>44.134778924776192</v>
      </c>
      <c r="Q233">
        <f>+bma!Q233/data!$AJ233</f>
        <v>335.70625279607054</v>
      </c>
      <c r="R233">
        <f>+bma!R233/data!$AJ233</f>
        <v>180.70301141676276</v>
      </c>
      <c r="S233">
        <f>+bma!S233/data!$AJ233</f>
        <v>0</v>
      </c>
    </row>
    <row r="234" spans="1:19" x14ac:dyDescent="0.25">
      <c r="A234">
        <f>+data!AH234</f>
        <v>1.2574626865671641</v>
      </c>
      <c r="B234">
        <f>+data!AL234</f>
        <v>44.131408457108058</v>
      </c>
      <c r="C234">
        <f>+bma!C234/data!$AJ234</f>
        <v>44.131408457108058</v>
      </c>
      <c r="D234">
        <f>+bma!D234/data!$AJ234</f>
        <v>0</v>
      </c>
      <c r="E234">
        <f>+bma!E234/data!$AJ234</f>
        <v>0</v>
      </c>
      <c r="F234">
        <f>+bma!F234/data!$AJ234</f>
        <v>0</v>
      </c>
      <c r="G234">
        <f>+bma!G234/data!$AJ234</f>
        <v>44.131408457108058</v>
      </c>
      <c r="H234">
        <f>+bma!H234/data!$AJ234</f>
        <v>44.131408457108058</v>
      </c>
      <c r="I234">
        <f>+bma!I234/data!$AJ234</f>
        <v>44.131408457108058</v>
      </c>
      <c r="J234">
        <f>+bma!L234/data!$AJ234</f>
        <v>0</v>
      </c>
      <c r="K234">
        <f>+bma!M234/data!$AJ234</f>
        <v>44.131408457108058</v>
      </c>
      <c r="L234">
        <f>+bma!J234/data!$AJ234</f>
        <v>0</v>
      </c>
      <c r="M234">
        <f>+bma!K234/data!$AJ234</f>
        <v>0</v>
      </c>
      <c r="N234">
        <f>+bma!N234/data!$AJ234</f>
        <v>44.131408457108058</v>
      </c>
      <c r="O234">
        <f>+bma!O234/data!$AJ234</f>
        <v>0</v>
      </c>
      <c r="P234">
        <f>+bma!P234/data!$AJ234</f>
        <v>44.131408457108058</v>
      </c>
      <c r="Q234">
        <f>+bma!Q234/data!$AJ234</f>
        <v>335.68061571124525</v>
      </c>
      <c r="R234">
        <f>+bma!R234/data!$AJ234</f>
        <v>180.68921155931807</v>
      </c>
      <c r="S234">
        <f>+bma!S234/data!$AJ234</f>
        <v>0</v>
      </c>
    </row>
    <row r="235" spans="1:19" x14ac:dyDescent="0.25">
      <c r="A235">
        <f>+data!AH235</f>
        <v>-0.24881676808654496</v>
      </c>
      <c r="B235">
        <f>+data!AL235</f>
        <v>44.114191704984023</v>
      </c>
      <c r="C235">
        <f>+bma!C235/data!$AJ235</f>
        <v>44.114191704984023</v>
      </c>
      <c r="D235">
        <f>+bma!D235/data!$AJ235</f>
        <v>0</v>
      </c>
      <c r="E235">
        <f>+bma!E235/data!$AJ235</f>
        <v>0</v>
      </c>
      <c r="F235">
        <f>+bma!F235/data!$AJ235</f>
        <v>0</v>
      </c>
      <c r="G235">
        <f>+bma!G235/data!$AJ235</f>
        <v>44.114191704984023</v>
      </c>
      <c r="H235">
        <f>+bma!H235/data!$AJ235</f>
        <v>44.114191704984023</v>
      </c>
      <c r="I235">
        <f>+bma!I235/data!$AJ235</f>
        <v>44.114191704984023</v>
      </c>
      <c r="J235">
        <f>+bma!L235/data!$AJ235</f>
        <v>0</v>
      </c>
      <c r="K235">
        <f>+bma!M235/data!$AJ235</f>
        <v>44.114191704984023</v>
      </c>
      <c r="L235">
        <f>+bma!J235/data!$AJ235</f>
        <v>0</v>
      </c>
      <c r="M235">
        <f>+bma!K235/data!$AJ235</f>
        <v>0</v>
      </c>
      <c r="N235">
        <f>+bma!N235/data!$AJ235</f>
        <v>0</v>
      </c>
      <c r="O235">
        <f>+bma!O235/data!$AJ235</f>
        <v>44.114191704984023</v>
      </c>
      <c r="P235">
        <f>+bma!P235/data!$AJ235</f>
        <v>44.114191704984023</v>
      </c>
      <c r="Q235">
        <f>+bma!Q235/data!$AJ235</f>
        <v>335.54965841449001</v>
      </c>
      <c r="R235">
        <f>+bma!R235/data!$AJ235</f>
        <v>180.6187202363428</v>
      </c>
      <c r="S235">
        <f>+bma!S235/data!$AJ235</f>
        <v>0</v>
      </c>
    </row>
    <row r="236" spans="1:19" x14ac:dyDescent="0.25">
      <c r="A236">
        <f>+data!AH236</f>
        <v>-1.3570469798657718</v>
      </c>
      <c r="B236">
        <f>+data!AL236</f>
        <v>44.190967137024316</v>
      </c>
      <c r="C236">
        <f>+bma!C236/data!$AJ236</f>
        <v>44.190967137024316</v>
      </c>
      <c r="D236">
        <f>+bma!D236/data!$AJ236</f>
        <v>0</v>
      </c>
      <c r="E236">
        <f>+bma!E236/data!$AJ236</f>
        <v>0</v>
      </c>
      <c r="F236">
        <f>+bma!F236/data!$AJ236</f>
        <v>0</v>
      </c>
      <c r="G236">
        <f>+bma!G236/data!$AJ236</f>
        <v>44.190967137024316</v>
      </c>
      <c r="H236">
        <f>+bma!H236/data!$AJ236</f>
        <v>44.190967137024316</v>
      </c>
      <c r="I236">
        <f>+bma!I236/data!$AJ236</f>
        <v>44.190967137024316</v>
      </c>
      <c r="J236">
        <f>+bma!L236/data!$AJ236</f>
        <v>0</v>
      </c>
      <c r="K236">
        <f>+bma!M236/data!$AJ236</f>
        <v>44.190967137024316</v>
      </c>
      <c r="L236">
        <f>+bma!J236/data!$AJ236</f>
        <v>0</v>
      </c>
      <c r="M236">
        <f>+bma!K236/data!$AJ236</f>
        <v>0</v>
      </c>
      <c r="N236">
        <f>+bma!N236/data!$AJ236</f>
        <v>0</v>
      </c>
      <c r="O236">
        <f>+bma!O236/data!$AJ236</f>
        <v>0</v>
      </c>
      <c r="P236">
        <f>+bma!P236/data!$AJ236</f>
        <v>44.190967137024316</v>
      </c>
      <c r="Q236">
        <f>+bma!Q236/data!$AJ236</f>
        <v>336.13364213945613</v>
      </c>
      <c r="R236">
        <f>+bma!R236/data!$AJ236</f>
        <v>180.93306534263979</v>
      </c>
      <c r="S236">
        <f>+bma!S236/data!$AJ236</f>
        <v>0</v>
      </c>
    </row>
    <row r="237" spans="1:19" x14ac:dyDescent="0.25">
      <c r="A237">
        <f>+data!AH237</f>
        <v>1.5572550640760643</v>
      </c>
      <c r="B237">
        <f>+data!AL237</f>
        <v>44.197568296622279</v>
      </c>
      <c r="C237">
        <f>+bma!C237/data!$AJ237</f>
        <v>44.197568296622279</v>
      </c>
      <c r="D237">
        <f>+bma!D237/data!$AJ237</f>
        <v>0</v>
      </c>
      <c r="E237">
        <f>+bma!E237/data!$AJ237</f>
        <v>0</v>
      </c>
      <c r="F237">
        <f>+bma!F237/data!$AJ237</f>
        <v>0</v>
      </c>
      <c r="G237">
        <f>+bma!G237/data!$AJ237</f>
        <v>44.197568296622279</v>
      </c>
      <c r="H237">
        <f>+bma!H237/data!$AJ237</f>
        <v>44.197568296622279</v>
      </c>
      <c r="I237">
        <f>+bma!I237/data!$AJ237</f>
        <v>44.197568296622279</v>
      </c>
      <c r="J237">
        <f>+bma!L237/data!$AJ237</f>
        <v>0</v>
      </c>
      <c r="K237">
        <f>+bma!M237/data!$AJ237</f>
        <v>44.197568296622279</v>
      </c>
      <c r="L237">
        <f>+bma!J237/data!$AJ237</f>
        <v>0</v>
      </c>
      <c r="M237">
        <f>+bma!K237/data!$AJ237</f>
        <v>0</v>
      </c>
      <c r="N237">
        <f>+bma!N237/data!$AJ237</f>
        <v>44.197568296622279</v>
      </c>
      <c r="O237">
        <f>+bma!O237/data!$AJ237</f>
        <v>0</v>
      </c>
      <c r="P237">
        <f>+bma!P237/data!$AJ237</f>
        <v>44.197568296622279</v>
      </c>
      <c r="Q237">
        <f>+bma!Q237/data!$AJ237</f>
        <v>336.18385312060815</v>
      </c>
      <c r="R237">
        <f>+bma!R237/data!$AJ237</f>
        <v>180.96009276743393</v>
      </c>
      <c r="S237">
        <f>+bma!S237/data!$AJ237</f>
        <v>0</v>
      </c>
    </row>
    <row r="238" spans="1:19" x14ac:dyDescent="0.25">
      <c r="A238">
        <f>+data!AH238</f>
        <v>0.2012644889357218</v>
      </c>
      <c r="B238">
        <f>+data!AL238</f>
        <v>44.170584186701745</v>
      </c>
      <c r="C238">
        <f>+bma!C238/data!$AJ238</f>
        <v>44.170584186701745</v>
      </c>
      <c r="D238">
        <f>+bma!D238/data!$AJ238</f>
        <v>0</v>
      </c>
      <c r="E238">
        <f>+bma!E238/data!$AJ238</f>
        <v>0</v>
      </c>
      <c r="F238">
        <f>+bma!F238/data!$AJ238</f>
        <v>0</v>
      </c>
      <c r="G238">
        <f>+bma!G238/data!$AJ238</f>
        <v>44.170584186701745</v>
      </c>
      <c r="H238">
        <f>+bma!H238/data!$AJ238</f>
        <v>44.170584186701745</v>
      </c>
      <c r="I238">
        <f>+bma!I238/data!$AJ238</f>
        <v>44.170584186701745</v>
      </c>
      <c r="J238">
        <f>+bma!L238/data!$AJ238</f>
        <v>0</v>
      </c>
      <c r="K238">
        <f>+bma!M238/data!$AJ238</f>
        <v>44.170584186701745</v>
      </c>
      <c r="L238">
        <f>+bma!J238/data!$AJ238</f>
        <v>0</v>
      </c>
      <c r="M238">
        <f>+bma!K238/data!$AJ238</f>
        <v>0</v>
      </c>
      <c r="N238">
        <f>+bma!N238/data!$AJ238</f>
        <v>0</v>
      </c>
      <c r="O238">
        <f>+bma!O238/data!$AJ238</f>
        <v>44.170584186701745</v>
      </c>
      <c r="P238">
        <f>+bma!P238/data!$AJ238</f>
        <v>44.170584186701745</v>
      </c>
      <c r="Q238">
        <f>+bma!Q238/data!$AJ238</f>
        <v>335.97860151071791</v>
      </c>
      <c r="R238">
        <f>+bma!R238/data!$AJ238</f>
        <v>180.84961051190135</v>
      </c>
      <c r="S238">
        <f>+bma!S238/data!$AJ238</f>
        <v>0</v>
      </c>
    </row>
    <row r="239" spans="1:19" x14ac:dyDescent="0.25">
      <c r="A239">
        <f>+data!AH239</f>
        <v>-0.45894190197987667</v>
      </c>
      <c r="B239">
        <f>+data!AL239</f>
        <v>21.241719037530668</v>
      </c>
      <c r="C239">
        <f>+bma!C239/data!$AJ239</f>
        <v>21.241719037530668</v>
      </c>
      <c r="D239">
        <f>+bma!D239/data!$AJ239</f>
        <v>0</v>
      </c>
      <c r="E239">
        <f>+bma!E239/data!$AJ239</f>
        <v>0</v>
      </c>
      <c r="F239">
        <f>+bma!F239/data!$AJ239</f>
        <v>0</v>
      </c>
      <c r="G239">
        <f>+bma!G239/data!$AJ239</f>
        <v>21.241719037530668</v>
      </c>
      <c r="H239">
        <f>+bma!H239/data!$AJ239</f>
        <v>21.241719037530668</v>
      </c>
      <c r="I239">
        <f>+bma!I239/data!$AJ239</f>
        <v>21.241719037530668</v>
      </c>
      <c r="J239">
        <f>+bma!L239/data!$AJ239</f>
        <v>0</v>
      </c>
      <c r="K239">
        <f>+bma!M239/data!$AJ239</f>
        <v>21.241719037530668</v>
      </c>
      <c r="L239">
        <f>+bma!J239/data!$AJ239</f>
        <v>0</v>
      </c>
      <c r="M239">
        <f>+bma!K239/data!$AJ239</f>
        <v>0</v>
      </c>
      <c r="N239">
        <f>+bma!N239/data!$AJ239</f>
        <v>0</v>
      </c>
      <c r="O239">
        <f>+bma!O239/data!$AJ239</f>
        <v>0</v>
      </c>
      <c r="P239">
        <f>+bma!P239/data!$AJ239</f>
        <v>21.241719037530668</v>
      </c>
      <c r="Q239">
        <f>+bma!Q239/data!$AJ239</f>
        <v>161.57275678644484</v>
      </c>
      <c r="R239">
        <f>+bma!R239/data!$AJ239</f>
        <v>86.970926132718503</v>
      </c>
      <c r="S239">
        <f>+bma!S239/data!$AJ239</f>
        <v>0</v>
      </c>
    </row>
    <row r="240" spans="1:19" x14ac:dyDescent="0.25">
      <c r="A240">
        <f>+data!AH240</f>
        <v>0.76018876018876014</v>
      </c>
      <c r="B240">
        <f>+data!AL240</f>
        <v>21.250362042824523</v>
      </c>
      <c r="C240">
        <f>+bma!C240/data!$AJ240</f>
        <v>21.250362042824523</v>
      </c>
      <c r="D240">
        <f>+bma!D240/data!$AJ240</f>
        <v>0</v>
      </c>
      <c r="E240">
        <f>+bma!E240/data!$AJ240</f>
        <v>0</v>
      </c>
      <c r="F240">
        <f>+bma!F240/data!$AJ240</f>
        <v>0</v>
      </c>
      <c r="G240">
        <f>+bma!G240/data!$AJ240</f>
        <v>21.250362042824523</v>
      </c>
      <c r="H240">
        <f>+bma!H240/data!$AJ240</f>
        <v>21.250362042824523</v>
      </c>
      <c r="I240">
        <f>+bma!I240/data!$AJ240</f>
        <v>21.250362042824523</v>
      </c>
      <c r="J240">
        <f>+bma!L240/data!$AJ240</f>
        <v>0</v>
      </c>
      <c r="K240">
        <f>+bma!M240/data!$AJ240</f>
        <v>21.250362042824523</v>
      </c>
      <c r="L240">
        <f>+bma!J240/data!$AJ240</f>
        <v>0</v>
      </c>
      <c r="M240">
        <f>+bma!K240/data!$AJ240</f>
        <v>0</v>
      </c>
      <c r="N240">
        <f>+bma!N240/data!$AJ240</f>
        <v>21.250362042824523</v>
      </c>
      <c r="O240">
        <f>+bma!O240/data!$AJ240</f>
        <v>0</v>
      </c>
      <c r="P240">
        <f>+bma!P240/data!$AJ240</f>
        <v>21.250362042824523</v>
      </c>
      <c r="Q240">
        <f>+bma!Q240/data!$AJ240</f>
        <v>161.63849883819594</v>
      </c>
      <c r="R240">
        <f>+bma!R240/data!$AJ240</f>
        <v>87.006313578228372</v>
      </c>
      <c r="S240">
        <f>+bma!S240/data!$AJ240</f>
        <v>0</v>
      </c>
    </row>
    <row r="241" spans="1:19" x14ac:dyDescent="0.25">
      <c r="A241">
        <f>+data!AH241</f>
        <v>1.0464208242950108</v>
      </c>
      <c r="B241">
        <f>+data!AL241</f>
        <v>21.26252563882095</v>
      </c>
      <c r="C241">
        <f>+bma!C241/data!$AJ241</f>
        <v>21.26252563882095</v>
      </c>
      <c r="D241">
        <f>+bma!D241/data!$AJ241</f>
        <v>0</v>
      </c>
      <c r="E241">
        <f>+bma!E241/data!$AJ241</f>
        <v>0</v>
      </c>
      <c r="F241">
        <f>+bma!F241/data!$AJ241</f>
        <v>0</v>
      </c>
      <c r="G241">
        <f>+bma!G241/data!$AJ241</f>
        <v>21.26252563882095</v>
      </c>
      <c r="H241">
        <f>+bma!H241/data!$AJ241</f>
        <v>21.26252563882095</v>
      </c>
      <c r="I241">
        <f>+bma!I241/data!$AJ241</f>
        <v>21.26252563882095</v>
      </c>
      <c r="J241">
        <f>+bma!L241/data!$AJ241</f>
        <v>0</v>
      </c>
      <c r="K241">
        <f>+bma!M241/data!$AJ241</f>
        <v>21.26252563882095</v>
      </c>
      <c r="L241">
        <f>+bma!J241/data!$AJ241</f>
        <v>0</v>
      </c>
      <c r="M241">
        <f>+bma!K241/data!$AJ241</f>
        <v>0</v>
      </c>
      <c r="N241">
        <f>+bma!N241/data!$AJ241</f>
        <v>0</v>
      </c>
      <c r="O241">
        <f>+bma!O241/data!$AJ241</f>
        <v>21.26252563882095</v>
      </c>
      <c r="P241">
        <f>+bma!P241/data!$AJ241</f>
        <v>21.26252563882095</v>
      </c>
      <c r="Q241">
        <f>+bma!Q241/data!$AJ241</f>
        <v>161.73101986882</v>
      </c>
      <c r="R241">
        <f>+bma!R241/data!$AJ241</f>
        <v>87.056115536678348</v>
      </c>
      <c r="S241">
        <f>+bma!S241/data!$AJ241</f>
        <v>0</v>
      </c>
    </row>
    <row r="242" spans="1:19" x14ac:dyDescent="0.25">
      <c r="A242">
        <f>+data!AH242</f>
        <v>-1.575</v>
      </c>
      <c r="B242">
        <f>+data!AL242</f>
        <v>21.435499177765841</v>
      </c>
      <c r="C242">
        <f>+bma!C242/data!$AJ242</f>
        <v>21.435499177765841</v>
      </c>
      <c r="D242">
        <f>+bma!D242/data!$AJ242</f>
        <v>0</v>
      </c>
      <c r="E242">
        <f>+bma!E242/data!$AJ242</f>
        <v>0</v>
      </c>
      <c r="F242">
        <f>+bma!F242/data!$AJ242</f>
        <v>0</v>
      </c>
      <c r="G242">
        <f>+bma!G242/data!$AJ242</f>
        <v>21.435499177765841</v>
      </c>
      <c r="H242">
        <f>+bma!H242/data!$AJ242</f>
        <v>21.435499177765841</v>
      </c>
      <c r="I242">
        <f>+bma!I242/data!$AJ242</f>
        <v>21.435499177765841</v>
      </c>
      <c r="J242">
        <f>+bma!L242/data!$AJ242</f>
        <v>0</v>
      </c>
      <c r="K242">
        <f>+bma!M242/data!$AJ242</f>
        <v>21.435499177765841</v>
      </c>
      <c r="L242">
        <f>+bma!J242/data!$AJ242</f>
        <v>0</v>
      </c>
      <c r="M242">
        <f>+bma!K242/data!$AJ242</f>
        <v>0</v>
      </c>
      <c r="N242">
        <f>+bma!N242/data!$AJ242</f>
        <v>0</v>
      </c>
      <c r="O242">
        <f>+bma!O242/data!$AJ242</f>
        <v>0</v>
      </c>
      <c r="P242">
        <f>+bma!P242/data!$AJ242</f>
        <v>21.435499177765841</v>
      </c>
      <c r="Q242">
        <f>+bma!Q242/data!$AJ242</f>
        <v>163.04672371976795</v>
      </c>
      <c r="R242">
        <f>+bma!R242/data!$AJ242</f>
        <v>87.764328880989666</v>
      </c>
      <c r="S242">
        <f>+bma!S242/data!$AJ242</f>
        <v>0</v>
      </c>
    </row>
    <row r="243" spans="1:19" x14ac:dyDescent="0.25">
      <c r="A243">
        <f>+data!AH243</f>
        <v>0.27286027798098028</v>
      </c>
      <c r="B243">
        <f>+data!AL243</f>
        <v>21.379299631449573</v>
      </c>
      <c r="C243">
        <f>+bma!C243/data!$AJ243</f>
        <v>21.379299631449573</v>
      </c>
      <c r="D243">
        <f>+bma!D243/data!$AJ243</f>
        <v>0</v>
      </c>
      <c r="E243">
        <f>+bma!E243/data!$AJ243</f>
        <v>0</v>
      </c>
      <c r="F243">
        <f>+bma!F243/data!$AJ243</f>
        <v>0</v>
      </c>
      <c r="G243">
        <f>+bma!G243/data!$AJ243</f>
        <v>21.379299631449573</v>
      </c>
      <c r="H243">
        <f>+bma!H243/data!$AJ243</f>
        <v>21.379299631449573</v>
      </c>
      <c r="I243">
        <f>+bma!I243/data!$AJ243</f>
        <v>21.379299631449573</v>
      </c>
      <c r="J243">
        <f>+bma!L243/data!$AJ243</f>
        <v>0</v>
      </c>
      <c r="K243">
        <f>+bma!M243/data!$AJ243</f>
        <v>21.379299631449573</v>
      </c>
      <c r="L243">
        <f>+bma!J243/data!$AJ243</f>
        <v>0</v>
      </c>
      <c r="M243">
        <f>+bma!K243/data!$AJ243</f>
        <v>0</v>
      </c>
      <c r="N243">
        <f>+bma!N243/data!$AJ243</f>
        <v>21.379299631449573</v>
      </c>
      <c r="O243">
        <f>+bma!O243/data!$AJ243</f>
        <v>0</v>
      </c>
      <c r="P243">
        <f>+bma!P243/data!$AJ243</f>
        <v>21.379299631449573</v>
      </c>
      <c r="Q243">
        <f>+bma!Q243/data!$AJ243</f>
        <v>162.61924816506246</v>
      </c>
      <c r="R243">
        <f>+bma!R243/data!$AJ243</f>
        <v>87.534228549527398</v>
      </c>
      <c r="S243">
        <f>+bma!S243/data!$AJ243</f>
        <v>0</v>
      </c>
    </row>
    <row r="244" spans="1:19" x14ac:dyDescent="0.25">
      <c r="A244">
        <f>+data!AH244</f>
        <v>1.2313117066290549</v>
      </c>
      <c r="B244">
        <f>+data!AL244</f>
        <v>21.41298971463074</v>
      </c>
      <c r="C244">
        <f>+bma!C244/data!$AJ244</f>
        <v>21.41298971463074</v>
      </c>
      <c r="D244">
        <f>+bma!D244/data!$AJ244</f>
        <v>0</v>
      </c>
      <c r="E244">
        <f>+bma!E244/data!$AJ244</f>
        <v>0</v>
      </c>
      <c r="F244">
        <f>+bma!F244/data!$AJ244</f>
        <v>0</v>
      </c>
      <c r="G244">
        <f>+bma!G244/data!$AJ244</f>
        <v>21.41298971463074</v>
      </c>
      <c r="H244">
        <f>+bma!H244/data!$AJ244</f>
        <v>21.41298971463074</v>
      </c>
      <c r="I244">
        <f>+bma!I244/data!$AJ244</f>
        <v>21.41298971463074</v>
      </c>
      <c r="J244">
        <f>+bma!L244/data!$AJ244</f>
        <v>0</v>
      </c>
      <c r="K244">
        <f>+bma!M244/data!$AJ244</f>
        <v>21.41298971463074</v>
      </c>
      <c r="L244">
        <f>+bma!J244/data!$AJ244</f>
        <v>0</v>
      </c>
      <c r="M244">
        <f>+bma!K244/data!$AJ244</f>
        <v>0</v>
      </c>
      <c r="N244">
        <f>+bma!N244/data!$AJ244</f>
        <v>0</v>
      </c>
      <c r="O244">
        <f>+bma!O244/data!$AJ244</f>
        <v>21.41298971463074</v>
      </c>
      <c r="P244">
        <f>+bma!P244/data!$AJ244</f>
        <v>21.41298971463074</v>
      </c>
      <c r="Q244">
        <f>+bma!Q244/data!$AJ244</f>
        <v>162.87550800949069</v>
      </c>
      <c r="R244">
        <f>+bma!R244/data!$AJ244</f>
        <v>87.67216737314979</v>
      </c>
      <c r="S244">
        <f>+bma!S244/data!$AJ244</f>
        <v>0</v>
      </c>
    </row>
    <row r="245" spans="1:19" x14ac:dyDescent="0.25">
      <c r="A245">
        <f>+data!AH245</f>
        <v>-4.0067415730337075</v>
      </c>
      <c r="B245">
        <f>+data!AL245</f>
        <v>5.8355786373826399</v>
      </c>
      <c r="C245">
        <f>+bma!C245/data!$AJ245</f>
        <v>0</v>
      </c>
      <c r="D245">
        <f>+bma!D245/data!$AJ245</f>
        <v>5.8355786373826399</v>
      </c>
      <c r="E245">
        <f>+bma!E245/data!$AJ245</f>
        <v>0</v>
      </c>
      <c r="F245">
        <f>+bma!F245/data!$AJ245</f>
        <v>0</v>
      </c>
      <c r="G245">
        <f>+bma!G245/data!$AJ245</f>
        <v>5.8355786373826399</v>
      </c>
      <c r="H245">
        <f>+bma!H245/data!$AJ245</f>
        <v>0</v>
      </c>
      <c r="I245">
        <f>+bma!I245/data!$AJ245</f>
        <v>5.8355786373826399</v>
      </c>
      <c r="J245">
        <f>+bma!L245/data!$AJ245</f>
        <v>0</v>
      </c>
      <c r="K245">
        <f>+bma!M245/data!$AJ245</f>
        <v>0</v>
      </c>
      <c r="L245">
        <f>+bma!J245/data!$AJ245</f>
        <v>0</v>
      </c>
      <c r="M245">
        <f>+bma!K245/data!$AJ245</f>
        <v>0</v>
      </c>
      <c r="N245">
        <f>+bma!N245/data!$AJ245</f>
        <v>5.8355786373826399</v>
      </c>
      <c r="O245">
        <f>+bma!O245/data!$AJ245</f>
        <v>0</v>
      </c>
      <c r="P245">
        <f>+bma!P245/data!$AJ245</f>
        <v>5.8355786373826399</v>
      </c>
      <c r="Q245">
        <f>+bma!Q245/data!$AJ245</f>
        <v>44.282261427937982</v>
      </c>
      <c r="R245">
        <f>+bma!R245/data!$AJ245</f>
        <v>23.695034429109882</v>
      </c>
      <c r="S245">
        <f>+bma!S245/data!$AJ245</f>
        <v>5.8355786373826399</v>
      </c>
    </row>
    <row r="246" spans="1:19" x14ac:dyDescent="0.25">
      <c r="A246">
        <f>+data!AH246</f>
        <v>-1.3246753246753245</v>
      </c>
      <c r="B246">
        <f>+data!AL246</f>
        <v>4.4446332487398417</v>
      </c>
      <c r="C246">
        <f>+bma!C246/data!$AJ246</f>
        <v>0</v>
      </c>
      <c r="D246">
        <f>+bma!D246/data!$AJ246</f>
        <v>4.4446332487398417</v>
      </c>
      <c r="E246">
        <f>+bma!E246/data!$AJ246</f>
        <v>0</v>
      </c>
      <c r="F246">
        <f>+bma!F246/data!$AJ246</f>
        <v>0</v>
      </c>
      <c r="G246">
        <f>+bma!G246/data!$AJ246</f>
        <v>4.4446332487398417</v>
      </c>
      <c r="H246">
        <f>+bma!H246/data!$AJ246</f>
        <v>0</v>
      </c>
      <c r="I246">
        <f>+bma!I246/data!$AJ246</f>
        <v>4.4446332487398417</v>
      </c>
      <c r="J246">
        <f>+bma!L246/data!$AJ246</f>
        <v>0</v>
      </c>
      <c r="K246">
        <f>+bma!M246/data!$AJ246</f>
        <v>0</v>
      </c>
      <c r="L246">
        <f>+bma!J246/data!$AJ246</f>
        <v>0</v>
      </c>
      <c r="M246">
        <f>+bma!K246/data!$AJ246</f>
        <v>0</v>
      </c>
      <c r="N246">
        <f>+bma!N246/data!$AJ246</f>
        <v>0</v>
      </c>
      <c r="O246">
        <f>+bma!O246/data!$AJ246</f>
        <v>4.4446332487398417</v>
      </c>
      <c r="P246">
        <f>+bma!P246/data!$AJ246</f>
        <v>4.4446332487398417</v>
      </c>
      <c r="Q246">
        <f>+bma!Q246/data!$AJ246</f>
        <v>33.72731715261051</v>
      </c>
      <c r="R246">
        <f>+bma!R246/data!$AJ246</f>
        <v>18.047179962412951</v>
      </c>
      <c r="S246">
        <f>+bma!S246/data!$AJ246</f>
        <v>4.4446332487398417</v>
      </c>
    </row>
    <row r="247" spans="1:19" x14ac:dyDescent="0.25">
      <c r="A247">
        <f>+data!AH247</f>
        <v>4.020124638067597</v>
      </c>
      <c r="B247">
        <f>+data!AL247</f>
        <v>6.4931812007365179</v>
      </c>
      <c r="C247">
        <f>+bma!C247/data!$AJ247</f>
        <v>0</v>
      </c>
      <c r="D247">
        <f>+bma!D247/data!$AJ247</f>
        <v>0</v>
      </c>
      <c r="E247">
        <f>+bma!E247/data!$AJ247</f>
        <v>6.4931812007365179</v>
      </c>
      <c r="F247">
        <f>+bma!F247/data!$AJ247</f>
        <v>0</v>
      </c>
      <c r="G247">
        <f>+bma!G247/data!$AJ247</f>
        <v>6.4931812007365179</v>
      </c>
      <c r="H247">
        <f>+bma!H247/data!$AJ247</f>
        <v>6.4931812007365179</v>
      </c>
      <c r="I247">
        <f>+bma!I247/data!$AJ247</f>
        <v>0</v>
      </c>
      <c r="J247">
        <f>+bma!L247/data!$AJ247</f>
        <v>0</v>
      </c>
      <c r="K247">
        <f>+bma!M247/data!$AJ247</f>
        <v>0</v>
      </c>
      <c r="L247">
        <f>+bma!J247/data!$AJ247</f>
        <v>0</v>
      </c>
      <c r="M247">
        <f>+bma!K247/data!$AJ247</f>
        <v>0</v>
      </c>
      <c r="N247">
        <f>+bma!N247/data!$AJ247</f>
        <v>0</v>
      </c>
      <c r="O247">
        <f>+bma!O247/data!$AJ247</f>
        <v>6.4931812007365179</v>
      </c>
      <c r="P247">
        <f>+bma!P247/data!$AJ247</f>
        <v>6.4931812007365179</v>
      </c>
      <c r="Q247">
        <f>+bma!Q247/data!$AJ247</f>
        <v>49.321490150862509</v>
      </c>
      <c r="R247">
        <f>+bma!R247/data!$AJ247</f>
        <v>28.533953634395388</v>
      </c>
      <c r="S247">
        <f>+bma!S247/data!$AJ247</f>
        <v>6.4931812007365179</v>
      </c>
    </row>
    <row r="248" spans="1:19" x14ac:dyDescent="0.25">
      <c r="A248">
        <f>+data!AH248</f>
        <v>2.4207869980151719</v>
      </c>
      <c r="B248">
        <f>+data!AL248</f>
        <v>5.6444848914457468</v>
      </c>
      <c r="C248">
        <f>+bma!C248/data!$AJ248</f>
        <v>0</v>
      </c>
      <c r="D248">
        <f>+bma!D248/data!$AJ248</f>
        <v>0</v>
      </c>
      <c r="E248">
        <f>+bma!E248/data!$AJ248</f>
        <v>5.6444848914457468</v>
      </c>
      <c r="F248">
        <f>+bma!F248/data!$AJ248</f>
        <v>0</v>
      </c>
      <c r="G248">
        <f>+bma!G248/data!$AJ248</f>
        <v>5.6444848914457468</v>
      </c>
      <c r="H248">
        <f>+bma!H248/data!$AJ248</f>
        <v>5.6444848914457468</v>
      </c>
      <c r="I248">
        <f>+bma!I248/data!$AJ248</f>
        <v>0</v>
      </c>
      <c r="J248">
        <f>+bma!L248/data!$AJ248</f>
        <v>0</v>
      </c>
      <c r="K248">
        <f>+bma!M248/data!$AJ248</f>
        <v>0</v>
      </c>
      <c r="L248">
        <f>+bma!J248/data!$AJ248</f>
        <v>0</v>
      </c>
      <c r="M248">
        <f>+bma!K248/data!$AJ248</f>
        <v>0</v>
      </c>
      <c r="N248">
        <f>+bma!N248/data!$AJ248</f>
        <v>0</v>
      </c>
      <c r="O248">
        <f>+bma!O248/data!$AJ248</f>
        <v>5.6444848914457468</v>
      </c>
      <c r="P248">
        <f>+bma!P248/data!$AJ248</f>
        <v>5.6444848914457468</v>
      </c>
      <c r="Q248">
        <f>+bma!Q248/data!$AJ248</f>
        <v>42.874886342083833</v>
      </c>
      <c r="R248">
        <f>+bma!R248/data!$AJ248</f>
        <v>24.804400986728872</v>
      </c>
      <c r="S248">
        <f>+bma!S248/data!$AJ248</f>
        <v>5.6444848914457468</v>
      </c>
    </row>
    <row r="249" spans="1:19" x14ac:dyDescent="0.25">
      <c r="A249">
        <f>+data!AH249</f>
        <v>2.5531943030190827</v>
      </c>
      <c r="B249">
        <f>+data!AL249</f>
        <v>5.7025258569312154</v>
      </c>
      <c r="C249">
        <f>+bma!C249/data!$AJ249</f>
        <v>0</v>
      </c>
      <c r="D249">
        <f>+bma!D249/data!$AJ249</f>
        <v>0</v>
      </c>
      <c r="E249">
        <f>+bma!E249/data!$AJ249</f>
        <v>5.7025258569312154</v>
      </c>
      <c r="F249">
        <f>+bma!F249/data!$AJ249</f>
        <v>0</v>
      </c>
      <c r="G249">
        <f>+bma!G249/data!$AJ249</f>
        <v>5.7025258569312154</v>
      </c>
      <c r="H249">
        <f>+bma!H249/data!$AJ249</f>
        <v>5.7025258569312154</v>
      </c>
      <c r="I249">
        <f>+bma!I249/data!$AJ249</f>
        <v>0</v>
      </c>
      <c r="J249">
        <f>+bma!L249/data!$AJ249</f>
        <v>0</v>
      </c>
      <c r="K249">
        <f>+bma!M249/data!$AJ249</f>
        <v>0</v>
      </c>
      <c r="L249">
        <f>+bma!J249/data!$AJ249</f>
        <v>0</v>
      </c>
      <c r="M249">
        <f>+bma!K249/data!$AJ249</f>
        <v>0</v>
      </c>
      <c r="N249">
        <f>+bma!N249/data!$AJ249</f>
        <v>0</v>
      </c>
      <c r="O249">
        <f>+bma!O249/data!$AJ249</f>
        <v>5.7025258569312154</v>
      </c>
      <c r="P249">
        <f>+bma!P249/data!$AJ249</f>
        <v>5.7025258569312154</v>
      </c>
      <c r="Q249">
        <f>+bma!Q249/data!$AJ249</f>
        <v>43.315759131405244</v>
      </c>
      <c r="R249">
        <f>+bma!R249/data!$AJ249</f>
        <v>25.05945904946552</v>
      </c>
      <c r="S249">
        <f>+bma!S249/data!$AJ249</f>
        <v>5.7025258569312154</v>
      </c>
    </row>
    <row r="250" spans="1:19" x14ac:dyDescent="0.25">
      <c r="A250">
        <f>+data!AH250</f>
        <v>-1.65</v>
      </c>
      <c r="B250">
        <f>+data!AL250</f>
        <v>4.9721725633771001</v>
      </c>
      <c r="C250">
        <f>+bma!C250/data!$AJ250</f>
        <v>0</v>
      </c>
      <c r="D250">
        <f>+bma!D250/data!$AJ250</f>
        <v>4.9721725633771001</v>
      </c>
      <c r="E250">
        <f>+bma!E250/data!$AJ250</f>
        <v>0</v>
      </c>
      <c r="F250">
        <f>+bma!F250/data!$AJ250</f>
        <v>0</v>
      </c>
      <c r="G250">
        <f>+bma!G250/data!$AJ250</f>
        <v>0</v>
      </c>
      <c r="H250">
        <f>+bma!H250/data!$AJ250</f>
        <v>0</v>
      </c>
      <c r="I250">
        <f>+bma!I250/data!$AJ250</f>
        <v>4.9721725633771001</v>
      </c>
      <c r="J250">
        <f>+bma!L250/data!$AJ250</f>
        <v>0</v>
      </c>
      <c r="K250">
        <f>+bma!M250/data!$AJ250</f>
        <v>0</v>
      </c>
      <c r="L250">
        <f>+bma!J250/data!$AJ250</f>
        <v>0</v>
      </c>
      <c r="M250">
        <f>+bma!K250/data!$AJ250</f>
        <v>0</v>
      </c>
      <c r="N250">
        <f>+bma!N250/data!$AJ250</f>
        <v>0</v>
      </c>
      <c r="O250">
        <f>+bma!O250/data!$AJ250</f>
        <v>4.9721725633771001</v>
      </c>
      <c r="P250">
        <f>+bma!P250/data!$AJ250</f>
        <v>4.9721725633771001</v>
      </c>
      <c r="Q250">
        <f>+bma!Q250/data!$AJ250</f>
        <v>37.725414611836705</v>
      </c>
      <c r="R250">
        <f>+bma!R250/data!$AJ250</f>
        <v>6.8928929915742927</v>
      </c>
      <c r="S250">
        <f>+bma!S250/data!$AJ250</f>
        <v>4.9721725633771001</v>
      </c>
    </row>
    <row r="251" spans="1:19" x14ac:dyDescent="0.25">
      <c r="A251">
        <f>+data!AH251</f>
        <v>-2.5299999999999998</v>
      </c>
      <c r="B251">
        <f>+data!AL251</f>
        <v>4.1714386007707223</v>
      </c>
      <c r="C251">
        <f>+bma!C251/data!$AJ251</f>
        <v>0</v>
      </c>
      <c r="D251">
        <f>+bma!D251/data!$AJ251</f>
        <v>4.1714386007707223</v>
      </c>
      <c r="E251">
        <f>+bma!E251/data!$AJ251</f>
        <v>0</v>
      </c>
      <c r="F251">
        <f>+bma!F251/data!$AJ251</f>
        <v>0</v>
      </c>
      <c r="G251">
        <f>+bma!G251/data!$AJ251</f>
        <v>0</v>
      </c>
      <c r="H251">
        <f>+bma!H251/data!$AJ251</f>
        <v>0</v>
      </c>
      <c r="I251">
        <f>+bma!I251/data!$AJ251</f>
        <v>4.1714386007707223</v>
      </c>
      <c r="J251">
        <f>+bma!L251/data!$AJ251</f>
        <v>0</v>
      </c>
      <c r="K251">
        <f>+bma!M251/data!$AJ251</f>
        <v>0</v>
      </c>
      <c r="L251">
        <f>+bma!J251/data!$AJ251</f>
        <v>0</v>
      </c>
      <c r="M251">
        <f>+bma!K251/data!$AJ251</f>
        <v>0</v>
      </c>
      <c r="N251">
        <f>+bma!N251/data!$AJ251</f>
        <v>0</v>
      </c>
      <c r="O251">
        <f>+bma!O251/data!$AJ251</f>
        <v>4.1714386007707223</v>
      </c>
      <c r="P251">
        <f>+bma!P251/data!$AJ251</f>
        <v>4.1714386007707223</v>
      </c>
      <c r="Q251">
        <f>+bma!Q251/data!$AJ251</f>
        <v>31.649997810013712</v>
      </c>
      <c r="R251">
        <f>+bma!R251/data!$AJ251</f>
        <v>5.7828403036168474</v>
      </c>
      <c r="S251">
        <f>+bma!S251/data!$AJ251</f>
        <v>4.1714386007707223</v>
      </c>
    </row>
    <row r="252" spans="1:19" x14ac:dyDescent="0.25">
      <c r="A252">
        <f>+data!AH252</f>
        <v>-0.43</v>
      </c>
      <c r="B252">
        <f>+data!AL252</f>
        <v>3.1913790122766681</v>
      </c>
      <c r="C252">
        <f>+bma!C252/data!$AJ252</f>
        <v>0</v>
      </c>
      <c r="D252">
        <f>+bma!D252/data!$AJ252</f>
        <v>3.1913790122766681</v>
      </c>
      <c r="E252">
        <f>+bma!E252/data!$AJ252</f>
        <v>0</v>
      </c>
      <c r="F252">
        <f>+bma!F252/data!$AJ252</f>
        <v>0</v>
      </c>
      <c r="G252">
        <f>+bma!G252/data!$AJ252</f>
        <v>0</v>
      </c>
      <c r="H252">
        <f>+bma!H252/data!$AJ252</f>
        <v>0</v>
      </c>
      <c r="I252">
        <f>+bma!I252/data!$AJ252</f>
        <v>3.1913790122766681</v>
      </c>
      <c r="J252">
        <f>+bma!L252/data!$AJ252</f>
        <v>0</v>
      </c>
      <c r="K252">
        <f>+bma!M252/data!$AJ252</f>
        <v>0</v>
      </c>
      <c r="L252">
        <f>+bma!J252/data!$AJ252</f>
        <v>0</v>
      </c>
      <c r="M252">
        <f>+bma!K252/data!$AJ252</f>
        <v>0</v>
      </c>
      <c r="N252">
        <f>+bma!N252/data!$AJ252</f>
        <v>0</v>
      </c>
      <c r="O252">
        <f>+bma!O252/data!$AJ252</f>
        <v>3.1913790122766681</v>
      </c>
      <c r="P252">
        <f>+bma!P252/data!$AJ252</f>
        <v>3.1913790122766681</v>
      </c>
      <c r="Q252">
        <f>+bma!Q252/data!$AJ252</f>
        <v>24.213981893636888</v>
      </c>
      <c r="R252">
        <f>+bma!R252/data!$AJ252</f>
        <v>4.4241895764450714</v>
      </c>
      <c r="S252">
        <f>+bma!S252/data!$AJ252</f>
        <v>3.1913790122766681</v>
      </c>
    </row>
    <row r="253" spans="1:19" x14ac:dyDescent="0.25">
      <c r="A253">
        <f>+data!AH253</f>
        <v>-0.99</v>
      </c>
      <c r="B253">
        <f>+data!AL253</f>
        <v>2.9966814979239955</v>
      </c>
      <c r="C253">
        <f>+bma!C253/data!$AJ253</f>
        <v>0</v>
      </c>
      <c r="D253">
        <f>+bma!D253/data!$AJ253</f>
        <v>2.9966814979239955</v>
      </c>
      <c r="E253">
        <f>+bma!E253/data!$AJ253</f>
        <v>0</v>
      </c>
      <c r="F253">
        <f>+bma!F253/data!$AJ253</f>
        <v>0</v>
      </c>
      <c r="G253">
        <f>+bma!G253/data!$AJ253</f>
        <v>0</v>
      </c>
      <c r="H253">
        <f>+bma!H253/data!$AJ253</f>
        <v>0</v>
      </c>
      <c r="I253">
        <f>+bma!I253/data!$AJ253</f>
        <v>2.9966814979239955</v>
      </c>
      <c r="J253">
        <f>+bma!L253/data!$AJ253</f>
        <v>0</v>
      </c>
      <c r="K253">
        <f>+bma!M253/data!$AJ253</f>
        <v>0</v>
      </c>
      <c r="L253">
        <f>+bma!J253/data!$AJ253</f>
        <v>0</v>
      </c>
      <c r="M253">
        <f>+bma!K253/data!$AJ253</f>
        <v>0</v>
      </c>
      <c r="N253">
        <f>+bma!N253/data!$AJ253</f>
        <v>0</v>
      </c>
      <c r="O253">
        <f>+bma!O253/data!$AJ253</f>
        <v>2.9966814979239955</v>
      </c>
      <c r="P253">
        <f>+bma!P253/data!$AJ253</f>
        <v>2.9966814979239955</v>
      </c>
      <c r="Q253">
        <f>+bma!Q253/data!$AJ253</f>
        <v>22.73675149601371</v>
      </c>
      <c r="R253">
        <f>+bma!R253/data!$AJ253</f>
        <v>4.1542815804830475</v>
      </c>
      <c r="S253">
        <f>+bma!S253/data!$AJ253</f>
        <v>2.9966814979239955</v>
      </c>
    </row>
    <row r="254" spans="1:19" x14ac:dyDescent="0.25">
      <c r="A254">
        <f>+data!AH254</f>
        <v>-1.8590000000000098</v>
      </c>
      <c r="B254">
        <f>+data!AL254</f>
        <v>5.1435280693314036</v>
      </c>
      <c r="C254">
        <f>+bma!C254/data!$AJ254</f>
        <v>0</v>
      </c>
      <c r="D254">
        <f>+bma!D254/data!$AJ254</f>
        <v>5.1435280693314036</v>
      </c>
      <c r="E254">
        <f>+bma!E254/data!$AJ254</f>
        <v>0</v>
      </c>
      <c r="F254">
        <f>+bma!F254/data!$AJ254</f>
        <v>0</v>
      </c>
      <c r="G254">
        <f>+bma!G254/data!$AJ254</f>
        <v>5.1435280693314036</v>
      </c>
      <c r="H254">
        <f>+bma!H254/data!$AJ254</f>
        <v>5.1435280693314036</v>
      </c>
      <c r="I254">
        <f>+bma!I254/data!$AJ254</f>
        <v>5.1435280693314036</v>
      </c>
      <c r="J254">
        <f>+bma!L254/data!$AJ254</f>
        <v>0</v>
      </c>
      <c r="K254">
        <f>+bma!M254/data!$AJ254</f>
        <v>0</v>
      </c>
      <c r="L254">
        <f>+bma!J254/data!$AJ254</f>
        <v>0</v>
      </c>
      <c r="M254">
        <f>+bma!K254/data!$AJ254</f>
        <v>0</v>
      </c>
      <c r="N254">
        <f>+bma!N254/data!$AJ254</f>
        <v>5.1435280693314036</v>
      </c>
      <c r="O254">
        <f>+bma!O254/data!$AJ254</f>
        <v>0</v>
      </c>
      <c r="P254">
        <f>+bma!P254/data!$AJ254</f>
        <v>5.1435280693314036</v>
      </c>
      <c r="Q254">
        <f>+bma!Q254/data!$AJ254</f>
        <v>39.085155446042407</v>
      </c>
      <c r="R254">
        <f>+bma!R254/data!$AJ254</f>
        <v>17.139289950266452</v>
      </c>
      <c r="S254">
        <f>+bma!S254/data!$AJ254</f>
        <v>5.1435280693314036</v>
      </c>
    </row>
    <row r="255" spans="1:19" x14ac:dyDescent="0.25">
      <c r="A255">
        <f>+data!AH255</f>
        <v>-2.0400000000000098</v>
      </c>
      <c r="B255">
        <f>+data!AL255</f>
        <v>5.2116791919687495</v>
      </c>
      <c r="C255">
        <f>+bma!C255/data!$AJ255</f>
        <v>0</v>
      </c>
      <c r="D255">
        <f>+bma!D255/data!$AJ255</f>
        <v>5.2116791919687495</v>
      </c>
      <c r="E255">
        <f>+bma!E255/data!$AJ255</f>
        <v>0</v>
      </c>
      <c r="F255">
        <f>+bma!F255/data!$AJ255</f>
        <v>5.2116791919687495</v>
      </c>
      <c r="G255">
        <f>+bma!G255/data!$AJ255</f>
        <v>0</v>
      </c>
      <c r="H255">
        <f>+bma!H255/data!$AJ255</f>
        <v>5.2116791919687495</v>
      </c>
      <c r="I255">
        <f>+bma!I255/data!$AJ255</f>
        <v>5.2116791919687495</v>
      </c>
      <c r="J255">
        <f>+bma!L255/data!$AJ255</f>
        <v>0</v>
      </c>
      <c r="K255">
        <f>+bma!M255/data!$AJ255</f>
        <v>0</v>
      </c>
      <c r="L255">
        <f>+bma!J255/data!$AJ255</f>
        <v>0</v>
      </c>
      <c r="M255">
        <f>+bma!K255/data!$AJ255</f>
        <v>0</v>
      </c>
      <c r="N255">
        <f>+bma!N255/data!$AJ255</f>
        <v>5.2116791919687495</v>
      </c>
      <c r="O255">
        <f>+bma!O255/data!$AJ255</f>
        <v>0</v>
      </c>
      <c r="P255">
        <f>+bma!P255/data!$AJ255</f>
        <v>5.2116791919687495</v>
      </c>
      <c r="Q255">
        <f>+bma!Q255/data!$AJ255</f>
        <v>39.603029011851334</v>
      </c>
      <c r="R255">
        <f>+bma!R255/data!$AJ255</f>
        <v>17.366383461874229</v>
      </c>
      <c r="S255">
        <f>+bma!S255/data!$AJ255</f>
        <v>5.2116791919687495</v>
      </c>
    </row>
    <row r="256" spans="1:19" x14ac:dyDescent="0.25">
      <c r="A256">
        <f>+data!AH256</f>
        <v>-2.6950000000000016</v>
      </c>
      <c r="B256">
        <f>+data!AL256</f>
        <v>5.5011839634754995</v>
      </c>
      <c r="C256">
        <f>+bma!C256/data!$AJ256</f>
        <v>0</v>
      </c>
      <c r="D256">
        <f>+bma!D256/data!$AJ256</f>
        <v>5.5011839634754995</v>
      </c>
      <c r="E256">
        <f>+bma!E256/data!$AJ256</f>
        <v>0</v>
      </c>
      <c r="F256">
        <f>+bma!F256/data!$AJ256</f>
        <v>0</v>
      </c>
      <c r="G256">
        <f>+bma!G256/data!$AJ256</f>
        <v>0</v>
      </c>
      <c r="H256">
        <f>+bma!H256/data!$AJ256</f>
        <v>5.5011839634754995</v>
      </c>
      <c r="I256">
        <f>+bma!I256/data!$AJ256</f>
        <v>5.5011839634754995</v>
      </c>
      <c r="J256">
        <f>+bma!L256/data!$AJ256</f>
        <v>0</v>
      </c>
      <c r="K256">
        <f>+bma!M256/data!$AJ256</f>
        <v>0</v>
      </c>
      <c r="L256">
        <f>+bma!J256/data!$AJ256</f>
        <v>0</v>
      </c>
      <c r="M256">
        <f>+bma!K256/data!$AJ256</f>
        <v>0</v>
      </c>
      <c r="N256">
        <f>+bma!N256/data!$AJ256</f>
        <v>5.5011839634754995</v>
      </c>
      <c r="O256">
        <f>+bma!O256/data!$AJ256</f>
        <v>0</v>
      </c>
      <c r="P256">
        <f>+bma!P256/data!$AJ256</f>
        <v>5.5011839634754995</v>
      </c>
      <c r="Q256">
        <f>+bma!Q256/data!$AJ256</f>
        <v>41.802946820053975</v>
      </c>
      <c r="R256">
        <f>+bma!R256/data!$AJ256</f>
        <v>18.331072709012876</v>
      </c>
      <c r="S256">
        <f>+bma!S256/data!$AJ256</f>
        <v>5.5011839634754995</v>
      </c>
    </row>
    <row r="257" spans="1:19" x14ac:dyDescent="0.25">
      <c r="A257">
        <f>+data!AH257</f>
        <v>-0.11</v>
      </c>
      <c r="B257">
        <f>+data!AL257</f>
        <v>5.0012098536254204</v>
      </c>
      <c r="C257">
        <f>+bma!C257/data!$AJ257</f>
        <v>5.0012098536254204</v>
      </c>
      <c r="D257">
        <f>+bma!D257/data!$AJ257</f>
        <v>0</v>
      </c>
      <c r="E257">
        <f>+bma!E257/data!$AJ257</f>
        <v>0</v>
      </c>
      <c r="F257">
        <f>+bma!F257/data!$AJ257</f>
        <v>0</v>
      </c>
      <c r="G257">
        <f>+bma!G257/data!$AJ257</f>
        <v>5.0012098536254204</v>
      </c>
      <c r="H257">
        <f>+bma!H257/data!$AJ257</f>
        <v>0</v>
      </c>
      <c r="I257">
        <f>+bma!I257/data!$AJ257</f>
        <v>5.0012098536254204</v>
      </c>
      <c r="J257">
        <f>+bma!L257/data!$AJ257</f>
        <v>0</v>
      </c>
      <c r="K257">
        <f>+bma!M257/data!$AJ257</f>
        <v>0</v>
      </c>
      <c r="L257">
        <f>+bma!J257/data!$AJ257</f>
        <v>5.0012098536254204</v>
      </c>
      <c r="M257">
        <f>+bma!K257/data!$AJ257</f>
        <v>0</v>
      </c>
      <c r="N257">
        <f>+bma!N257/data!$AJ257</f>
        <v>0</v>
      </c>
      <c r="O257">
        <f>+bma!O257/data!$AJ257</f>
        <v>0</v>
      </c>
      <c r="P257">
        <f>+bma!P257/data!$AJ257</f>
        <v>0</v>
      </c>
      <c r="Q257">
        <f>+bma!Q257/data!$AJ257</f>
        <v>37.978577480829301</v>
      </c>
      <c r="R257">
        <f>+bma!R257/data!$AJ257</f>
        <v>16.098274368798378</v>
      </c>
      <c r="S257">
        <f>+bma!S257/data!$AJ257</f>
        <v>5.0012098536254204</v>
      </c>
    </row>
    <row r="258" spans="1:19" x14ac:dyDescent="0.25">
      <c r="A258">
        <f>+data!AH258</f>
        <v>-0.16</v>
      </c>
      <c r="B258">
        <f>+data!AL258</f>
        <v>5.0025593449753289</v>
      </c>
      <c r="C258">
        <f>+bma!C258/data!$AJ258</f>
        <v>5.0025593449753289</v>
      </c>
      <c r="D258">
        <f>+bma!D258/data!$AJ258</f>
        <v>0</v>
      </c>
      <c r="E258">
        <f>+bma!E258/data!$AJ258</f>
        <v>0</v>
      </c>
      <c r="F258">
        <f>+bma!F258/data!$AJ258</f>
        <v>5.0025593449753289</v>
      </c>
      <c r="G258">
        <f>+bma!G258/data!$AJ258</f>
        <v>0</v>
      </c>
      <c r="H258">
        <f>+bma!H258/data!$AJ258</f>
        <v>0</v>
      </c>
      <c r="I258">
        <f>+bma!I258/data!$AJ258</f>
        <v>5.0025593449753289</v>
      </c>
      <c r="J258">
        <f>+bma!L258/data!$AJ258</f>
        <v>0</v>
      </c>
      <c r="K258">
        <f>+bma!M258/data!$AJ258</f>
        <v>0</v>
      </c>
      <c r="L258">
        <f>+bma!J258/data!$AJ258</f>
        <v>5.0025593449753289</v>
      </c>
      <c r="M258">
        <f>+bma!K258/data!$AJ258</f>
        <v>0</v>
      </c>
      <c r="N258">
        <f>+bma!N258/data!$AJ258</f>
        <v>0</v>
      </c>
      <c r="O258">
        <f>+bma!O258/data!$AJ258</f>
        <v>0</v>
      </c>
      <c r="P258">
        <f>+bma!P258/data!$AJ258</f>
        <v>0</v>
      </c>
      <c r="Q258">
        <f>+bma!Q258/data!$AJ258</f>
        <v>37.988825353502563</v>
      </c>
      <c r="R258">
        <f>+bma!R258/data!$AJ258</f>
        <v>16.102618214116806</v>
      </c>
      <c r="S258">
        <f>+bma!S258/data!$AJ258</f>
        <v>5.0025593449753289</v>
      </c>
    </row>
    <row r="259" spans="1:19" x14ac:dyDescent="0.25">
      <c r="A259">
        <f>+data!AH259</f>
        <v>-0.25</v>
      </c>
      <c r="B259">
        <f>+data!AL259</f>
        <v>5.0062460986251969</v>
      </c>
      <c r="C259">
        <f>+bma!C259/data!$AJ259</f>
        <v>5.0062460986251969</v>
      </c>
      <c r="D259">
        <f>+bma!D259/data!$AJ259</f>
        <v>0</v>
      </c>
      <c r="E259">
        <f>+bma!E259/data!$AJ259</f>
        <v>0</v>
      </c>
      <c r="F259">
        <f>+bma!F259/data!$AJ259</f>
        <v>0</v>
      </c>
      <c r="G259">
        <f>+bma!G259/data!$AJ259</f>
        <v>0</v>
      </c>
      <c r="H259">
        <f>+bma!H259/data!$AJ259</f>
        <v>0</v>
      </c>
      <c r="I259">
        <f>+bma!I259/data!$AJ259</f>
        <v>5.0062460986251969</v>
      </c>
      <c r="J259">
        <f>+bma!L259/data!$AJ259</f>
        <v>0</v>
      </c>
      <c r="K259">
        <f>+bma!M259/data!$AJ259</f>
        <v>0</v>
      </c>
      <c r="L259">
        <f>+bma!J259/data!$AJ259</f>
        <v>5.0062460986251969</v>
      </c>
      <c r="M259">
        <f>+bma!K259/data!$AJ259</f>
        <v>0</v>
      </c>
      <c r="N259">
        <f>+bma!N259/data!$AJ259</f>
        <v>0</v>
      </c>
      <c r="O259">
        <f>+bma!O259/data!$AJ259</f>
        <v>0</v>
      </c>
      <c r="P259">
        <f>+bma!P259/data!$AJ259</f>
        <v>0</v>
      </c>
      <c r="Q259">
        <f>+bma!Q259/data!$AJ259</f>
        <v>38.016822110935713</v>
      </c>
      <c r="R259">
        <f>+bma!R259/data!$AJ259</f>
        <v>16.114485416958278</v>
      </c>
      <c r="S259">
        <f>+bma!S259/data!$AJ259</f>
        <v>5.0062460986251969</v>
      </c>
    </row>
    <row r="260" spans="1:19" x14ac:dyDescent="0.25">
      <c r="A260">
        <f>+data!AH260</f>
        <v>0.06</v>
      </c>
      <c r="B260">
        <f>+data!AL260</f>
        <v>5.000359987040933</v>
      </c>
      <c r="C260">
        <f>+bma!C260/data!$AJ260</f>
        <v>5.000359987040933</v>
      </c>
      <c r="D260">
        <f>+bma!D260/data!$AJ260</f>
        <v>0</v>
      </c>
      <c r="E260">
        <f>+bma!E260/data!$AJ260</f>
        <v>0</v>
      </c>
      <c r="F260">
        <f>+bma!F260/data!$AJ260</f>
        <v>0</v>
      </c>
      <c r="G260">
        <f>+bma!G260/data!$AJ260</f>
        <v>5.000359987040933</v>
      </c>
      <c r="H260">
        <f>+bma!H260/data!$AJ260</f>
        <v>0</v>
      </c>
      <c r="I260">
        <f>+bma!I260/data!$AJ260</f>
        <v>5.000359987040933</v>
      </c>
      <c r="J260">
        <f>+bma!L260/data!$AJ260</f>
        <v>0</v>
      </c>
      <c r="K260">
        <f>+bma!M260/data!$AJ260</f>
        <v>0</v>
      </c>
      <c r="L260">
        <f>+bma!J260/data!$AJ260</f>
        <v>0</v>
      </c>
      <c r="M260">
        <f>+bma!K260/data!$AJ260</f>
        <v>5.000359987040933</v>
      </c>
      <c r="N260">
        <f>+bma!N260/data!$AJ260</f>
        <v>0</v>
      </c>
      <c r="O260">
        <f>+bma!O260/data!$AJ260</f>
        <v>0</v>
      </c>
      <c r="P260">
        <f>+bma!P260/data!$AJ260</f>
        <v>0</v>
      </c>
      <c r="Q260">
        <f>+bma!Q260/data!$AJ260</f>
        <v>37.972123697670426</v>
      </c>
      <c r="R260">
        <f>+bma!R260/data!$AJ260</f>
        <v>16.09553875364637</v>
      </c>
      <c r="S260">
        <f>+bma!S260/data!$AJ260</f>
        <v>5.000359987040933</v>
      </c>
    </row>
    <row r="261" spans="1:19" x14ac:dyDescent="0.25">
      <c r="A261">
        <f>+data!AH261</f>
        <v>0.25</v>
      </c>
      <c r="B261">
        <f>+data!AL261</f>
        <v>5.0062460986251969</v>
      </c>
      <c r="C261">
        <f>+bma!C261/data!$AJ261</f>
        <v>5.0062460986251969</v>
      </c>
      <c r="D261">
        <f>+bma!D261/data!$AJ261</f>
        <v>0</v>
      </c>
      <c r="E261">
        <f>+bma!E261/data!$AJ261</f>
        <v>0</v>
      </c>
      <c r="F261">
        <f>+bma!F261/data!$AJ261</f>
        <v>5.0062460986251969</v>
      </c>
      <c r="G261">
        <f>+bma!G261/data!$AJ261</f>
        <v>0</v>
      </c>
      <c r="H261">
        <f>+bma!H261/data!$AJ261</f>
        <v>0</v>
      </c>
      <c r="I261">
        <f>+bma!I261/data!$AJ261</f>
        <v>5.0062460986251969</v>
      </c>
      <c r="J261">
        <f>+bma!L261/data!$AJ261</f>
        <v>0</v>
      </c>
      <c r="K261">
        <f>+bma!M261/data!$AJ261</f>
        <v>0</v>
      </c>
      <c r="L261">
        <f>+bma!J261/data!$AJ261</f>
        <v>0</v>
      </c>
      <c r="M261">
        <f>+bma!K261/data!$AJ261</f>
        <v>5.0062460986251969</v>
      </c>
      <c r="N261">
        <f>+bma!N261/data!$AJ261</f>
        <v>0</v>
      </c>
      <c r="O261">
        <f>+bma!O261/data!$AJ261</f>
        <v>0</v>
      </c>
      <c r="P261">
        <f>+bma!P261/data!$AJ261</f>
        <v>0</v>
      </c>
      <c r="Q261">
        <f>+bma!Q261/data!$AJ261</f>
        <v>38.016822110935713</v>
      </c>
      <c r="R261">
        <f>+bma!R261/data!$AJ261</f>
        <v>16.114485416958278</v>
      </c>
      <c r="S261">
        <f>+bma!S261/data!$AJ261</f>
        <v>5.0062460986251969</v>
      </c>
    </row>
    <row r="262" spans="1:19" x14ac:dyDescent="0.25">
      <c r="A262">
        <f>+data!AH262</f>
        <v>-0.18</v>
      </c>
      <c r="B262">
        <f>+data!AL262</f>
        <v>5.0032389509196928</v>
      </c>
      <c r="C262">
        <f>+bma!C262/data!$AJ262</f>
        <v>5.0032389509196928</v>
      </c>
      <c r="D262">
        <f>+bma!D262/data!$AJ262</f>
        <v>0</v>
      </c>
      <c r="E262">
        <f>+bma!E262/data!$AJ262</f>
        <v>0</v>
      </c>
      <c r="F262">
        <f>+bma!F262/data!$AJ262</f>
        <v>0</v>
      </c>
      <c r="G262">
        <f>+bma!G262/data!$AJ262</f>
        <v>0</v>
      </c>
      <c r="H262">
        <f>+bma!H262/data!$AJ262</f>
        <v>0</v>
      </c>
      <c r="I262">
        <f>+bma!I262/data!$AJ262</f>
        <v>5.0032389509196928</v>
      </c>
      <c r="J262">
        <f>+bma!L262/data!$AJ262</f>
        <v>0</v>
      </c>
      <c r="K262">
        <f>+bma!M262/data!$AJ262</f>
        <v>0</v>
      </c>
      <c r="L262">
        <f>+bma!J262/data!$AJ262</f>
        <v>0</v>
      </c>
      <c r="M262">
        <f>+bma!K262/data!$AJ262</f>
        <v>5.0032389509196928</v>
      </c>
      <c r="N262">
        <f>+bma!N262/data!$AJ262</f>
        <v>0</v>
      </c>
      <c r="O262">
        <f>+bma!O262/data!$AJ262</f>
        <v>0</v>
      </c>
      <c r="P262">
        <f>+bma!P262/data!$AJ262</f>
        <v>0</v>
      </c>
      <c r="Q262">
        <f>+bma!Q262/data!$AJ262</f>
        <v>37.993986198132141</v>
      </c>
      <c r="R262">
        <f>+bma!R262/data!$AJ262</f>
        <v>16.104805781380577</v>
      </c>
      <c r="S262">
        <f>+bma!S262/data!$AJ262</f>
        <v>5.0032389509196928</v>
      </c>
    </row>
    <row r="263" spans="1:19" x14ac:dyDescent="0.25">
      <c r="A263">
        <f>+data!AH263</f>
        <v>-2.34375</v>
      </c>
      <c r="B263">
        <f>+data!AL263</f>
        <v>27.631380060766059</v>
      </c>
      <c r="C263">
        <f>+bma!C263/data!$AJ263</f>
        <v>27.631380060766059</v>
      </c>
      <c r="D263">
        <f>+bma!D263/data!$AJ263</f>
        <v>0</v>
      </c>
      <c r="E263">
        <f>+bma!E263/data!$AJ263</f>
        <v>0</v>
      </c>
      <c r="F263">
        <f>+bma!F263/data!$AJ263</f>
        <v>0</v>
      </c>
      <c r="G263">
        <f>+bma!G263/data!$AJ263</f>
        <v>0</v>
      </c>
      <c r="H263">
        <f>+bma!H263/data!$AJ263</f>
        <v>0</v>
      </c>
      <c r="I263">
        <f>+bma!I263/data!$AJ263</f>
        <v>0</v>
      </c>
      <c r="J263">
        <f>+bma!L263/data!$AJ263</f>
        <v>0</v>
      </c>
      <c r="K263">
        <f>+bma!M263/data!$AJ263</f>
        <v>27.631380060766059</v>
      </c>
      <c r="L263">
        <f>+bma!J263/data!$AJ263</f>
        <v>0</v>
      </c>
      <c r="M263">
        <f>+bma!K263/data!$AJ263</f>
        <v>0</v>
      </c>
      <c r="N263">
        <f>+bma!N263/data!$AJ263</f>
        <v>27.631380060766059</v>
      </c>
      <c r="O263">
        <f>+bma!O263/data!$AJ263</f>
        <v>0</v>
      </c>
      <c r="P263">
        <f>+bma!P263/data!$AJ263</f>
        <v>27.631380060766059</v>
      </c>
      <c r="Q263">
        <f>+bma!Q263/data!$AJ263</f>
        <v>210.11995600856918</v>
      </c>
      <c r="R263">
        <f>+bma!R263/data!$AJ263</f>
        <v>129.6284195853147</v>
      </c>
      <c r="S263">
        <f>+bma!S263/data!$AJ263</f>
        <v>27.631380060766059</v>
      </c>
    </row>
    <row r="264" spans="1:19" x14ac:dyDescent="0.25">
      <c r="A264">
        <f>+data!AH264</f>
        <v>-2.8888888888888888</v>
      </c>
      <c r="B264">
        <f>+data!AL264</f>
        <v>28.343353348048741</v>
      </c>
      <c r="C264">
        <f>+bma!C264/data!$AJ264</f>
        <v>28.343353348048741</v>
      </c>
      <c r="D264">
        <f>+bma!D264/data!$AJ264</f>
        <v>0</v>
      </c>
      <c r="E264">
        <f>+bma!E264/data!$AJ264</f>
        <v>0</v>
      </c>
      <c r="F264">
        <f>+bma!F264/data!$AJ264</f>
        <v>0</v>
      </c>
      <c r="G264">
        <f>+bma!G264/data!$AJ264</f>
        <v>0</v>
      </c>
      <c r="H264">
        <f>+bma!H264/data!$AJ264</f>
        <v>0</v>
      </c>
      <c r="I264">
        <f>+bma!I264/data!$AJ264</f>
        <v>0</v>
      </c>
      <c r="J264">
        <f>+bma!L264/data!$AJ264</f>
        <v>0</v>
      </c>
      <c r="K264">
        <f>+bma!M264/data!$AJ264</f>
        <v>28.343353348048741</v>
      </c>
      <c r="L264">
        <f>+bma!J264/data!$AJ264</f>
        <v>0</v>
      </c>
      <c r="M264">
        <f>+bma!K264/data!$AJ264</f>
        <v>0</v>
      </c>
      <c r="N264">
        <f>+bma!N264/data!$AJ264</f>
        <v>0</v>
      </c>
      <c r="O264">
        <f>+bma!O264/data!$AJ264</f>
        <v>0</v>
      </c>
      <c r="P264">
        <f>+bma!P264/data!$AJ264</f>
        <v>28.343353348048741</v>
      </c>
      <c r="Q264">
        <f>+bma!Q264/data!$AJ264</f>
        <v>215.53408282648846</v>
      </c>
      <c r="R264">
        <f>+bma!R264/data!$AJ264</f>
        <v>132.96853404266176</v>
      </c>
      <c r="S264">
        <f>+bma!S264/data!$AJ264</f>
        <v>28.343353348048741</v>
      </c>
    </row>
    <row r="265" spans="1:19" x14ac:dyDescent="0.25">
      <c r="A265">
        <f>+data!AH265</f>
        <v>-4.5</v>
      </c>
      <c r="B265">
        <f>+data!AL265</f>
        <v>34.630189141845584</v>
      </c>
      <c r="C265">
        <f>+bma!C265/data!$AJ265</f>
        <v>34.630189141845584</v>
      </c>
      <c r="D265">
        <f>+bma!D265/data!$AJ265</f>
        <v>0</v>
      </c>
      <c r="E265">
        <f>+bma!E265/data!$AJ265</f>
        <v>0</v>
      </c>
      <c r="F265">
        <f>+bma!F265/data!$AJ265</f>
        <v>0</v>
      </c>
      <c r="G265">
        <f>+bma!G265/data!$AJ265</f>
        <v>0</v>
      </c>
      <c r="H265">
        <f>+bma!H265/data!$AJ265</f>
        <v>0</v>
      </c>
      <c r="I265">
        <f>+bma!I265/data!$AJ265</f>
        <v>0</v>
      </c>
      <c r="J265">
        <f>+bma!L265/data!$AJ265</f>
        <v>0</v>
      </c>
      <c r="K265">
        <f>+bma!M265/data!$AJ265</f>
        <v>34.630189141845584</v>
      </c>
      <c r="L265">
        <f>+bma!J265/data!$AJ265</f>
        <v>0</v>
      </c>
      <c r="M265">
        <f>+bma!K265/data!$AJ265</f>
        <v>0</v>
      </c>
      <c r="N265">
        <f>+bma!N265/data!$AJ265</f>
        <v>0</v>
      </c>
      <c r="O265">
        <f>+bma!O265/data!$AJ265</f>
        <v>0</v>
      </c>
      <c r="P265">
        <f>+bma!P265/data!$AJ265</f>
        <v>34.630189141845584</v>
      </c>
      <c r="Q265">
        <f>+bma!Q265/data!$AJ265</f>
        <v>263.341671789494</v>
      </c>
      <c r="R265">
        <f>+bma!R265/data!$AJ265</f>
        <v>162.46226857021898</v>
      </c>
      <c r="S265">
        <f>+bma!S265/data!$AJ265</f>
        <v>34.630189141845584</v>
      </c>
    </row>
    <row r="266" spans="1:19" x14ac:dyDescent="0.25">
      <c r="A266">
        <f>+data!AH266</f>
        <v>-1.5333333333333334</v>
      </c>
      <c r="B266">
        <f>+data!AL266</f>
        <v>9.71345001073826</v>
      </c>
      <c r="C266">
        <f>+bma!C266/data!$AJ266</f>
        <v>9.71345001073826</v>
      </c>
      <c r="D266">
        <f>+bma!D266/data!$AJ266</f>
        <v>0</v>
      </c>
      <c r="E266">
        <f>+bma!E266/data!$AJ266</f>
        <v>0</v>
      </c>
      <c r="F266">
        <f>+bma!F266/data!$AJ266</f>
        <v>0</v>
      </c>
      <c r="G266">
        <f>+bma!G266/data!$AJ266</f>
        <v>0</v>
      </c>
      <c r="H266">
        <f>+bma!H266/data!$AJ266</f>
        <v>0</v>
      </c>
      <c r="I266">
        <f>+bma!I266/data!$AJ266</f>
        <v>0</v>
      </c>
      <c r="J266">
        <f>+bma!L266/data!$AJ266</f>
        <v>0</v>
      </c>
      <c r="K266">
        <f>+bma!M266/data!$AJ266</f>
        <v>9.71345001073826</v>
      </c>
      <c r="L266">
        <f>+bma!J266/data!$AJ266</f>
        <v>0</v>
      </c>
      <c r="M266">
        <f>+bma!K266/data!$AJ266</f>
        <v>0</v>
      </c>
      <c r="N266">
        <f>+bma!N266/data!$AJ266</f>
        <v>9.71345001073826</v>
      </c>
      <c r="O266">
        <f>+bma!O266/data!$AJ266</f>
        <v>0</v>
      </c>
      <c r="P266">
        <f>+bma!P266/data!$AJ266</f>
        <v>9.71345001073826</v>
      </c>
      <c r="Q266">
        <f>+bma!Q266/data!$AJ266</f>
        <v>73.86492040785798</v>
      </c>
      <c r="R266">
        <f>+bma!R266/data!$AJ266</f>
        <v>45.56917428097691</v>
      </c>
      <c r="S266">
        <f>+bma!S266/data!$AJ266</f>
        <v>9.71345001073826</v>
      </c>
    </row>
    <row r="267" spans="1:19" x14ac:dyDescent="0.25">
      <c r="A267">
        <f>+data!AH267</f>
        <v>-3.5</v>
      </c>
      <c r="B267">
        <f>+data!AL267</f>
        <v>10.356157588603992</v>
      </c>
      <c r="C267">
        <f>+bma!C267/data!$AJ267</f>
        <v>10.356157588603992</v>
      </c>
      <c r="D267">
        <f>+bma!D267/data!$AJ267</f>
        <v>0</v>
      </c>
      <c r="E267">
        <f>+bma!E267/data!$AJ267</f>
        <v>0</v>
      </c>
      <c r="F267">
        <f>+bma!F267/data!$AJ267</f>
        <v>0</v>
      </c>
      <c r="G267">
        <f>+bma!G267/data!$AJ267</f>
        <v>0</v>
      </c>
      <c r="H267">
        <f>+bma!H267/data!$AJ267</f>
        <v>0</v>
      </c>
      <c r="I267">
        <f>+bma!I267/data!$AJ267</f>
        <v>0</v>
      </c>
      <c r="J267">
        <f>+bma!L267/data!$AJ267</f>
        <v>0</v>
      </c>
      <c r="K267">
        <f>+bma!M267/data!$AJ267</f>
        <v>10.356157588603992</v>
      </c>
      <c r="L267">
        <f>+bma!J267/data!$AJ267</f>
        <v>0</v>
      </c>
      <c r="M267">
        <f>+bma!K267/data!$AJ267</f>
        <v>0</v>
      </c>
      <c r="N267">
        <f>+bma!N267/data!$AJ267</f>
        <v>0</v>
      </c>
      <c r="O267">
        <f>+bma!O267/data!$AJ267</f>
        <v>0</v>
      </c>
      <c r="P267">
        <f>+bma!P267/data!$AJ267</f>
        <v>10.356157588603992</v>
      </c>
      <c r="Q267">
        <f>+bma!Q267/data!$AJ267</f>
        <v>78.752323342149836</v>
      </c>
      <c r="R267">
        <f>+bma!R267/data!$AJ267</f>
        <v>48.584339190982149</v>
      </c>
      <c r="S267">
        <f>+bma!S267/data!$AJ267</f>
        <v>10.356157588603992</v>
      </c>
    </row>
    <row r="268" spans="1:19" x14ac:dyDescent="0.25">
      <c r="A268">
        <f>+data!AH268</f>
        <v>-3.083333333333333</v>
      </c>
      <c r="B268">
        <f>+data!AL268</f>
        <v>12.389791945163745</v>
      </c>
      <c r="C268">
        <f>+bma!C268/data!$AJ268</f>
        <v>12.389791945163745</v>
      </c>
      <c r="D268">
        <f>+bma!D268/data!$AJ268</f>
        <v>0</v>
      </c>
      <c r="E268">
        <f>+bma!E268/data!$AJ268</f>
        <v>0</v>
      </c>
      <c r="F268">
        <f>+bma!F268/data!$AJ268</f>
        <v>0</v>
      </c>
      <c r="G268">
        <f>+bma!G268/data!$AJ268</f>
        <v>0</v>
      </c>
      <c r="H268">
        <f>+bma!H268/data!$AJ268</f>
        <v>0</v>
      </c>
      <c r="I268">
        <f>+bma!I268/data!$AJ268</f>
        <v>0</v>
      </c>
      <c r="J268">
        <f>+bma!L268/data!$AJ268</f>
        <v>0</v>
      </c>
      <c r="K268">
        <f>+bma!M268/data!$AJ268</f>
        <v>12.389791945163745</v>
      </c>
      <c r="L268">
        <f>+bma!J268/data!$AJ268</f>
        <v>0</v>
      </c>
      <c r="M268">
        <f>+bma!K268/data!$AJ268</f>
        <v>0</v>
      </c>
      <c r="N268">
        <f>+bma!N268/data!$AJ268</f>
        <v>0</v>
      </c>
      <c r="O268">
        <f>+bma!O268/data!$AJ268</f>
        <v>0</v>
      </c>
      <c r="P268">
        <f>+bma!P268/data!$AJ268</f>
        <v>12.389791945163745</v>
      </c>
      <c r="Q268">
        <f>+bma!Q268/data!$AJ268</f>
        <v>94.216884308635414</v>
      </c>
      <c r="R268">
        <f>+bma!R268/data!$AJ268</f>
        <v>58.124825662360038</v>
      </c>
      <c r="S268">
        <f>+bma!S268/data!$AJ268</f>
        <v>12.389791945163745</v>
      </c>
    </row>
    <row r="269" spans="1:19" x14ac:dyDescent="0.25">
      <c r="A269">
        <f>+data!AH269</f>
        <v>-2.96875</v>
      </c>
      <c r="B269">
        <f>+data!AL269</f>
        <v>25.294534519585451</v>
      </c>
      <c r="C269">
        <f>+bma!C269/data!$AJ269</f>
        <v>25.294534519585451</v>
      </c>
      <c r="D269">
        <f>+bma!D269/data!$AJ269</f>
        <v>0</v>
      </c>
      <c r="E269">
        <f>+bma!E269/data!$AJ269</f>
        <v>0</v>
      </c>
      <c r="F269">
        <f>+bma!F269/data!$AJ269</f>
        <v>0</v>
      </c>
      <c r="G269">
        <f>+bma!G269/data!$AJ269</f>
        <v>0</v>
      </c>
      <c r="H269">
        <f>+bma!H269/data!$AJ269</f>
        <v>0</v>
      </c>
      <c r="I269">
        <f>+bma!I269/data!$AJ269</f>
        <v>0</v>
      </c>
      <c r="J269">
        <f>+bma!L269/data!$AJ269</f>
        <v>0</v>
      </c>
      <c r="K269">
        <f>+bma!M269/data!$AJ269</f>
        <v>25.294534519585451</v>
      </c>
      <c r="L269">
        <f>+bma!J269/data!$AJ269</f>
        <v>0</v>
      </c>
      <c r="M269">
        <f>+bma!K269/data!$AJ269</f>
        <v>0</v>
      </c>
      <c r="N269">
        <f>+bma!N269/data!$AJ269</f>
        <v>25.294534519585451</v>
      </c>
      <c r="O269">
        <f>+bma!O269/data!$AJ269</f>
        <v>0</v>
      </c>
      <c r="P269">
        <f>+bma!P269/data!$AJ269</f>
        <v>25.294534519585451</v>
      </c>
      <c r="Q269">
        <f>+bma!Q269/data!$AJ269</f>
        <v>192.34965712259753</v>
      </c>
      <c r="R269">
        <f>+bma!R269/data!$AJ269</f>
        <v>118.66546392938815</v>
      </c>
      <c r="S269">
        <f>+bma!S269/data!$AJ269</f>
        <v>25.294534519585451</v>
      </c>
    </row>
    <row r="270" spans="1:19" x14ac:dyDescent="0.25">
      <c r="A270">
        <f>+data!AH270</f>
        <v>-3.1</v>
      </c>
      <c r="B270">
        <f>+data!AL270</f>
        <v>25.76062887431128</v>
      </c>
      <c r="C270">
        <f>+bma!C270/data!$AJ270</f>
        <v>25.76062887431128</v>
      </c>
      <c r="D270">
        <f>+bma!D270/data!$AJ270</f>
        <v>0</v>
      </c>
      <c r="E270">
        <f>+bma!E270/data!$AJ270</f>
        <v>0</v>
      </c>
      <c r="F270">
        <f>+bma!F270/data!$AJ270</f>
        <v>0</v>
      </c>
      <c r="G270">
        <f>+bma!G270/data!$AJ270</f>
        <v>0</v>
      </c>
      <c r="H270">
        <f>+bma!H270/data!$AJ270</f>
        <v>0</v>
      </c>
      <c r="I270">
        <f>+bma!I270/data!$AJ270</f>
        <v>0</v>
      </c>
      <c r="J270">
        <f>+bma!L270/data!$AJ270</f>
        <v>0</v>
      </c>
      <c r="K270">
        <f>+bma!M270/data!$AJ270</f>
        <v>25.76062887431128</v>
      </c>
      <c r="L270">
        <f>+bma!J270/data!$AJ270</f>
        <v>0</v>
      </c>
      <c r="M270">
        <f>+bma!K270/data!$AJ270</f>
        <v>0</v>
      </c>
      <c r="N270">
        <f>+bma!N270/data!$AJ270</f>
        <v>0</v>
      </c>
      <c r="O270">
        <f>+bma!O270/data!$AJ270</f>
        <v>0</v>
      </c>
      <c r="P270">
        <f>+bma!P270/data!$AJ270</f>
        <v>25.76062887431128</v>
      </c>
      <c r="Q270">
        <f>+bma!Q270/data!$AJ270</f>
        <v>195.89402316929721</v>
      </c>
      <c r="R270">
        <f>+bma!R270/data!$AJ270</f>
        <v>120.85207474824246</v>
      </c>
      <c r="S270">
        <f>+bma!S270/data!$AJ270</f>
        <v>25.76062887431128</v>
      </c>
    </row>
    <row r="271" spans="1:19" x14ac:dyDescent="0.25">
      <c r="A271">
        <f>+data!AH271</f>
        <v>-4.5</v>
      </c>
      <c r="B271">
        <f>+data!AL271</f>
        <v>31.2929704566377</v>
      </c>
      <c r="C271">
        <f>+bma!C271/data!$AJ271</f>
        <v>31.2929704566377</v>
      </c>
      <c r="D271">
        <f>+bma!D271/data!$AJ271</f>
        <v>0</v>
      </c>
      <c r="E271">
        <f>+bma!E271/data!$AJ271</f>
        <v>0</v>
      </c>
      <c r="F271">
        <f>+bma!F271/data!$AJ271</f>
        <v>0</v>
      </c>
      <c r="G271">
        <f>+bma!G271/data!$AJ271</f>
        <v>0</v>
      </c>
      <c r="H271">
        <f>+bma!H271/data!$AJ271</f>
        <v>0</v>
      </c>
      <c r="I271">
        <f>+bma!I271/data!$AJ271</f>
        <v>0</v>
      </c>
      <c r="J271">
        <f>+bma!L271/data!$AJ271</f>
        <v>0</v>
      </c>
      <c r="K271">
        <f>+bma!M271/data!$AJ271</f>
        <v>31.2929704566377</v>
      </c>
      <c r="L271">
        <f>+bma!J271/data!$AJ271</f>
        <v>0</v>
      </c>
      <c r="M271">
        <f>+bma!K271/data!$AJ271</f>
        <v>0</v>
      </c>
      <c r="N271">
        <f>+bma!N271/data!$AJ271</f>
        <v>0</v>
      </c>
      <c r="O271">
        <f>+bma!O271/data!$AJ271</f>
        <v>0</v>
      </c>
      <c r="P271">
        <f>+bma!P271/data!$AJ271</f>
        <v>31.2929704566377</v>
      </c>
      <c r="Q271">
        <f>+bma!Q271/data!$AJ271</f>
        <v>237.96413936857391</v>
      </c>
      <c r="R271">
        <f>+bma!R271/data!$AJ271</f>
        <v>146.80621436580634</v>
      </c>
      <c r="S271">
        <f>+bma!S271/data!$AJ271</f>
        <v>31.2929704566377</v>
      </c>
    </row>
    <row r="272" spans="1:19" x14ac:dyDescent="0.25">
      <c r="A272">
        <f>+data!AH272</f>
        <v>-1.2295081967213115</v>
      </c>
      <c r="B272">
        <f>+data!AL272</f>
        <v>8.7470961127567861</v>
      </c>
      <c r="C272">
        <f>+bma!C272/data!$AJ272</f>
        <v>8.7470961127567861</v>
      </c>
      <c r="D272">
        <f>+bma!D272/data!$AJ272</f>
        <v>0</v>
      </c>
      <c r="E272">
        <f>+bma!E272/data!$AJ272</f>
        <v>0</v>
      </c>
      <c r="F272">
        <f>+bma!F272/data!$AJ272</f>
        <v>0</v>
      </c>
      <c r="G272">
        <f>+bma!G272/data!$AJ272</f>
        <v>0</v>
      </c>
      <c r="H272">
        <f>+bma!H272/data!$AJ272</f>
        <v>0</v>
      </c>
      <c r="I272">
        <f>+bma!I272/data!$AJ272</f>
        <v>0</v>
      </c>
      <c r="J272">
        <f>+bma!L272/data!$AJ272</f>
        <v>0</v>
      </c>
      <c r="K272">
        <f>+bma!M272/data!$AJ272</f>
        <v>8.7470961127567861</v>
      </c>
      <c r="L272">
        <f>+bma!J272/data!$AJ272</f>
        <v>0</v>
      </c>
      <c r="M272">
        <f>+bma!K272/data!$AJ272</f>
        <v>0</v>
      </c>
      <c r="N272">
        <f>+bma!N272/data!$AJ272</f>
        <v>8.7470961127567861</v>
      </c>
      <c r="O272">
        <f>+bma!O272/data!$AJ272</f>
        <v>0</v>
      </c>
      <c r="P272">
        <f>+bma!P272/data!$AJ272</f>
        <v>8.7470961127567861</v>
      </c>
      <c r="Q272">
        <f>+bma!Q272/data!$AJ272</f>
        <v>66.516382691463264</v>
      </c>
      <c r="R272">
        <f>+bma!R272/data!$AJ272</f>
        <v>41.035671854389321</v>
      </c>
      <c r="S272">
        <f>+bma!S272/data!$AJ272</f>
        <v>8.7470961127567861</v>
      </c>
    </row>
    <row r="273" spans="1:19" x14ac:dyDescent="0.25">
      <c r="A273">
        <f>+data!AH273</f>
        <v>-2.1428571428571428</v>
      </c>
      <c r="B273">
        <f>+data!AL273</f>
        <v>9.1973820587542114</v>
      </c>
      <c r="C273">
        <f>+bma!C273/data!$AJ273</f>
        <v>9.1973820587542114</v>
      </c>
      <c r="D273">
        <f>+bma!D273/data!$AJ273</f>
        <v>0</v>
      </c>
      <c r="E273">
        <f>+bma!E273/data!$AJ273</f>
        <v>0</v>
      </c>
      <c r="F273">
        <f>+bma!F273/data!$AJ273</f>
        <v>0</v>
      </c>
      <c r="G273">
        <f>+bma!G273/data!$AJ273</f>
        <v>0</v>
      </c>
      <c r="H273">
        <f>+bma!H273/data!$AJ273</f>
        <v>0</v>
      </c>
      <c r="I273">
        <f>+bma!I273/data!$AJ273</f>
        <v>0</v>
      </c>
      <c r="J273">
        <f>+bma!L273/data!$AJ273</f>
        <v>0</v>
      </c>
      <c r="K273">
        <f>+bma!M273/data!$AJ273</f>
        <v>9.1973820587542114</v>
      </c>
      <c r="L273">
        <f>+bma!J273/data!$AJ273</f>
        <v>0</v>
      </c>
      <c r="M273">
        <f>+bma!K273/data!$AJ273</f>
        <v>0</v>
      </c>
      <c r="N273">
        <f>+bma!N273/data!$AJ273</f>
        <v>0</v>
      </c>
      <c r="O273">
        <f>+bma!O273/data!$AJ273</f>
        <v>0</v>
      </c>
      <c r="P273">
        <f>+bma!P273/data!$AJ273</f>
        <v>9.1973820587542114</v>
      </c>
      <c r="Q273">
        <f>+bma!Q273/data!$AJ273</f>
        <v>69.94053533806229</v>
      </c>
      <c r="R273">
        <f>+bma!R273/data!$AJ273</f>
        <v>43.148119926572448</v>
      </c>
      <c r="S273">
        <f>+bma!S273/data!$AJ273</f>
        <v>9.1973820587542114</v>
      </c>
    </row>
    <row r="274" spans="1:19" x14ac:dyDescent="0.25">
      <c r="A274">
        <f>+data!AH274</f>
        <v>-2.2857142857142856</v>
      </c>
      <c r="B274">
        <f>+data!AL274</f>
        <v>11.055518522254774</v>
      </c>
      <c r="C274">
        <f>+bma!C274/data!$AJ274</f>
        <v>11.055518522254774</v>
      </c>
      <c r="D274">
        <f>+bma!D274/data!$AJ274</f>
        <v>0</v>
      </c>
      <c r="E274">
        <f>+bma!E274/data!$AJ274</f>
        <v>0</v>
      </c>
      <c r="F274">
        <f>+bma!F274/data!$AJ274</f>
        <v>0</v>
      </c>
      <c r="G274">
        <f>+bma!G274/data!$AJ274</f>
        <v>0</v>
      </c>
      <c r="H274">
        <f>+bma!H274/data!$AJ274</f>
        <v>0</v>
      </c>
      <c r="I274">
        <f>+bma!I274/data!$AJ274</f>
        <v>0</v>
      </c>
      <c r="J274">
        <f>+bma!L274/data!$AJ274</f>
        <v>0</v>
      </c>
      <c r="K274">
        <f>+bma!M274/data!$AJ274</f>
        <v>11.055518522254774</v>
      </c>
      <c r="L274">
        <f>+bma!J274/data!$AJ274</f>
        <v>0</v>
      </c>
      <c r="M274">
        <f>+bma!K274/data!$AJ274</f>
        <v>0</v>
      </c>
      <c r="N274">
        <f>+bma!N274/data!$AJ274</f>
        <v>0</v>
      </c>
      <c r="O274">
        <f>+bma!O274/data!$AJ274</f>
        <v>0</v>
      </c>
      <c r="P274">
        <f>+bma!P274/data!$AJ274</f>
        <v>11.055518522254774</v>
      </c>
      <c r="Q274">
        <f>+bma!Q274/data!$AJ274</f>
        <v>84.070540828560112</v>
      </c>
      <c r="R274">
        <f>+bma!R274/data!$AJ274</f>
        <v>51.865284708342884</v>
      </c>
      <c r="S274">
        <f>+bma!S274/data!$AJ274</f>
        <v>11.055518522254774</v>
      </c>
    </row>
    <row r="275" spans="1:19" x14ac:dyDescent="0.25">
      <c r="A275">
        <f>+data!AH275</f>
        <v>-3.09375</v>
      </c>
      <c r="B275">
        <f>+data!AL275</f>
        <v>18.318604997720215</v>
      </c>
      <c r="C275">
        <f>+bma!C275/data!$AJ275</f>
        <v>18.318604997720215</v>
      </c>
      <c r="D275">
        <f>+bma!D275/data!$AJ275</f>
        <v>0</v>
      </c>
      <c r="E275">
        <f>+bma!E275/data!$AJ275</f>
        <v>0</v>
      </c>
      <c r="F275">
        <f>+bma!F275/data!$AJ275</f>
        <v>0</v>
      </c>
      <c r="G275">
        <f>+bma!G275/data!$AJ275</f>
        <v>0</v>
      </c>
      <c r="H275">
        <f>+bma!H275/data!$AJ275</f>
        <v>0</v>
      </c>
      <c r="I275">
        <f>+bma!I275/data!$AJ275</f>
        <v>0</v>
      </c>
      <c r="J275">
        <f>+bma!L275/data!$AJ275</f>
        <v>0</v>
      </c>
      <c r="K275">
        <f>+bma!M275/data!$AJ275</f>
        <v>18.318604997720215</v>
      </c>
      <c r="L275">
        <f>+bma!J275/data!$AJ275</f>
        <v>0</v>
      </c>
      <c r="M275">
        <f>+bma!K275/data!$AJ275</f>
        <v>0</v>
      </c>
      <c r="N275">
        <f>+bma!N275/data!$AJ275</f>
        <v>18.318604997720215</v>
      </c>
      <c r="O275">
        <f>+bma!O275/data!$AJ275</f>
        <v>0</v>
      </c>
      <c r="P275">
        <f>+bma!P275/data!$AJ275</f>
        <v>18.318604997720215</v>
      </c>
      <c r="Q275">
        <f>+bma!Q275/data!$AJ275</f>
        <v>139.30192657024361</v>
      </c>
      <c r="R275">
        <f>+bma!R275/data!$AJ275</f>
        <v>85.938950918844725</v>
      </c>
      <c r="S275">
        <f>+bma!S275/data!$AJ275</f>
        <v>18.318604997720215</v>
      </c>
    </row>
    <row r="276" spans="1:19" x14ac:dyDescent="0.25">
      <c r="A276">
        <f>+data!AH276</f>
        <v>-3.0370370370370372</v>
      </c>
      <c r="B276">
        <f>+data!AL276</f>
        <v>18.472238466529571</v>
      </c>
      <c r="C276">
        <f>+bma!C276/data!$AJ276</f>
        <v>18.472238466529571</v>
      </c>
      <c r="D276">
        <f>+bma!D276/data!$AJ276</f>
        <v>0</v>
      </c>
      <c r="E276">
        <f>+bma!E276/data!$AJ276</f>
        <v>0</v>
      </c>
      <c r="F276">
        <f>+bma!F276/data!$AJ276</f>
        <v>0</v>
      </c>
      <c r="G276">
        <f>+bma!G276/data!$AJ276</f>
        <v>0</v>
      </c>
      <c r="H276">
        <f>+bma!H276/data!$AJ276</f>
        <v>0</v>
      </c>
      <c r="I276">
        <f>+bma!I276/data!$AJ276</f>
        <v>0</v>
      </c>
      <c r="J276">
        <f>+bma!L276/data!$AJ276</f>
        <v>0</v>
      </c>
      <c r="K276">
        <f>+bma!M276/data!$AJ276</f>
        <v>18.472238466529571</v>
      </c>
      <c r="L276">
        <f>+bma!J276/data!$AJ276</f>
        <v>0</v>
      </c>
      <c r="M276">
        <f>+bma!K276/data!$AJ276</f>
        <v>0</v>
      </c>
      <c r="N276">
        <f>+bma!N276/data!$AJ276</f>
        <v>0</v>
      </c>
      <c r="O276">
        <f>+bma!O276/data!$AJ276</f>
        <v>0</v>
      </c>
      <c r="P276">
        <f>+bma!P276/data!$AJ276</f>
        <v>18.472238466529571</v>
      </c>
      <c r="Q276">
        <f>+bma!Q276/data!$AJ276</f>
        <v>140.4702163059236</v>
      </c>
      <c r="R276">
        <f>+bma!R276/data!$AJ276</f>
        <v>86.659698985476567</v>
      </c>
      <c r="S276">
        <f>+bma!S276/data!$AJ276</f>
        <v>18.472238466529571</v>
      </c>
    </row>
    <row r="277" spans="1:19" x14ac:dyDescent="0.25">
      <c r="A277">
        <f>+data!AH277</f>
        <v>-4.3333333333333339</v>
      </c>
      <c r="B277">
        <f>+data!AL277</f>
        <v>22.600393310245238</v>
      </c>
      <c r="C277">
        <f>+bma!C277/data!$AJ277</f>
        <v>22.600393310245238</v>
      </c>
      <c r="D277">
        <f>+bma!D277/data!$AJ277</f>
        <v>0</v>
      </c>
      <c r="E277">
        <f>+bma!E277/data!$AJ277</f>
        <v>0</v>
      </c>
      <c r="F277">
        <f>+bma!F277/data!$AJ277</f>
        <v>0</v>
      </c>
      <c r="G277">
        <f>+bma!G277/data!$AJ277</f>
        <v>0</v>
      </c>
      <c r="H277">
        <f>+bma!H277/data!$AJ277</f>
        <v>0</v>
      </c>
      <c r="I277">
        <f>+bma!I277/data!$AJ277</f>
        <v>0</v>
      </c>
      <c r="J277">
        <f>+bma!L277/data!$AJ277</f>
        <v>0</v>
      </c>
      <c r="K277">
        <f>+bma!M277/data!$AJ277</f>
        <v>22.600393310245238</v>
      </c>
      <c r="L277">
        <f>+bma!J277/data!$AJ277</f>
        <v>0</v>
      </c>
      <c r="M277">
        <f>+bma!K277/data!$AJ277</f>
        <v>0</v>
      </c>
      <c r="N277">
        <f>+bma!N277/data!$AJ277</f>
        <v>0</v>
      </c>
      <c r="O277">
        <f>+bma!O277/data!$AJ277</f>
        <v>0</v>
      </c>
      <c r="P277">
        <f>+bma!P277/data!$AJ277</f>
        <v>22.600393310245238</v>
      </c>
      <c r="Q277">
        <f>+bma!Q277/data!$AJ277</f>
        <v>171.86234048685566</v>
      </c>
      <c r="R277">
        <f>+bma!R277/data!$AJ277</f>
        <v>106.02630995523236</v>
      </c>
      <c r="S277">
        <f>+bma!S277/data!$AJ277</f>
        <v>22.600393310245238</v>
      </c>
    </row>
    <row r="278" spans="1:19" x14ac:dyDescent="0.25">
      <c r="A278">
        <f>+data!AH278</f>
        <v>-2.90625</v>
      </c>
      <c r="B278">
        <f>+data!AL278</f>
        <v>24.686965975236813</v>
      </c>
      <c r="C278">
        <f>+bma!C278/data!$AJ278</f>
        <v>24.686965975236813</v>
      </c>
      <c r="D278">
        <f>+bma!D278/data!$AJ278</f>
        <v>0</v>
      </c>
      <c r="E278">
        <f>+bma!E278/data!$AJ278</f>
        <v>0</v>
      </c>
      <c r="F278">
        <f>+bma!F278/data!$AJ278</f>
        <v>0</v>
      </c>
      <c r="G278">
        <f>+bma!G278/data!$AJ278</f>
        <v>0</v>
      </c>
      <c r="H278">
        <f>+bma!H278/data!$AJ278</f>
        <v>0</v>
      </c>
      <c r="I278">
        <f>+bma!I278/data!$AJ278</f>
        <v>0</v>
      </c>
      <c r="J278">
        <f>+bma!L278/data!$AJ278</f>
        <v>0</v>
      </c>
      <c r="K278">
        <f>+bma!M278/data!$AJ278</f>
        <v>24.686965975236813</v>
      </c>
      <c r="L278">
        <f>+bma!J278/data!$AJ278</f>
        <v>0</v>
      </c>
      <c r="M278">
        <f>+bma!K278/data!$AJ278</f>
        <v>0</v>
      </c>
      <c r="N278">
        <f>+bma!N278/data!$AJ278</f>
        <v>24.686965975236813</v>
      </c>
      <c r="O278">
        <f>+bma!O278/data!$AJ278</f>
        <v>0</v>
      </c>
      <c r="P278">
        <f>+bma!P278/data!$AJ278</f>
        <v>24.686965975236813</v>
      </c>
      <c r="Q278">
        <f>+bma!Q278/data!$AJ278</f>
        <v>187.72946531422693</v>
      </c>
      <c r="R278">
        <f>+bma!R278/data!$AJ278</f>
        <v>115.81514845399526</v>
      </c>
      <c r="S278">
        <f>+bma!S278/data!$AJ278</f>
        <v>24.686965975236813</v>
      </c>
    </row>
    <row r="279" spans="1:19" x14ac:dyDescent="0.25">
      <c r="A279">
        <f>+data!AH279</f>
        <v>-3.263157894736842</v>
      </c>
      <c r="B279">
        <f>+data!AL279</f>
        <v>25.152498870807719</v>
      </c>
      <c r="C279">
        <f>+bma!C279/data!$AJ279</f>
        <v>25.152498870807719</v>
      </c>
      <c r="D279">
        <f>+bma!D279/data!$AJ279</f>
        <v>0</v>
      </c>
      <c r="E279">
        <f>+bma!E279/data!$AJ279</f>
        <v>0</v>
      </c>
      <c r="F279">
        <f>+bma!F279/data!$AJ279</f>
        <v>0</v>
      </c>
      <c r="G279">
        <f>+bma!G279/data!$AJ279</f>
        <v>0</v>
      </c>
      <c r="H279">
        <f>+bma!H279/data!$AJ279</f>
        <v>0</v>
      </c>
      <c r="I279">
        <f>+bma!I279/data!$AJ279</f>
        <v>0</v>
      </c>
      <c r="J279">
        <f>+bma!L279/data!$AJ279</f>
        <v>0</v>
      </c>
      <c r="K279">
        <f>+bma!M279/data!$AJ279</f>
        <v>25.152498870807719</v>
      </c>
      <c r="L279">
        <f>+bma!J279/data!$AJ279</f>
        <v>0</v>
      </c>
      <c r="M279">
        <f>+bma!K279/data!$AJ279</f>
        <v>0</v>
      </c>
      <c r="N279">
        <f>+bma!N279/data!$AJ279</f>
        <v>0</v>
      </c>
      <c r="O279">
        <f>+bma!O279/data!$AJ279</f>
        <v>0</v>
      </c>
      <c r="P279">
        <f>+bma!P279/data!$AJ279</f>
        <v>25.152498870807719</v>
      </c>
      <c r="Q279">
        <f>+bma!Q279/data!$AJ279</f>
        <v>191.26956180317472</v>
      </c>
      <c r="R279">
        <f>+bma!R279/data!$AJ279</f>
        <v>117.99912527256603</v>
      </c>
      <c r="S279">
        <f>+bma!S279/data!$AJ279</f>
        <v>25.152498870807719</v>
      </c>
    </row>
    <row r="280" spans="1:19" x14ac:dyDescent="0.25">
      <c r="A280">
        <f>+data!AH280</f>
        <v>-4.4285714285714288</v>
      </c>
      <c r="B280">
        <f>+data!AL280</f>
        <v>30.60412137111534</v>
      </c>
      <c r="C280">
        <f>+bma!C280/data!$AJ280</f>
        <v>30.60412137111534</v>
      </c>
      <c r="D280">
        <f>+bma!D280/data!$AJ280</f>
        <v>0</v>
      </c>
      <c r="E280">
        <f>+bma!E280/data!$AJ280</f>
        <v>0</v>
      </c>
      <c r="F280">
        <f>+bma!F280/data!$AJ280</f>
        <v>0</v>
      </c>
      <c r="G280">
        <f>+bma!G280/data!$AJ280</f>
        <v>0</v>
      </c>
      <c r="H280">
        <f>+bma!H280/data!$AJ280</f>
        <v>0</v>
      </c>
      <c r="I280">
        <f>+bma!I280/data!$AJ280</f>
        <v>0</v>
      </c>
      <c r="J280">
        <f>+bma!L280/data!$AJ280</f>
        <v>0</v>
      </c>
      <c r="K280">
        <f>+bma!M280/data!$AJ280</f>
        <v>30.60412137111534</v>
      </c>
      <c r="L280">
        <f>+bma!J280/data!$AJ280</f>
        <v>0</v>
      </c>
      <c r="M280">
        <f>+bma!K280/data!$AJ280</f>
        <v>0</v>
      </c>
      <c r="N280">
        <f>+bma!N280/data!$AJ280</f>
        <v>0</v>
      </c>
      <c r="O280">
        <f>+bma!O280/data!$AJ280</f>
        <v>0</v>
      </c>
      <c r="P280">
        <f>+bma!P280/data!$AJ280</f>
        <v>30.60412137111534</v>
      </c>
      <c r="Q280">
        <f>+bma!Q280/data!$AJ280</f>
        <v>232.72585813802402</v>
      </c>
      <c r="R280">
        <f>+bma!R280/data!$AJ280</f>
        <v>143.5745835861392</v>
      </c>
      <c r="S280">
        <f>+bma!S280/data!$AJ280</f>
        <v>30.60412137111534</v>
      </c>
    </row>
    <row r="281" spans="1:19" x14ac:dyDescent="0.25">
      <c r="A281">
        <f>+data!AH281</f>
        <v>-2.854838709677419</v>
      </c>
      <c r="B281">
        <f>+data!AL281</f>
        <v>9.5994845725316225</v>
      </c>
      <c r="C281">
        <f>+bma!C281/data!$AJ281</f>
        <v>9.5994845725316225</v>
      </c>
      <c r="D281">
        <f>+bma!D281/data!$AJ281</f>
        <v>0</v>
      </c>
      <c r="E281">
        <f>+bma!E281/data!$AJ281</f>
        <v>0</v>
      </c>
      <c r="F281">
        <f>+bma!F281/data!$AJ281</f>
        <v>0</v>
      </c>
      <c r="G281">
        <f>+bma!G281/data!$AJ281</f>
        <v>0</v>
      </c>
      <c r="H281">
        <f>+bma!H281/data!$AJ281</f>
        <v>0</v>
      </c>
      <c r="I281">
        <f>+bma!I281/data!$AJ281</f>
        <v>0</v>
      </c>
      <c r="J281">
        <f>+bma!L281/data!$AJ281</f>
        <v>0</v>
      </c>
      <c r="K281">
        <f>+bma!M281/data!$AJ281</f>
        <v>9.5994845725316225</v>
      </c>
      <c r="L281">
        <f>+bma!J281/data!$AJ281</f>
        <v>0</v>
      </c>
      <c r="M281">
        <f>+bma!K281/data!$AJ281</f>
        <v>0</v>
      </c>
      <c r="N281">
        <f>+bma!N281/data!$AJ281</f>
        <v>9.5994845725316225</v>
      </c>
      <c r="O281">
        <f>+bma!O281/data!$AJ281</f>
        <v>0</v>
      </c>
      <c r="P281">
        <f>+bma!P281/data!$AJ281</f>
        <v>9.5994845725316225</v>
      </c>
      <c r="Q281">
        <f>+bma!Q281/data!$AJ281</f>
        <v>72.998282085421181</v>
      </c>
      <c r="R281">
        <f>+bma!R281/data!$AJ281</f>
        <v>45.034522750377079</v>
      </c>
      <c r="S281">
        <f>+bma!S281/data!$AJ281</f>
        <v>9.5994845725316225</v>
      </c>
    </row>
    <row r="282" spans="1:19" x14ac:dyDescent="0.25">
      <c r="A282">
        <f>+data!AH282</f>
        <v>-2.1355932203389831</v>
      </c>
      <c r="B282">
        <f>+data!AL282</f>
        <v>9.5163416501698705</v>
      </c>
      <c r="C282">
        <f>+bma!C282/data!$AJ282</f>
        <v>9.5163416501698705</v>
      </c>
      <c r="D282">
        <f>+bma!D282/data!$AJ282</f>
        <v>0</v>
      </c>
      <c r="E282">
        <f>+bma!E282/data!$AJ282</f>
        <v>0</v>
      </c>
      <c r="F282">
        <f>+bma!F282/data!$AJ282</f>
        <v>0</v>
      </c>
      <c r="G282">
        <f>+bma!G282/data!$AJ282</f>
        <v>0</v>
      </c>
      <c r="H282">
        <f>+bma!H282/data!$AJ282</f>
        <v>0</v>
      </c>
      <c r="I282">
        <f>+bma!I282/data!$AJ282</f>
        <v>0</v>
      </c>
      <c r="J282">
        <f>+bma!L282/data!$AJ282</f>
        <v>0</v>
      </c>
      <c r="K282">
        <f>+bma!M282/data!$AJ282</f>
        <v>9.5163416501698705</v>
      </c>
      <c r="L282">
        <f>+bma!J282/data!$AJ282</f>
        <v>0</v>
      </c>
      <c r="M282">
        <f>+bma!K282/data!$AJ282</f>
        <v>0</v>
      </c>
      <c r="N282">
        <f>+bma!N282/data!$AJ282</f>
        <v>0</v>
      </c>
      <c r="O282">
        <f>+bma!O282/data!$AJ282</f>
        <v>0</v>
      </c>
      <c r="P282">
        <f>+bma!P282/data!$AJ282</f>
        <v>9.5163416501698705</v>
      </c>
      <c r="Q282">
        <f>+bma!Q282/data!$AJ282</f>
        <v>72.366030379185162</v>
      </c>
      <c r="R282">
        <f>+bma!R282/data!$AJ282</f>
        <v>44.644470367841116</v>
      </c>
      <c r="S282">
        <f>+bma!S282/data!$AJ282</f>
        <v>9.5163416501698705</v>
      </c>
    </row>
    <row r="283" spans="1:19" x14ac:dyDescent="0.25">
      <c r="A283">
        <f>+data!AH283</f>
        <v>-3.2439024390243905</v>
      </c>
      <c r="B283">
        <f>+data!AL283</f>
        <v>11.811981333963764</v>
      </c>
      <c r="C283">
        <f>+bma!C283/data!$AJ283</f>
        <v>11.811981333963764</v>
      </c>
      <c r="D283">
        <f>+bma!D283/data!$AJ283</f>
        <v>0</v>
      </c>
      <c r="E283">
        <f>+bma!E283/data!$AJ283</f>
        <v>0</v>
      </c>
      <c r="F283">
        <f>+bma!F283/data!$AJ283</f>
        <v>0</v>
      </c>
      <c r="G283">
        <f>+bma!G283/data!$AJ283</f>
        <v>0</v>
      </c>
      <c r="H283">
        <f>+bma!H283/data!$AJ283</f>
        <v>0</v>
      </c>
      <c r="I283">
        <f>+bma!I283/data!$AJ283</f>
        <v>0</v>
      </c>
      <c r="J283">
        <f>+bma!L283/data!$AJ283</f>
        <v>0</v>
      </c>
      <c r="K283">
        <f>+bma!M283/data!$AJ283</f>
        <v>11.811981333963764</v>
      </c>
      <c r="L283">
        <f>+bma!J283/data!$AJ283</f>
        <v>0</v>
      </c>
      <c r="M283">
        <f>+bma!K283/data!$AJ283</f>
        <v>0</v>
      </c>
      <c r="N283">
        <f>+bma!N283/data!$AJ283</f>
        <v>0</v>
      </c>
      <c r="O283">
        <f>+bma!O283/data!$AJ283</f>
        <v>0</v>
      </c>
      <c r="P283">
        <f>+bma!P283/data!$AJ283</f>
        <v>11.811981333963764</v>
      </c>
      <c r="Q283">
        <f>+bma!Q283/data!$AJ283</f>
        <v>89.822983608068711</v>
      </c>
      <c r="R283">
        <f>+bma!R283/data!$AJ283</f>
        <v>55.414115007128231</v>
      </c>
      <c r="S283">
        <f>+bma!S283/data!$AJ283</f>
        <v>11.811981333963764</v>
      </c>
    </row>
    <row r="284" spans="1:19" x14ac:dyDescent="0.25">
      <c r="A284">
        <f>+data!AH284</f>
        <v>-3.5897435897435899</v>
      </c>
      <c r="B284">
        <f>+data!AL284</f>
        <v>18.024601494626868</v>
      </c>
      <c r="C284">
        <f>+bma!C284/data!$AJ284</f>
        <v>18.024601494626868</v>
      </c>
      <c r="D284">
        <f>+bma!D284/data!$AJ284</f>
        <v>0</v>
      </c>
      <c r="E284">
        <f>+bma!E284/data!$AJ284</f>
        <v>0</v>
      </c>
      <c r="F284">
        <f>+bma!F284/data!$AJ284</f>
        <v>0</v>
      </c>
      <c r="G284">
        <f>+bma!G284/data!$AJ284</f>
        <v>0</v>
      </c>
      <c r="H284">
        <f>+bma!H284/data!$AJ284</f>
        <v>0</v>
      </c>
      <c r="I284">
        <f>+bma!I284/data!$AJ284</f>
        <v>0</v>
      </c>
      <c r="J284">
        <f>+bma!L284/data!$AJ284</f>
        <v>0</v>
      </c>
      <c r="K284">
        <f>+bma!M284/data!$AJ284</f>
        <v>18.024601494626868</v>
      </c>
      <c r="L284">
        <f>+bma!J284/data!$AJ284</f>
        <v>0</v>
      </c>
      <c r="M284">
        <f>+bma!K284/data!$AJ284</f>
        <v>0</v>
      </c>
      <c r="N284">
        <f>+bma!N284/data!$AJ284</f>
        <v>18.024601494626868</v>
      </c>
      <c r="O284">
        <f>+bma!O284/data!$AJ284</f>
        <v>0</v>
      </c>
      <c r="P284">
        <f>+bma!P284/data!$AJ284</f>
        <v>18.024601494626868</v>
      </c>
      <c r="Q284">
        <f>+bma!Q284/data!$AJ284</f>
        <v>137.06620750733458</v>
      </c>
      <c r="R284">
        <f>+bma!R284/data!$AJ284</f>
        <v>84.559678172614767</v>
      </c>
      <c r="S284">
        <f>+bma!S284/data!$AJ284</f>
        <v>18.024601494626868</v>
      </c>
    </row>
    <row r="285" spans="1:19" x14ac:dyDescent="0.25">
      <c r="A285">
        <f>+data!AH285</f>
        <v>-2.2222222222222223</v>
      </c>
      <c r="B285">
        <f>+data!AL285</f>
        <v>18.053760594539252</v>
      </c>
      <c r="C285">
        <f>+bma!C285/data!$AJ285</f>
        <v>18.053760594539252</v>
      </c>
      <c r="D285">
        <f>+bma!D285/data!$AJ285</f>
        <v>0</v>
      </c>
      <c r="E285">
        <f>+bma!E285/data!$AJ285</f>
        <v>0</v>
      </c>
      <c r="F285">
        <f>+bma!F285/data!$AJ285</f>
        <v>0</v>
      </c>
      <c r="G285">
        <f>+bma!G285/data!$AJ285</f>
        <v>0</v>
      </c>
      <c r="H285">
        <f>+bma!H285/data!$AJ285</f>
        <v>0</v>
      </c>
      <c r="I285">
        <f>+bma!I285/data!$AJ285</f>
        <v>0</v>
      </c>
      <c r="J285">
        <f>+bma!L285/data!$AJ285</f>
        <v>0</v>
      </c>
      <c r="K285">
        <f>+bma!M285/data!$AJ285</f>
        <v>18.053760594539252</v>
      </c>
      <c r="L285">
        <f>+bma!J285/data!$AJ285</f>
        <v>0</v>
      </c>
      <c r="M285">
        <f>+bma!K285/data!$AJ285</f>
        <v>0</v>
      </c>
      <c r="N285">
        <f>+bma!N285/data!$AJ285</f>
        <v>0</v>
      </c>
      <c r="O285">
        <f>+bma!O285/data!$AJ285</f>
        <v>0</v>
      </c>
      <c r="P285">
        <f>+bma!P285/data!$AJ285</f>
        <v>18.053760594539252</v>
      </c>
      <c r="Q285">
        <f>+bma!Q285/data!$AJ285</f>
        <v>137.28794485007194</v>
      </c>
      <c r="R285">
        <f>+bma!R285/data!$AJ285</f>
        <v>84.696473657670538</v>
      </c>
      <c r="S285">
        <f>+bma!S285/data!$AJ285</f>
        <v>18.053760594539252</v>
      </c>
    </row>
    <row r="286" spans="1:19" x14ac:dyDescent="0.25">
      <c r="A286">
        <f>+data!AH286</f>
        <v>-4.7</v>
      </c>
      <c r="B286">
        <f>+data!AL286</f>
        <v>22.183101676726814</v>
      </c>
      <c r="C286">
        <f>+bma!C286/data!$AJ286</f>
        <v>22.183101676726814</v>
      </c>
      <c r="D286">
        <f>+bma!D286/data!$AJ286</f>
        <v>0</v>
      </c>
      <c r="E286">
        <f>+bma!E286/data!$AJ286</f>
        <v>0</v>
      </c>
      <c r="F286">
        <f>+bma!F286/data!$AJ286</f>
        <v>0</v>
      </c>
      <c r="G286">
        <f>+bma!G286/data!$AJ286</f>
        <v>0</v>
      </c>
      <c r="H286">
        <f>+bma!H286/data!$AJ286</f>
        <v>0</v>
      </c>
      <c r="I286">
        <f>+bma!I286/data!$AJ286</f>
        <v>0</v>
      </c>
      <c r="J286">
        <f>+bma!L286/data!$AJ286</f>
        <v>0</v>
      </c>
      <c r="K286">
        <f>+bma!M286/data!$AJ286</f>
        <v>22.183101676726814</v>
      </c>
      <c r="L286">
        <f>+bma!J286/data!$AJ286</f>
        <v>0</v>
      </c>
      <c r="M286">
        <f>+bma!K286/data!$AJ286</f>
        <v>0</v>
      </c>
      <c r="N286">
        <f>+bma!N286/data!$AJ286</f>
        <v>0</v>
      </c>
      <c r="O286">
        <f>+bma!O286/data!$AJ286</f>
        <v>0</v>
      </c>
      <c r="P286">
        <f>+bma!P286/data!$AJ286</f>
        <v>22.183101676726814</v>
      </c>
      <c r="Q286">
        <f>+bma!Q286/data!$AJ286</f>
        <v>168.6890896580947</v>
      </c>
      <c r="R286">
        <f>+bma!R286/data!$AJ286</f>
        <v>104.06864968490898</v>
      </c>
      <c r="S286">
        <f>+bma!S286/data!$AJ286</f>
        <v>22.183101676726814</v>
      </c>
    </row>
    <row r="287" spans="1:19" x14ac:dyDescent="0.25">
      <c r="A287">
        <f>+data!AH287</f>
        <v>0.66400000000000003</v>
      </c>
      <c r="B287">
        <f>+data!AL287</f>
        <v>17.448234753120438</v>
      </c>
      <c r="C287">
        <f>+bma!C287/data!$AJ287</f>
        <v>17.448234753120438</v>
      </c>
      <c r="D287">
        <f>+bma!D287/data!$AJ287</f>
        <v>0</v>
      </c>
      <c r="E287">
        <f>+bma!E287/data!$AJ287</f>
        <v>0</v>
      </c>
      <c r="F287">
        <f>+bma!F287/data!$AJ287</f>
        <v>0</v>
      </c>
      <c r="G287">
        <f>+bma!G287/data!$AJ287</f>
        <v>0</v>
      </c>
      <c r="H287">
        <f>+bma!H287/data!$AJ287</f>
        <v>0</v>
      </c>
      <c r="I287">
        <f>+bma!I287/data!$AJ287</f>
        <v>0</v>
      </c>
      <c r="J287">
        <f>+bma!L287/data!$AJ287</f>
        <v>0</v>
      </c>
      <c r="K287">
        <f>+bma!M287/data!$AJ287</f>
        <v>17.448234753120438</v>
      </c>
      <c r="L287">
        <f>+bma!J287/data!$AJ287</f>
        <v>0</v>
      </c>
      <c r="M287">
        <f>+bma!K287/data!$AJ287</f>
        <v>0</v>
      </c>
      <c r="N287">
        <f>+bma!N287/data!$AJ287</f>
        <v>17.448234753120438</v>
      </c>
      <c r="O287">
        <f>+bma!O287/data!$AJ287</f>
        <v>0</v>
      </c>
      <c r="P287">
        <f>+bma!P287/data!$AJ287</f>
        <v>17.448234753120438</v>
      </c>
      <c r="Q287">
        <f>+bma!Q287/data!$AJ287</f>
        <v>132.68328656369007</v>
      </c>
      <c r="R287">
        <f>+bma!R287/data!$AJ287</f>
        <v>81.85574121258206</v>
      </c>
      <c r="S287">
        <f>+bma!S287/data!$AJ287</f>
        <v>17.448234753120438</v>
      </c>
    </row>
    <row r="288" spans="1:19" x14ac:dyDescent="0.25">
      <c r="A288">
        <f>+data!AH288</f>
        <v>-1.8888888888888888</v>
      </c>
      <c r="B288">
        <f>+data!AL288</f>
        <v>18.015768127797603</v>
      </c>
      <c r="C288">
        <f>+bma!C288/data!$AJ288</f>
        <v>18.015768127797603</v>
      </c>
      <c r="D288">
        <f>+bma!D288/data!$AJ288</f>
        <v>0</v>
      </c>
      <c r="E288">
        <f>+bma!E288/data!$AJ288</f>
        <v>0</v>
      </c>
      <c r="F288">
        <f>+bma!F288/data!$AJ288</f>
        <v>0</v>
      </c>
      <c r="G288">
        <f>+bma!G288/data!$AJ288</f>
        <v>0</v>
      </c>
      <c r="H288">
        <f>+bma!H288/data!$AJ288</f>
        <v>0</v>
      </c>
      <c r="I288">
        <f>+bma!I288/data!$AJ288</f>
        <v>0</v>
      </c>
      <c r="J288">
        <f>+bma!L288/data!$AJ288</f>
        <v>0</v>
      </c>
      <c r="K288">
        <f>+bma!M288/data!$AJ288</f>
        <v>18.015768127797603</v>
      </c>
      <c r="L288">
        <f>+bma!J288/data!$AJ288</f>
        <v>0</v>
      </c>
      <c r="M288">
        <f>+bma!K288/data!$AJ288</f>
        <v>0</v>
      </c>
      <c r="N288">
        <f>+bma!N288/data!$AJ288</f>
        <v>0</v>
      </c>
      <c r="O288">
        <f>+bma!O288/data!$AJ288</f>
        <v>0</v>
      </c>
      <c r="P288">
        <f>+bma!P288/data!$AJ288</f>
        <v>18.015768127797603</v>
      </c>
      <c r="Q288">
        <f>+bma!Q288/data!$AJ288</f>
        <v>136.99903508795157</v>
      </c>
      <c r="R288">
        <f>+bma!R288/data!$AJ288</f>
        <v>84.518237774807019</v>
      </c>
      <c r="S288">
        <f>+bma!S288/data!$AJ288</f>
        <v>18.015768127797603</v>
      </c>
    </row>
    <row r="289" spans="1:19" x14ac:dyDescent="0.25">
      <c r="A289">
        <f>+data!AH289</f>
        <v>-2.1</v>
      </c>
      <c r="B289">
        <f>+data!AL289</f>
        <v>21.688937272259331</v>
      </c>
      <c r="C289">
        <f>+bma!C289/data!$AJ289</f>
        <v>21.688937272259331</v>
      </c>
      <c r="D289">
        <f>+bma!D289/data!$AJ289</f>
        <v>0</v>
      </c>
      <c r="E289">
        <f>+bma!E289/data!$AJ289</f>
        <v>0</v>
      </c>
      <c r="F289">
        <f>+bma!F289/data!$AJ289</f>
        <v>0</v>
      </c>
      <c r="G289">
        <f>+bma!G289/data!$AJ289</f>
        <v>0</v>
      </c>
      <c r="H289">
        <f>+bma!H289/data!$AJ289</f>
        <v>0</v>
      </c>
      <c r="I289">
        <f>+bma!I289/data!$AJ289</f>
        <v>0</v>
      </c>
      <c r="J289">
        <f>+bma!L289/data!$AJ289</f>
        <v>0</v>
      </c>
      <c r="K289">
        <f>+bma!M289/data!$AJ289</f>
        <v>21.688937272259331</v>
      </c>
      <c r="L289">
        <f>+bma!J289/data!$AJ289</f>
        <v>0</v>
      </c>
      <c r="M289">
        <f>+bma!K289/data!$AJ289</f>
        <v>0</v>
      </c>
      <c r="N289">
        <f>+bma!N289/data!$AJ289</f>
        <v>0</v>
      </c>
      <c r="O289">
        <f>+bma!O289/data!$AJ289</f>
        <v>0</v>
      </c>
      <c r="P289">
        <f>+bma!P289/data!$AJ289</f>
        <v>21.688937272259331</v>
      </c>
      <c r="Q289">
        <f>+bma!Q289/data!$AJ289</f>
        <v>164.93126783741977</v>
      </c>
      <c r="R289">
        <f>+bma!R289/data!$AJ289</f>
        <v>101.75035249433927</v>
      </c>
      <c r="S289">
        <f>+bma!S289/data!$AJ289</f>
        <v>21.688937272259331</v>
      </c>
    </row>
    <row r="290" spans="1:19" x14ac:dyDescent="0.25">
      <c r="A290">
        <f>+data!AH290</f>
        <v>0.33004926108374383</v>
      </c>
      <c r="B290">
        <f>+data!AL290</f>
        <v>5.3952694571023896</v>
      </c>
      <c r="C290">
        <f>+bma!C290/data!$AJ290</f>
        <v>5.3952694571023896</v>
      </c>
      <c r="D290">
        <f>+bma!D290/data!$AJ290</f>
        <v>0</v>
      </c>
      <c r="E290">
        <f>+bma!E290/data!$AJ290</f>
        <v>0</v>
      </c>
      <c r="F290">
        <f>+bma!F290/data!$AJ290</f>
        <v>0</v>
      </c>
      <c r="G290">
        <f>+bma!G290/data!$AJ290</f>
        <v>0</v>
      </c>
      <c r="H290">
        <f>+bma!H290/data!$AJ290</f>
        <v>0</v>
      </c>
      <c r="I290">
        <f>+bma!I290/data!$AJ290</f>
        <v>0</v>
      </c>
      <c r="J290">
        <f>+bma!L290/data!$AJ290</f>
        <v>0</v>
      </c>
      <c r="K290">
        <f>+bma!M290/data!$AJ290</f>
        <v>5.3952694571023896</v>
      </c>
      <c r="L290">
        <f>+bma!J290/data!$AJ290</f>
        <v>0</v>
      </c>
      <c r="M290">
        <f>+bma!K290/data!$AJ290</f>
        <v>0</v>
      </c>
      <c r="N290">
        <f>+bma!N290/data!$AJ290</f>
        <v>5.3952694571023896</v>
      </c>
      <c r="O290">
        <f>+bma!O290/data!$AJ290</f>
        <v>0</v>
      </c>
      <c r="P290">
        <f>+bma!P290/data!$AJ290</f>
        <v>5.3952694571023896</v>
      </c>
      <c r="Q290">
        <f>+bma!Q290/data!$AJ290</f>
        <v>41.02776547851159</v>
      </c>
      <c r="R290">
        <f>+bma!R290/data!$AJ290</f>
        <v>25.311086577038381</v>
      </c>
      <c r="S290">
        <f>+bma!S290/data!$AJ290</f>
        <v>5.3952694571023896</v>
      </c>
    </row>
    <row r="291" spans="1:19" x14ac:dyDescent="0.25">
      <c r="A291">
        <f>+data!AH291</f>
        <v>-4.6875E-2</v>
      </c>
      <c r="B291">
        <f>+data!AL291</f>
        <v>5.5679616796117593</v>
      </c>
      <c r="C291">
        <f>+bma!C291/data!$AJ291</f>
        <v>5.5679616796117593</v>
      </c>
      <c r="D291">
        <f>+bma!D291/data!$AJ291</f>
        <v>0</v>
      </c>
      <c r="E291">
        <f>+bma!E291/data!$AJ291</f>
        <v>0</v>
      </c>
      <c r="F291">
        <f>+bma!F291/data!$AJ291</f>
        <v>0</v>
      </c>
      <c r="G291">
        <f>+bma!G291/data!$AJ291</f>
        <v>0</v>
      </c>
      <c r="H291">
        <f>+bma!H291/data!$AJ291</f>
        <v>0</v>
      </c>
      <c r="I291">
        <f>+bma!I291/data!$AJ291</f>
        <v>0</v>
      </c>
      <c r="J291">
        <f>+bma!L291/data!$AJ291</f>
        <v>0</v>
      </c>
      <c r="K291">
        <f>+bma!M291/data!$AJ291</f>
        <v>5.5679616796117593</v>
      </c>
      <c r="L291">
        <f>+bma!J291/data!$AJ291</f>
        <v>0</v>
      </c>
      <c r="M291">
        <f>+bma!K291/data!$AJ291</f>
        <v>0</v>
      </c>
      <c r="N291">
        <f>+bma!N291/data!$AJ291</f>
        <v>0</v>
      </c>
      <c r="O291">
        <f>+bma!O291/data!$AJ291</f>
        <v>0</v>
      </c>
      <c r="P291">
        <f>+bma!P291/data!$AJ291</f>
        <v>5.5679616796117593</v>
      </c>
      <c r="Q291">
        <f>+bma!Q291/data!$AJ291</f>
        <v>42.340985524592945</v>
      </c>
      <c r="R291">
        <f>+bma!R291/data!$AJ291</f>
        <v>26.121245889723266</v>
      </c>
      <c r="S291">
        <f>+bma!S291/data!$AJ291</f>
        <v>5.5679616796117593</v>
      </c>
    </row>
    <row r="292" spans="1:19" x14ac:dyDescent="0.25">
      <c r="A292">
        <f>+data!AH292</f>
        <v>-0.25531914893617019</v>
      </c>
      <c r="B292">
        <f>+data!AL292</f>
        <v>6.4082125329777808</v>
      </c>
      <c r="C292">
        <f>+bma!C292/data!$AJ292</f>
        <v>6.4082125329777808</v>
      </c>
      <c r="D292">
        <f>+bma!D292/data!$AJ292</f>
        <v>0</v>
      </c>
      <c r="E292">
        <f>+bma!E292/data!$AJ292</f>
        <v>0</v>
      </c>
      <c r="F292">
        <f>+bma!F292/data!$AJ292</f>
        <v>0</v>
      </c>
      <c r="G292">
        <f>+bma!G292/data!$AJ292</f>
        <v>0</v>
      </c>
      <c r="H292">
        <f>+bma!H292/data!$AJ292</f>
        <v>0</v>
      </c>
      <c r="I292">
        <f>+bma!I292/data!$AJ292</f>
        <v>0</v>
      </c>
      <c r="J292">
        <f>+bma!L292/data!$AJ292</f>
        <v>0</v>
      </c>
      <c r="K292">
        <f>+bma!M292/data!$AJ292</f>
        <v>6.4082125329777808</v>
      </c>
      <c r="L292">
        <f>+bma!J292/data!$AJ292</f>
        <v>0</v>
      </c>
      <c r="M292">
        <f>+bma!K292/data!$AJ292</f>
        <v>0</v>
      </c>
      <c r="N292">
        <f>+bma!N292/data!$AJ292</f>
        <v>0</v>
      </c>
      <c r="O292">
        <f>+bma!O292/data!$AJ292</f>
        <v>0</v>
      </c>
      <c r="P292">
        <f>+bma!P292/data!$AJ292</f>
        <v>6.4082125329777808</v>
      </c>
      <c r="Q292">
        <f>+bma!Q292/data!$AJ292</f>
        <v>48.730585752926103</v>
      </c>
      <c r="R292">
        <f>+bma!R292/data!$AJ292</f>
        <v>30.063155050160244</v>
      </c>
      <c r="S292">
        <f>+bma!S292/data!$AJ292</f>
        <v>6.4082125329777808</v>
      </c>
    </row>
    <row r="293" spans="1:19" x14ac:dyDescent="0.25">
      <c r="A293">
        <f>+data!AH293</f>
        <v>-2.1842105263157898</v>
      </c>
      <c r="B293">
        <f>+data!AL293</f>
        <v>23.46850603731027</v>
      </c>
      <c r="C293">
        <f>+bma!C293/data!$AJ293</f>
        <v>23.46850603731027</v>
      </c>
      <c r="D293">
        <f>+bma!D293/data!$AJ293</f>
        <v>0</v>
      </c>
      <c r="E293">
        <f>+bma!E293/data!$AJ293</f>
        <v>0</v>
      </c>
      <c r="F293">
        <f>+bma!F293/data!$AJ293</f>
        <v>0</v>
      </c>
      <c r="G293">
        <f>+bma!G293/data!$AJ293</f>
        <v>0</v>
      </c>
      <c r="H293">
        <f>+bma!H293/data!$AJ293</f>
        <v>0</v>
      </c>
      <c r="I293">
        <f>+bma!I293/data!$AJ293</f>
        <v>0</v>
      </c>
      <c r="J293">
        <f>+bma!L293/data!$AJ293</f>
        <v>0</v>
      </c>
      <c r="K293">
        <f>+bma!M293/data!$AJ293</f>
        <v>23.46850603731027</v>
      </c>
      <c r="L293">
        <f>+bma!J293/data!$AJ293</f>
        <v>0</v>
      </c>
      <c r="M293">
        <f>+bma!K293/data!$AJ293</f>
        <v>0</v>
      </c>
      <c r="N293">
        <f>+bma!N293/data!$AJ293</f>
        <v>23.46850603731027</v>
      </c>
      <c r="O293">
        <f>+bma!O293/data!$AJ293</f>
        <v>0</v>
      </c>
      <c r="P293">
        <f>+bma!P293/data!$AJ293</f>
        <v>23.46850603731027</v>
      </c>
      <c r="Q293">
        <f>+bma!Q293/data!$AJ293</f>
        <v>178.46381343609809</v>
      </c>
      <c r="R293">
        <f>+bma!R293/data!$AJ293</f>
        <v>110.09892886112345</v>
      </c>
      <c r="S293">
        <f>+bma!S293/data!$AJ293</f>
        <v>23.46850603731027</v>
      </c>
    </row>
    <row r="294" spans="1:19" x14ac:dyDescent="0.25">
      <c r="A294">
        <f>+data!AH294</f>
        <v>-2.3636363636363638</v>
      </c>
      <c r="B294">
        <f>+data!AL294</f>
        <v>23.907881061681397</v>
      </c>
      <c r="C294">
        <f>+bma!C294/data!$AJ294</f>
        <v>23.907881061681397</v>
      </c>
      <c r="D294">
        <f>+bma!D294/data!$AJ294</f>
        <v>0</v>
      </c>
      <c r="E294">
        <f>+bma!E294/data!$AJ294</f>
        <v>0</v>
      </c>
      <c r="F294">
        <f>+bma!F294/data!$AJ294</f>
        <v>0</v>
      </c>
      <c r="G294">
        <f>+bma!G294/data!$AJ294</f>
        <v>0</v>
      </c>
      <c r="H294">
        <f>+bma!H294/data!$AJ294</f>
        <v>0</v>
      </c>
      <c r="I294">
        <f>+bma!I294/data!$AJ294</f>
        <v>0</v>
      </c>
      <c r="J294">
        <f>+bma!L294/data!$AJ294</f>
        <v>0</v>
      </c>
      <c r="K294">
        <f>+bma!M294/data!$AJ294</f>
        <v>23.907881061681397</v>
      </c>
      <c r="L294">
        <f>+bma!J294/data!$AJ294</f>
        <v>0</v>
      </c>
      <c r="M294">
        <f>+bma!K294/data!$AJ294</f>
        <v>0</v>
      </c>
      <c r="N294">
        <f>+bma!N294/data!$AJ294</f>
        <v>0</v>
      </c>
      <c r="O294">
        <f>+bma!O294/data!$AJ294</f>
        <v>0</v>
      </c>
      <c r="P294">
        <f>+bma!P294/data!$AJ294</f>
        <v>23.907881061681397</v>
      </c>
      <c r="Q294">
        <f>+bma!Q294/data!$AJ294</f>
        <v>181.8049951139258</v>
      </c>
      <c r="R294">
        <f>+bma!R294/data!$AJ294</f>
        <v>112.1601900029569</v>
      </c>
      <c r="S294">
        <f>+bma!S294/data!$AJ294</f>
        <v>23.907881061681397</v>
      </c>
    </row>
    <row r="295" spans="1:19" x14ac:dyDescent="0.25">
      <c r="A295">
        <f>+data!AH295</f>
        <v>-3.7333333333333334</v>
      </c>
      <c r="B295">
        <f>+data!AL295</f>
        <v>29.016164077592645</v>
      </c>
      <c r="C295">
        <f>+bma!C295/data!$AJ295</f>
        <v>29.016164077592645</v>
      </c>
      <c r="D295">
        <f>+bma!D295/data!$AJ295</f>
        <v>0</v>
      </c>
      <c r="E295">
        <f>+bma!E295/data!$AJ295</f>
        <v>0</v>
      </c>
      <c r="F295">
        <f>+bma!F295/data!$AJ295</f>
        <v>0</v>
      </c>
      <c r="G295">
        <f>+bma!G295/data!$AJ295</f>
        <v>0</v>
      </c>
      <c r="H295">
        <f>+bma!H295/data!$AJ295</f>
        <v>0</v>
      </c>
      <c r="I295">
        <f>+bma!I295/data!$AJ295</f>
        <v>0</v>
      </c>
      <c r="J295">
        <f>+bma!L295/data!$AJ295</f>
        <v>0</v>
      </c>
      <c r="K295">
        <f>+bma!M295/data!$AJ295</f>
        <v>29.016164077592645</v>
      </c>
      <c r="L295">
        <f>+bma!J295/data!$AJ295</f>
        <v>0</v>
      </c>
      <c r="M295">
        <f>+bma!K295/data!$AJ295</f>
        <v>0</v>
      </c>
      <c r="N295">
        <f>+bma!N295/data!$AJ295</f>
        <v>0</v>
      </c>
      <c r="O295">
        <f>+bma!O295/data!$AJ295</f>
        <v>0</v>
      </c>
      <c r="P295">
        <f>+bma!P295/data!$AJ295</f>
        <v>29.016164077592645</v>
      </c>
      <c r="Q295">
        <f>+bma!Q295/data!$AJ295</f>
        <v>220.65040204698923</v>
      </c>
      <c r="R295">
        <f>+bma!R295/data!$AJ295</f>
        <v>136.1249233130861</v>
      </c>
      <c r="S295">
        <f>+bma!S295/data!$AJ295</f>
        <v>29.016164077592645</v>
      </c>
    </row>
    <row r="296" spans="1:19" x14ac:dyDescent="0.25">
      <c r="A296">
        <f>+data!AH296</f>
        <v>-0.70370370370370372</v>
      </c>
      <c r="B296">
        <f>+data!AL296</f>
        <v>13.981959766163193</v>
      </c>
      <c r="C296">
        <f>+bma!C296/data!$AJ296</f>
        <v>13.981959766163193</v>
      </c>
      <c r="D296">
        <f>+bma!D296/data!$AJ296</f>
        <v>0</v>
      </c>
      <c r="E296">
        <f>+bma!E296/data!$AJ296</f>
        <v>0</v>
      </c>
      <c r="F296">
        <f>+bma!F296/data!$AJ296</f>
        <v>0</v>
      </c>
      <c r="G296">
        <f>+bma!G296/data!$AJ296</f>
        <v>0</v>
      </c>
      <c r="H296">
        <f>+bma!H296/data!$AJ296</f>
        <v>0</v>
      </c>
      <c r="I296">
        <f>+bma!I296/data!$AJ296</f>
        <v>0</v>
      </c>
      <c r="J296">
        <f>+bma!L296/data!$AJ296</f>
        <v>0</v>
      </c>
      <c r="K296">
        <f>+bma!M296/data!$AJ296</f>
        <v>13.981959766163193</v>
      </c>
      <c r="L296">
        <f>+bma!J296/data!$AJ296</f>
        <v>0</v>
      </c>
      <c r="M296">
        <f>+bma!K296/data!$AJ296</f>
        <v>0</v>
      </c>
      <c r="N296">
        <f>+bma!N296/data!$AJ296</f>
        <v>13.981959766163193</v>
      </c>
      <c r="O296">
        <f>+bma!O296/data!$AJ296</f>
        <v>0</v>
      </c>
      <c r="P296">
        <f>+bma!P296/data!$AJ296</f>
        <v>13.981959766163193</v>
      </c>
      <c r="Q296">
        <f>+bma!Q296/data!$AJ296</f>
        <v>106.32435891797233</v>
      </c>
      <c r="R296">
        <f>+bma!R296/data!$AJ296</f>
        <v>65.594238985070163</v>
      </c>
      <c r="S296">
        <f>+bma!S296/data!$AJ296</f>
        <v>13.981959766163193</v>
      </c>
    </row>
    <row r="297" spans="1:19" x14ac:dyDescent="0.25">
      <c r="A297">
        <f>+data!AH297</f>
        <v>-1.6666666666666665</v>
      </c>
      <c r="B297">
        <f>+data!AL297</f>
        <v>14.449144534462162</v>
      </c>
      <c r="C297">
        <f>+bma!C297/data!$AJ297</f>
        <v>14.449144534462162</v>
      </c>
      <c r="D297">
        <f>+bma!D297/data!$AJ297</f>
        <v>0</v>
      </c>
      <c r="E297">
        <f>+bma!E297/data!$AJ297</f>
        <v>0</v>
      </c>
      <c r="F297">
        <f>+bma!F297/data!$AJ297</f>
        <v>0</v>
      </c>
      <c r="G297">
        <f>+bma!G297/data!$AJ297</f>
        <v>0</v>
      </c>
      <c r="H297">
        <f>+bma!H297/data!$AJ297</f>
        <v>0</v>
      </c>
      <c r="I297">
        <f>+bma!I297/data!$AJ297</f>
        <v>0</v>
      </c>
      <c r="J297">
        <f>+bma!L297/data!$AJ297</f>
        <v>0</v>
      </c>
      <c r="K297">
        <f>+bma!M297/data!$AJ297</f>
        <v>14.449144534462162</v>
      </c>
      <c r="L297">
        <f>+bma!J297/data!$AJ297</f>
        <v>0</v>
      </c>
      <c r="M297">
        <f>+bma!K297/data!$AJ297</f>
        <v>0</v>
      </c>
      <c r="N297">
        <f>+bma!N297/data!$AJ297</f>
        <v>0</v>
      </c>
      <c r="O297">
        <f>+bma!O297/data!$AJ297</f>
        <v>0</v>
      </c>
      <c r="P297">
        <f>+bma!P297/data!$AJ297</f>
        <v>14.449144534462162</v>
      </c>
      <c r="Q297">
        <f>+bma!Q297/data!$AJ297</f>
        <v>109.87701690128593</v>
      </c>
      <c r="R297">
        <f>+bma!R297/data!$AJ297</f>
        <v>67.785965313459982</v>
      </c>
      <c r="S297">
        <f>+bma!S297/data!$AJ297</f>
        <v>14.449144534462162</v>
      </c>
    </row>
    <row r="298" spans="1:19" x14ac:dyDescent="0.25">
      <c r="A298">
        <f>+data!AH298</f>
        <v>-1.3529411764705881</v>
      </c>
      <c r="B298">
        <f>+data!AL298</f>
        <v>17.488008743907631</v>
      </c>
      <c r="C298">
        <f>+bma!C298/data!$AJ298</f>
        <v>17.488008743907631</v>
      </c>
      <c r="D298">
        <f>+bma!D298/data!$AJ298</f>
        <v>0</v>
      </c>
      <c r="E298">
        <f>+bma!E298/data!$AJ298</f>
        <v>0</v>
      </c>
      <c r="F298">
        <f>+bma!F298/data!$AJ298</f>
        <v>0</v>
      </c>
      <c r="G298">
        <f>+bma!G298/data!$AJ298</f>
        <v>0</v>
      </c>
      <c r="H298">
        <f>+bma!H298/data!$AJ298</f>
        <v>0</v>
      </c>
      <c r="I298">
        <f>+bma!I298/data!$AJ298</f>
        <v>0</v>
      </c>
      <c r="J298">
        <f>+bma!L298/data!$AJ298</f>
        <v>0</v>
      </c>
      <c r="K298">
        <f>+bma!M298/data!$AJ298</f>
        <v>17.488008743907631</v>
      </c>
      <c r="L298">
        <f>+bma!J298/data!$AJ298</f>
        <v>0</v>
      </c>
      <c r="M298">
        <f>+bma!K298/data!$AJ298</f>
        <v>0</v>
      </c>
      <c r="N298">
        <f>+bma!N298/data!$AJ298</f>
        <v>0</v>
      </c>
      <c r="O298">
        <f>+bma!O298/data!$AJ298</f>
        <v>0</v>
      </c>
      <c r="P298">
        <f>+bma!P298/data!$AJ298</f>
        <v>17.488008743907631</v>
      </c>
      <c r="Q298">
        <f>+bma!Q298/data!$AJ298</f>
        <v>132.9857437401362</v>
      </c>
      <c r="R298">
        <f>+bma!R298/data!$AJ298</f>
        <v>82.042334844713565</v>
      </c>
      <c r="S298">
        <f>+bma!S298/data!$AJ298</f>
        <v>17.488008743907631</v>
      </c>
    </row>
    <row r="299" spans="1:19" x14ac:dyDescent="0.25">
      <c r="A299">
        <f>+data!AH299</f>
        <v>-1.700000000000002</v>
      </c>
      <c r="B299">
        <f>+data!AL299</f>
        <v>5.0882216932834217</v>
      </c>
      <c r="C299">
        <f>+bma!C299/data!$AJ299</f>
        <v>0</v>
      </c>
      <c r="D299">
        <f>+bma!D299/data!$AJ299</f>
        <v>5.0882216932834217</v>
      </c>
      <c r="E299">
        <f>+bma!E299/data!$AJ299</f>
        <v>0</v>
      </c>
      <c r="F299">
        <f>+bma!F299/data!$AJ299</f>
        <v>0</v>
      </c>
      <c r="G299">
        <f>+bma!G299/data!$AJ299</f>
        <v>5.0882216932834217</v>
      </c>
      <c r="H299">
        <f>+bma!H299/data!$AJ299</f>
        <v>0</v>
      </c>
      <c r="I299">
        <f>+bma!I299/data!$AJ299</f>
        <v>0</v>
      </c>
      <c r="J299">
        <f>+bma!L299/data!$AJ299</f>
        <v>0</v>
      </c>
      <c r="K299">
        <f>+bma!M299/data!$AJ299</f>
        <v>0</v>
      </c>
      <c r="L299">
        <f>+bma!J299/data!$AJ299</f>
        <v>0</v>
      </c>
      <c r="M299">
        <f>+bma!K299/data!$AJ299</f>
        <v>0</v>
      </c>
      <c r="N299">
        <f>+bma!N299/data!$AJ299</f>
        <v>5.0882216932834217</v>
      </c>
      <c r="O299">
        <f>+bma!O299/data!$AJ299</f>
        <v>0</v>
      </c>
      <c r="P299">
        <f>+bma!P299/data!$AJ299</f>
        <v>5.0882216932834217</v>
      </c>
      <c r="Q299">
        <f>+bma!Q299/data!$AJ299</f>
        <v>38.657235139664692</v>
      </c>
      <c r="R299">
        <f>+bma!R299/data!$AJ299</f>
        <v>13.05102914396562</v>
      </c>
      <c r="S299">
        <f>+bma!S299/data!$AJ299</f>
        <v>5.0882216932834217</v>
      </c>
    </row>
    <row r="300" spans="1:19" x14ac:dyDescent="0.25">
      <c r="A300">
        <f>+data!AH300</f>
        <v>-4.5599999999999943</v>
      </c>
      <c r="B300">
        <f>+data!AL300</f>
        <v>6.6176733071374816</v>
      </c>
      <c r="C300">
        <f>+bma!C300/data!$AJ300</f>
        <v>0</v>
      </c>
      <c r="D300">
        <f>+bma!D300/data!$AJ300</f>
        <v>6.6176733071374816</v>
      </c>
      <c r="E300">
        <f>+bma!E300/data!$AJ300</f>
        <v>0</v>
      </c>
      <c r="F300">
        <f>+bma!F300/data!$AJ300</f>
        <v>0</v>
      </c>
      <c r="G300">
        <f>+bma!G300/data!$AJ300</f>
        <v>6.6176733071374816</v>
      </c>
      <c r="H300">
        <f>+bma!H300/data!$AJ300</f>
        <v>0</v>
      </c>
      <c r="I300">
        <f>+bma!I300/data!$AJ300</f>
        <v>0</v>
      </c>
      <c r="J300">
        <f>+bma!L300/data!$AJ300</f>
        <v>0</v>
      </c>
      <c r="K300">
        <f>+bma!M300/data!$AJ300</f>
        <v>0</v>
      </c>
      <c r="L300">
        <f>+bma!J300/data!$AJ300</f>
        <v>0</v>
      </c>
      <c r="M300">
        <f>+bma!K300/data!$AJ300</f>
        <v>0</v>
      </c>
      <c r="N300">
        <f>+bma!N300/data!$AJ300</f>
        <v>0</v>
      </c>
      <c r="O300">
        <f>+bma!O300/data!$AJ300</f>
        <v>6.6176733071374816</v>
      </c>
      <c r="P300">
        <f>+bma!P300/data!$AJ300</f>
        <v>6.6176733071374816</v>
      </c>
      <c r="Q300">
        <f>+bma!Q300/data!$AJ300</f>
        <v>50.277084712953076</v>
      </c>
      <c r="R300">
        <f>+bma!R300/data!$AJ300</f>
        <v>16.973994531468975</v>
      </c>
      <c r="S300">
        <f>+bma!S300/data!$AJ300</f>
        <v>6.6176733071374816</v>
      </c>
    </row>
    <row r="301" spans="1:19" x14ac:dyDescent="0.25">
      <c r="A301">
        <f>+data!AH301</f>
        <v>0.2</v>
      </c>
      <c r="B301">
        <f>+data!AL301</f>
        <v>4.8</v>
      </c>
      <c r="C301">
        <f>+bma!C301/data!$AJ301</f>
        <v>0</v>
      </c>
      <c r="D301">
        <f>+bma!D301/data!$AJ301</f>
        <v>4.8</v>
      </c>
      <c r="E301">
        <f>+bma!E301/data!$AJ301</f>
        <v>0</v>
      </c>
      <c r="F301">
        <f>+bma!F301/data!$AJ301</f>
        <v>0</v>
      </c>
      <c r="G301">
        <f>+bma!G301/data!$AJ301</f>
        <v>4.8</v>
      </c>
      <c r="H301">
        <f>+bma!H301/data!$AJ301</f>
        <v>0</v>
      </c>
      <c r="I301">
        <f>+bma!I301/data!$AJ301</f>
        <v>0</v>
      </c>
      <c r="J301">
        <f>+bma!L301/data!$AJ301</f>
        <v>0</v>
      </c>
      <c r="K301">
        <f>+bma!M301/data!$AJ301</f>
        <v>0</v>
      </c>
      <c r="L301">
        <f>+bma!J301/data!$AJ301</f>
        <v>0</v>
      </c>
      <c r="M301">
        <f>+bma!K301/data!$AJ301</f>
        <v>0</v>
      </c>
      <c r="N301">
        <f>+bma!N301/data!$AJ301</f>
        <v>4.8</v>
      </c>
      <c r="O301">
        <f>+bma!O301/data!$AJ301</f>
        <v>0</v>
      </c>
      <c r="P301">
        <f>+bma!P301/data!$AJ301</f>
        <v>4.8</v>
      </c>
      <c r="Q301">
        <f>+bma!Q301/data!$AJ301</f>
        <v>36.467500799999996</v>
      </c>
      <c r="R301">
        <f>+bma!R301/data!$AJ301</f>
        <v>12.311755199999999</v>
      </c>
      <c r="S301">
        <f>+bma!S301/data!$AJ301</f>
        <v>4.8</v>
      </c>
    </row>
    <row r="302" spans="1:19" x14ac:dyDescent="0.25">
      <c r="A302">
        <f>+data!AH302</f>
        <v>-2.23943661971831</v>
      </c>
      <c r="B302">
        <f>+data!AL302</f>
        <v>8.2471253400039561</v>
      </c>
      <c r="C302">
        <f>+bma!C302/data!$AJ302</f>
        <v>8.2471253400039561</v>
      </c>
      <c r="D302">
        <f>+bma!D302/data!$AJ302</f>
        <v>8.2471253400039561</v>
      </c>
      <c r="E302">
        <f>+bma!E302/data!$AJ302</f>
        <v>0</v>
      </c>
      <c r="F302">
        <f>+bma!F302/data!$AJ302</f>
        <v>8.2471253400039561</v>
      </c>
      <c r="G302">
        <f>+bma!G302/data!$AJ302</f>
        <v>0</v>
      </c>
      <c r="H302">
        <f>+bma!H302/data!$AJ302</f>
        <v>0</v>
      </c>
      <c r="I302">
        <f>+bma!I302/data!$AJ302</f>
        <v>8.2471253400039561</v>
      </c>
      <c r="J302">
        <f>+bma!L302/data!$AJ302</f>
        <v>8.2471253400039561</v>
      </c>
      <c r="K302">
        <f>+bma!M302/data!$AJ302</f>
        <v>0</v>
      </c>
      <c r="L302">
        <f>+bma!J302/data!$AJ302</f>
        <v>0</v>
      </c>
      <c r="M302">
        <f>+bma!K302/data!$AJ302</f>
        <v>0</v>
      </c>
      <c r="N302">
        <f>+bma!N302/data!$AJ302</f>
        <v>8.2471253400039561</v>
      </c>
      <c r="O302">
        <f>+bma!O302/data!$AJ302</f>
        <v>0</v>
      </c>
      <c r="P302">
        <f>+bma!P302/data!$AJ302</f>
        <v>8.2471253400039561</v>
      </c>
      <c r="Q302">
        <f>+bma!Q302/data!$AJ302</f>
        <v>62.594370037700962</v>
      </c>
      <c r="R302">
        <f>+bma!R302/data!$AJ302</f>
        <v>25.492219052341849</v>
      </c>
      <c r="S302">
        <f>+bma!S302/data!$AJ302</f>
        <v>8.2471253400039561</v>
      </c>
    </row>
    <row r="303" spans="1:19" x14ac:dyDescent="0.25">
      <c r="A303">
        <f>+data!AH303</f>
        <v>-2.9466666666666668</v>
      </c>
      <c r="B303">
        <f>+data!AL303</f>
        <v>5.1655439640413912</v>
      </c>
      <c r="C303">
        <f>+bma!C303/data!$AJ303</f>
        <v>5.1655439640413912</v>
      </c>
      <c r="D303">
        <f>+bma!D303/data!$AJ303</f>
        <v>5.1655439640413912</v>
      </c>
      <c r="E303">
        <f>+bma!E303/data!$AJ303</f>
        <v>0</v>
      </c>
      <c r="F303">
        <f>+bma!F303/data!$AJ303</f>
        <v>5.1655439640413912</v>
      </c>
      <c r="G303">
        <f>+bma!G303/data!$AJ303</f>
        <v>0</v>
      </c>
      <c r="H303">
        <f>+bma!H303/data!$AJ303</f>
        <v>0</v>
      </c>
      <c r="I303">
        <f>+bma!I303/data!$AJ303</f>
        <v>5.1655439640413912</v>
      </c>
      <c r="J303">
        <f>+bma!L303/data!$AJ303</f>
        <v>5.1655439640413912</v>
      </c>
      <c r="K303">
        <f>+bma!M303/data!$AJ303</f>
        <v>0</v>
      </c>
      <c r="L303">
        <f>+bma!J303/data!$AJ303</f>
        <v>0</v>
      </c>
      <c r="M303">
        <f>+bma!K303/data!$AJ303</f>
        <v>0</v>
      </c>
      <c r="N303">
        <f>+bma!N303/data!$AJ303</f>
        <v>5.1655439640413912</v>
      </c>
      <c r="O303">
        <f>+bma!O303/data!$AJ303</f>
        <v>0</v>
      </c>
      <c r="P303">
        <f>+bma!P303/data!$AJ303</f>
        <v>5.1655439640413912</v>
      </c>
      <c r="Q303">
        <f>+bma!Q303/data!$AJ303</f>
        <v>39.205657365583875</v>
      </c>
      <c r="R303">
        <f>+bma!R303/data!$AJ303</f>
        <v>15.966918511242396</v>
      </c>
      <c r="S303">
        <f>+bma!S303/data!$AJ303</f>
        <v>5.1655439640413912</v>
      </c>
    </row>
    <row r="304" spans="1:19" x14ac:dyDescent="0.25">
      <c r="A304">
        <f>+data!AH304</f>
        <v>-1.2457627118644068</v>
      </c>
      <c r="B304">
        <f>+data!AL304</f>
        <v>5.6171099984130421</v>
      </c>
      <c r="C304">
        <f>+bma!C304/data!$AJ304</f>
        <v>5.6171099984130421</v>
      </c>
      <c r="D304">
        <f>+bma!D304/data!$AJ304</f>
        <v>5.6171099984130421</v>
      </c>
      <c r="E304">
        <f>+bma!E304/data!$AJ304</f>
        <v>0</v>
      </c>
      <c r="F304">
        <f>+bma!F304/data!$AJ304</f>
        <v>5.6171099984130421</v>
      </c>
      <c r="G304">
        <f>+bma!G304/data!$AJ304</f>
        <v>0</v>
      </c>
      <c r="H304">
        <f>+bma!H304/data!$AJ304</f>
        <v>0</v>
      </c>
      <c r="I304">
        <f>+bma!I304/data!$AJ304</f>
        <v>5.6171099984130421</v>
      </c>
      <c r="J304">
        <f>+bma!L304/data!$AJ304</f>
        <v>5.6171099984130421</v>
      </c>
      <c r="K304">
        <f>+bma!M304/data!$AJ304</f>
        <v>0</v>
      </c>
      <c r="L304">
        <f>+bma!J304/data!$AJ304</f>
        <v>0</v>
      </c>
      <c r="M304">
        <f>+bma!K304/data!$AJ304</f>
        <v>0</v>
      </c>
      <c r="N304">
        <f>+bma!N304/data!$AJ304</f>
        <v>5.6171099984130421</v>
      </c>
      <c r="O304">
        <f>+bma!O304/data!$AJ304</f>
        <v>0</v>
      </c>
      <c r="P304">
        <f>+bma!P304/data!$AJ304</f>
        <v>5.6171099984130421</v>
      </c>
      <c r="Q304">
        <f>+bma!Q304/data!$AJ304</f>
        <v>42.632971767465236</v>
      </c>
      <c r="R304">
        <f>+bma!R304/data!$AJ304</f>
        <v>17.362728540824644</v>
      </c>
      <c r="S304">
        <f>+bma!S304/data!$AJ304</f>
        <v>5.6171099984130421</v>
      </c>
    </row>
    <row r="305" spans="1:19" x14ac:dyDescent="0.25">
      <c r="A305">
        <f>+data!AH305</f>
        <v>-1.8095238095238093</v>
      </c>
      <c r="B305">
        <f>+data!AL305</f>
        <v>8.1409075917389924</v>
      </c>
      <c r="C305">
        <f>+bma!C305/data!$AJ305</f>
        <v>8.1409075917389924</v>
      </c>
      <c r="D305">
        <f>+bma!D305/data!$AJ305</f>
        <v>8.1409075917389924</v>
      </c>
      <c r="E305">
        <f>+bma!E305/data!$AJ305</f>
        <v>0</v>
      </c>
      <c r="F305">
        <f>+bma!F305/data!$AJ305</f>
        <v>8.1409075917389924</v>
      </c>
      <c r="G305">
        <f>+bma!G305/data!$AJ305</f>
        <v>0</v>
      </c>
      <c r="H305">
        <f>+bma!H305/data!$AJ305</f>
        <v>0</v>
      </c>
      <c r="I305">
        <f>+bma!I305/data!$AJ305</f>
        <v>8.1409075917389924</v>
      </c>
      <c r="J305">
        <f>+bma!L305/data!$AJ305</f>
        <v>8.1409075917389924</v>
      </c>
      <c r="K305">
        <f>+bma!M305/data!$AJ305</f>
        <v>0</v>
      </c>
      <c r="L305">
        <f>+bma!J305/data!$AJ305</f>
        <v>0</v>
      </c>
      <c r="M305">
        <f>+bma!K305/data!$AJ305</f>
        <v>0</v>
      </c>
      <c r="N305">
        <f>+bma!N305/data!$AJ305</f>
        <v>0</v>
      </c>
      <c r="O305">
        <f>+bma!O305/data!$AJ305</f>
        <v>0</v>
      </c>
      <c r="P305">
        <f>+bma!P305/data!$AJ305</f>
        <v>8.1409075917389924</v>
      </c>
      <c r="Q305">
        <f>+bma!Q305/data!$AJ305</f>
        <v>61.788194216991862</v>
      </c>
      <c r="R305">
        <f>+bma!R305/data!$AJ305</f>
        <v>25.16389542509167</v>
      </c>
      <c r="S305">
        <f>+bma!S305/data!$AJ305</f>
        <v>8.1409075917389924</v>
      </c>
    </row>
    <row r="306" spans="1:19" x14ac:dyDescent="0.25">
      <c r="A306">
        <f>+data!AH306</f>
        <v>-1.1179624664879355</v>
      </c>
      <c r="B306">
        <f>+data!AL306</f>
        <v>4.3874639686812005</v>
      </c>
      <c r="C306">
        <f>+bma!C306/data!$AJ306</f>
        <v>4.3874639686812005</v>
      </c>
      <c r="D306">
        <f>+bma!D306/data!$AJ306</f>
        <v>4.3874639686812005</v>
      </c>
      <c r="E306">
        <f>+bma!E306/data!$AJ306</f>
        <v>0</v>
      </c>
      <c r="F306">
        <f>+bma!F306/data!$AJ306</f>
        <v>4.3874639686812005</v>
      </c>
      <c r="G306">
        <f>+bma!G306/data!$AJ306</f>
        <v>0</v>
      </c>
      <c r="H306">
        <f>+bma!H306/data!$AJ306</f>
        <v>0</v>
      </c>
      <c r="I306">
        <f>+bma!I306/data!$AJ306</f>
        <v>4.3874639686812005</v>
      </c>
      <c r="J306">
        <f>+bma!L306/data!$AJ306</f>
        <v>4.3874639686812005</v>
      </c>
      <c r="K306">
        <f>+bma!M306/data!$AJ306</f>
        <v>0</v>
      </c>
      <c r="L306">
        <f>+bma!J306/data!$AJ306</f>
        <v>0</v>
      </c>
      <c r="M306">
        <f>+bma!K306/data!$AJ306</f>
        <v>0</v>
      </c>
      <c r="N306">
        <f>+bma!N306/data!$AJ306</f>
        <v>0</v>
      </c>
      <c r="O306">
        <f>+bma!O306/data!$AJ306</f>
        <v>0</v>
      </c>
      <c r="P306">
        <f>+bma!P306/data!$AJ306</f>
        <v>4.3874639686812005</v>
      </c>
      <c r="Q306">
        <f>+bma!Q306/data!$AJ306</f>
        <v>33.300153915519296</v>
      </c>
      <c r="R306">
        <f>+bma!R306/data!$AJ306</f>
        <v>13.561839788144244</v>
      </c>
      <c r="S306">
        <f>+bma!S306/data!$AJ306</f>
        <v>4.3874639686812005</v>
      </c>
    </row>
    <row r="307" spans="1:19" x14ac:dyDescent="0.25">
      <c r="A307">
        <f>+data!AH307</f>
        <v>-0.97931034482758617</v>
      </c>
      <c r="B307">
        <f>+data!AL307</f>
        <v>5.5640856168364561</v>
      </c>
      <c r="C307">
        <f>+bma!C307/data!$AJ307</f>
        <v>5.5640856168364561</v>
      </c>
      <c r="D307">
        <f>+bma!D307/data!$AJ307</f>
        <v>5.5640856168364561</v>
      </c>
      <c r="E307">
        <f>+bma!E307/data!$AJ307</f>
        <v>0</v>
      </c>
      <c r="F307">
        <f>+bma!F307/data!$AJ307</f>
        <v>5.5640856168364561</v>
      </c>
      <c r="G307">
        <f>+bma!G307/data!$AJ307</f>
        <v>0</v>
      </c>
      <c r="H307">
        <f>+bma!H307/data!$AJ307</f>
        <v>0</v>
      </c>
      <c r="I307">
        <f>+bma!I307/data!$AJ307</f>
        <v>5.5640856168364561</v>
      </c>
      <c r="J307">
        <f>+bma!L307/data!$AJ307</f>
        <v>5.5640856168364561</v>
      </c>
      <c r="K307">
        <f>+bma!M307/data!$AJ307</f>
        <v>0</v>
      </c>
      <c r="L307">
        <f>+bma!J307/data!$AJ307</f>
        <v>0</v>
      </c>
      <c r="M307">
        <f>+bma!K307/data!$AJ307</f>
        <v>0</v>
      </c>
      <c r="N307">
        <f>+bma!N307/data!$AJ307</f>
        <v>0</v>
      </c>
      <c r="O307">
        <f>+bma!O307/data!$AJ307</f>
        <v>0</v>
      </c>
      <c r="P307">
        <f>+bma!P307/data!$AJ307</f>
        <v>5.5640856168364561</v>
      </c>
      <c r="Q307">
        <f>+bma!Q307/data!$AJ307</f>
        <v>42.23052514217563</v>
      </c>
      <c r="R307">
        <f>+bma!R307/data!$AJ307</f>
        <v>17.19882789732301</v>
      </c>
      <c r="S307">
        <f>+bma!S307/data!$AJ307</f>
        <v>5.5640856168364561</v>
      </c>
    </row>
    <row r="308" spans="1:19" x14ac:dyDescent="0.25">
      <c r="A308">
        <f>+data!AH308</f>
        <v>0.73262032085561501</v>
      </c>
      <c r="B308">
        <f>+data!AL308</f>
        <v>5.6157575209877582</v>
      </c>
      <c r="C308">
        <f>+bma!C308/data!$AJ308</f>
        <v>5.6157575209877582</v>
      </c>
      <c r="D308">
        <f>+bma!D308/data!$AJ308</f>
        <v>5.6157575209877582</v>
      </c>
      <c r="E308">
        <f>+bma!E308/data!$AJ308</f>
        <v>0</v>
      </c>
      <c r="F308">
        <f>+bma!F308/data!$AJ308</f>
        <v>5.6157575209877582</v>
      </c>
      <c r="G308">
        <f>+bma!G308/data!$AJ308</f>
        <v>0</v>
      </c>
      <c r="H308">
        <f>+bma!H308/data!$AJ308</f>
        <v>0</v>
      </c>
      <c r="I308">
        <f>+bma!I308/data!$AJ308</f>
        <v>5.6157575209877582</v>
      </c>
      <c r="J308">
        <f>+bma!L308/data!$AJ308</f>
        <v>5.6157575209877582</v>
      </c>
      <c r="K308">
        <f>+bma!M308/data!$AJ308</f>
        <v>0</v>
      </c>
      <c r="L308">
        <f>+bma!J308/data!$AJ308</f>
        <v>0</v>
      </c>
      <c r="M308">
        <f>+bma!K308/data!$AJ308</f>
        <v>0</v>
      </c>
      <c r="N308">
        <f>+bma!N308/data!$AJ308</f>
        <v>0</v>
      </c>
      <c r="O308">
        <f>+bma!O308/data!$AJ308</f>
        <v>0</v>
      </c>
      <c r="P308">
        <f>+bma!P308/data!$AJ308</f>
        <v>5.6157575209877582</v>
      </c>
      <c r="Q308">
        <f>+bma!Q308/data!$AJ308</f>
        <v>42.622706678851252</v>
      </c>
      <c r="R308">
        <f>+bma!R308/data!$AJ308</f>
        <v>17.358547974946564</v>
      </c>
      <c r="S308">
        <f>+bma!S308/data!$AJ308</f>
        <v>5.6157575209877582</v>
      </c>
    </row>
    <row r="309" spans="1:19" x14ac:dyDescent="0.25">
      <c r="A309">
        <f>+data!AH309</f>
        <v>1.192156862745098</v>
      </c>
      <c r="B309">
        <f>+data!AL309</f>
        <v>7.9637452235358586</v>
      </c>
      <c r="C309">
        <f>+bma!C309/data!$AJ309</f>
        <v>7.9637452235358586</v>
      </c>
      <c r="D309">
        <f>+bma!D309/data!$AJ309</f>
        <v>7.9637452235358586</v>
      </c>
      <c r="E309">
        <f>+bma!E309/data!$AJ309</f>
        <v>0</v>
      </c>
      <c r="F309">
        <f>+bma!F309/data!$AJ309</f>
        <v>7.9637452235358586</v>
      </c>
      <c r="G309">
        <f>+bma!G309/data!$AJ309</f>
        <v>0</v>
      </c>
      <c r="H309">
        <f>+bma!H309/data!$AJ309</f>
        <v>0</v>
      </c>
      <c r="I309">
        <f>+bma!I309/data!$AJ309</f>
        <v>7.9637452235358586</v>
      </c>
      <c r="J309">
        <f>+bma!L309/data!$AJ309</f>
        <v>7.9637452235358586</v>
      </c>
      <c r="K309">
        <f>+bma!M309/data!$AJ309</f>
        <v>0</v>
      </c>
      <c r="L309">
        <f>+bma!J309/data!$AJ309</f>
        <v>0</v>
      </c>
      <c r="M309">
        <f>+bma!K309/data!$AJ309</f>
        <v>0</v>
      </c>
      <c r="N309">
        <f>+bma!N309/data!$AJ309</f>
        <v>0</v>
      </c>
      <c r="O309">
        <f>+bma!O309/data!$AJ309</f>
        <v>0</v>
      </c>
      <c r="P309">
        <f>+bma!P309/data!$AJ309</f>
        <v>7.9637452235358586</v>
      </c>
      <c r="Q309">
        <f>+bma!Q309/data!$AJ309</f>
        <v>60.443560011146623</v>
      </c>
      <c r="R309">
        <f>+bma!R309/data!$AJ309</f>
        <v>24.616278926993953</v>
      </c>
      <c r="S309">
        <f>+bma!S309/data!$AJ309</f>
        <v>7.9637452235358586</v>
      </c>
    </row>
    <row r="310" spans="1:19" x14ac:dyDescent="0.25">
      <c r="A310">
        <f>+data!AH310</f>
        <v>-8.7301587301587297E-2</v>
      </c>
      <c r="B310">
        <f>+data!AL310</f>
        <v>4.2435388023612299</v>
      </c>
      <c r="C310">
        <f>+bma!C310/data!$AJ310</f>
        <v>4.2435388023612299</v>
      </c>
      <c r="D310">
        <f>+bma!D310/data!$AJ310</f>
        <v>4.2435388023612299</v>
      </c>
      <c r="E310">
        <f>+bma!E310/data!$AJ310</f>
        <v>0</v>
      </c>
      <c r="F310">
        <f>+bma!F310/data!$AJ310</f>
        <v>4.2435388023612299</v>
      </c>
      <c r="G310">
        <f>+bma!G310/data!$AJ310</f>
        <v>0</v>
      </c>
      <c r="H310">
        <f>+bma!H310/data!$AJ310</f>
        <v>0</v>
      </c>
      <c r="I310">
        <f>+bma!I310/data!$AJ310</f>
        <v>4.2435388023612299</v>
      </c>
      <c r="J310">
        <f>+bma!L310/data!$AJ310</f>
        <v>4.2435388023612299</v>
      </c>
      <c r="K310">
        <f>+bma!M310/data!$AJ310</f>
        <v>0</v>
      </c>
      <c r="L310">
        <f>+bma!J310/data!$AJ310</f>
        <v>0</v>
      </c>
      <c r="M310">
        <f>+bma!K310/data!$AJ310</f>
        <v>0</v>
      </c>
      <c r="N310">
        <f>+bma!N310/data!$AJ310</f>
        <v>4.2435388023612299</v>
      </c>
      <c r="O310">
        <f>+bma!O310/data!$AJ310</f>
        <v>0</v>
      </c>
      <c r="P310">
        <f>+bma!P310/data!$AJ310</f>
        <v>4.2435388023612299</v>
      </c>
      <c r="Q310">
        <f>+bma!Q310/data!$AJ310</f>
        <v>32.207784787252159</v>
      </c>
      <c r="R310">
        <f>+bma!R310/data!$AJ310</f>
        <v>13.116960910267064</v>
      </c>
      <c r="S310">
        <f>+bma!S310/data!$AJ310</f>
        <v>4.2435388023612299</v>
      </c>
    </row>
    <row r="311" spans="1:19" x14ac:dyDescent="0.25">
      <c r="A311">
        <f>+data!AH311</f>
        <v>-0.19672131147540983</v>
      </c>
      <c r="B311">
        <f>+data!AL311</f>
        <v>5.4807571807541891</v>
      </c>
      <c r="C311">
        <f>+bma!C311/data!$AJ311</f>
        <v>5.4807571807541891</v>
      </c>
      <c r="D311">
        <f>+bma!D311/data!$AJ311</f>
        <v>5.4807571807541891</v>
      </c>
      <c r="E311">
        <f>+bma!E311/data!$AJ311</f>
        <v>0</v>
      </c>
      <c r="F311">
        <f>+bma!F311/data!$AJ311</f>
        <v>5.4807571807541891</v>
      </c>
      <c r="G311">
        <f>+bma!G311/data!$AJ311</f>
        <v>0</v>
      </c>
      <c r="H311">
        <f>+bma!H311/data!$AJ311</f>
        <v>0</v>
      </c>
      <c r="I311">
        <f>+bma!I311/data!$AJ311</f>
        <v>5.4807571807541891</v>
      </c>
      <c r="J311">
        <f>+bma!L311/data!$AJ311</f>
        <v>5.4807571807541891</v>
      </c>
      <c r="K311">
        <f>+bma!M311/data!$AJ311</f>
        <v>0</v>
      </c>
      <c r="L311">
        <f>+bma!J311/data!$AJ311</f>
        <v>0</v>
      </c>
      <c r="M311">
        <f>+bma!K311/data!$AJ311</f>
        <v>0</v>
      </c>
      <c r="N311">
        <f>+bma!N311/data!$AJ311</f>
        <v>5.4807571807541891</v>
      </c>
      <c r="O311">
        <f>+bma!O311/data!$AJ311</f>
        <v>0</v>
      </c>
      <c r="P311">
        <f>+bma!P311/data!$AJ311</f>
        <v>5.4807571807541891</v>
      </c>
      <c r="Q311">
        <f>+bma!Q311/data!$AJ311</f>
        <v>41.598075561532553</v>
      </c>
      <c r="R311">
        <f>+bma!R311/data!$AJ311</f>
        <v>16.941256118269973</v>
      </c>
      <c r="S311">
        <f>+bma!S311/data!$AJ311</f>
        <v>5.4807571807541891</v>
      </c>
    </row>
    <row r="312" spans="1:19" x14ac:dyDescent="0.25">
      <c r="A312">
        <f>+data!AH312</f>
        <v>-1.9399999999999931</v>
      </c>
      <c r="B312">
        <f>+data!AL312</f>
        <v>7.4002432392455839</v>
      </c>
      <c r="C312">
        <f>+bma!C312/data!$AJ312</f>
        <v>7.4002432392455839</v>
      </c>
      <c r="D312">
        <f>+bma!D312/data!$AJ312</f>
        <v>7.4002432392455839</v>
      </c>
      <c r="E312">
        <f>+bma!E312/data!$AJ312</f>
        <v>0</v>
      </c>
      <c r="F312">
        <f>+bma!F312/data!$AJ312</f>
        <v>7.4002432392455839</v>
      </c>
      <c r="G312">
        <f>+bma!G312/data!$AJ312</f>
        <v>0</v>
      </c>
      <c r="H312">
        <f>+bma!H312/data!$AJ312</f>
        <v>0</v>
      </c>
      <c r="I312">
        <f>+bma!I312/data!$AJ312</f>
        <v>7.4002432392455839</v>
      </c>
      <c r="J312">
        <f>+bma!L312/data!$AJ312</f>
        <v>7.4002432392455839</v>
      </c>
      <c r="K312">
        <f>+bma!M312/data!$AJ312</f>
        <v>0</v>
      </c>
      <c r="L312">
        <f>+bma!J312/data!$AJ312</f>
        <v>7.4002432392455839</v>
      </c>
      <c r="M312">
        <f>+bma!K312/data!$AJ312</f>
        <v>0</v>
      </c>
      <c r="N312">
        <f>+bma!N312/data!$AJ312</f>
        <v>0</v>
      </c>
      <c r="O312">
        <f>+bma!O312/data!$AJ312</f>
        <v>7.4002432392455839</v>
      </c>
      <c r="P312">
        <f>+bma!P312/data!$AJ312</f>
        <v>7.4002432392455839</v>
      </c>
      <c r="Q312">
        <f>+bma!Q312/data!$AJ312</f>
        <v>56.159187901284064</v>
      </c>
      <c r="R312">
        <f>+bma!R312/data!$AJ312</f>
        <v>16.259999451351376</v>
      </c>
      <c r="S312">
        <f>+bma!S312/data!$AJ312</f>
        <v>0</v>
      </c>
    </row>
    <row r="313" spans="1:19" x14ac:dyDescent="0.25">
      <c r="A313">
        <f>+data!AH313</f>
        <v>-1.8299999999999985</v>
      </c>
      <c r="B313">
        <f>+data!AL313</f>
        <v>7.304033132454971</v>
      </c>
      <c r="C313">
        <f>+bma!C313/data!$AJ313</f>
        <v>7.304033132454971</v>
      </c>
      <c r="D313">
        <f>+bma!D313/data!$AJ313</f>
        <v>7.304033132454971</v>
      </c>
      <c r="E313">
        <f>+bma!E313/data!$AJ313</f>
        <v>0</v>
      </c>
      <c r="F313">
        <f>+bma!F313/data!$AJ313</f>
        <v>7.304033132454971</v>
      </c>
      <c r="G313">
        <f>+bma!G313/data!$AJ313</f>
        <v>0</v>
      </c>
      <c r="H313">
        <f>+bma!H313/data!$AJ313</f>
        <v>0</v>
      </c>
      <c r="I313">
        <f>+bma!I313/data!$AJ313</f>
        <v>7.304033132454971</v>
      </c>
      <c r="J313">
        <f>+bma!L313/data!$AJ313</f>
        <v>7.304033132454971</v>
      </c>
      <c r="K313">
        <f>+bma!M313/data!$AJ313</f>
        <v>0</v>
      </c>
      <c r="L313">
        <f>+bma!J313/data!$AJ313</f>
        <v>7.304033132454971</v>
      </c>
      <c r="M313">
        <f>+bma!K313/data!$AJ313</f>
        <v>0</v>
      </c>
      <c r="N313">
        <f>+bma!N313/data!$AJ313</f>
        <v>0</v>
      </c>
      <c r="O313">
        <f>+bma!O313/data!$AJ313</f>
        <v>7.304033132454971</v>
      </c>
      <c r="P313">
        <f>+bma!P313/data!$AJ313</f>
        <v>7.304033132454971</v>
      </c>
      <c r="Q313">
        <f>+bma!Q313/data!$AJ313</f>
        <v>55.429065756568257</v>
      </c>
      <c r="R313">
        <f>+bma!R313/data!$AJ313</f>
        <v>16.048604199458374</v>
      </c>
      <c r="S313">
        <f>+bma!S313/data!$AJ313</f>
        <v>0</v>
      </c>
    </row>
    <row r="314" spans="1:19" x14ac:dyDescent="0.25">
      <c r="A314">
        <f>+data!AH314</f>
        <v>-1.8999999999999946</v>
      </c>
      <c r="B314">
        <f>+data!AL314</f>
        <v>7.2532751223154355</v>
      </c>
      <c r="C314">
        <f>+bma!C314/data!$AJ314</f>
        <v>7.2532751223154355</v>
      </c>
      <c r="D314">
        <f>+bma!D314/data!$AJ314</f>
        <v>7.2532751223154355</v>
      </c>
      <c r="E314">
        <f>+bma!E314/data!$AJ314</f>
        <v>0</v>
      </c>
      <c r="F314">
        <f>+bma!F314/data!$AJ314</f>
        <v>7.2532751223154355</v>
      </c>
      <c r="G314">
        <f>+bma!G314/data!$AJ314</f>
        <v>0</v>
      </c>
      <c r="H314">
        <f>+bma!H314/data!$AJ314</f>
        <v>0</v>
      </c>
      <c r="I314">
        <f>+bma!I314/data!$AJ314</f>
        <v>7.2532751223154355</v>
      </c>
      <c r="J314">
        <f>+bma!L314/data!$AJ314</f>
        <v>7.2532751223154355</v>
      </c>
      <c r="K314">
        <f>+bma!M314/data!$AJ314</f>
        <v>0</v>
      </c>
      <c r="L314">
        <f>+bma!J314/data!$AJ314</f>
        <v>7.2532751223154355</v>
      </c>
      <c r="M314">
        <f>+bma!K314/data!$AJ314</f>
        <v>0</v>
      </c>
      <c r="N314">
        <f>+bma!N314/data!$AJ314</f>
        <v>0</v>
      </c>
      <c r="O314">
        <f>+bma!O314/data!$AJ314</f>
        <v>7.2532751223154355</v>
      </c>
      <c r="P314">
        <f>+bma!P314/data!$AJ314</f>
        <v>7.2532751223154355</v>
      </c>
      <c r="Q314">
        <f>+bma!Q314/data!$AJ314</f>
        <v>55.043871846481039</v>
      </c>
      <c r="R314">
        <f>+bma!R314/data!$AJ314</f>
        <v>15.937077430629532</v>
      </c>
      <c r="S314">
        <f>+bma!S314/data!$AJ314</f>
        <v>0</v>
      </c>
    </row>
    <row r="315" spans="1:19" x14ac:dyDescent="0.25">
      <c r="A315">
        <f>+data!AH315</f>
        <v>-2.9600000000000093</v>
      </c>
      <c r="B315">
        <f>+data!AL315</f>
        <v>7.5340294663612815</v>
      </c>
      <c r="C315">
        <f>+bma!C315/data!$AJ315</f>
        <v>7.5340294663612815</v>
      </c>
      <c r="D315">
        <f>+bma!D315/data!$AJ315</f>
        <v>7.5340294663612815</v>
      </c>
      <c r="E315">
        <f>+bma!E315/data!$AJ315</f>
        <v>0</v>
      </c>
      <c r="F315">
        <f>+bma!F315/data!$AJ315</f>
        <v>7.5340294663612815</v>
      </c>
      <c r="G315">
        <f>+bma!G315/data!$AJ315</f>
        <v>0</v>
      </c>
      <c r="H315">
        <f>+bma!H315/data!$AJ315</f>
        <v>0</v>
      </c>
      <c r="I315">
        <f>+bma!I315/data!$AJ315</f>
        <v>7.5340294663612815</v>
      </c>
      <c r="J315">
        <f>+bma!L315/data!$AJ315</f>
        <v>7.5340294663612815</v>
      </c>
      <c r="K315">
        <f>+bma!M315/data!$AJ315</f>
        <v>0</v>
      </c>
      <c r="L315">
        <f>+bma!J315/data!$AJ315</f>
        <v>7.5340294663612815</v>
      </c>
      <c r="M315">
        <f>+bma!K315/data!$AJ315</f>
        <v>0</v>
      </c>
      <c r="N315">
        <f>+bma!N315/data!$AJ315</f>
        <v>0</v>
      </c>
      <c r="O315">
        <f>+bma!O315/data!$AJ315</f>
        <v>7.5340294663612815</v>
      </c>
      <c r="P315">
        <f>+bma!P315/data!$AJ315</f>
        <v>7.5340294663612815</v>
      </c>
      <c r="Q315">
        <f>+bma!Q315/data!$AJ315</f>
        <v>57.174468835206476</v>
      </c>
      <c r="R315">
        <f>+bma!R315/data!$AJ315</f>
        <v>16.553957894225665</v>
      </c>
      <c r="S315">
        <f>+bma!S315/data!$AJ315</f>
        <v>0</v>
      </c>
    </row>
    <row r="316" spans="1:19" x14ac:dyDescent="0.25">
      <c r="A316">
        <f>+data!AH316</f>
        <v>-3.1599999999999984</v>
      </c>
      <c r="B316">
        <f>+data!AL316</f>
        <v>7.5488807117346868</v>
      </c>
      <c r="C316">
        <f>+bma!C316/data!$AJ316</f>
        <v>7.5488807117346868</v>
      </c>
      <c r="D316">
        <f>+bma!D316/data!$AJ316</f>
        <v>7.5488807117346868</v>
      </c>
      <c r="E316">
        <f>+bma!E316/data!$AJ316</f>
        <v>0</v>
      </c>
      <c r="F316">
        <f>+bma!F316/data!$AJ316</f>
        <v>7.5488807117346868</v>
      </c>
      <c r="G316">
        <f>+bma!G316/data!$AJ316</f>
        <v>0</v>
      </c>
      <c r="H316">
        <f>+bma!H316/data!$AJ316</f>
        <v>0</v>
      </c>
      <c r="I316">
        <f>+bma!I316/data!$AJ316</f>
        <v>7.5488807117346868</v>
      </c>
      <c r="J316">
        <f>+bma!L316/data!$AJ316</f>
        <v>7.5488807117346868</v>
      </c>
      <c r="K316">
        <f>+bma!M316/data!$AJ316</f>
        <v>0</v>
      </c>
      <c r="L316">
        <f>+bma!J316/data!$AJ316</f>
        <v>7.5488807117346868</v>
      </c>
      <c r="M316">
        <f>+bma!K316/data!$AJ316</f>
        <v>0</v>
      </c>
      <c r="N316">
        <f>+bma!N316/data!$AJ316</f>
        <v>0</v>
      </c>
      <c r="O316">
        <f>+bma!O316/data!$AJ316</f>
        <v>7.5488807117346868</v>
      </c>
      <c r="P316">
        <f>+bma!P316/data!$AJ316</f>
        <v>7.5488807117346868</v>
      </c>
      <c r="Q316">
        <f>+bma!Q316/data!$AJ316</f>
        <v>57.287172411633541</v>
      </c>
      <c r="R316">
        <f>+bma!R316/data!$AJ316</f>
        <v>16.586589421841246</v>
      </c>
      <c r="S316">
        <f>+bma!S316/data!$AJ316</f>
        <v>0</v>
      </c>
    </row>
    <row r="317" spans="1:19" x14ac:dyDescent="0.25">
      <c r="A317">
        <f>+data!AH317</f>
        <v>-3.599999999999997</v>
      </c>
      <c r="B317">
        <f>+data!AL317</f>
        <v>7.6785415281809861</v>
      </c>
      <c r="C317">
        <f>+bma!C317/data!$AJ317</f>
        <v>7.6785415281809861</v>
      </c>
      <c r="D317">
        <f>+bma!D317/data!$AJ317</f>
        <v>7.6785415281809861</v>
      </c>
      <c r="E317">
        <f>+bma!E317/data!$AJ317</f>
        <v>0</v>
      </c>
      <c r="F317">
        <f>+bma!F317/data!$AJ317</f>
        <v>7.6785415281809861</v>
      </c>
      <c r="G317">
        <f>+bma!G317/data!$AJ317</f>
        <v>0</v>
      </c>
      <c r="H317">
        <f>+bma!H317/data!$AJ317</f>
        <v>0</v>
      </c>
      <c r="I317">
        <f>+bma!I317/data!$AJ317</f>
        <v>7.6785415281809861</v>
      </c>
      <c r="J317">
        <f>+bma!L317/data!$AJ317</f>
        <v>7.6785415281809861</v>
      </c>
      <c r="K317">
        <f>+bma!M317/data!$AJ317</f>
        <v>0</v>
      </c>
      <c r="L317">
        <f>+bma!J317/data!$AJ317</f>
        <v>7.6785415281809861</v>
      </c>
      <c r="M317">
        <f>+bma!K317/data!$AJ317</f>
        <v>0</v>
      </c>
      <c r="N317">
        <f>+bma!N317/data!$AJ317</f>
        <v>0</v>
      </c>
      <c r="O317">
        <f>+bma!O317/data!$AJ317</f>
        <v>7.6785415281809861</v>
      </c>
      <c r="P317">
        <f>+bma!P317/data!$AJ317</f>
        <v>7.6785415281809861</v>
      </c>
      <c r="Q317">
        <f>+bma!Q317/data!$AJ317</f>
        <v>58.271146305305706</v>
      </c>
      <c r="R317">
        <f>+bma!R317/data!$AJ317</f>
        <v>16.871483409257465</v>
      </c>
      <c r="S317">
        <f>+bma!S317/data!$AJ317</f>
        <v>0</v>
      </c>
    </row>
    <row r="318" spans="1:19" x14ac:dyDescent="0.25">
      <c r="A318">
        <f>+data!AH318</f>
        <v>-2.7099999999999875</v>
      </c>
      <c r="B318">
        <f>+data!AL318</f>
        <v>7.3718450879003106</v>
      </c>
      <c r="C318">
        <f>+bma!C318/data!$AJ318</f>
        <v>7.3718450879003106</v>
      </c>
      <c r="D318">
        <f>+bma!D318/data!$AJ318</f>
        <v>7.3718450879003106</v>
      </c>
      <c r="E318">
        <f>+bma!E318/data!$AJ318</f>
        <v>0</v>
      </c>
      <c r="F318">
        <f>+bma!F318/data!$AJ318</f>
        <v>7.3718450879003106</v>
      </c>
      <c r="G318">
        <f>+bma!G318/data!$AJ318</f>
        <v>0</v>
      </c>
      <c r="H318">
        <f>+bma!H318/data!$AJ318</f>
        <v>0</v>
      </c>
      <c r="I318">
        <f>+bma!I318/data!$AJ318</f>
        <v>7.3718450879003106</v>
      </c>
      <c r="J318">
        <f>+bma!L318/data!$AJ318</f>
        <v>7.3718450879003106</v>
      </c>
      <c r="K318">
        <f>+bma!M318/data!$AJ318</f>
        <v>0</v>
      </c>
      <c r="L318">
        <f>+bma!J318/data!$AJ318</f>
        <v>7.3718450879003106</v>
      </c>
      <c r="M318">
        <f>+bma!K318/data!$AJ318</f>
        <v>0</v>
      </c>
      <c r="N318">
        <f>+bma!N318/data!$AJ318</f>
        <v>0</v>
      </c>
      <c r="O318">
        <f>+bma!O318/data!$AJ318</f>
        <v>7.3718450879003106</v>
      </c>
      <c r="P318">
        <f>+bma!P318/data!$AJ318</f>
        <v>7.3718450879003106</v>
      </c>
      <c r="Q318">
        <f>+bma!Q318/data!$AJ318</f>
        <v>55.943679158410511</v>
      </c>
      <c r="R318">
        <f>+bma!R318/data!$AJ318</f>
        <v>16.197602323261759</v>
      </c>
      <c r="S318">
        <f>+bma!S318/data!$AJ318</f>
        <v>0</v>
      </c>
    </row>
    <row r="319" spans="1:19" x14ac:dyDescent="0.25">
      <c r="A319">
        <f>+data!AH319</f>
        <v>-1.7300000000000006</v>
      </c>
      <c r="B319">
        <f>+data!AL319</f>
        <v>7.3479861186586364</v>
      </c>
      <c r="C319">
        <f>+bma!C319/data!$AJ319</f>
        <v>7.3479861186586364</v>
      </c>
      <c r="D319">
        <f>+bma!D319/data!$AJ319</f>
        <v>7.3479861186586364</v>
      </c>
      <c r="E319">
        <f>+bma!E319/data!$AJ319</f>
        <v>0</v>
      </c>
      <c r="F319">
        <f>+bma!F319/data!$AJ319</f>
        <v>7.3479861186586364</v>
      </c>
      <c r="G319">
        <f>+bma!G319/data!$AJ319</f>
        <v>0</v>
      </c>
      <c r="H319">
        <f>+bma!H319/data!$AJ319</f>
        <v>0</v>
      </c>
      <c r="I319">
        <f>+bma!I319/data!$AJ319</f>
        <v>7.3479861186586364</v>
      </c>
      <c r="J319">
        <f>+bma!L319/data!$AJ319</f>
        <v>7.3479861186586364</v>
      </c>
      <c r="K319">
        <f>+bma!M319/data!$AJ319</f>
        <v>0</v>
      </c>
      <c r="L319">
        <f>+bma!J319/data!$AJ319</f>
        <v>0</v>
      </c>
      <c r="M319">
        <f>+bma!K319/data!$AJ319</f>
        <v>7.3479861186586364</v>
      </c>
      <c r="N319">
        <f>+bma!N319/data!$AJ319</f>
        <v>0</v>
      </c>
      <c r="O319">
        <f>+bma!O319/data!$AJ319</f>
        <v>7.3479861186586364</v>
      </c>
      <c r="P319">
        <f>+bma!P319/data!$AJ319</f>
        <v>7.3479861186586364</v>
      </c>
      <c r="Q319">
        <f>+bma!Q319/data!$AJ319</f>
        <v>55.762617496860216</v>
      </c>
      <c r="R319">
        <f>+bma!R319/data!$AJ319</f>
        <v>16.145178799569724</v>
      </c>
      <c r="S319">
        <f>+bma!S319/data!$AJ319</f>
        <v>0</v>
      </c>
    </row>
    <row r="320" spans="1:19" x14ac:dyDescent="0.25">
      <c r="A320">
        <f>+data!AH320</f>
        <v>-1.5200000000000067</v>
      </c>
      <c r="B320">
        <f>+data!AL320</f>
        <v>7.2325928960504902</v>
      </c>
      <c r="C320">
        <f>+bma!C320/data!$AJ320</f>
        <v>7.2325928960504902</v>
      </c>
      <c r="D320">
        <f>+bma!D320/data!$AJ320</f>
        <v>7.2325928960504902</v>
      </c>
      <c r="E320">
        <f>+bma!E320/data!$AJ320</f>
        <v>0</v>
      </c>
      <c r="F320">
        <f>+bma!F320/data!$AJ320</f>
        <v>7.2325928960504902</v>
      </c>
      <c r="G320">
        <f>+bma!G320/data!$AJ320</f>
        <v>0</v>
      </c>
      <c r="H320">
        <f>+bma!H320/data!$AJ320</f>
        <v>0</v>
      </c>
      <c r="I320">
        <f>+bma!I320/data!$AJ320</f>
        <v>7.2325928960504902</v>
      </c>
      <c r="J320">
        <f>+bma!L320/data!$AJ320</f>
        <v>7.2325928960504902</v>
      </c>
      <c r="K320">
        <f>+bma!M320/data!$AJ320</f>
        <v>0</v>
      </c>
      <c r="L320">
        <f>+bma!J320/data!$AJ320</f>
        <v>0</v>
      </c>
      <c r="M320">
        <f>+bma!K320/data!$AJ320</f>
        <v>7.2325928960504902</v>
      </c>
      <c r="N320">
        <f>+bma!N320/data!$AJ320</f>
        <v>0</v>
      </c>
      <c r="O320">
        <f>+bma!O320/data!$AJ320</f>
        <v>7.2325928960504902</v>
      </c>
      <c r="P320">
        <f>+bma!P320/data!$AJ320</f>
        <v>7.2325928960504902</v>
      </c>
      <c r="Q320">
        <f>+bma!Q320/data!$AJ320</f>
        <v>54.886917947334844</v>
      </c>
      <c r="R320">
        <f>+bma!R320/data!$AJ320</f>
        <v>15.891633926024539</v>
      </c>
      <c r="S320">
        <f>+bma!S320/data!$AJ320</f>
        <v>0</v>
      </c>
    </row>
    <row r="321" spans="1:19" x14ac:dyDescent="0.25">
      <c r="A321">
        <f>+data!AH321</f>
        <v>-1.5300000000000009</v>
      </c>
      <c r="B321">
        <f>+data!AL321</f>
        <v>7.1652564504000837</v>
      </c>
      <c r="C321">
        <f>+bma!C321/data!$AJ321</f>
        <v>7.1652564504000837</v>
      </c>
      <c r="D321">
        <f>+bma!D321/data!$AJ321</f>
        <v>7.1652564504000837</v>
      </c>
      <c r="E321">
        <f>+bma!E321/data!$AJ321</f>
        <v>0</v>
      </c>
      <c r="F321">
        <f>+bma!F321/data!$AJ321</f>
        <v>7.1652564504000837</v>
      </c>
      <c r="G321">
        <f>+bma!G321/data!$AJ321</f>
        <v>0</v>
      </c>
      <c r="H321">
        <f>+bma!H321/data!$AJ321</f>
        <v>0</v>
      </c>
      <c r="I321">
        <f>+bma!I321/data!$AJ321</f>
        <v>7.1652564504000837</v>
      </c>
      <c r="J321">
        <f>+bma!L321/data!$AJ321</f>
        <v>7.1652564504000837</v>
      </c>
      <c r="K321">
        <f>+bma!M321/data!$AJ321</f>
        <v>0</v>
      </c>
      <c r="L321">
        <f>+bma!J321/data!$AJ321</f>
        <v>0</v>
      </c>
      <c r="M321">
        <f>+bma!K321/data!$AJ321</f>
        <v>7.1652564504000837</v>
      </c>
      <c r="N321">
        <f>+bma!N321/data!$AJ321</f>
        <v>0</v>
      </c>
      <c r="O321">
        <f>+bma!O321/data!$AJ321</f>
        <v>7.1652564504000837</v>
      </c>
      <c r="P321">
        <f>+bma!P321/data!$AJ321</f>
        <v>7.1652564504000837</v>
      </c>
      <c r="Q321">
        <f>+bma!Q321/data!$AJ321</f>
        <v>54.375913108489662</v>
      </c>
      <c r="R321">
        <f>+bma!R321/data!$AJ321</f>
        <v>15.743680604230324</v>
      </c>
      <c r="S321">
        <f>+bma!S321/data!$AJ321</f>
        <v>0</v>
      </c>
    </row>
    <row r="322" spans="1:19" x14ac:dyDescent="0.25">
      <c r="A322">
        <f>+data!AH322</f>
        <v>-2.5200000000000022</v>
      </c>
      <c r="B322">
        <f>+data!AL322</f>
        <v>7.3722723769540695</v>
      </c>
      <c r="C322">
        <f>+bma!C322/data!$AJ322</f>
        <v>7.3722723769540695</v>
      </c>
      <c r="D322">
        <f>+bma!D322/data!$AJ322</f>
        <v>7.3722723769540695</v>
      </c>
      <c r="E322">
        <f>+bma!E322/data!$AJ322</f>
        <v>0</v>
      </c>
      <c r="F322">
        <f>+bma!F322/data!$AJ322</f>
        <v>7.3722723769540695</v>
      </c>
      <c r="G322">
        <f>+bma!G322/data!$AJ322</f>
        <v>0</v>
      </c>
      <c r="H322">
        <f>+bma!H322/data!$AJ322</f>
        <v>0</v>
      </c>
      <c r="I322">
        <f>+bma!I322/data!$AJ322</f>
        <v>7.3722723769540695</v>
      </c>
      <c r="J322">
        <f>+bma!L322/data!$AJ322</f>
        <v>7.3722723769540695</v>
      </c>
      <c r="K322">
        <f>+bma!M322/data!$AJ322</f>
        <v>0</v>
      </c>
      <c r="L322">
        <f>+bma!J322/data!$AJ322</f>
        <v>0</v>
      </c>
      <c r="M322">
        <f>+bma!K322/data!$AJ322</f>
        <v>7.3722723769540695</v>
      </c>
      <c r="N322">
        <f>+bma!N322/data!$AJ322</f>
        <v>0</v>
      </c>
      <c r="O322">
        <f>+bma!O322/data!$AJ322</f>
        <v>7.3722723769540695</v>
      </c>
      <c r="P322">
        <f>+bma!P322/data!$AJ322</f>
        <v>7.3722723769540695</v>
      </c>
      <c r="Q322">
        <f>+bma!Q322/data!$AJ322</f>
        <v>55.946921782400345</v>
      </c>
      <c r="R322">
        <f>+bma!R322/data!$AJ322</f>
        <v>16.198541173452906</v>
      </c>
      <c r="S322">
        <f>+bma!S322/data!$AJ322</f>
        <v>0</v>
      </c>
    </row>
    <row r="323" spans="1:19" x14ac:dyDescent="0.25">
      <c r="A323">
        <f>+data!AH323</f>
        <v>-2.6600000000000037</v>
      </c>
      <c r="B323">
        <f>+data!AL323</f>
        <v>7.3536113576935804</v>
      </c>
      <c r="C323">
        <f>+bma!C323/data!$AJ323</f>
        <v>7.3536113576935804</v>
      </c>
      <c r="D323">
        <f>+bma!D323/data!$AJ323</f>
        <v>7.3536113576935804</v>
      </c>
      <c r="E323">
        <f>+bma!E323/data!$AJ323</f>
        <v>0</v>
      </c>
      <c r="F323">
        <f>+bma!F323/data!$AJ323</f>
        <v>7.3536113576935804</v>
      </c>
      <c r="G323">
        <f>+bma!G323/data!$AJ323</f>
        <v>0</v>
      </c>
      <c r="H323">
        <f>+bma!H323/data!$AJ323</f>
        <v>0</v>
      </c>
      <c r="I323">
        <f>+bma!I323/data!$AJ323</f>
        <v>7.3536113576935804</v>
      </c>
      <c r="J323">
        <f>+bma!L323/data!$AJ323</f>
        <v>7.3536113576935804</v>
      </c>
      <c r="K323">
        <f>+bma!M323/data!$AJ323</f>
        <v>0</v>
      </c>
      <c r="L323">
        <f>+bma!J323/data!$AJ323</f>
        <v>0</v>
      </c>
      <c r="M323">
        <f>+bma!K323/data!$AJ323</f>
        <v>7.3536113576935804</v>
      </c>
      <c r="N323">
        <f>+bma!N323/data!$AJ323</f>
        <v>0</v>
      </c>
      <c r="O323">
        <f>+bma!O323/data!$AJ323</f>
        <v>7.3536113576935804</v>
      </c>
      <c r="P323">
        <f>+bma!P323/data!$AJ323</f>
        <v>7.3536113576935804</v>
      </c>
      <c r="Q323">
        <f>+bma!Q323/data!$AJ323</f>
        <v>55.805306479605775</v>
      </c>
      <c r="R323">
        <f>+bma!R323/data!$AJ323</f>
        <v>16.157538715408275</v>
      </c>
      <c r="S323">
        <f>+bma!S323/data!$AJ323</f>
        <v>0</v>
      </c>
    </row>
    <row r="324" spans="1:19" x14ac:dyDescent="0.25">
      <c r="A324">
        <f>+data!AH324</f>
        <v>-2.9500000000000055</v>
      </c>
      <c r="B324">
        <f>+data!AL324</f>
        <v>7.3961138444456109</v>
      </c>
      <c r="C324">
        <f>+bma!C324/data!$AJ324</f>
        <v>7.3961138444456109</v>
      </c>
      <c r="D324">
        <f>+bma!D324/data!$AJ324</f>
        <v>7.3961138444456109</v>
      </c>
      <c r="E324">
        <f>+bma!E324/data!$AJ324</f>
        <v>0</v>
      </c>
      <c r="F324">
        <f>+bma!F324/data!$AJ324</f>
        <v>7.3961138444456109</v>
      </c>
      <c r="G324">
        <f>+bma!G324/data!$AJ324</f>
        <v>0</v>
      </c>
      <c r="H324">
        <f>+bma!H324/data!$AJ324</f>
        <v>0</v>
      </c>
      <c r="I324">
        <f>+bma!I324/data!$AJ324</f>
        <v>7.3961138444456109</v>
      </c>
      <c r="J324">
        <f>+bma!L324/data!$AJ324</f>
        <v>7.3961138444456109</v>
      </c>
      <c r="K324">
        <f>+bma!M324/data!$AJ324</f>
        <v>0</v>
      </c>
      <c r="L324">
        <f>+bma!J324/data!$AJ324</f>
        <v>0</v>
      </c>
      <c r="M324">
        <f>+bma!K324/data!$AJ324</f>
        <v>7.3961138444456109</v>
      </c>
      <c r="N324">
        <f>+bma!N324/data!$AJ324</f>
        <v>0</v>
      </c>
      <c r="O324">
        <f>+bma!O324/data!$AJ324</f>
        <v>7.3961138444456109</v>
      </c>
      <c r="P324">
        <f>+bma!P324/data!$AJ324</f>
        <v>7.3961138444456109</v>
      </c>
      <c r="Q324">
        <f>+bma!Q324/data!$AJ324</f>
        <v>56.127850626144181</v>
      </c>
      <c r="R324">
        <f>+bma!R324/data!$AJ324</f>
        <v>16.250926241862008</v>
      </c>
      <c r="S324">
        <f>+bma!S324/data!$AJ324</f>
        <v>0</v>
      </c>
    </row>
    <row r="325" spans="1:19" x14ac:dyDescent="0.25">
      <c r="A325">
        <f>+data!AH325</f>
        <v>-2.8599999999999879</v>
      </c>
      <c r="B325">
        <f>+data!AL325</f>
        <v>7.4282972476873805</v>
      </c>
      <c r="C325">
        <f>+bma!C325/data!$AJ325</f>
        <v>7.4282972476873805</v>
      </c>
      <c r="D325">
        <f>+bma!D325/data!$AJ325</f>
        <v>7.4282972476873805</v>
      </c>
      <c r="E325">
        <f>+bma!E325/data!$AJ325</f>
        <v>0</v>
      </c>
      <c r="F325">
        <f>+bma!F325/data!$AJ325</f>
        <v>7.4282972476873805</v>
      </c>
      <c r="G325">
        <f>+bma!G325/data!$AJ325</f>
        <v>0</v>
      </c>
      <c r="H325">
        <f>+bma!H325/data!$AJ325</f>
        <v>0</v>
      </c>
      <c r="I325">
        <f>+bma!I325/data!$AJ325</f>
        <v>7.4282972476873805</v>
      </c>
      <c r="J325">
        <f>+bma!L325/data!$AJ325</f>
        <v>7.4282972476873805</v>
      </c>
      <c r="K325">
        <f>+bma!M325/data!$AJ325</f>
        <v>0</v>
      </c>
      <c r="L325">
        <f>+bma!J325/data!$AJ325</f>
        <v>0</v>
      </c>
      <c r="M325">
        <f>+bma!K325/data!$AJ325</f>
        <v>7.4282972476873805</v>
      </c>
      <c r="N325">
        <f>+bma!N325/data!$AJ325</f>
        <v>0</v>
      </c>
      <c r="O325">
        <f>+bma!O325/data!$AJ325</f>
        <v>7.4282972476873805</v>
      </c>
      <c r="P325">
        <f>+bma!P325/data!$AJ325</f>
        <v>7.4282972476873805</v>
      </c>
      <c r="Q325">
        <f>+bma!Q325/data!$AJ325</f>
        <v>56.372085002167424</v>
      </c>
      <c r="R325">
        <f>+bma!R325/data!$AJ325</f>
        <v>16.321640420049903</v>
      </c>
      <c r="S325">
        <f>+bma!S325/data!$AJ325</f>
        <v>0</v>
      </c>
    </row>
    <row r="326" spans="1:19" x14ac:dyDescent="0.25">
      <c r="A326">
        <f>+data!AH326</f>
        <v>-2.8900000000000157</v>
      </c>
      <c r="B326">
        <f>+data!AL326</f>
        <v>7.4398991928654583</v>
      </c>
      <c r="C326">
        <f>+bma!C326/data!$AJ326</f>
        <v>7.4398991928654583</v>
      </c>
      <c r="D326">
        <f>+bma!D326/data!$AJ326</f>
        <v>7.4398991928654583</v>
      </c>
      <c r="E326">
        <f>+bma!E326/data!$AJ326</f>
        <v>0</v>
      </c>
      <c r="F326">
        <f>+bma!F326/data!$AJ326</f>
        <v>7.4398991928654583</v>
      </c>
      <c r="G326">
        <f>+bma!G326/data!$AJ326</f>
        <v>0</v>
      </c>
      <c r="H326">
        <f>+bma!H326/data!$AJ326</f>
        <v>0</v>
      </c>
      <c r="I326">
        <f>+bma!I326/data!$AJ326</f>
        <v>7.4398991928654583</v>
      </c>
      <c r="J326">
        <f>+bma!L326/data!$AJ326</f>
        <v>7.4398991928654583</v>
      </c>
      <c r="K326">
        <f>+bma!M326/data!$AJ326</f>
        <v>0</v>
      </c>
      <c r="L326">
        <f>+bma!J326/data!$AJ326</f>
        <v>0</v>
      </c>
      <c r="M326">
        <f>+bma!K326/data!$AJ326</f>
        <v>0</v>
      </c>
      <c r="N326">
        <f>+bma!N326/data!$AJ326</f>
        <v>0</v>
      </c>
      <c r="O326">
        <f>+bma!O326/data!$AJ326</f>
        <v>7.4398991928654583</v>
      </c>
      <c r="P326">
        <f>+bma!P326/data!$AJ326</f>
        <v>7.4398991928654583</v>
      </c>
      <c r="Q326">
        <f>+bma!Q326/data!$AJ326</f>
        <v>56.460130191793176</v>
      </c>
      <c r="R326">
        <f>+bma!R326/data!$AJ326</f>
        <v>16.347132504043806</v>
      </c>
      <c r="S326">
        <f>+bma!S326/data!$AJ326</f>
        <v>0</v>
      </c>
    </row>
    <row r="327" spans="1:19" x14ac:dyDescent="0.25">
      <c r="A327">
        <f>+data!AH327</f>
        <v>0.25</v>
      </c>
      <c r="B327">
        <f>+data!AL327</f>
        <v>7.0754858490424528</v>
      </c>
      <c r="C327">
        <f>+bma!C327/data!$AJ327</f>
        <v>7.0754858490424528</v>
      </c>
      <c r="D327">
        <f>+bma!D327/data!$AJ327</f>
        <v>7.0754858490424528</v>
      </c>
      <c r="E327">
        <f>+bma!E327/data!$AJ327</f>
        <v>0</v>
      </c>
      <c r="F327">
        <f>+bma!F327/data!$AJ327</f>
        <v>7.0754858490424528</v>
      </c>
      <c r="G327">
        <f>+bma!G327/data!$AJ327</f>
        <v>0</v>
      </c>
      <c r="H327">
        <f>+bma!H327/data!$AJ327</f>
        <v>0</v>
      </c>
      <c r="I327">
        <f>+bma!I327/data!$AJ327</f>
        <v>7.0754858490424528</v>
      </c>
      <c r="J327">
        <f>+bma!L327/data!$AJ327</f>
        <v>7.0754858490424528</v>
      </c>
      <c r="K327">
        <f>+bma!M327/data!$AJ327</f>
        <v>0</v>
      </c>
      <c r="L327">
        <f>+bma!J327/data!$AJ327</f>
        <v>7.0754858490424528</v>
      </c>
      <c r="M327">
        <f>+bma!K327/data!$AJ327</f>
        <v>0</v>
      </c>
      <c r="N327">
        <f>+bma!N327/data!$AJ327</f>
        <v>7.0754858490424528</v>
      </c>
      <c r="O327">
        <f>+bma!O327/data!$AJ327</f>
        <v>0</v>
      </c>
      <c r="P327">
        <f>+bma!P327/data!$AJ327</f>
        <v>7.0754858490424528</v>
      </c>
      <c r="Q327">
        <f>+bma!Q327/data!$AJ327</f>
        <v>53.694659275788837</v>
      </c>
      <c r="R327">
        <f>+bma!R327/data!$AJ327</f>
        <v>15.546434394662302</v>
      </c>
      <c r="S327">
        <f>+bma!S327/data!$AJ327</f>
        <v>0</v>
      </c>
    </row>
    <row r="328" spans="1:19" x14ac:dyDescent="0.25">
      <c r="A328">
        <f>+data!AH328</f>
        <v>0.13000000000000006</v>
      </c>
      <c r="B328">
        <f>+data!AL328</f>
        <v>7.0012070387898113</v>
      </c>
      <c r="C328">
        <f>+bma!C328/data!$AJ328</f>
        <v>7.0012070387898113</v>
      </c>
      <c r="D328">
        <f>+bma!D328/data!$AJ328</f>
        <v>7.0012070387898113</v>
      </c>
      <c r="E328">
        <f>+bma!E328/data!$AJ328</f>
        <v>0</v>
      </c>
      <c r="F328">
        <f>+bma!F328/data!$AJ328</f>
        <v>7.0012070387898113</v>
      </c>
      <c r="G328">
        <f>+bma!G328/data!$AJ328</f>
        <v>0</v>
      </c>
      <c r="H328">
        <f>+bma!H328/data!$AJ328</f>
        <v>0</v>
      </c>
      <c r="I328">
        <f>+bma!I328/data!$AJ328</f>
        <v>7.0012070387898113</v>
      </c>
      <c r="J328">
        <f>+bma!L328/data!$AJ328</f>
        <v>7.0012070387898113</v>
      </c>
      <c r="K328">
        <f>+bma!M328/data!$AJ328</f>
        <v>0</v>
      </c>
      <c r="L328">
        <f>+bma!J328/data!$AJ328</f>
        <v>7.0012070387898113</v>
      </c>
      <c r="M328">
        <f>+bma!K328/data!$AJ328</f>
        <v>0</v>
      </c>
      <c r="N328">
        <f>+bma!N328/data!$AJ328</f>
        <v>7.0012070387898113</v>
      </c>
      <c r="O328">
        <f>+bma!O328/data!$AJ328</f>
        <v>0</v>
      </c>
      <c r="P328">
        <f>+bma!P328/data!$AJ328</f>
        <v>7.0012070387898113</v>
      </c>
      <c r="Q328">
        <f>+bma!Q328/data!$AJ328</f>
        <v>53.130970012179283</v>
      </c>
      <c r="R328">
        <f>+bma!R328/data!$AJ328</f>
        <v>15.383227135804944</v>
      </c>
      <c r="S328">
        <f>+bma!S328/data!$AJ328</f>
        <v>0</v>
      </c>
    </row>
    <row r="329" spans="1:19" x14ac:dyDescent="0.25">
      <c r="A329">
        <f>+data!AH329</f>
        <v>-0.51999999999999946</v>
      </c>
      <c r="B329">
        <f>+data!AL329</f>
        <v>6.947690263677563</v>
      </c>
      <c r="C329">
        <f>+bma!C329/data!$AJ329</f>
        <v>6.947690263677563</v>
      </c>
      <c r="D329">
        <f>+bma!D329/data!$AJ329</f>
        <v>6.947690263677563</v>
      </c>
      <c r="E329">
        <f>+bma!E329/data!$AJ329</f>
        <v>0</v>
      </c>
      <c r="F329">
        <f>+bma!F329/data!$AJ329</f>
        <v>6.947690263677563</v>
      </c>
      <c r="G329">
        <f>+bma!G329/data!$AJ329</f>
        <v>0</v>
      </c>
      <c r="H329">
        <f>+bma!H329/data!$AJ329</f>
        <v>0</v>
      </c>
      <c r="I329">
        <f>+bma!I329/data!$AJ329</f>
        <v>6.947690263677563</v>
      </c>
      <c r="J329">
        <f>+bma!L329/data!$AJ329</f>
        <v>6.947690263677563</v>
      </c>
      <c r="K329">
        <f>+bma!M329/data!$AJ329</f>
        <v>0</v>
      </c>
      <c r="L329">
        <f>+bma!J329/data!$AJ329</f>
        <v>6.947690263677563</v>
      </c>
      <c r="M329">
        <f>+bma!K329/data!$AJ329</f>
        <v>0</v>
      </c>
      <c r="N329">
        <f>+bma!N329/data!$AJ329</f>
        <v>6.947690263677563</v>
      </c>
      <c r="O329">
        <f>+bma!O329/data!$AJ329</f>
        <v>0</v>
      </c>
      <c r="P329">
        <f>+bma!P329/data!$AJ329</f>
        <v>6.947690263677563</v>
      </c>
      <c r="Q329">
        <f>+bma!Q329/data!$AJ329</f>
        <v>52.724840303704205</v>
      </c>
      <c r="R329">
        <f>+bma!R329/data!$AJ329</f>
        <v>15.265638739608935</v>
      </c>
      <c r="S329">
        <f>+bma!S329/data!$AJ329</f>
        <v>0</v>
      </c>
    </row>
    <row r="330" spans="1:19" x14ac:dyDescent="0.25">
      <c r="A330">
        <f>+data!AH330</f>
        <v>-0.73999999999999944</v>
      </c>
      <c r="B330">
        <f>+data!AL330</f>
        <v>6.8954767782945936</v>
      </c>
      <c r="C330">
        <f>+bma!C330/data!$AJ330</f>
        <v>6.8954767782945936</v>
      </c>
      <c r="D330">
        <f>+bma!D330/data!$AJ330</f>
        <v>6.8954767782945936</v>
      </c>
      <c r="E330">
        <f>+bma!E330/data!$AJ330</f>
        <v>0</v>
      </c>
      <c r="F330">
        <f>+bma!F330/data!$AJ330</f>
        <v>6.8954767782945936</v>
      </c>
      <c r="G330">
        <f>+bma!G330/data!$AJ330</f>
        <v>0</v>
      </c>
      <c r="H330">
        <f>+bma!H330/data!$AJ330</f>
        <v>0</v>
      </c>
      <c r="I330">
        <f>+bma!I330/data!$AJ330</f>
        <v>6.8954767782945936</v>
      </c>
      <c r="J330">
        <f>+bma!L330/data!$AJ330</f>
        <v>6.8954767782945936</v>
      </c>
      <c r="K330">
        <f>+bma!M330/data!$AJ330</f>
        <v>0</v>
      </c>
      <c r="L330">
        <f>+bma!J330/data!$AJ330</f>
        <v>6.8954767782945936</v>
      </c>
      <c r="M330">
        <f>+bma!K330/data!$AJ330</f>
        <v>0</v>
      </c>
      <c r="N330">
        <f>+bma!N330/data!$AJ330</f>
        <v>6.8954767782945936</v>
      </c>
      <c r="O330">
        <f>+bma!O330/data!$AJ330</f>
        <v>0</v>
      </c>
      <c r="P330">
        <f>+bma!P330/data!$AJ330</f>
        <v>6.8954767782945936</v>
      </c>
      <c r="Q330">
        <f>+bma!Q330/data!$AJ330</f>
        <v>52.328601039425358</v>
      </c>
      <c r="R330">
        <f>+bma!R330/data!$AJ330</f>
        <v>15.150913964188339</v>
      </c>
      <c r="S330">
        <f>+bma!S330/data!$AJ330</f>
        <v>0</v>
      </c>
    </row>
    <row r="331" spans="1:19" x14ac:dyDescent="0.25">
      <c r="A331">
        <f>+data!AH331</f>
        <v>-0.93999999999999917</v>
      </c>
      <c r="B331">
        <f>+data!AL331</f>
        <v>6.8471599952096929</v>
      </c>
      <c r="C331">
        <f>+bma!C331/data!$AJ331</f>
        <v>6.8471599952096929</v>
      </c>
      <c r="D331">
        <f>+bma!D331/data!$AJ331</f>
        <v>6.8471599952096929</v>
      </c>
      <c r="E331">
        <f>+bma!E331/data!$AJ331</f>
        <v>0</v>
      </c>
      <c r="F331">
        <f>+bma!F331/data!$AJ331</f>
        <v>6.8471599952096929</v>
      </c>
      <c r="G331">
        <f>+bma!G331/data!$AJ331</f>
        <v>0</v>
      </c>
      <c r="H331">
        <f>+bma!H331/data!$AJ331</f>
        <v>0</v>
      </c>
      <c r="I331">
        <f>+bma!I331/data!$AJ331</f>
        <v>6.8471599952096929</v>
      </c>
      <c r="J331">
        <f>+bma!L331/data!$AJ331</f>
        <v>6.8471599952096929</v>
      </c>
      <c r="K331">
        <f>+bma!M331/data!$AJ331</f>
        <v>0</v>
      </c>
      <c r="L331">
        <f>+bma!J331/data!$AJ331</f>
        <v>6.8471599952096929</v>
      </c>
      <c r="M331">
        <f>+bma!K331/data!$AJ331</f>
        <v>0</v>
      </c>
      <c r="N331">
        <f>+bma!N331/data!$AJ331</f>
        <v>6.8471599952096929</v>
      </c>
      <c r="O331">
        <f>+bma!O331/data!$AJ331</f>
        <v>0</v>
      </c>
      <c r="P331">
        <f>+bma!P331/data!$AJ331</f>
        <v>6.8471599952096929</v>
      </c>
      <c r="Q331">
        <f>+bma!Q331/data!$AJ331</f>
        <v>51.961933186447169</v>
      </c>
      <c r="R331">
        <f>+bma!R331/data!$AJ331</f>
        <v>15.044751120474617</v>
      </c>
      <c r="S331">
        <f>+bma!S331/data!$AJ331</f>
        <v>0</v>
      </c>
    </row>
    <row r="332" spans="1:19" x14ac:dyDescent="0.25">
      <c r="A332">
        <f>+data!AH332</f>
        <v>-3.7000000000001667</v>
      </c>
      <c r="B332">
        <f>+data!AL332</f>
        <v>7.7903786814250084</v>
      </c>
      <c r="C332">
        <f>+bma!C332/data!$AJ332</f>
        <v>7.7903786814250084</v>
      </c>
      <c r="D332">
        <f>+bma!D332/data!$AJ332</f>
        <v>7.7903786814250084</v>
      </c>
      <c r="E332">
        <f>+bma!E332/data!$AJ332</f>
        <v>0</v>
      </c>
      <c r="F332">
        <f>+bma!F332/data!$AJ332</f>
        <v>7.7903786814250084</v>
      </c>
      <c r="G332">
        <f>+bma!G332/data!$AJ332</f>
        <v>0</v>
      </c>
      <c r="H332">
        <f>+bma!H332/data!$AJ332</f>
        <v>0</v>
      </c>
      <c r="I332">
        <f>+bma!I332/data!$AJ332</f>
        <v>7.7903786814250084</v>
      </c>
      <c r="J332">
        <f>+bma!L332/data!$AJ332</f>
        <v>7.7903786814250084</v>
      </c>
      <c r="K332">
        <f>+bma!M332/data!$AJ332</f>
        <v>0</v>
      </c>
      <c r="L332">
        <f>+bma!J332/data!$AJ332</f>
        <v>7.7903786814250084</v>
      </c>
      <c r="M332">
        <f>+bma!K332/data!$AJ332</f>
        <v>0</v>
      </c>
      <c r="N332">
        <f>+bma!N332/data!$AJ332</f>
        <v>7.7903786814250084</v>
      </c>
      <c r="O332">
        <f>+bma!O332/data!$AJ332</f>
        <v>0</v>
      </c>
      <c r="P332">
        <f>+bma!P332/data!$AJ332</f>
        <v>7.7903786814250084</v>
      </c>
      <c r="Q332">
        <f>+bma!Q332/data!$AJ332</f>
        <v>59.11985944895855</v>
      </c>
      <c r="R332">
        <f>+bma!R332/data!$AJ332</f>
        <v>17.117214798294064</v>
      </c>
      <c r="S332">
        <f>+bma!S332/data!$AJ332</f>
        <v>0</v>
      </c>
    </row>
    <row r="333" spans="1:19" x14ac:dyDescent="0.25">
      <c r="A333">
        <f>+data!AH333</f>
        <v>-0.01</v>
      </c>
      <c r="B333">
        <f>+data!AL333</f>
        <v>7.0710748829297518</v>
      </c>
      <c r="C333">
        <f>+bma!C333/data!$AJ333</f>
        <v>7.0710748829297518</v>
      </c>
      <c r="D333">
        <f>+bma!D333/data!$AJ333</f>
        <v>7.0710748829297518</v>
      </c>
      <c r="E333">
        <f>+bma!E333/data!$AJ333</f>
        <v>0</v>
      </c>
      <c r="F333">
        <f>+bma!F333/data!$AJ333</f>
        <v>7.0710748829297518</v>
      </c>
      <c r="G333">
        <f>+bma!G333/data!$AJ333</f>
        <v>0</v>
      </c>
      <c r="H333">
        <f>+bma!H333/data!$AJ333</f>
        <v>0</v>
      </c>
      <c r="I333">
        <f>+bma!I333/data!$AJ333</f>
        <v>7.0710748829297518</v>
      </c>
      <c r="J333">
        <f>+bma!L333/data!$AJ333</f>
        <v>7.0710748829297518</v>
      </c>
      <c r="K333">
        <f>+bma!M333/data!$AJ333</f>
        <v>0</v>
      </c>
      <c r="L333">
        <f>+bma!J333/data!$AJ333</f>
        <v>0</v>
      </c>
      <c r="M333">
        <f>+bma!K333/data!$AJ333</f>
        <v>7.0710748829297518</v>
      </c>
      <c r="N333">
        <f>+bma!N333/data!$AJ333</f>
        <v>7.0710748829297518</v>
      </c>
      <c r="O333">
        <f>+bma!O333/data!$AJ333</f>
        <v>0</v>
      </c>
      <c r="P333">
        <f>+bma!P333/data!$AJ333</f>
        <v>7.0710748829297518</v>
      </c>
      <c r="Q333">
        <f>+bma!Q333/data!$AJ333</f>
        <v>53.661185203823784</v>
      </c>
      <c r="R333">
        <f>+bma!R333/data!$AJ333</f>
        <v>15.536742509645324</v>
      </c>
      <c r="S333">
        <f>+bma!S333/data!$AJ333</f>
        <v>0</v>
      </c>
    </row>
    <row r="334" spans="1:19" x14ac:dyDescent="0.25">
      <c r="A334">
        <f>+data!AH334</f>
        <v>-0.14000000000000007</v>
      </c>
      <c r="B334">
        <f>+data!AL334</f>
        <v>7.001399860027993</v>
      </c>
      <c r="C334">
        <f>+bma!C334/data!$AJ334</f>
        <v>7.001399860027993</v>
      </c>
      <c r="D334">
        <f>+bma!D334/data!$AJ334</f>
        <v>7.001399860027993</v>
      </c>
      <c r="E334">
        <f>+bma!E334/data!$AJ334</f>
        <v>0</v>
      </c>
      <c r="F334">
        <f>+bma!F334/data!$AJ334</f>
        <v>7.001399860027993</v>
      </c>
      <c r="G334">
        <f>+bma!G334/data!$AJ334</f>
        <v>0</v>
      </c>
      <c r="H334">
        <f>+bma!H334/data!$AJ334</f>
        <v>0</v>
      </c>
      <c r="I334">
        <f>+bma!I334/data!$AJ334</f>
        <v>7.001399860027993</v>
      </c>
      <c r="J334">
        <f>+bma!L334/data!$AJ334</f>
        <v>7.001399860027993</v>
      </c>
      <c r="K334">
        <f>+bma!M334/data!$AJ334</f>
        <v>0</v>
      </c>
      <c r="L334">
        <f>+bma!J334/data!$AJ334</f>
        <v>0</v>
      </c>
      <c r="M334">
        <f>+bma!K334/data!$AJ334</f>
        <v>7.001399860027993</v>
      </c>
      <c r="N334">
        <f>+bma!N334/data!$AJ334</f>
        <v>7.001399860027993</v>
      </c>
      <c r="O334">
        <f>+bma!O334/data!$AJ334</f>
        <v>0</v>
      </c>
      <c r="P334">
        <f>+bma!P334/data!$AJ334</f>
        <v>7.001399860027993</v>
      </c>
      <c r="Q334">
        <f>+bma!Q334/data!$AJ334</f>
        <v>53.132433299776231</v>
      </c>
      <c r="R334">
        <f>+bma!R334/data!$AJ334</f>
        <v>15.383650807450007</v>
      </c>
      <c r="S334">
        <f>+bma!S334/data!$AJ334</f>
        <v>0</v>
      </c>
    </row>
    <row r="335" spans="1:19" x14ac:dyDescent="0.25">
      <c r="A335">
        <f>+data!AH335</f>
        <v>-0.73999999999999899</v>
      </c>
      <c r="B335">
        <f>+data!AL335</f>
        <v>6.9676107813223895</v>
      </c>
      <c r="C335">
        <f>+bma!C335/data!$AJ335</f>
        <v>6.9676107813223895</v>
      </c>
      <c r="D335">
        <f>+bma!D335/data!$AJ335</f>
        <v>6.9676107813223895</v>
      </c>
      <c r="E335">
        <f>+bma!E335/data!$AJ335</f>
        <v>0</v>
      </c>
      <c r="F335">
        <f>+bma!F335/data!$AJ335</f>
        <v>6.9676107813223895</v>
      </c>
      <c r="G335">
        <f>+bma!G335/data!$AJ335</f>
        <v>0</v>
      </c>
      <c r="H335">
        <f>+bma!H335/data!$AJ335</f>
        <v>0</v>
      </c>
      <c r="I335">
        <f>+bma!I335/data!$AJ335</f>
        <v>6.9676107813223895</v>
      </c>
      <c r="J335">
        <f>+bma!L335/data!$AJ335</f>
        <v>6.9676107813223895</v>
      </c>
      <c r="K335">
        <f>+bma!M335/data!$AJ335</f>
        <v>0</v>
      </c>
      <c r="L335">
        <f>+bma!J335/data!$AJ335</f>
        <v>0</v>
      </c>
      <c r="M335">
        <f>+bma!K335/data!$AJ335</f>
        <v>6.9676107813223895</v>
      </c>
      <c r="N335">
        <f>+bma!N335/data!$AJ335</f>
        <v>6.9676107813223895</v>
      </c>
      <c r="O335">
        <f>+bma!O335/data!$AJ335</f>
        <v>0</v>
      </c>
      <c r="P335">
        <f>+bma!P335/data!$AJ335</f>
        <v>6.9676107813223895</v>
      </c>
      <c r="Q335">
        <f>+bma!Q335/data!$AJ335</f>
        <v>52.876013725622784</v>
      </c>
      <c r="R335">
        <f>+bma!R335/data!$AJ335</f>
        <v>15.309408598991087</v>
      </c>
      <c r="S335">
        <f>+bma!S335/data!$AJ335</f>
        <v>0</v>
      </c>
    </row>
    <row r="336" spans="1:19" x14ac:dyDescent="0.25">
      <c r="A336">
        <f>+data!AH336</f>
        <v>-0.91000000000000059</v>
      </c>
      <c r="B336">
        <f>+data!AL336</f>
        <v>6.9157862893527868</v>
      </c>
      <c r="C336">
        <f>+bma!C336/data!$AJ336</f>
        <v>6.9157862893527868</v>
      </c>
      <c r="D336">
        <f>+bma!D336/data!$AJ336</f>
        <v>6.9157862893527868</v>
      </c>
      <c r="E336">
        <f>+bma!E336/data!$AJ336</f>
        <v>0</v>
      </c>
      <c r="F336">
        <f>+bma!F336/data!$AJ336</f>
        <v>6.9157862893527868</v>
      </c>
      <c r="G336">
        <f>+bma!G336/data!$AJ336</f>
        <v>0</v>
      </c>
      <c r="H336">
        <f>+bma!H336/data!$AJ336</f>
        <v>0</v>
      </c>
      <c r="I336">
        <f>+bma!I336/data!$AJ336</f>
        <v>6.9157862893527868</v>
      </c>
      <c r="J336">
        <f>+bma!L336/data!$AJ336</f>
        <v>6.9157862893527868</v>
      </c>
      <c r="K336">
        <f>+bma!M336/data!$AJ336</f>
        <v>0</v>
      </c>
      <c r="L336">
        <f>+bma!J336/data!$AJ336</f>
        <v>0</v>
      </c>
      <c r="M336">
        <f>+bma!K336/data!$AJ336</f>
        <v>6.9157862893527868</v>
      </c>
      <c r="N336">
        <f>+bma!N336/data!$AJ336</f>
        <v>6.9157862893527868</v>
      </c>
      <c r="O336">
        <f>+bma!O336/data!$AJ336</f>
        <v>0</v>
      </c>
      <c r="P336">
        <f>+bma!P336/data!$AJ336</f>
        <v>6.9157862893527868</v>
      </c>
      <c r="Q336">
        <f>+bma!Q336/data!$AJ336</f>
        <v>52.48272646622911</v>
      </c>
      <c r="R336">
        <f>+bma!R336/data!$AJ336</f>
        <v>15.195538529623178</v>
      </c>
      <c r="S336">
        <f>+bma!S336/data!$AJ336</f>
        <v>0</v>
      </c>
    </row>
    <row r="337" spans="1:19" x14ac:dyDescent="0.25">
      <c r="A337">
        <f>+data!AH337</f>
        <v>-1.0799999999999998</v>
      </c>
      <c r="B337">
        <f>+data!AL337</f>
        <v>6.8677798450445398</v>
      </c>
      <c r="C337">
        <f>+bma!C337/data!$AJ337</f>
        <v>6.8677798450445398</v>
      </c>
      <c r="D337">
        <f>+bma!D337/data!$AJ337</f>
        <v>6.8677798450445398</v>
      </c>
      <c r="E337">
        <f>+bma!E337/data!$AJ337</f>
        <v>0</v>
      </c>
      <c r="F337">
        <f>+bma!F337/data!$AJ337</f>
        <v>6.8677798450445398</v>
      </c>
      <c r="G337">
        <f>+bma!G337/data!$AJ337</f>
        <v>0</v>
      </c>
      <c r="H337">
        <f>+bma!H337/data!$AJ337</f>
        <v>0</v>
      </c>
      <c r="I337">
        <f>+bma!I337/data!$AJ337</f>
        <v>6.8677798450445398</v>
      </c>
      <c r="J337">
        <f>+bma!L337/data!$AJ337</f>
        <v>6.8677798450445398</v>
      </c>
      <c r="K337">
        <f>+bma!M337/data!$AJ337</f>
        <v>0</v>
      </c>
      <c r="L337">
        <f>+bma!J337/data!$AJ337</f>
        <v>0</v>
      </c>
      <c r="M337">
        <f>+bma!K337/data!$AJ337</f>
        <v>6.8677798450445398</v>
      </c>
      <c r="N337">
        <f>+bma!N337/data!$AJ337</f>
        <v>6.8677798450445398</v>
      </c>
      <c r="O337">
        <f>+bma!O337/data!$AJ337</f>
        <v>0</v>
      </c>
      <c r="P337">
        <f>+bma!P337/data!$AJ337</f>
        <v>6.8677798450445398</v>
      </c>
      <c r="Q337">
        <f>+bma!Q337/data!$AJ337</f>
        <v>52.118413721469352</v>
      </c>
      <c r="R337">
        <f>+bma!R337/data!$AJ337</f>
        <v>15.090057570027989</v>
      </c>
      <c r="S337">
        <f>+bma!S337/data!$AJ337</f>
        <v>0</v>
      </c>
    </row>
    <row r="338" spans="1:19" x14ac:dyDescent="0.25">
      <c r="A338">
        <f>+data!AH338</f>
        <v>-1.9100000000000537</v>
      </c>
      <c r="B338">
        <f>+data!AL338</f>
        <v>7.1167478527765899</v>
      </c>
      <c r="C338">
        <f>+bma!C338/data!$AJ338</f>
        <v>7.1167478527765899</v>
      </c>
      <c r="D338">
        <f>+bma!D338/data!$AJ338</f>
        <v>7.1167478527765899</v>
      </c>
      <c r="E338">
        <f>+bma!E338/data!$AJ338</f>
        <v>0</v>
      </c>
      <c r="F338">
        <f>+bma!F338/data!$AJ338</f>
        <v>7.1167478527765899</v>
      </c>
      <c r="G338">
        <f>+bma!G338/data!$AJ338</f>
        <v>0</v>
      </c>
      <c r="H338">
        <f>+bma!H338/data!$AJ338</f>
        <v>0</v>
      </c>
      <c r="I338">
        <f>+bma!I338/data!$AJ338</f>
        <v>7.1167478527765899</v>
      </c>
      <c r="J338">
        <f>+bma!L338/data!$AJ338</f>
        <v>7.1167478527765899</v>
      </c>
      <c r="K338">
        <f>+bma!M338/data!$AJ338</f>
        <v>0</v>
      </c>
      <c r="L338">
        <f>+bma!J338/data!$AJ338</f>
        <v>0</v>
      </c>
      <c r="M338">
        <f>+bma!K338/data!$AJ338</f>
        <v>7.1167478527765899</v>
      </c>
      <c r="N338">
        <f>+bma!N338/data!$AJ338</f>
        <v>7.1167478527765899</v>
      </c>
      <c r="O338">
        <f>+bma!O338/data!$AJ338</f>
        <v>0</v>
      </c>
      <c r="P338">
        <f>+bma!P338/data!$AJ338</f>
        <v>7.1167478527765899</v>
      </c>
      <c r="Q338">
        <f>+bma!Q338/data!$AJ338</f>
        <v>54.007789607586567</v>
      </c>
      <c r="R338">
        <f>+bma!R338/data!$AJ338</f>
        <v>15.637096300817042</v>
      </c>
      <c r="S338">
        <f>+bma!S338/data!$AJ338</f>
        <v>0</v>
      </c>
    </row>
    <row r="339" spans="1:19" x14ac:dyDescent="0.25">
      <c r="A339">
        <f>+data!AH339</f>
        <v>-1.7299999999999622</v>
      </c>
      <c r="B339">
        <f>+data!AL339</f>
        <v>7.0705657482269304</v>
      </c>
      <c r="C339">
        <f>+bma!C339/data!$AJ339</f>
        <v>7.0705657482269304</v>
      </c>
      <c r="D339">
        <f>+bma!D339/data!$AJ339</f>
        <v>7.0705657482269304</v>
      </c>
      <c r="E339">
        <f>+bma!E339/data!$AJ339</f>
        <v>0</v>
      </c>
      <c r="F339">
        <f>+bma!F339/data!$AJ339</f>
        <v>7.0705657482269304</v>
      </c>
      <c r="G339">
        <f>+bma!G339/data!$AJ339</f>
        <v>0</v>
      </c>
      <c r="H339">
        <f>+bma!H339/data!$AJ339</f>
        <v>0</v>
      </c>
      <c r="I339">
        <f>+bma!I339/data!$AJ339</f>
        <v>7.0705657482269304</v>
      </c>
      <c r="J339">
        <f>+bma!L339/data!$AJ339</f>
        <v>7.0705657482269304</v>
      </c>
      <c r="K339">
        <f>+bma!M339/data!$AJ339</f>
        <v>0</v>
      </c>
      <c r="L339">
        <f>+bma!J339/data!$AJ339</f>
        <v>0</v>
      </c>
      <c r="M339">
        <f>+bma!K339/data!$AJ339</f>
        <v>0</v>
      </c>
      <c r="N339">
        <f>+bma!N339/data!$AJ339</f>
        <v>7.0705657482269304</v>
      </c>
      <c r="O339">
        <f>+bma!O339/data!$AJ339</f>
        <v>0</v>
      </c>
      <c r="P339">
        <f>+bma!P339/data!$AJ339</f>
        <v>7.0705657482269304</v>
      </c>
      <c r="Q339">
        <f>+bma!Q339/data!$AJ339</f>
        <v>53.657321467116972</v>
      </c>
      <c r="R339">
        <f>+bma!R339/data!$AJ339</f>
        <v>15.535623826147917</v>
      </c>
      <c r="S339">
        <f>+bma!S339/data!$AJ339</f>
        <v>0</v>
      </c>
    </row>
    <row r="340" spans="1:19" x14ac:dyDescent="0.25">
      <c r="A340">
        <f>+data!AH340</f>
        <v>-2.956521739130435</v>
      </c>
      <c r="B340">
        <f>+data!AL340</f>
        <v>7.9837973918399792</v>
      </c>
      <c r="C340">
        <f>+bma!C340/data!$AJ340</f>
        <v>0</v>
      </c>
      <c r="D340">
        <f>+bma!D340/data!$AJ340</f>
        <v>7.9837973918399792</v>
      </c>
      <c r="E340">
        <f>+bma!E340/data!$AJ340</f>
        <v>0</v>
      </c>
      <c r="F340">
        <f>+bma!F340/data!$AJ340</f>
        <v>7.9837973918399792</v>
      </c>
      <c r="G340">
        <f>+bma!G340/data!$AJ340</f>
        <v>0</v>
      </c>
      <c r="H340">
        <f>+bma!H340/data!$AJ340</f>
        <v>0</v>
      </c>
      <c r="I340">
        <f>+bma!I340/data!$AJ340</f>
        <v>7.9837973918399792</v>
      </c>
      <c r="J340">
        <f>+bma!L340/data!$AJ340</f>
        <v>7.9837973918399792</v>
      </c>
      <c r="K340">
        <f>+bma!M340/data!$AJ340</f>
        <v>0</v>
      </c>
      <c r="L340">
        <f>+bma!J340/data!$AJ340</f>
        <v>0</v>
      </c>
      <c r="M340">
        <f>+bma!K340/data!$AJ340</f>
        <v>0</v>
      </c>
      <c r="N340">
        <f>+bma!N340/data!$AJ340</f>
        <v>0</v>
      </c>
      <c r="O340">
        <f>+bma!O340/data!$AJ340</f>
        <v>0</v>
      </c>
      <c r="P340">
        <f>+bma!P340/data!$AJ340</f>
        <v>7.9837973918399792</v>
      </c>
      <c r="Q340">
        <f>+bma!Q340/data!$AJ340</f>
        <v>60.648054636994083</v>
      </c>
      <c r="R340">
        <f>+bma!R340/data!$AJ340</f>
        <v>45.294661370465761</v>
      </c>
      <c r="S340">
        <f>+bma!S340/data!$AJ340</f>
        <v>7.9837973918399792</v>
      </c>
    </row>
    <row r="341" spans="1:19" x14ac:dyDescent="0.25">
      <c r="A341">
        <f>+data!AH341</f>
        <v>-5.9999999999999991</v>
      </c>
      <c r="B341">
        <f>+data!AL341</f>
        <v>9.2195444572928871</v>
      </c>
      <c r="C341">
        <f>+bma!C341/data!$AJ341</f>
        <v>0</v>
      </c>
      <c r="D341">
        <f>+bma!D341/data!$AJ341</f>
        <v>9.2195444572928871</v>
      </c>
      <c r="E341">
        <f>+bma!E341/data!$AJ341</f>
        <v>0</v>
      </c>
      <c r="F341">
        <f>+bma!F341/data!$AJ341</f>
        <v>9.2195444572928871</v>
      </c>
      <c r="G341">
        <f>+bma!G341/data!$AJ341</f>
        <v>0</v>
      </c>
      <c r="H341">
        <f>+bma!H341/data!$AJ341</f>
        <v>0</v>
      </c>
      <c r="I341">
        <f>+bma!I341/data!$AJ341</f>
        <v>9.2195444572928871</v>
      </c>
      <c r="J341">
        <f>+bma!L341/data!$AJ341</f>
        <v>9.2195444572928871</v>
      </c>
      <c r="K341">
        <f>+bma!M341/data!$AJ341</f>
        <v>0</v>
      </c>
      <c r="L341">
        <f>+bma!J341/data!$AJ341</f>
        <v>0</v>
      </c>
      <c r="M341">
        <f>+bma!K341/data!$AJ341</f>
        <v>0</v>
      </c>
      <c r="N341">
        <f>+bma!N341/data!$AJ341</f>
        <v>9.2195444572928871</v>
      </c>
      <c r="O341">
        <f>+bma!O341/data!$AJ341</f>
        <v>0</v>
      </c>
      <c r="P341">
        <f>+bma!P341/data!$AJ341</f>
        <v>9.2195444572928871</v>
      </c>
      <c r="Q341">
        <f>+bma!Q341/data!$AJ341</f>
        <v>70.035273759024022</v>
      </c>
      <c r="R341">
        <f>+bma!R341/data!$AJ341</f>
        <v>52.30545361908225</v>
      </c>
      <c r="S341">
        <f>+bma!S341/data!$AJ341</f>
        <v>9.2195444572928871</v>
      </c>
    </row>
    <row r="342" spans="1:19" x14ac:dyDescent="0.25">
      <c r="A342">
        <f>+data!AH342</f>
        <v>-1.1176470588235292</v>
      </c>
      <c r="B342">
        <f>+data!AL342</f>
        <v>7.0886624230595787</v>
      </c>
      <c r="C342">
        <f>+bma!C342/data!$AJ342</f>
        <v>0</v>
      </c>
      <c r="D342">
        <f>+bma!D342/data!$AJ342</f>
        <v>7.0886624230595787</v>
      </c>
      <c r="E342">
        <f>+bma!E342/data!$AJ342</f>
        <v>0</v>
      </c>
      <c r="F342">
        <f>+bma!F342/data!$AJ342</f>
        <v>7.0886624230595787</v>
      </c>
      <c r="G342">
        <f>+bma!G342/data!$AJ342</f>
        <v>0</v>
      </c>
      <c r="H342">
        <f>+bma!H342/data!$AJ342</f>
        <v>0</v>
      </c>
      <c r="I342">
        <f>+bma!I342/data!$AJ342</f>
        <v>7.0886624230595787</v>
      </c>
      <c r="J342">
        <f>+bma!L342/data!$AJ342</f>
        <v>7.0886624230595787</v>
      </c>
      <c r="K342">
        <f>+bma!M342/data!$AJ342</f>
        <v>0</v>
      </c>
      <c r="L342">
        <f>+bma!J342/data!$AJ342</f>
        <v>0</v>
      </c>
      <c r="M342">
        <f>+bma!K342/data!$AJ342</f>
        <v>0</v>
      </c>
      <c r="N342">
        <f>+bma!N342/data!$AJ342</f>
        <v>0</v>
      </c>
      <c r="O342">
        <f>+bma!O342/data!$AJ342</f>
        <v>7.0886624230595787</v>
      </c>
      <c r="P342">
        <f>+bma!P342/data!$AJ342</f>
        <v>7.0886624230595787</v>
      </c>
      <c r="Q342">
        <f>+bma!Q342/data!$AJ342</f>
        <v>53.848258521230399</v>
      </c>
      <c r="R342">
        <f>+bma!R342/data!$AJ342</f>
        <v>40.216271563979639</v>
      </c>
      <c r="S342">
        <f>+bma!S342/data!$AJ342</f>
        <v>7.0886624230595787</v>
      </c>
    </row>
    <row r="343" spans="1:19" x14ac:dyDescent="0.25">
      <c r="A343">
        <f>+data!AH343</f>
        <v>-4.3599999999999977</v>
      </c>
      <c r="B343">
        <f>+data!AL343</f>
        <v>13.34202383448628</v>
      </c>
      <c r="C343">
        <f>+bma!C343/data!$AJ343</f>
        <v>0</v>
      </c>
      <c r="D343">
        <f>+bma!D343/data!$AJ343</f>
        <v>0</v>
      </c>
      <c r="E343">
        <f>+bma!E343/data!$AJ343</f>
        <v>0</v>
      </c>
      <c r="F343">
        <f>+bma!F343/data!$AJ343</f>
        <v>13.34202383448628</v>
      </c>
      <c r="G343">
        <f>+bma!G343/data!$AJ343</f>
        <v>0</v>
      </c>
      <c r="H343">
        <f>+bma!H343/data!$AJ343</f>
        <v>13.34202383448628</v>
      </c>
      <c r="I343">
        <f>+bma!I343/data!$AJ343</f>
        <v>13.34202383448628</v>
      </c>
      <c r="J343">
        <f>+bma!L343/data!$AJ343</f>
        <v>0</v>
      </c>
      <c r="K343">
        <f>+bma!M343/data!$AJ343</f>
        <v>13.34202383448628</v>
      </c>
      <c r="L343">
        <f>+bma!J343/data!$AJ343</f>
        <v>13.34202383448628</v>
      </c>
      <c r="M343">
        <f>+bma!K343/data!$AJ343</f>
        <v>0</v>
      </c>
      <c r="N343">
        <f>+bma!N343/data!$AJ343</f>
        <v>0</v>
      </c>
      <c r="O343">
        <f>+bma!O343/data!$AJ343</f>
        <v>13.34202383448628</v>
      </c>
      <c r="P343">
        <f>+bma!P343/data!$AJ343</f>
        <v>0</v>
      </c>
      <c r="Q343">
        <f>+bma!Q343/data!$AJ343</f>
        <v>101.44473068110914</v>
      </c>
      <c r="R343">
        <f>+bma!R343/data!$AJ343</f>
        <v>50.182020046269798</v>
      </c>
      <c r="S343">
        <f>+bma!S343/data!$AJ343</f>
        <v>13.34202383448628</v>
      </c>
    </row>
    <row r="344" spans="1:19" x14ac:dyDescent="0.25">
      <c r="A344">
        <f>+data!AH344</f>
        <v>-5.6499999999999968</v>
      </c>
      <c r="B344">
        <f>+data!AL344</f>
        <v>13.92560591141369</v>
      </c>
      <c r="C344">
        <f>+bma!C344/data!$AJ344</f>
        <v>0</v>
      </c>
      <c r="D344">
        <f>+bma!D344/data!$AJ344</f>
        <v>0</v>
      </c>
      <c r="E344">
        <f>+bma!E344/data!$AJ344</f>
        <v>0</v>
      </c>
      <c r="F344">
        <f>+bma!F344/data!$AJ344</f>
        <v>13.92560591141369</v>
      </c>
      <c r="G344">
        <f>+bma!G344/data!$AJ344</f>
        <v>0</v>
      </c>
      <c r="H344">
        <f>+bma!H344/data!$AJ344</f>
        <v>13.92560591141369</v>
      </c>
      <c r="I344">
        <f>+bma!I344/data!$AJ344</f>
        <v>0</v>
      </c>
      <c r="J344">
        <f>+bma!L344/data!$AJ344</f>
        <v>0</v>
      </c>
      <c r="K344">
        <f>+bma!M344/data!$AJ344</f>
        <v>13.92560591141369</v>
      </c>
      <c r="L344">
        <f>+bma!J344/data!$AJ344</f>
        <v>13.92560591141369</v>
      </c>
      <c r="M344">
        <f>+bma!K344/data!$AJ344</f>
        <v>0</v>
      </c>
      <c r="N344">
        <f>+bma!N344/data!$AJ344</f>
        <v>0</v>
      </c>
      <c r="O344">
        <f>+bma!O344/data!$AJ344</f>
        <v>13.92560591141369</v>
      </c>
      <c r="P344">
        <f>+bma!P344/data!$AJ344</f>
        <v>0</v>
      </c>
      <c r="Q344">
        <f>+bma!Q344/data!$AJ344</f>
        <v>105.88193806123694</v>
      </c>
      <c r="R344">
        <f>+bma!R344/data!$AJ344</f>
        <v>52.376988954009178</v>
      </c>
      <c r="S344">
        <f>+bma!S344/data!$AJ344</f>
        <v>13.92560591141369</v>
      </c>
    </row>
    <row r="345" spans="1:19" x14ac:dyDescent="0.25">
      <c r="A345">
        <f>+data!AH345</f>
        <v>0.37999999999999984</v>
      </c>
      <c r="B345">
        <f>+data!AL345</f>
        <v>6.6441252245875075</v>
      </c>
      <c r="C345">
        <f>+bma!C345/data!$AJ345</f>
        <v>0</v>
      </c>
      <c r="D345">
        <f>+bma!D345/data!$AJ345</f>
        <v>0</v>
      </c>
      <c r="E345">
        <f>+bma!E345/data!$AJ345</f>
        <v>0</v>
      </c>
      <c r="F345">
        <f>+bma!F345/data!$AJ345</f>
        <v>6.6441252245875075</v>
      </c>
      <c r="G345">
        <f>+bma!G345/data!$AJ345</f>
        <v>0</v>
      </c>
      <c r="H345">
        <f>+bma!H345/data!$AJ345</f>
        <v>6.6441252245875075</v>
      </c>
      <c r="I345">
        <f>+bma!I345/data!$AJ345</f>
        <v>6.6441252245875075</v>
      </c>
      <c r="J345">
        <f>+bma!L345/data!$AJ345</f>
        <v>0</v>
      </c>
      <c r="K345">
        <f>+bma!M345/data!$AJ345</f>
        <v>6.6441252245875075</v>
      </c>
      <c r="L345">
        <f>+bma!J345/data!$AJ345</f>
        <v>6.6441252245875075</v>
      </c>
      <c r="M345">
        <f>+bma!K345/data!$AJ345</f>
        <v>0</v>
      </c>
      <c r="N345">
        <f>+bma!N345/data!$AJ345</f>
        <v>0</v>
      </c>
      <c r="O345">
        <f>+bma!O345/data!$AJ345</f>
        <v>6.6441252245875075</v>
      </c>
      <c r="P345">
        <f>+bma!P345/data!$AJ345</f>
        <v>0</v>
      </c>
      <c r="Q345">
        <f>+bma!Q345/data!$AJ345</f>
        <v>50.517935088503428</v>
      </c>
      <c r="R345">
        <f>+bma!R345/data!$AJ345</f>
        <v>24.989883794718533</v>
      </c>
      <c r="S345">
        <f>+bma!S345/data!$AJ345</f>
        <v>6.6441252245875075</v>
      </c>
    </row>
    <row r="346" spans="1:19" x14ac:dyDescent="0.25">
      <c r="A346">
        <f>+data!AH346</f>
        <v>-2.9699999999999989</v>
      </c>
      <c r="B346">
        <f>+data!AL346</f>
        <v>7.1986734889144683</v>
      </c>
      <c r="C346">
        <f>+bma!C346/data!$AJ346</f>
        <v>0</v>
      </c>
      <c r="D346">
        <f>+bma!D346/data!$AJ346</f>
        <v>0</v>
      </c>
      <c r="E346">
        <f>+bma!E346/data!$AJ346</f>
        <v>0</v>
      </c>
      <c r="F346">
        <f>+bma!F346/data!$AJ346</f>
        <v>7.1986734889144683</v>
      </c>
      <c r="G346">
        <f>+bma!G346/data!$AJ346</f>
        <v>0</v>
      </c>
      <c r="H346">
        <f>+bma!H346/data!$AJ346</f>
        <v>7.1986734889144683</v>
      </c>
      <c r="I346">
        <f>+bma!I346/data!$AJ346</f>
        <v>7.1986734889144683</v>
      </c>
      <c r="J346">
        <f>+bma!L346/data!$AJ346</f>
        <v>0</v>
      </c>
      <c r="K346">
        <f>+bma!M346/data!$AJ346</f>
        <v>7.1986734889144683</v>
      </c>
      <c r="L346">
        <f>+bma!J346/data!$AJ346</f>
        <v>7.1986734889144683</v>
      </c>
      <c r="M346">
        <f>+bma!K346/data!$AJ346</f>
        <v>0</v>
      </c>
      <c r="N346">
        <f>+bma!N346/data!$AJ346</f>
        <v>0</v>
      </c>
      <c r="O346">
        <f>+bma!O346/data!$AJ346</f>
        <v>7.1986734889144683</v>
      </c>
      <c r="P346">
        <f>+bma!P346/data!$AJ346</f>
        <v>0</v>
      </c>
      <c r="Q346">
        <f>+bma!Q346/data!$AJ346</f>
        <v>54.734386806938772</v>
      </c>
      <c r="R346">
        <f>+bma!R346/data!$AJ346</f>
        <v>27.075650726505099</v>
      </c>
      <c r="S346">
        <f>+bma!S346/data!$AJ346</f>
        <v>7.1986734889144683</v>
      </c>
    </row>
    <row r="347" spans="1:19" x14ac:dyDescent="0.25">
      <c r="A347">
        <f>+data!AH347</f>
        <v>-3.0300000000000002</v>
      </c>
      <c r="B347">
        <f>+data!AL347</f>
        <v>7.4283847504016647</v>
      </c>
      <c r="C347">
        <f>+bma!C347/data!$AJ347</f>
        <v>0</v>
      </c>
      <c r="D347">
        <f>+bma!D347/data!$AJ347</f>
        <v>0</v>
      </c>
      <c r="E347">
        <f>+bma!E347/data!$AJ347</f>
        <v>0</v>
      </c>
      <c r="F347">
        <f>+bma!F347/data!$AJ347</f>
        <v>7.4283847504016647</v>
      </c>
      <c r="G347">
        <f>+bma!G347/data!$AJ347</f>
        <v>0</v>
      </c>
      <c r="H347">
        <f>+bma!H347/data!$AJ347</f>
        <v>7.4283847504016647</v>
      </c>
      <c r="I347">
        <f>+bma!I347/data!$AJ347</f>
        <v>7.4283847504016647</v>
      </c>
      <c r="J347">
        <f>+bma!L347/data!$AJ347</f>
        <v>0</v>
      </c>
      <c r="K347">
        <f>+bma!M347/data!$AJ347</f>
        <v>7.4283847504016647</v>
      </c>
      <c r="L347">
        <f>+bma!J347/data!$AJ347</f>
        <v>7.4283847504016647</v>
      </c>
      <c r="M347">
        <f>+bma!K347/data!$AJ347</f>
        <v>0</v>
      </c>
      <c r="N347">
        <f>+bma!N347/data!$AJ347</f>
        <v>0</v>
      </c>
      <c r="O347">
        <f>+bma!O347/data!$AJ347</f>
        <v>7.4283847504016647</v>
      </c>
      <c r="P347">
        <f>+bma!P347/data!$AJ347</f>
        <v>0</v>
      </c>
      <c r="Q347">
        <f>+bma!Q347/data!$AJ347</f>
        <v>56.480973182819262</v>
      </c>
      <c r="R347">
        <f>+bma!R347/data!$AJ347</f>
        <v>27.939640723210744</v>
      </c>
      <c r="S347">
        <f>+bma!S347/data!$AJ347</f>
        <v>7.4283847504016647</v>
      </c>
    </row>
    <row r="348" spans="1:19" x14ac:dyDescent="0.25">
      <c r="A348">
        <f>+data!AH348</f>
        <v>-4.0600000000000165</v>
      </c>
      <c r="B348">
        <f>+data!AL348</f>
        <v>8.7454902664173222</v>
      </c>
      <c r="C348">
        <f>+bma!C348/data!$AJ348</f>
        <v>0</v>
      </c>
      <c r="D348">
        <f>+bma!D348/data!$AJ348</f>
        <v>0</v>
      </c>
      <c r="E348">
        <f>+bma!E348/data!$AJ348</f>
        <v>0</v>
      </c>
      <c r="F348">
        <f>+bma!F348/data!$AJ348</f>
        <v>8.7454902664173222</v>
      </c>
      <c r="G348">
        <f>+bma!G348/data!$AJ348</f>
        <v>0</v>
      </c>
      <c r="H348">
        <f>+bma!H348/data!$AJ348</f>
        <v>8.7454902664173222</v>
      </c>
      <c r="I348">
        <f>+bma!I348/data!$AJ348</f>
        <v>8.7454902664173222</v>
      </c>
      <c r="J348">
        <f>+bma!L348/data!$AJ348</f>
        <v>0</v>
      </c>
      <c r="K348">
        <f>+bma!M348/data!$AJ348</f>
        <v>8.7454902664173222</v>
      </c>
      <c r="L348">
        <f>+bma!J348/data!$AJ348</f>
        <v>8.7454902664173222</v>
      </c>
      <c r="M348">
        <f>+bma!K348/data!$AJ348</f>
        <v>0</v>
      </c>
      <c r="N348">
        <f>+bma!N348/data!$AJ348</f>
        <v>0</v>
      </c>
      <c r="O348">
        <f>+bma!O348/data!$AJ348</f>
        <v>8.7454902664173222</v>
      </c>
      <c r="P348">
        <f>+bma!P348/data!$AJ348</f>
        <v>0</v>
      </c>
      <c r="Q348">
        <f>+bma!Q348/data!$AJ348</f>
        <v>66.495451946187202</v>
      </c>
      <c r="R348">
        <f>+bma!R348/data!$AJ348</f>
        <v>32.893537990048834</v>
      </c>
      <c r="S348">
        <f>+bma!S348/data!$AJ348</f>
        <v>8.7454902664173222</v>
      </c>
    </row>
    <row r="349" spans="1:19" x14ac:dyDescent="0.25">
      <c r="A349">
        <f>+data!AH349</f>
        <v>-7.4500000000000037</v>
      </c>
      <c r="B349">
        <f>+data!AL349</f>
        <v>10.885885356736036</v>
      </c>
      <c r="C349">
        <f>+bma!C349/data!$AJ349</f>
        <v>0</v>
      </c>
      <c r="D349">
        <f>+bma!D349/data!$AJ349</f>
        <v>0</v>
      </c>
      <c r="E349">
        <f>+bma!E349/data!$AJ349</f>
        <v>0</v>
      </c>
      <c r="F349">
        <f>+bma!F349/data!$AJ349</f>
        <v>10.885885356736036</v>
      </c>
      <c r="G349">
        <f>+bma!G349/data!$AJ349</f>
        <v>0</v>
      </c>
      <c r="H349">
        <f>+bma!H349/data!$AJ349</f>
        <v>10.885885356736036</v>
      </c>
      <c r="I349">
        <f>+bma!I349/data!$AJ349</f>
        <v>0</v>
      </c>
      <c r="J349">
        <f>+bma!L349/data!$AJ349</f>
        <v>0</v>
      </c>
      <c r="K349">
        <f>+bma!M349/data!$AJ349</f>
        <v>10.885885356736036</v>
      </c>
      <c r="L349">
        <f>+bma!J349/data!$AJ349</f>
        <v>10.885885356736036</v>
      </c>
      <c r="M349">
        <f>+bma!K349/data!$AJ349</f>
        <v>0</v>
      </c>
      <c r="N349">
        <f>+bma!N349/data!$AJ349</f>
        <v>0</v>
      </c>
      <c r="O349">
        <f>+bma!O349/data!$AJ349</f>
        <v>10.885885356736036</v>
      </c>
      <c r="P349">
        <f>+bma!P349/data!$AJ349</f>
        <v>0</v>
      </c>
      <c r="Q349">
        <f>+bma!Q349/data!$AJ349</f>
        <v>82.769729835521417</v>
      </c>
      <c r="R349">
        <f>+bma!R349/data!$AJ349</f>
        <v>40.943992003755582</v>
      </c>
      <c r="S349">
        <f>+bma!S349/data!$AJ349</f>
        <v>10.885885356736036</v>
      </c>
    </row>
    <row r="350" spans="1:19" x14ac:dyDescent="0.25">
      <c r="A350">
        <f>+data!AH350</f>
        <v>-4</v>
      </c>
      <c r="B350">
        <f>+data!AL350</f>
        <v>13.228756555322953</v>
      </c>
      <c r="C350">
        <f>+bma!C350/data!$AJ350</f>
        <v>0</v>
      </c>
      <c r="D350">
        <f>+bma!D350/data!$AJ350</f>
        <v>0</v>
      </c>
      <c r="E350">
        <f>+bma!E350/data!$AJ350</f>
        <v>0</v>
      </c>
      <c r="F350">
        <f>+bma!F350/data!$AJ350</f>
        <v>13.228756555322953</v>
      </c>
      <c r="G350">
        <f>+bma!G350/data!$AJ350</f>
        <v>0</v>
      </c>
      <c r="H350">
        <f>+bma!H350/data!$AJ350</f>
        <v>13.228756555322953</v>
      </c>
      <c r="I350">
        <f>+bma!I350/data!$AJ350</f>
        <v>13.228756555322953</v>
      </c>
      <c r="J350">
        <f>+bma!L350/data!$AJ350</f>
        <v>0</v>
      </c>
      <c r="K350">
        <f>+bma!M350/data!$AJ350</f>
        <v>13.228756555322953</v>
      </c>
      <c r="L350">
        <f>+bma!J350/data!$AJ350</f>
        <v>13.228756555322953</v>
      </c>
      <c r="M350">
        <f>+bma!K350/data!$AJ350</f>
        <v>0</v>
      </c>
      <c r="N350">
        <f>+bma!N350/data!$AJ350</f>
        <v>0</v>
      </c>
      <c r="O350">
        <f>+bma!O350/data!$AJ350</f>
        <v>13.228756555322953</v>
      </c>
      <c r="P350">
        <f>+bma!P350/data!$AJ350</f>
        <v>0</v>
      </c>
      <c r="Q350">
        <f>+bma!Q350/data!$AJ350</f>
        <v>100.58351436398598</v>
      </c>
      <c r="R350">
        <f>+bma!R350/data!$AJ350</f>
        <v>49.755999155880694</v>
      </c>
      <c r="S350">
        <f>+bma!S350/data!$AJ350</f>
        <v>13.228756555322953</v>
      </c>
    </row>
    <row r="351" spans="1:19" x14ac:dyDescent="0.25">
      <c r="A351">
        <f>+data!AH351</f>
        <v>-4.95</v>
      </c>
      <c r="B351">
        <f>+data!AL351</f>
        <v>13.656591814944164</v>
      </c>
      <c r="C351">
        <f>+bma!C351/data!$AJ351</f>
        <v>0</v>
      </c>
      <c r="D351">
        <f>+bma!D351/data!$AJ351</f>
        <v>0</v>
      </c>
      <c r="E351">
        <f>+bma!E351/data!$AJ351</f>
        <v>0</v>
      </c>
      <c r="F351">
        <f>+bma!F351/data!$AJ351</f>
        <v>13.656591814944164</v>
      </c>
      <c r="G351">
        <f>+bma!G351/data!$AJ351</f>
        <v>0</v>
      </c>
      <c r="H351">
        <f>+bma!H351/data!$AJ351</f>
        <v>13.656591814944164</v>
      </c>
      <c r="I351">
        <f>+bma!I351/data!$AJ351</f>
        <v>0</v>
      </c>
      <c r="J351">
        <f>+bma!L351/data!$AJ351</f>
        <v>0</v>
      </c>
      <c r="K351">
        <f>+bma!M351/data!$AJ351</f>
        <v>13.656591814944164</v>
      </c>
      <c r="L351">
        <f>+bma!J351/data!$AJ351</f>
        <v>13.656591814944164</v>
      </c>
      <c r="M351">
        <f>+bma!K351/data!$AJ351</f>
        <v>0</v>
      </c>
      <c r="N351">
        <f>+bma!N351/data!$AJ351</f>
        <v>0</v>
      </c>
      <c r="O351">
        <f>+bma!O351/data!$AJ351</f>
        <v>13.656591814944164</v>
      </c>
      <c r="P351">
        <f>+bma!P351/data!$AJ351</f>
        <v>0</v>
      </c>
      <c r="Q351">
        <f>+bma!Q351/data!$AJ351</f>
        <v>103.83651654915464</v>
      </c>
      <c r="R351">
        <f>+bma!R351/data!$AJ351</f>
        <v>51.365173134367993</v>
      </c>
      <c r="S351">
        <f>+bma!S351/data!$AJ351</f>
        <v>13.656591814944164</v>
      </c>
    </row>
    <row r="352" spans="1:19" x14ac:dyDescent="0.25">
      <c r="A352">
        <f>+data!AH352</f>
        <v>-3.7299999999999978</v>
      </c>
      <c r="B352">
        <f>+data!AL352</f>
        <v>13.149634975922334</v>
      </c>
      <c r="C352">
        <f>+bma!C352/data!$AJ352</f>
        <v>0</v>
      </c>
      <c r="D352">
        <f>+bma!D352/data!$AJ352</f>
        <v>0</v>
      </c>
      <c r="E352">
        <f>+bma!E352/data!$AJ352</f>
        <v>0</v>
      </c>
      <c r="F352">
        <f>+bma!F352/data!$AJ352</f>
        <v>13.149634975922334</v>
      </c>
      <c r="G352">
        <f>+bma!G352/data!$AJ352</f>
        <v>0</v>
      </c>
      <c r="H352">
        <f>+bma!H352/data!$AJ352</f>
        <v>13.149634975922334</v>
      </c>
      <c r="I352">
        <f>+bma!I352/data!$AJ352</f>
        <v>13.149634975922334</v>
      </c>
      <c r="J352">
        <f>+bma!L352/data!$AJ352</f>
        <v>0</v>
      </c>
      <c r="K352">
        <f>+bma!M352/data!$AJ352</f>
        <v>13.149634975922334</v>
      </c>
      <c r="L352">
        <f>+bma!J352/data!$AJ352</f>
        <v>13.149634975922334</v>
      </c>
      <c r="M352">
        <f>+bma!K352/data!$AJ352</f>
        <v>0</v>
      </c>
      <c r="N352">
        <f>+bma!N352/data!$AJ352</f>
        <v>0</v>
      </c>
      <c r="O352">
        <f>+bma!O352/data!$AJ352</f>
        <v>13.149634975922334</v>
      </c>
      <c r="P352">
        <f>+bma!P352/data!$AJ352</f>
        <v>0</v>
      </c>
      <c r="Q352">
        <f>+bma!Q352/data!$AJ352</f>
        <v>99.981921426292899</v>
      </c>
      <c r="R352">
        <f>+bma!R352/data!$AJ352</f>
        <v>49.458407071439083</v>
      </c>
      <c r="S352">
        <f>+bma!S352/data!$AJ352</f>
        <v>13.149634975922334</v>
      </c>
    </row>
    <row r="353" spans="1:19" x14ac:dyDescent="0.25">
      <c r="A353">
        <f>+data!AH353</f>
        <v>-4.8899999999999988</v>
      </c>
      <c r="B353">
        <f>+data!AL353</f>
        <v>13.634958745812177</v>
      </c>
      <c r="C353">
        <f>+bma!C353/data!$AJ353</f>
        <v>0</v>
      </c>
      <c r="D353">
        <f>+bma!D353/data!$AJ353</f>
        <v>0</v>
      </c>
      <c r="E353">
        <f>+bma!E353/data!$AJ353</f>
        <v>0</v>
      </c>
      <c r="F353">
        <f>+bma!F353/data!$AJ353</f>
        <v>13.634958745812177</v>
      </c>
      <c r="G353">
        <f>+bma!G353/data!$AJ353</f>
        <v>0</v>
      </c>
      <c r="H353">
        <f>+bma!H353/data!$AJ353</f>
        <v>13.634958745812177</v>
      </c>
      <c r="I353">
        <f>+bma!I353/data!$AJ353</f>
        <v>0</v>
      </c>
      <c r="J353">
        <f>+bma!L353/data!$AJ353</f>
        <v>0</v>
      </c>
      <c r="K353">
        <f>+bma!M353/data!$AJ353</f>
        <v>13.634958745812177</v>
      </c>
      <c r="L353">
        <f>+bma!J353/data!$AJ353</f>
        <v>13.634958745812177</v>
      </c>
      <c r="M353">
        <f>+bma!K353/data!$AJ353</f>
        <v>0</v>
      </c>
      <c r="N353">
        <f>+bma!N353/data!$AJ353</f>
        <v>0</v>
      </c>
      <c r="O353">
        <f>+bma!O353/data!$AJ353</f>
        <v>13.634958745812177</v>
      </c>
      <c r="P353">
        <f>+bma!P353/data!$AJ353</f>
        <v>0</v>
      </c>
      <c r="Q353">
        <f>+bma!Q353/data!$AJ353</f>
        <v>103.67203169294956</v>
      </c>
      <c r="R353">
        <f>+bma!R353/data!$AJ353</f>
        <v>51.283806834748759</v>
      </c>
      <c r="S353">
        <f>+bma!S353/data!$AJ353</f>
        <v>13.634958745812177</v>
      </c>
    </row>
    <row r="354" spans="1:19" x14ac:dyDescent="0.25">
      <c r="A354">
        <f>+data!AH354</f>
        <v>-8.230000000000004</v>
      </c>
      <c r="B354">
        <f>+data!AL354</f>
        <v>15.057652539489682</v>
      </c>
      <c r="C354">
        <f>+bma!C354/data!$AJ354</f>
        <v>0</v>
      </c>
      <c r="D354">
        <f>+bma!D354/data!$AJ354</f>
        <v>0</v>
      </c>
      <c r="E354">
        <f>+bma!E354/data!$AJ354</f>
        <v>0</v>
      </c>
      <c r="F354">
        <f>+bma!F354/data!$AJ354</f>
        <v>15.057652539489682</v>
      </c>
      <c r="G354">
        <f>+bma!G354/data!$AJ354</f>
        <v>0</v>
      </c>
      <c r="H354">
        <f>+bma!H354/data!$AJ354</f>
        <v>15.057652539489682</v>
      </c>
      <c r="I354">
        <f>+bma!I354/data!$AJ354</f>
        <v>15.057652539489682</v>
      </c>
      <c r="J354">
        <f>+bma!L354/data!$AJ354</f>
        <v>0</v>
      </c>
      <c r="K354">
        <f>+bma!M354/data!$AJ354</f>
        <v>15.057652539489682</v>
      </c>
      <c r="L354">
        <f>+bma!J354/data!$AJ354</f>
        <v>15.057652539489682</v>
      </c>
      <c r="M354">
        <f>+bma!K354/data!$AJ354</f>
        <v>0</v>
      </c>
      <c r="N354">
        <f>+bma!N354/data!$AJ354</f>
        <v>0</v>
      </c>
      <c r="O354">
        <f>+bma!O354/data!$AJ354</f>
        <v>15.057652539489682</v>
      </c>
      <c r="P354">
        <f>+bma!P354/data!$AJ354</f>
        <v>0</v>
      </c>
      <c r="Q354">
        <f>+bma!Q354/data!$AJ354</f>
        <v>114.48934026110331</v>
      </c>
      <c r="R354">
        <f>+bma!R354/data!$AJ354</f>
        <v>56.6348427315286</v>
      </c>
      <c r="S354">
        <f>+bma!S354/data!$AJ354</f>
        <v>15.057652539489682</v>
      </c>
    </row>
    <row r="355" spans="1:19" x14ac:dyDescent="0.25">
      <c r="A355">
        <f>+data!AH355</f>
        <v>-8.230000000000004</v>
      </c>
      <c r="B355">
        <f>+data!AL355</f>
        <v>15.057652539489682</v>
      </c>
      <c r="C355">
        <f>+bma!C355/data!$AJ355</f>
        <v>0</v>
      </c>
      <c r="D355">
        <f>+bma!D355/data!$AJ355</f>
        <v>0</v>
      </c>
      <c r="E355">
        <f>+bma!E355/data!$AJ355</f>
        <v>0</v>
      </c>
      <c r="F355">
        <f>+bma!F355/data!$AJ355</f>
        <v>15.057652539489682</v>
      </c>
      <c r="G355">
        <f>+bma!G355/data!$AJ355</f>
        <v>0</v>
      </c>
      <c r="H355">
        <f>+bma!H355/data!$AJ355</f>
        <v>15.057652539489682</v>
      </c>
      <c r="I355">
        <f>+bma!I355/data!$AJ355</f>
        <v>15.057652539489682</v>
      </c>
      <c r="J355">
        <f>+bma!L355/data!$AJ355</f>
        <v>0</v>
      </c>
      <c r="K355">
        <f>+bma!M355/data!$AJ355</f>
        <v>15.057652539489682</v>
      </c>
      <c r="L355">
        <f>+bma!J355/data!$AJ355</f>
        <v>15.057652539489682</v>
      </c>
      <c r="M355">
        <f>+bma!K355/data!$AJ355</f>
        <v>0</v>
      </c>
      <c r="N355">
        <f>+bma!N355/data!$AJ355</f>
        <v>0</v>
      </c>
      <c r="O355">
        <f>+bma!O355/data!$AJ355</f>
        <v>15.057652539489682</v>
      </c>
      <c r="P355">
        <f>+bma!P355/data!$AJ355</f>
        <v>0</v>
      </c>
      <c r="Q355">
        <f>+bma!Q355/data!$AJ355</f>
        <v>114.48934026110331</v>
      </c>
      <c r="R355">
        <f>+bma!R355/data!$AJ355</f>
        <v>56.6348427315286</v>
      </c>
      <c r="S355">
        <f>+bma!S355/data!$AJ355</f>
        <v>15.057652539489682</v>
      </c>
    </row>
    <row r="356" spans="1:19" x14ac:dyDescent="0.25">
      <c r="A356">
        <f>+data!AH356</f>
        <v>-1.9000000000000052</v>
      </c>
      <c r="B356">
        <f>+data!AL356</f>
        <v>6.9000000000000012</v>
      </c>
      <c r="C356">
        <f>+bma!C356/data!$AJ356</f>
        <v>0</v>
      </c>
      <c r="D356">
        <f>+bma!D356/data!$AJ356</f>
        <v>0</v>
      </c>
      <c r="E356">
        <f>+bma!E356/data!$AJ356</f>
        <v>0</v>
      </c>
      <c r="F356">
        <f>+bma!F356/data!$AJ356</f>
        <v>6.9000000000000012</v>
      </c>
      <c r="G356">
        <f>+bma!G356/data!$AJ356</f>
        <v>0</v>
      </c>
      <c r="H356">
        <f>+bma!H356/data!$AJ356</f>
        <v>6.9000000000000012</v>
      </c>
      <c r="I356">
        <f>+bma!I356/data!$AJ356</f>
        <v>6.9000000000000012</v>
      </c>
      <c r="J356">
        <f>+bma!L356/data!$AJ356</f>
        <v>0</v>
      </c>
      <c r="K356">
        <f>+bma!M356/data!$AJ356</f>
        <v>6.9000000000000012</v>
      </c>
      <c r="L356">
        <f>+bma!J356/data!$AJ356</f>
        <v>6.9000000000000012</v>
      </c>
      <c r="M356">
        <f>+bma!K356/data!$AJ356</f>
        <v>0</v>
      </c>
      <c r="N356">
        <f>+bma!N356/data!$AJ356</f>
        <v>0</v>
      </c>
      <c r="O356">
        <f>+bma!O356/data!$AJ356</f>
        <v>6.9000000000000012</v>
      </c>
      <c r="P356">
        <f>+bma!P356/data!$AJ356</f>
        <v>0</v>
      </c>
      <c r="Q356">
        <f>+bma!Q356/data!$AJ356</f>
        <v>52.463453100000002</v>
      </c>
      <c r="R356">
        <f>+bma!R356/data!$AJ356</f>
        <v>25.952280000000005</v>
      </c>
      <c r="S356">
        <f>+bma!S356/data!$AJ356</f>
        <v>6.9000000000000012</v>
      </c>
    </row>
    <row r="357" spans="1:19" x14ac:dyDescent="0.25">
      <c r="A357">
        <f>+data!AH357</f>
        <v>-2.6500000000000012</v>
      </c>
      <c r="B357">
        <f>+data!AL357</f>
        <v>7.3500000000000005</v>
      </c>
      <c r="C357">
        <f>+bma!C357/data!$AJ357</f>
        <v>0</v>
      </c>
      <c r="D357">
        <f>+bma!D357/data!$AJ357</f>
        <v>0</v>
      </c>
      <c r="E357">
        <f>+bma!E357/data!$AJ357</f>
        <v>0</v>
      </c>
      <c r="F357">
        <f>+bma!F357/data!$AJ357</f>
        <v>7.3500000000000005</v>
      </c>
      <c r="G357">
        <f>+bma!G357/data!$AJ357</f>
        <v>0</v>
      </c>
      <c r="H357">
        <f>+bma!H357/data!$AJ357</f>
        <v>0</v>
      </c>
      <c r="I357">
        <f>+bma!I357/data!$AJ357</f>
        <v>7.3500000000000005</v>
      </c>
      <c r="J357">
        <f>+bma!L357/data!$AJ357</f>
        <v>0</v>
      </c>
      <c r="K357">
        <f>+bma!M357/data!$AJ357</f>
        <v>7.3500000000000005</v>
      </c>
      <c r="L357">
        <f>+bma!J357/data!$AJ357</f>
        <v>7.3500000000000005</v>
      </c>
      <c r="M357">
        <f>+bma!K357/data!$AJ357</f>
        <v>0</v>
      </c>
      <c r="N357">
        <f>+bma!N357/data!$AJ357</f>
        <v>0</v>
      </c>
      <c r="O357">
        <f>+bma!O357/data!$AJ357</f>
        <v>7.3500000000000005</v>
      </c>
      <c r="P357">
        <f>+bma!P357/data!$AJ357</f>
        <v>0</v>
      </c>
      <c r="Q357">
        <f>+bma!Q357/data!$AJ357</f>
        <v>55.884982650000005</v>
      </c>
      <c r="R357">
        <f>+bma!R357/data!$AJ357</f>
        <v>27.644820000000003</v>
      </c>
      <c r="S357">
        <f>+bma!S357/data!$AJ357</f>
        <v>7.3500000000000005</v>
      </c>
    </row>
    <row r="358" spans="1:19" x14ac:dyDescent="0.25">
      <c r="A358">
        <f>+data!AH358</f>
        <v>-3.9700000000000215</v>
      </c>
      <c r="B358">
        <f>+data!AL358</f>
        <v>7.6655658630006007</v>
      </c>
      <c r="C358">
        <f>+bma!C358/data!$AJ358</f>
        <v>0</v>
      </c>
      <c r="D358">
        <f>+bma!D358/data!$AJ358</f>
        <v>0</v>
      </c>
      <c r="E358">
        <f>+bma!E358/data!$AJ358</f>
        <v>0</v>
      </c>
      <c r="F358">
        <f>+bma!F358/data!$AJ358</f>
        <v>7.6655658630006007</v>
      </c>
      <c r="G358">
        <f>+bma!G358/data!$AJ358</f>
        <v>0</v>
      </c>
      <c r="H358">
        <f>+bma!H358/data!$AJ358</f>
        <v>7.6655658630006007</v>
      </c>
      <c r="I358">
        <f>+bma!I358/data!$AJ358</f>
        <v>7.6655658630006007</v>
      </c>
      <c r="J358">
        <f>+bma!L358/data!$AJ358</f>
        <v>0</v>
      </c>
      <c r="K358">
        <f>+bma!M358/data!$AJ358</f>
        <v>7.6655658630006007</v>
      </c>
      <c r="L358">
        <f>+bma!J358/data!$AJ358</f>
        <v>7.6655658630006007</v>
      </c>
      <c r="M358">
        <f>+bma!K358/data!$AJ358</f>
        <v>0</v>
      </c>
      <c r="N358">
        <f>+bma!N358/data!$AJ358</f>
        <v>0</v>
      </c>
      <c r="O358">
        <f>+bma!O358/data!$AJ358</f>
        <v>7.6655658630006007</v>
      </c>
      <c r="P358">
        <f>+bma!P358/data!$AJ358</f>
        <v>0</v>
      </c>
      <c r="Q358">
        <f>+bma!Q358/data!$AJ358</f>
        <v>58.284355817172901</v>
      </c>
      <c r="R358">
        <f>+bma!R358/data!$AJ358</f>
        <v>28.831726323917863</v>
      </c>
      <c r="S358">
        <f>+bma!S358/data!$AJ358</f>
        <v>7.6655658630006007</v>
      </c>
    </row>
    <row r="359" spans="1:19" x14ac:dyDescent="0.25">
      <c r="A359">
        <f>+data!AH359</f>
        <v>-4.1399999999999997</v>
      </c>
      <c r="B359">
        <f>+data!AL359</f>
        <v>7.8191815428470521</v>
      </c>
      <c r="C359">
        <f>+bma!C359/data!$AJ359</f>
        <v>0</v>
      </c>
      <c r="D359">
        <f>+bma!D359/data!$AJ359</f>
        <v>0</v>
      </c>
      <c r="E359">
        <f>+bma!E359/data!$AJ359</f>
        <v>0</v>
      </c>
      <c r="F359">
        <f>+bma!F359/data!$AJ359</f>
        <v>7.8191815428470521</v>
      </c>
      <c r="G359">
        <f>+bma!G359/data!$AJ359</f>
        <v>0</v>
      </c>
      <c r="H359">
        <f>+bma!H359/data!$AJ359</f>
        <v>7.8191815428470521</v>
      </c>
      <c r="I359">
        <f>+bma!I359/data!$AJ359</f>
        <v>7.8191815428470521</v>
      </c>
      <c r="J359">
        <f>+bma!L359/data!$AJ359</f>
        <v>0</v>
      </c>
      <c r="K359">
        <f>+bma!M359/data!$AJ359</f>
        <v>7.8191815428470521</v>
      </c>
      <c r="L359">
        <f>+bma!J359/data!$AJ359</f>
        <v>7.8191815428470521</v>
      </c>
      <c r="M359">
        <f>+bma!K359/data!$AJ359</f>
        <v>0</v>
      </c>
      <c r="N359">
        <f>+bma!N359/data!$AJ359</f>
        <v>0</v>
      </c>
      <c r="O359">
        <f>+bma!O359/data!$AJ359</f>
        <v>7.8191815428470521</v>
      </c>
      <c r="P359">
        <f>+bma!P359/data!$AJ359</f>
        <v>0</v>
      </c>
      <c r="Q359">
        <f>+bma!Q359/data!$AJ359</f>
        <v>59.452357123701731</v>
      </c>
      <c r="R359">
        <f>+bma!R359/data!$AJ359</f>
        <v>29.409505618956331</v>
      </c>
      <c r="S359">
        <f>+bma!S359/data!$AJ359</f>
        <v>7.8191815428470521</v>
      </c>
    </row>
    <row r="360" spans="1:19" x14ac:dyDescent="0.25">
      <c r="A360">
        <f>+data!AH360</f>
        <v>-8.9600000000000115</v>
      </c>
      <c r="B360">
        <f>+data!AL360</f>
        <v>11.844053360231038</v>
      </c>
      <c r="C360">
        <f>+bma!C360/data!$AJ360</f>
        <v>0</v>
      </c>
      <c r="D360">
        <f>+bma!D360/data!$AJ360</f>
        <v>0</v>
      </c>
      <c r="E360">
        <f>+bma!E360/data!$AJ360</f>
        <v>0</v>
      </c>
      <c r="F360">
        <f>+bma!F360/data!$AJ360</f>
        <v>11.844053360231038</v>
      </c>
      <c r="G360">
        <f>+bma!G360/data!$AJ360</f>
        <v>0</v>
      </c>
      <c r="H360">
        <f>+bma!H360/data!$AJ360</f>
        <v>11.844053360231038</v>
      </c>
      <c r="I360">
        <f>+bma!I360/data!$AJ360</f>
        <v>11.844053360231038</v>
      </c>
      <c r="J360">
        <f>+bma!L360/data!$AJ360</f>
        <v>0</v>
      </c>
      <c r="K360">
        <f>+bma!M360/data!$AJ360</f>
        <v>11.844053360231038</v>
      </c>
      <c r="L360">
        <f>+bma!J360/data!$AJ360</f>
        <v>11.844053360231038</v>
      </c>
      <c r="M360">
        <f>+bma!K360/data!$AJ360</f>
        <v>0</v>
      </c>
      <c r="N360">
        <f>+bma!N360/data!$AJ360</f>
        <v>0</v>
      </c>
      <c r="O360">
        <f>+bma!O360/data!$AJ360</f>
        <v>11.844053360231038</v>
      </c>
      <c r="P360">
        <f>+bma!P360/data!$AJ360</f>
        <v>0</v>
      </c>
      <c r="Q360">
        <f>+bma!Q360/data!$AJ360</f>
        <v>90.055063475127312</v>
      </c>
      <c r="R360">
        <f>+bma!R360/data!$AJ360</f>
        <v>44.547853498500984</v>
      </c>
      <c r="S360">
        <f>+bma!S360/data!$AJ360</f>
        <v>11.844053360231038</v>
      </c>
    </row>
    <row r="361" spans="1:19" x14ac:dyDescent="0.25">
      <c r="A361">
        <f>+data!AH361</f>
        <v>-8.9600000000000115</v>
      </c>
      <c r="B361">
        <f>+data!AL361</f>
        <v>11.844053360231038</v>
      </c>
      <c r="C361">
        <f>+bma!C361/data!$AJ361</f>
        <v>0</v>
      </c>
      <c r="D361">
        <f>+bma!D361/data!$AJ361</f>
        <v>0</v>
      </c>
      <c r="E361">
        <f>+bma!E361/data!$AJ361</f>
        <v>0</v>
      </c>
      <c r="F361">
        <f>+bma!F361/data!$AJ361</f>
        <v>11.844053360231038</v>
      </c>
      <c r="G361">
        <f>+bma!G361/data!$AJ361</f>
        <v>0</v>
      </c>
      <c r="H361">
        <f>+bma!H361/data!$AJ361</f>
        <v>11.844053360231038</v>
      </c>
      <c r="I361">
        <f>+bma!I361/data!$AJ361</f>
        <v>11.844053360231038</v>
      </c>
      <c r="J361">
        <f>+bma!L361/data!$AJ361</f>
        <v>0</v>
      </c>
      <c r="K361">
        <f>+bma!M361/data!$AJ361</f>
        <v>11.844053360231038</v>
      </c>
      <c r="L361">
        <f>+bma!J361/data!$AJ361</f>
        <v>11.844053360231038</v>
      </c>
      <c r="M361">
        <f>+bma!K361/data!$AJ361</f>
        <v>0</v>
      </c>
      <c r="N361">
        <f>+bma!N361/data!$AJ361</f>
        <v>0</v>
      </c>
      <c r="O361">
        <f>+bma!O361/data!$AJ361</f>
        <v>11.844053360231038</v>
      </c>
      <c r="P361">
        <f>+bma!P361/data!$AJ361</f>
        <v>0</v>
      </c>
      <c r="Q361">
        <f>+bma!Q361/data!$AJ361</f>
        <v>90.055063475127312</v>
      </c>
      <c r="R361">
        <f>+bma!R361/data!$AJ361</f>
        <v>44.547853498500984</v>
      </c>
      <c r="S361">
        <f>+bma!S361/data!$AJ361</f>
        <v>11.844053360231038</v>
      </c>
    </row>
    <row r="362" spans="1:19" x14ac:dyDescent="0.25">
      <c r="A362">
        <f>+data!AH362</f>
        <v>-8.6999999999999957</v>
      </c>
      <c r="B362">
        <f>+data!AL362</f>
        <v>15.319595294915592</v>
      </c>
      <c r="C362">
        <f>+bma!C362/data!$AJ362</f>
        <v>0</v>
      </c>
      <c r="D362">
        <f>+bma!D362/data!$AJ362</f>
        <v>0</v>
      </c>
      <c r="E362">
        <f>+bma!E362/data!$AJ362</f>
        <v>0</v>
      </c>
      <c r="F362">
        <f>+bma!F362/data!$AJ362</f>
        <v>15.319595294915592</v>
      </c>
      <c r="G362">
        <f>+bma!G362/data!$AJ362</f>
        <v>0</v>
      </c>
      <c r="H362">
        <f>+bma!H362/data!$AJ362</f>
        <v>15.319595294915592</v>
      </c>
      <c r="I362">
        <f>+bma!I362/data!$AJ362</f>
        <v>15.319595294915592</v>
      </c>
      <c r="J362">
        <f>+bma!L362/data!$AJ362</f>
        <v>0</v>
      </c>
      <c r="K362">
        <f>+bma!M362/data!$AJ362</f>
        <v>15.319595294915592</v>
      </c>
      <c r="L362">
        <f>+bma!J362/data!$AJ362</f>
        <v>15.319595294915592</v>
      </c>
      <c r="M362">
        <f>+bma!K362/data!$AJ362</f>
        <v>0</v>
      </c>
      <c r="N362">
        <f>+bma!N362/data!$AJ362</f>
        <v>0</v>
      </c>
      <c r="O362">
        <f>+bma!O362/data!$AJ362</f>
        <v>15.319595294915592</v>
      </c>
      <c r="P362">
        <f>+bma!P362/data!$AJ362</f>
        <v>0</v>
      </c>
      <c r="Q362">
        <f>+bma!Q362/data!$AJ362</f>
        <v>116.48099554576592</v>
      </c>
      <c r="R362">
        <f>+bma!R362/data!$AJ362</f>
        <v>57.620061823236526</v>
      </c>
      <c r="S362">
        <f>+bma!S362/data!$AJ362</f>
        <v>15.319595294915592</v>
      </c>
    </row>
    <row r="363" spans="1:19" x14ac:dyDescent="0.25">
      <c r="A363">
        <f>+data!AH363</f>
        <v>-8.6999999999999957</v>
      </c>
      <c r="B363">
        <f>+data!AL363</f>
        <v>15.319595294915592</v>
      </c>
      <c r="C363">
        <f>+bma!C363/data!$AJ363</f>
        <v>0</v>
      </c>
      <c r="D363">
        <f>+bma!D363/data!$AJ363</f>
        <v>0</v>
      </c>
      <c r="E363">
        <f>+bma!E363/data!$AJ363</f>
        <v>0</v>
      </c>
      <c r="F363">
        <f>+bma!F363/data!$AJ363</f>
        <v>15.319595294915592</v>
      </c>
      <c r="G363">
        <f>+bma!G363/data!$AJ363</f>
        <v>0</v>
      </c>
      <c r="H363">
        <f>+bma!H363/data!$AJ363</f>
        <v>15.319595294915592</v>
      </c>
      <c r="I363">
        <f>+bma!I363/data!$AJ363</f>
        <v>15.319595294915592</v>
      </c>
      <c r="J363">
        <f>+bma!L363/data!$AJ363</f>
        <v>0</v>
      </c>
      <c r="K363">
        <f>+bma!M363/data!$AJ363</f>
        <v>15.319595294915592</v>
      </c>
      <c r="L363">
        <f>+bma!J363/data!$AJ363</f>
        <v>15.319595294915592</v>
      </c>
      <c r="M363">
        <f>+bma!K363/data!$AJ363</f>
        <v>0</v>
      </c>
      <c r="N363">
        <f>+bma!N363/data!$AJ363</f>
        <v>0</v>
      </c>
      <c r="O363">
        <f>+bma!O363/data!$AJ363</f>
        <v>15.319595294915592</v>
      </c>
      <c r="P363">
        <f>+bma!P363/data!$AJ363</f>
        <v>0</v>
      </c>
      <c r="Q363">
        <f>+bma!Q363/data!$AJ363</f>
        <v>116.48099554576592</v>
      </c>
      <c r="R363">
        <f>+bma!R363/data!$AJ363</f>
        <v>57.620061823236526</v>
      </c>
      <c r="S363">
        <f>+bma!S363/data!$AJ363</f>
        <v>15.319595294915592</v>
      </c>
    </row>
    <row r="364" spans="1:19" x14ac:dyDescent="0.25">
      <c r="A364">
        <f>+data!AH364</f>
        <v>-5.7900000000000027</v>
      </c>
      <c r="B364">
        <f>+data!AL364</f>
        <v>13.875305402044312</v>
      </c>
      <c r="C364">
        <f>+bma!C364/data!$AJ364</f>
        <v>0</v>
      </c>
      <c r="D364">
        <f>+bma!D364/data!$AJ364</f>
        <v>0</v>
      </c>
      <c r="E364">
        <f>+bma!E364/data!$AJ364</f>
        <v>0</v>
      </c>
      <c r="F364">
        <f>+bma!F364/data!$AJ364</f>
        <v>13.875305402044312</v>
      </c>
      <c r="G364">
        <f>+bma!G364/data!$AJ364</f>
        <v>0</v>
      </c>
      <c r="H364">
        <f>+bma!H364/data!$AJ364</f>
        <v>13.875305402044312</v>
      </c>
      <c r="I364">
        <f>+bma!I364/data!$AJ364</f>
        <v>13.875305402044312</v>
      </c>
      <c r="J364">
        <f>+bma!L364/data!$AJ364</f>
        <v>0</v>
      </c>
      <c r="K364">
        <f>+bma!M364/data!$AJ364</f>
        <v>13.875305402044312</v>
      </c>
      <c r="L364">
        <f>+bma!J364/data!$AJ364</f>
        <v>13.875305402044312</v>
      </c>
      <c r="M364">
        <f>+bma!K364/data!$AJ364</f>
        <v>0</v>
      </c>
      <c r="N364">
        <f>+bma!N364/data!$AJ364</f>
        <v>0</v>
      </c>
      <c r="O364">
        <f>+bma!O364/data!$AJ364</f>
        <v>13.875305402044312</v>
      </c>
      <c r="P364">
        <f>+bma!P364/data!$AJ364</f>
        <v>0</v>
      </c>
      <c r="Q364">
        <f>+bma!Q364/data!$AJ364</f>
        <v>105.49948321859831</v>
      </c>
      <c r="R364">
        <f>+bma!R364/data!$AJ364</f>
        <v>52.187798678169067</v>
      </c>
      <c r="S364">
        <f>+bma!S364/data!$AJ364</f>
        <v>13.875305402044312</v>
      </c>
    </row>
    <row r="365" spans="1:19" x14ac:dyDescent="0.25">
      <c r="A365">
        <f>+data!AH365</f>
        <v>-6.1999999999999975</v>
      </c>
      <c r="B365">
        <f>+data!AL365</f>
        <v>14.086873322352266</v>
      </c>
      <c r="C365">
        <f>+bma!C365/data!$AJ365</f>
        <v>0</v>
      </c>
      <c r="D365">
        <f>+bma!D365/data!$AJ365</f>
        <v>0</v>
      </c>
      <c r="E365">
        <f>+bma!E365/data!$AJ365</f>
        <v>0</v>
      </c>
      <c r="F365">
        <f>+bma!F365/data!$AJ365</f>
        <v>14.086873322352266</v>
      </c>
      <c r="G365">
        <f>+bma!G365/data!$AJ365</f>
        <v>0</v>
      </c>
      <c r="H365">
        <f>+bma!H365/data!$AJ365</f>
        <v>0</v>
      </c>
      <c r="I365">
        <f>+bma!I365/data!$AJ365</f>
        <v>14.086873322352266</v>
      </c>
      <c r="J365">
        <f>+bma!L365/data!$AJ365</f>
        <v>0</v>
      </c>
      <c r="K365">
        <f>+bma!M365/data!$AJ365</f>
        <v>14.086873322352266</v>
      </c>
      <c r="L365">
        <f>+bma!J365/data!$AJ365</f>
        <v>14.086873322352266</v>
      </c>
      <c r="M365">
        <f>+bma!K365/data!$AJ365</f>
        <v>0</v>
      </c>
      <c r="N365">
        <f>+bma!N365/data!$AJ365</f>
        <v>0</v>
      </c>
      <c r="O365">
        <f>+bma!O365/data!$AJ365</f>
        <v>14.086873322352266</v>
      </c>
      <c r="P365">
        <f>+bma!P365/data!$AJ365</f>
        <v>0</v>
      </c>
      <c r="Q365">
        <f>+bma!Q365/data!$AJ365</f>
        <v>107.1081185322999</v>
      </c>
      <c r="R365">
        <f>+bma!R365/data!$AJ365</f>
        <v>52.983547940031343</v>
      </c>
      <c r="S365">
        <f>+bma!S365/data!$AJ365</f>
        <v>14.086873322352266</v>
      </c>
    </row>
    <row r="366" spans="1:19" x14ac:dyDescent="0.25">
      <c r="A366">
        <f>+data!AH366</f>
        <v>-3.0599999999999978</v>
      </c>
      <c r="B366">
        <f>+data!AL366</f>
        <v>12.97549999036646</v>
      </c>
      <c r="C366">
        <f>+bma!C366/data!$AJ366</f>
        <v>0</v>
      </c>
      <c r="D366">
        <f>+bma!D366/data!$AJ366</f>
        <v>0</v>
      </c>
      <c r="E366">
        <f>+bma!E366/data!$AJ366</f>
        <v>0</v>
      </c>
      <c r="F366">
        <f>+bma!F366/data!$AJ366</f>
        <v>12.97549999036646</v>
      </c>
      <c r="G366">
        <f>+bma!G366/data!$AJ366</f>
        <v>0</v>
      </c>
      <c r="H366">
        <f>+bma!H366/data!$AJ366</f>
        <v>12.97549999036646</v>
      </c>
      <c r="I366">
        <f>+bma!I366/data!$AJ366</f>
        <v>12.97549999036646</v>
      </c>
      <c r="J366">
        <f>+bma!L366/data!$AJ366</f>
        <v>0</v>
      </c>
      <c r="K366">
        <f>+bma!M366/data!$AJ366</f>
        <v>12.97549999036646</v>
      </c>
      <c r="L366">
        <f>+bma!J366/data!$AJ366</f>
        <v>12.97549999036646</v>
      </c>
      <c r="M366">
        <f>+bma!K366/data!$AJ366</f>
        <v>0</v>
      </c>
      <c r="N366">
        <f>+bma!N366/data!$AJ366</f>
        <v>0</v>
      </c>
      <c r="O366">
        <f>+bma!O366/data!$AJ366</f>
        <v>12.97549999036646</v>
      </c>
      <c r="P366">
        <f>+bma!P366/data!$AJ366</f>
        <v>0</v>
      </c>
      <c r="Q366">
        <f>+bma!Q366/data!$AJ366</f>
        <v>98.657903651252354</v>
      </c>
      <c r="R366">
        <f>+bma!R366/data!$AJ366</f>
        <v>48.803450563766333</v>
      </c>
      <c r="S366">
        <f>+bma!S366/data!$AJ366</f>
        <v>12.97549999036646</v>
      </c>
    </row>
    <row r="367" spans="1:19" x14ac:dyDescent="0.25">
      <c r="A367">
        <f>+data!AH367</f>
        <v>-3.8099999999999974</v>
      </c>
      <c r="B367">
        <f>+data!AL367</f>
        <v>13.24824894089781</v>
      </c>
      <c r="C367">
        <f>+bma!C367/data!$AJ367</f>
        <v>0</v>
      </c>
      <c r="D367">
        <f>+bma!D367/data!$AJ367</f>
        <v>0</v>
      </c>
      <c r="E367">
        <f>+bma!E367/data!$AJ367</f>
        <v>0</v>
      </c>
      <c r="F367">
        <f>+bma!F367/data!$AJ367</f>
        <v>13.24824894089781</v>
      </c>
      <c r="G367">
        <f>+bma!G367/data!$AJ367</f>
        <v>0</v>
      </c>
      <c r="H367">
        <f>+bma!H367/data!$AJ367</f>
        <v>13.24824894089781</v>
      </c>
      <c r="I367">
        <f>+bma!I367/data!$AJ367</f>
        <v>0</v>
      </c>
      <c r="J367">
        <f>+bma!L367/data!$AJ367</f>
        <v>0</v>
      </c>
      <c r="K367">
        <f>+bma!M367/data!$AJ367</f>
        <v>13.24824894089781</v>
      </c>
      <c r="L367">
        <f>+bma!J367/data!$AJ367</f>
        <v>0</v>
      </c>
      <c r="M367">
        <f>+bma!K367/data!$AJ367</f>
        <v>13.24824894089781</v>
      </c>
      <c r="N367">
        <f>+bma!N367/data!$AJ367</f>
        <v>0</v>
      </c>
      <c r="O367">
        <f>+bma!O367/data!$AJ367</f>
        <v>13.24824894089781</v>
      </c>
      <c r="P367">
        <f>+bma!P367/data!$AJ367</f>
        <v>0</v>
      </c>
      <c r="Q367">
        <f>+bma!Q367/data!$AJ367</f>
        <v>100.73172274897345</v>
      </c>
      <c r="R367">
        <f>+bma!R367/data!$AJ367</f>
        <v>49.829313916504844</v>
      </c>
      <c r="S367">
        <f>+bma!S367/data!$AJ367</f>
        <v>13.24824894089781</v>
      </c>
    </row>
    <row r="368" spans="1:19" x14ac:dyDescent="0.25">
      <c r="A368">
        <f>+data!AH368</f>
        <v>1.6500000000000012</v>
      </c>
      <c r="B368">
        <f>+data!AL368</f>
        <v>6.8353858706001382</v>
      </c>
      <c r="C368">
        <f>+bma!C368/data!$AJ368</f>
        <v>0</v>
      </c>
      <c r="D368">
        <f>+bma!D368/data!$AJ368</f>
        <v>0</v>
      </c>
      <c r="E368">
        <f>+bma!E368/data!$AJ368</f>
        <v>0</v>
      </c>
      <c r="F368">
        <f>+bma!F368/data!$AJ368</f>
        <v>6.8353858706001382</v>
      </c>
      <c r="G368">
        <f>+bma!G368/data!$AJ368</f>
        <v>0</v>
      </c>
      <c r="H368">
        <f>+bma!H368/data!$AJ368</f>
        <v>6.8353858706001382</v>
      </c>
      <c r="I368">
        <f>+bma!I368/data!$AJ368</f>
        <v>6.8353858706001382</v>
      </c>
      <c r="J368">
        <f>+bma!L368/data!$AJ368</f>
        <v>0</v>
      </c>
      <c r="K368">
        <f>+bma!M368/data!$AJ368</f>
        <v>6.8353858706001382</v>
      </c>
      <c r="L368">
        <f>+bma!J368/data!$AJ368</f>
        <v>0</v>
      </c>
      <c r="M368">
        <f>+bma!K368/data!$AJ368</f>
        <v>6.8353858706001382</v>
      </c>
      <c r="N368">
        <f>+bma!N368/data!$AJ368</f>
        <v>0</v>
      </c>
      <c r="O368">
        <f>+bma!O368/data!$AJ368</f>
        <v>6.8353858706001382</v>
      </c>
      <c r="P368">
        <f>+bma!P368/data!$AJ368</f>
        <v>0</v>
      </c>
      <c r="Q368">
        <f>+bma!Q368/data!$AJ368</f>
        <v>51.972166093135215</v>
      </c>
      <c r="R368">
        <f>+bma!R368/data!$AJ368</f>
        <v>25.709253336501238</v>
      </c>
      <c r="S368">
        <f>+bma!S368/data!$AJ368</f>
        <v>6.8353858706001382</v>
      </c>
    </row>
    <row r="369" spans="1:19" x14ac:dyDescent="0.25">
      <c r="A369">
        <f>+data!AH369</f>
        <v>2.4899999999999998</v>
      </c>
      <c r="B369">
        <f>+data!AL369</f>
        <v>7.29383986662718</v>
      </c>
      <c r="C369">
        <f>+bma!C369/data!$AJ369</f>
        <v>0</v>
      </c>
      <c r="D369">
        <f>+bma!D369/data!$AJ369</f>
        <v>0</v>
      </c>
      <c r="E369">
        <f>+bma!E369/data!$AJ369</f>
        <v>0</v>
      </c>
      <c r="F369">
        <f>+bma!F369/data!$AJ369</f>
        <v>7.29383986662718</v>
      </c>
      <c r="G369">
        <f>+bma!G369/data!$AJ369</f>
        <v>0</v>
      </c>
      <c r="H369">
        <f>+bma!H369/data!$AJ369</f>
        <v>7.29383986662718</v>
      </c>
      <c r="I369">
        <f>+bma!I369/data!$AJ369</f>
        <v>0</v>
      </c>
      <c r="J369">
        <f>+bma!L369/data!$AJ369</f>
        <v>0</v>
      </c>
      <c r="K369">
        <f>+bma!M369/data!$AJ369</f>
        <v>7.29383986662718</v>
      </c>
      <c r="L369">
        <f>+bma!J369/data!$AJ369</f>
        <v>0</v>
      </c>
      <c r="M369">
        <f>+bma!K369/data!$AJ369</f>
        <v>7.29383986662718</v>
      </c>
      <c r="N369">
        <f>+bma!N369/data!$AJ369</f>
        <v>0</v>
      </c>
      <c r="O369">
        <f>+bma!O369/data!$AJ369</f>
        <v>7.29383986662718</v>
      </c>
      <c r="P369">
        <f>+bma!P369/data!$AJ369</f>
        <v>0</v>
      </c>
      <c r="Q369">
        <f>+bma!Q369/data!$AJ369</f>
        <v>55.457974748073234</v>
      </c>
      <c r="R369">
        <f>+bma!R369/data!$AJ369</f>
        <v>27.433590506358151</v>
      </c>
      <c r="S369">
        <f>+bma!S369/data!$AJ369</f>
        <v>7.29383986662718</v>
      </c>
    </row>
    <row r="370" spans="1:19" x14ac:dyDescent="0.25">
      <c r="A370">
        <f>+data!AH370</f>
        <v>-2.6199999999999988</v>
      </c>
      <c r="B370">
        <f>+data!AL370</f>
        <v>7.0614729341689033</v>
      </c>
      <c r="C370">
        <f>+bma!C370/data!$AJ370</f>
        <v>0</v>
      </c>
      <c r="D370">
        <f>+bma!D370/data!$AJ370</f>
        <v>0</v>
      </c>
      <c r="E370">
        <f>+bma!E370/data!$AJ370</f>
        <v>0</v>
      </c>
      <c r="F370">
        <f>+bma!F370/data!$AJ370</f>
        <v>7.0614729341689033</v>
      </c>
      <c r="G370">
        <f>+bma!G370/data!$AJ370</f>
        <v>0</v>
      </c>
      <c r="H370">
        <f>+bma!H370/data!$AJ370</f>
        <v>7.0614729341689033</v>
      </c>
      <c r="I370">
        <f>+bma!I370/data!$AJ370</f>
        <v>7.0614729341689033</v>
      </c>
      <c r="J370">
        <f>+bma!L370/data!$AJ370</f>
        <v>0</v>
      </c>
      <c r="K370">
        <f>+bma!M370/data!$AJ370</f>
        <v>7.0614729341689033</v>
      </c>
      <c r="L370">
        <f>+bma!J370/data!$AJ370</f>
        <v>0</v>
      </c>
      <c r="M370">
        <f>+bma!K370/data!$AJ370</f>
        <v>7.0614729341689033</v>
      </c>
      <c r="N370">
        <f>+bma!N370/data!$AJ370</f>
        <v>0</v>
      </c>
      <c r="O370">
        <f>+bma!O370/data!$AJ370</f>
        <v>7.0614729341689033</v>
      </c>
      <c r="P370">
        <f>+bma!P370/data!$AJ370</f>
        <v>0</v>
      </c>
      <c r="Q370">
        <f>+bma!Q370/data!$AJ370</f>
        <v>53.691196246186905</v>
      </c>
      <c r="R370">
        <f>+bma!R370/data!$AJ370</f>
        <v>26.559611999996083</v>
      </c>
      <c r="S370">
        <f>+bma!S370/data!$AJ370</f>
        <v>7.0614729341689033</v>
      </c>
    </row>
    <row r="371" spans="1:19" x14ac:dyDescent="0.25">
      <c r="A371">
        <f>+data!AH371</f>
        <v>-2.7899999999999978</v>
      </c>
      <c r="B371">
        <f>+data!AL371</f>
        <v>7.4016281992545387</v>
      </c>
      <c r="C371">
        <f>+bma!C371/data!$AJ371</f>
        <v>0</v>
      </c>
      <c r="D371">
        <f>+bma!D371/data!$AJ371</f>
        <v>0</v>
      </c>
      <c r="E371">
        <f>+bma!E371/data!$AJ371</f>
        <v>0</v>
      </c>
      <c r="F371">
        <f>+bma!F371/data!$AJ371</f>
        <v>7.4016281992545387</v>
      </c>
      <c r="G371">
        <f>+bma!G371/data!$AJ371</f>
        <v>0</v>
      </c>
      <c r="H371">
        <f>+bma!H371/data!$AJ371</f>
        <v>7.4016281992545387</v>
      </c>
      <c r="I371">
        <f>+bma!I371/data!$AJ371</f>
        <v>0</v>
      </c>
      <c r="J371">
        <f>+bma!L371/data!$AJ371</f>
        <v>0</v>
      </c>
      <c r="K371">
        <f>+bma!M371/data!$AJ371</f>
        <v>7.4016281992545387</v>
      </c>
      <c r="L371">
        <f>+bma!J371/data!$AJ371</f>
        <v>0</v>
      </c>
      <c r="M371">
        <f>+bma!K371/data!$AJ371</f>
        <v>7.4016281992545387</v>
      </c>
      <c r="N371">
        <f>+bma!N371/data!$AJ371</f>
        <v>0</v>
      </c>
      <c r="O371">
        <f>+bma!O371/data!$AJ371</f>
        <v>7.4016281992545387</v>
      </c>
      <c r="P371">
        <f>+bma!P371/data!$AJ371</f>
        <v>0</v>
      </c>
      <c r="Q371">
        <f>+bma!Q371/data!$AJ371</f>
        <v>56.277532448583756</v>
      </c>
      <c r="R371">
        <f>+bma!R371/data!$AJ371</f>
        <v>27.839003983036172</v>
      </c>
      <c r="S371">
        <f>+bma!S371/data!$AJ371</f>
        <v>7.4016281992545387</v>
      </c>
    </row>
    <row r="372" spans="1:19" x14ac:dyDescent="0.25">
      <c r="A372">
        <f>+data!AH372</f>
        <v>-3.030000000000002</v>
      </c>
      <c r="B372">
        <f>+data!AL372</f>
        <v>8.3175056357059365</v>
      </c>
      <c r="C372">
        <f>+bma!C372/data!$AJ372</f>
        <v>0</v>
      </c>
      <c r="D372">
        <f>+bma!D372/data!$AJ372</f>
        <v>0</v>
      </c>
      <c r="E372">
        <f>+bma!E372/data!$AJ372</f>
        <v>0</v>
      </c>
      <c r="F372">
        <f>+bma!F372/data!$AJ372</f>
        <v>8.3175056357059365</v>
      </c>
      <c r="G372">
        <f>+bma!G372/data!$AJ372</f>
        <v>0</v>
      </c>
      <c r="H372">
        <f>+bma!H372/data!$AJ372</f>
        <v>8.3175056357059365</v>
      </c>
      <c r="I372">
        <f>+bma!I372/data!$AJ372</f>
        <v>8.3175056357059365</v>
      </c>
      <c r="J372">
        <f>+bma!L372/data!$AJ372</f>
        <v>0</v>
      </c>
      <c r="K372">
        <f>+bma!M372/data!$AJ372</f>
        <v>8.3175056357059365</v>
      </c>
      <c r="L372">
        <f>+bma!J372/data!$AJ372</f>
        <v>0</v>
      </c>
      <c r="M372">
        <f>+bma!K372/data!$AJ372</f>
        <v>8.3175056357059365</v>
      </c>
      <c r="N372">
        <f>+bma!N372/data!$AJ372</f>
        <v>0</v>
      </c>
      <c r="O372">
        <f>+bma!O372/data!$AJ372</f>
        <v>8.3175056357059365</v>
      </c>
      <c r="P372">
        <f>+bma!P372/data!$AJ372</f>
        <v>0</v>
      </c>
      <c r="Q372">
        <f>+bma!Q372/data!$AJ372</f>
        <v>63.241314033020885</v>
      </c>
      <c r="R372">
        <f>+bma!R372/data!$AJ372</f>
        <v>31.283802197017174</v>
      </c>
      <c r="S372">
        <f>+bma!S372/data!$AJ372</f>
        <v>8.3175056357059365</v>
      </c>
    </row>
    <row r="373" spans="1:19" x14ac:dyDescent="0.25">
      <c r="A373">
        <f>+data!AH373</f>
        <v>-2.8900000000000108</v>
      </c>
      <c r="B373">
        <f>+data!AL373</f>
        <v>8.3876158710327253</v>
      </c>
      <c r="C373">
        <f>+bma!C373/data!$AJ373</f>
        <v>0</v>
      </c>
      <c r="D373">
        <f>+bma!D373/data!$AJ373</f>
        <v>0</v>
      </c>
      <c r="E373">
        <f>+bma!E373/data!$AJ373</f>
        <v>0</v>
      </c>
      <c r="F373">
        <f>+bma!F373/data!$AJ373</f>
        <v>8.3876158710327253</v>
      </c>
      <c r="G373">
        <f>+bma!G373/data!$AJ373</f>
        <v>0</v>
      </c>
      <c r="H373">
        <f>+bma!H373/data!$AJ373</f>
        <v>0</v>
      </c>
      <c r="I373">
        <f>+bma!I373/data!$AJ373</f>
        <v>8.3876158710327253</v>
      </c>
      <c r="J373">
        <f>+bma!L373/data!$AJ373</f>
        <v>0</v>
      </c>
      <c r="K373">
        <f>+bma!M373/data!$AJ373</f>
        <v>8.3876158710327253</v>
      </c>
      <c r="L373">
        <f>+bma!J373/data!$AJ373</f>
        <v>0</v>
      </c>
      <c r="M373">
        <f>+bma!K373/data!$AJ373</f>
        <v>8.3876158710327253</v>
      </c>
      <c r="N373">
        <f>+bma!N373/data!$AJ373</f>
        <v>0</v>
      </c>
      <c r="O373">
        <f>+bma!O373/data!$AJ373</f>
        <v>8.3876158710327253</v>
      </c>
      <c r="P373">
        <f>+bma!P373/data!$AJ373</f>
        <v>0</v>
      </c>
      <c r="Q373">
        <f>+bma!Q373/data!$AJ373</f>
        <v>63.774390126194348</v>
      </c>
      <c r="R373">
        <f>+bma!R373/data!$AJ373</f>
        <v>31.547500814128288</v>
      </c>
      <c r="S373">
        <f>+bma!S373/data!$AJ373</f>
        <v>8.3876158710327253</v>
      </c>
    </row>
    <row r="374" spans="1:19" x14ac:dyDescent="0.25">
      <c r="A374">
        <f>+data!AH374</f>
        <v>-3.1399999999999992</v>
      </c>
      <c r="B374">
        <f>+data!AL374</f>
        <v>12.994598877995429</v>
      </c>
      <c r="C374">
        <f>+bma!C374/data!$AJ374</f>
        <v>0</v>
      </c>
      <c r="D374">
        <f>+bma!D374/data!$AJ374</f>
        <v>0</v>
      </c>
      <c r="E374">
        <f>+bma!E374/data!$AJ374</f>
        <v>0</v>
      </c>
      <c r="F374">
        <f>+bma!F374/data!$AJ374</f>
        <v>12.994598877995429</v>
      </c>
      <c r="G374">
        <f>+bma!G374/data!$AJ374</f>
        <v>0</v>
      </c>
      <c r="H374">
        <f>+bma!H374/data!$AJ374</f>
        <v>12.994598877995429</v>
      </c>
      <c r="I374">
        <f>+bma!I374/data!$AJ374</f>
        <v>12.994598877995429</v>
      </c>
      <c r="J374">
        <f>+bma!L374/data!$AJ374</f>
        <v>0</v>
      </c>
      <c r="K374">
        <f>+bma!M374/data!$AJ374</f>
        <v>12.994598877995429</v>
      </c>
      <c r="L374">
        <f>+bma!J374/data!$AJ374</f>
        <v>0</v>
      </c>
      <c r="M374">
        <f>+bma!K374/data!$AJ374</f>
        <v>12.994598877995429</v>
      </c>
      <c r="N374">
        <f>+bma!N374/data!$AJ374</f>
        <v>0</v>
      </c>
      <c r="O374">
        <f>+bma!O374/data!$AJ374</f>
        <v>12.994598877995429</v>
      </c>
      <c r="P374">
        <f>+bma!P374/data!$AJ374</f>
        <v>0</v>
      </c>
      <c r="Q374">
        <f>+bma!Q374/data!$AJ374</f>
        <v>98.803120114351557</v>
      </c>
      <c r="R374">
        <f>+bma!R374/data!$AJ374</f>
        <v>48.875285299916406</v>
      </c>
      <c r="S374">
        <f>+bma!S374/data!$AJ374</f>
        <v>12.994598877995429</v>
      </c>
    </row>
    <row r="375" spans="1:19" x14ac:dyDescent="0.25">
      <c r="A375">
        <f>+data!AH375</f>
        <v>-3.3899999999999957</v>
      </c>
      <c r="B375">
        <f>+data!AL375</f>
        <v>13.133624785260157</v>
      </c>
      <c r="C375">
        <f>+bma!C375/data!$AJ375</f>
        <v>0</v>
      </c>
      <c r="D375">
        <f>+bma!D375/data!$AJ375</f>
        <v>0</v>
      </c>
      <c r="E375">
        <f>+bma!E375/data!$AJ375</f>
        <v>0</v>
      </c>
      <c r="F375">
        <f>+bma!F375/data!$AJ375</f>
        <v>13.133624785260157</v>
      </c>
      <c r="G375">
        <f>+bma!G375/data!$AJ375</f>
        <v>0</v>
      </c>
      <c r="H375">
        <f>+bma!H375/data!$AJ375</f>
        <v>13.133624785260157</v>
      </c>
      <c r="I375">
        <f>+bma!I375/data!$AJ375</f>
        <v>0</v>
      </c>
      <c r="J375">
        <f>+bma!L375/data!$AJ375</f>
        <v>0</v>
      </c>
      <c r="K375">
        <f>+bma!M375/data!$AJ375</f>
        <v>13.133624785260157</v>
      </c>
      <c r="L375">
        <f>+bma!J375/data!$AJ375</f>
        <v>0</v>
      </c>
      <c r="M375">
        <f>+bma!K375/data!$AJ375</f>
        <v>13.133624785260157</v>
      </c>
      <c r="N375">
        <f>+bma!N375/data!$AJ375</f>
        <v>0</v>
      </c>
      <c r="O375">
        <f>+bma!O375/data!$AJ375</f>
        <v>13.133624785260157</v>
      </c>
      <c r="P375">
        <f>+bma!P375/data!$AJ375</f>
        <v>0</v>
      </c>
      <c r="Q375">
        <f>+bma!Q375/data!$AJ375</f>
        <v>99.860189558622281</v>
      </c>
      <c r="R375">
        <f>+bma!R375/data!$AJ375</f>
        <v>49.398189542320502</v>
      </c>
      <c r="S375">
        <f>+bma!S375/data!$AJ375</f>
        <v>13.133624785260157</v>
      </c>
    </row>
    <row r="376" spans="1:19" x14ac:dyDescent="0.25">
      <c r="A376">
        <f>+data!AH376</f>
        <v>-2.0999999999999983</v>
      </c>
      <c r="B376">
        <f>+data!AL376</f>
        <v>12.783192089615177</v>
      </c>
      <c r="C376">
        <f>+bma!C376/data!$AJ376</f>
        <v>0</v>
      </c>
      <c r="D376">
        <f>+bma!D376/data!$AJ376</f>
        <v>0</v>
      </c>
      <c r="E376">
        <f>+bma!E376/data!$AJ376</f>
        <v>0</v>
      </c>
      <c r="F376">
        <f>+bma!F376/data!$AJ376</f>
        <v>12.783192089615177</v>
      </c>
      <c r="G376">
        <f>+bma!G376/data!$AJ376</f>
        <v>0</v>
      </c>
      <c r="H376">
        <f>+bma!H376/data!$AJ376</f>
        <v>12.783192089615177</v>
      </c>
      <c r="I376">
        <f>+bma!I376/data!$AJ376</f>
        <v>12.783192089615177</v>
      </c>
      <c r="J376">
        <f>+bma!L376/data!$AJ376</f>
        <v>0</v>
      </c>
      <c r="K376">
        <f>+bma!M376/data!$AJ376</f>
        <v>12.783192089615177</v>
      </c>
      <c r="L376">
        <f>+bma!J376/data!$AJ376</f>
        <v>0</v>
      </c>
      <c r="M376">
        <f>+bma!K376/data!$AJ376</f>
        <v>12.783192089615177</v>
      </c>
      <c r="N376">
        <f>+bma!N376/data!$AJ376</f>
        <v>0</v>
      </c>
      <c r="O376">
        <f>+bma!O376/data!$AJ376</f>
        <v>12.783192089615177</v>
      </c>
      <c r="P376">
        <f>+bma!P376/data!$AJ376</f>
        <v>0</v>
      </c>
      <c r="Q376">
        <f>+bma!Q376/data!$AJ376</f>
        <v>97.195709950987933</v>
      </c>
      <c r="R376">
        <f>+bma!R376/data!$AJ376</f>
        <v>48.080142087460601</v>
      </c>
      <c r="S376">
        <f>+bma!S376/data!$AJ376</f>
        <v>12.783192089615177</v>
      </c>
    </row>
    <row r="377" spans="1:19" x14ac:dyDescent="0.25">
      <c r="A377">
        <f>+data!AH377</f>
        <v>-2.6399999999999997</v>
      </c>
      <c r="B377">
        <f>+data!AL377</f>
        <v>12.998830716645246</v>
      </c>
      <c r="C377">
        <f>+bma!C377/data!$AJ377</f>
        <v>0</v>
      </c>
      <c r="D377">
        <f>+bma!D377/data!$AJ377</f>
        <v>0</v>
      </c>
      <c r="E377">
        <f>+bma!E377/data!$AJ377</f>
        <v>0</v>
      </c>
      <c r="F377">
        <f>+bma!F377/data!$AJ377</f>
        <v>12.998830716645246</v>
      </c>
      <c r="G377">
        <f>+bma!G377/data!$AJ377</f>
        <v>0</v>
      </c>
      <c r="H377">
        <f>+bma!H377/data!$AJ377</f>
        <v>12.998830716645246</v>
      </c>
      <c r="I377">
        <f>+bma!I377/data!$AJ377</f>
        <v>0</v>
      </c>
      <c r="J377">
        <f>+bma!L377/data!$AJ377</f>
        <v>0</v>
      </c>
      <c r="K377">
        <f>+bma!M377/data!$AJ377</f>
        <v>12.998830716645246</v>
      </c>
      <c r="L377">
        <f>+bma!J377/data!$AJ377</f>
        <v>0</v>
      </c>
      <c r="M377">
        <f>+bma!K377/data!$AJ377</f>
        <v>12.998830716645246</v>
      </c>
      <c r="N377">
        <f>+bma!N377/data!$AJ377</f>
        <v>0</v>
      </c>
      <c r="O377">
        <f>+bma!O377/data!$AJ377</f>
        <v>12.998830716645246</v>
      </c>
      <c r="P377">
        <f>+bma!P377/data!$AJ377</f>
        <v>0</v>
      </c>
      <c r="Q377">
        <f>+bma!Q377/data!$AJ377</f>
        <v>98.835296472109746</v>
      </c>
      <c r="R377">
        <f>+bma!R377/data!$AJ377</f>
        <v>48.891202091446104</v>
      </c>
      <c r="S377">
        <f>+bma!S377/data!$AJ377</f>
        <v>12.998830716645246</v>
      </c>
    </row>
    <row r="378" spans="1:19" x14ac:dyDescent="0.25">
      <c r="A378">
        <f>+data!AH378</f>
        <v>-7.9799999999999995</v>
      </c>
      <c r="B378">
        <f>+data!AL378</f>
        <v>14.922479686700866</v>
      </c>
      <c r="C378">
        <f>+bma!C378/data!$AJ378</f>
        <v>0</v>
      </c>
      <c r="D378">
        <f>+bma!D378/data!$AJ378</f>
        <v>0</v>
      </c>
      <c r="E378">
        <f>+bma!E378/data!$AJ378</f>
        <v>0</v>
      </c>
      <c r="F378">
        <f>+bma!F378/data!$AJ378</f>
        <v>14.922479686700866</v>
      </c>
      <c r="G378">
        <f>+bma!G378/data!$AJ378</f>
        <v>0</v>
      </c>
      <c r="H378">
        <f>+bma!H378/data!$AJ378</f>
        <v>14.922479686700866</v>
      </c>
      <c r="I378">
        <f>+bma!I378/data!$AJ378</f>
        <v>14.922479686700866</v>
      </c>
      <c r="J378">
        <f>+bma!L378/data!$AJ378</f>
        <v>0</v>
      </c>
      <c r="K378">
        <f>+bma!M378/data!$AJ378</f>
        <v>14.922479686700866</v>
      </c>
      <c r="L378">
        <f>+bma!J378/data!$AJ378</f>
        <v>0</v>
      </c>
      <c r="M378">
        <f>+bma!K378/data!$AJ378</f>
        <v>14.922479686700866</v>
      </c>
      <c r="N378">
        <f>+bma!N378/data!$AJ378</f>
        <v>0</v>
      </c>
      <c r="O378">
        <f>+bma!O378/data!$AJ378</f>
        <v>14.922479686700866</v>
      </c>
      <c r="P378">
        <f>+bma!P378/data!$AJ378</f>
        <v>0</v>
      </c>
      <c r="Q378">
        <f>+bma!Q378/data!$AJ378</f>
        <v>113.46156712738167</v>
      </c>
      <c r="R378">
        <f>+bma!R378/data!$AJ378</f>
        <v>56.126430597619297</v>
      </c>
      <c r="S378">
        <f>+bma!S378/data!$AJ378</f>
        <v>14.922479686700866</v>
      </c>
    </row>
    <row r="379" spans="1:19" x14ac:dyDescent="0.25">
      <c r="A379">
        <f>+data!AH379</f>
        <v>-7.9799999999999995</v>
      </c>
      <c r="B379">
        <f>+data!AL379</f>
        <v>14.922479686700866</v>
      </c>
      <c r="C379">
        <f>+bma!C379/data!$AJ379</f>
        <v>0</v>
      </c>
      <c r="D379">
        <f>+bma!D379/data!$AJ379</f>
        <v>0</v>
      </c>
      <c r="E379">
        <f>+bma!E379/data!$AJ379</f>
        <v>0</v>
      </c>
      <c r="F379">
        <f>+bma!F379/data!$AJ379</f>
        <v>14.922479686700866</v>
      </c>
      <c r="G379">
        <f>+bma!G379/data!$AJ379</f>
        <v>0</v>
      </c>
      <c r="H379">
        <f>+bma!H379/data!$AJ379</f>
        <v>14.922479686700866</v>
      </c>
      <c r="I379">
        <f>+bma!I379/data!$AJ379</f>
        <v>14.922479686700866</v>
      </c>
      <c r="J379">
        <f>+bma!L379/data!$AJ379</f>
        <v>0</v>
      </c>
      <c r="K379">
        <f>+bma!M379/data!$AJ379</f>
        <v>14.922479686700866</v>
      </c>
      <c r="L379">
        <f>+bma!J379/data!$AJ379</f>
        <v>0</v>
      </c>
      <c r="M379">
        <f>+bma!K379/data!$AJ379</f>
        <v>14.922479686700866</v>
      </c>
      <c r="N379">
        <f>+bma!N379/data!$AJ379</f>
        <v>0</v>
      </c>
      <c r="O379">
        <f>+bma!O379/data!$AJ379</f>
        <v>14.922479686700866</v>
      </c>
      <c r="P379">
        <f>+bma!P379/data!$AJ379</f>
        <v>0</v>
      </c>
      <c r="Q379">
        <f>+bma!Q379/data!$AJ379</f>
        <v>113.46156712738167</v>
      </c>
      <c r="R379">
        <f>+bma!R379/data!$AJ379</f>
        <v>56.126430597619297</v>
      </c>
      <c r="S379">
        <f>+bma!S379/data!$AJ379</f>
        <v>14.922479686700866</v>
      </c>
    </row>
    <row r="380" spans="1:19" x14ac:dyDescent="0.25">
      <c r="A380">
        <f>+data!AH380</f>
        <v>-2.3099999999999996</v>
      </c>
      <c r="B380">
        <f>+data!AL380</f>
        <v>7.0239661160913922</v>
      </c>
      <c r="C380">
        <f>+bma!C380/data!$AJ380</f>
        <v>0</v>
      </c>
      <c r="D380">
        <f>+bma!D380/data!$AJ380</f>
        <v>0</v>
      </c>
      <c r="E380">
        <f>+bma!E380/data!$AJ380</f>
        <v>0</v>
      </c>
      <c r="F380">
        <f>+bma!F380/data!$AJ380</f>
        <v>7.0239661160913922</v>
      </c>
      <c r="G380">
        <f>+bma!G380/data!$AJ380</f>
        <v>0</v>
      </c>
      <c r="H380">
        <f>+bma!H380/data!$AJ380</f>
        <v>7.0239661160913922</v>
      </c>
      <c r="I380">
        <f>+bma!I380/data!$AJ380</f>
        <v>7.0239661160913922</v>
      </c>
      <c r="J380">
        <f>+bma!L380/data!$AJ380</f>
        <v>0</v>
      </c>
      <c r="K380">
        <f>+bma!M380/data!$AJ380</f>
        <v>7.0239661160913922</v>
      </c>
      <c r="L380">
        <f>+bma!J380/data!$AJ380</f>
        <v>0</v>
      </c>
      <c r="M380">
        <f>+bma!K380/data!$AJ380</f>
        <v>7.0239661160913922</v>
      </c>
      <c r="N380">
        <f>+bma!N380/data!$AJ380</f>
        <v>0</v>
      </c>
      <c r="O380">
        <f>+bma!O380/data!$AJ380</f>
        <v>7.0239661160913922</v>
      </c>
      <c r="P380">
        <f>+bma!P380/data!$AJ380</f>
        <v>0</v>
      </c>
      <c r="Q380">
        <f>+bma!Q380/data!$AJ380</f>
        <v>53.406016943123177</v>
      </c>
      <c r="R380">
        <f>+bma!R380/data!$AJ380</f>
        <v>26.418541355842947</v>
      </c>
      <c r="S380">
        <f>+bma!S380/data!$AJ380</f>
        <v>7.0239661160913922</v>
      </c>
    </row>
    <row r="381" spans="1:19" x14ac:dyDescent="0.25">
      <c r="A381">
        <f>+data!AH381</f>
        <v>-2.3000000000000003</v>
      </c>
      <c r="B381">
        <f>+data!AL381</f>
        <v>7.1617037079175514</v>
      </c>
      <c r="C381">
        <f>+bma!C381/data!$AJ381</f>
        <v>0</v>
      </c>
      <c r="D381">
        <f>+bma!D381/data!$AJ381</f>
        <v>0</v>
      </c>
      <c r="E381">
        <f>+bma!E381/data!$AJ381</f>
        <v>0</v>
      </c>
      <c r="F381">
        <f>+bma!F381/data!$AJ381</f>
        <v>7.1617037079175514</v>
      </c>
      <c r="G381">
        <f>+bma!G381/data!$AJ381</f>
        <v>0</v>
      </c>
      <c r="H381">
        <f>+bma!H381/data!$AJ381</f>
        <v>7.1617037079175514</v>
      </c>
      <c r="I381">
        <f>+bma!I381/data!$AJ381</f>
        <v>7.1617037079175514</v>
      </c>
      <c r="J381">
        <f>+bma!L381/data!$AJ381</f>
        <v>0</v>
      </c>
      <c r="K381">
        <f>+bma!M381/data!$AJ381</f>
        <v>7.1617037079175514</v>
      </c>
      <c r="L381">
        <f>+bma!J381/data!$AJ381</f>
        <v>0</v>
      </c>
      <c r="M381">
        <f>+bma!K381/data!$AJ381</f>
        <v>7.1617037079175514</v>
      </c>
      <c r="N381">
        <f>+bma!N381/data!$AJ381</f>
        <v>0</v>
      </c>
      <c r="O381">
        <f>+bma!O381/data!$AJ381</f>
        <v>7.1617037079175514</v>
      </c>
      <c r="P381">
        <f>+bma!P381/data!$AJ381</f>
        <v>0</v>
      </c>
      <c r="Q381">
        <f>+bma!Q381/data!$AJ381</f>
        <v>54.453290811076599</v>
      </c>
      <c r="R381">
        <f>+bma!R381/data!$AJ381</f>
        <v>26.936599986219495</v>
      </c>
      <c r="S381">
        <f>+bma!S381/data!$AJ381</f>
        <v>7.1617037079175514</v>
      </c>
    </row>
    <row r="382" spans="1:19" x14ac:dyDescent="0.25">
      <c r="A382">
        <f>+data!AH382</f>
        <v>-5.7599999999999989</v>
      </c>
      <c r="B382">
        <f>+data!AL382</f>
        <v>8.7279780018054574</v>
      </c>
      <c r="C382">
        <f>+bma!C382/data!$AJ382</f>
        <v>0</v>
      </c>
      <c r="D382">
        <f>+bma!D382/data!$AJ382</f>
        <v>0</v>
      </c>
      <c r="E382">
        <f>+bma!E382/data!$AJ382</f>
        <v>0</v>
      </c>
      <c r="F382">
        <f>+bma!F382/data!$AJ382</f>
        <v>8.7279780018054574</v>
      </c>
      <c r="G382">
        <f>+bma!G382/data!$AJ382</f>
        <v>0</v>
      </c>
      <c r="H382">
        <f>+bma!H382/data!$AJ382</f>
        <v>8.7279780018054574</v>
      </c>
      <c r="I382">
        <f>+bma!I382/data!$AJ382</f>
        <v>8.7279780018054574</v>
      </c>
      <c r="J382">
        <f>+bma!L382/data!$AJ382</f>
        <v>0</v>
      </c>
      <c r="K382">
        <f>+bma!M382/data!$AJ382</f>
        <v>8.7279780018054574</v>
      </c>
      <c r="L382">
        <f>+bma!J382/data!$AJ382</f>
        <v>0</v>
      </c>
      <c r="M382">
        <f>+bma!K382/data!$AJ382</f>
        <v>8.7279780018054574</v>
      </c>
      <c r="N382">
        <f>+bma!N382/data!$AJ382</f>
        <v>0</v>
      </c>
      <c r="O382">
        <f>+bma!O382/data!$AJ382</f>
        <v>8.7279780018054574</v>
      </c>
      <c r="P382">
        <f>+bma!P382/data!$AJ382</f>
        <v>0</v>
      </c>
      <c r="Q382">
        <f>+bma!Q382/data!$AJ382</f>
        <v>66.362299210949615</v>
      </c>
      <c r="R382">
        <f>+bma!R382/data!$AJ382</f>
        <v>32.82767086039069</v>
      </c>
      <c r="S382">
        <f>+bma!S382/data!$AJ382</f>
        <v>8.7279780018054574</v>
      </c>
    </row>
    <row r="383" spans="1:19" x14ac:dyDescent="0.25">
      <c r="A383">
        <f>+data!AH383</f>
        <v>-5.5899999999999981</v>
      </c>
      <c r="B383">
        <f>+data!AL383</f>
        <v>8.674566271578076</v>
      </c>
      <c r="C383">
        <f>+bma!C383/data!$AJ383</f>
        <v>0</v>
      </c>
      <c r="D383">
        <f>+bma!D383/data!$AJ383</f>
        <v>0</v>
      </c>
      <c r="E383">
        <f>+bma!E383/data!$AJ383</f>
        <v>0</v>
      </c>
      <c r="F383">
        <f>+bma!F383/data!$AJ383</f>
        <v>8.674566271578076</v>
      </c>
      <c r="G383">
        <f>+bma!G383/data!$AJ383</f>
        <v>0</v>
      </c>
      <c r="H383">
        <f>+bma!H383/data!$AJ383</f>
        <v>8.674566271578076</v>
      </c>
      <c r="I383">
        <f>+bma!I383/data!$AJ383</f>
        <v>0</v>
      </c>
      <c r="J383">
        <f>+bma!L383/data!$AJ383</f>
        <v>0</v>
      </c>
      <c r="K383">
        <f>+bma!M383/data!$AJ383</f>
        <v>8.674566271578076</v>
      </c>
      <c r="L383">
        <f>+bma!J383/data!$AJ383</f>
        <v>0</v>
      </c>
      <c r="M383">
        <f>+bma!K383/data!$AJ383</f>
        <v>8.674566271578076</v>
      </c>
      <c r="N383">
        <f>+bma!N383/data!$AJ383</f>
        <v>0</v>
      </c>
      <c r="O383">
        <f>+bma!O383/data!$AJ383</f>
        <v>8.674566271578076</v>
      </c>
      <c r="P383">
        <f>+bma!P383/data!$AJ383</f>
        <v>0</v>
      </c>
      <c r="Q383">
        <f>+bma!Q383/data!$AJ383</f>
        <v>65.956188514750465</v>
      </c>
      <c r="R383">
        <f>+bma!R383/data!$AJ383</f>
        <v>32.626778660659461</v>
      </c>
      <c r="S383">
        <f>+bma!S383/data!$AJ383</f>
        <v>8.674566271578076</v>
      </c>
    </row>
    <row r="384" spans="1:19" x14ac:dyDescent="0.25">
      <c r="A384">
        <f>+data!AH384</f>
        <v>-6.0300000000000207</v>
      </c>
      <c r="B384">
        <f>+data!AL384</f>
        <v>9.8163587953986404</v>
      </c>
      <c r="C384">
        <f>+bma!C384/data!$AJ384</f>
        <v>0</v>
      </c>
      <c r="D384">
        <f>+bma!D384/data!$AJ384</f>
        <v>0</v>
      </c>
      <c r="E384">
        <f>+bma!E384/data!$AJ384</f>
        <v>0</v>
      </c>
      <c r="F384">
        <f>+bma!F384/data!$AJ384</f>
        <v>9.8163587953986404</v>
      </c>
      <c r="G384">
        <f>+bma!G384/data!$AJ384</f>
        <v>0</v>
      </c>
      <c r="H384">
        <f>+bma!H384/data!$AJ384</f>
        <v>9.8163587953986404</v>
      </c>
      <c r="I384">
        <f>+bma!I384/data!$AJ384</f>
        <v>9.8163587953986404</v>
      </c>
      <c r="J384">
        <f>+bma!L384/data!$AJ384</f>
        <v>0</v>
      </c>
      <c r="K384">
        <f>+bma!M384/data!$AJ384</f>
        <v>9.8163587953986404</v>
      </c>
      <c r="L384">
        <f>+bma!J384/data!$AJ384</f>
        <v>0</v>
      </c>
      <c r="M384">
        <f>+bma!K384/data!$AJ384</f>
        <v>9.8163587953986404</v>
      </c>
      <c r="N384">
        <f>+bma!N384/data!$AJ384</f>
        <v>0</v>
      </c>
      <c r="O384">
        <f>+bma!O384/data!$AJ384</f>
        <v>9.8163587953986404</v>
      </c>
      <c r="P384">
        <f>+bma!P384/data!$AJ384</f>
        <v>0</v>
      </c>
      <c r="Q384">
        <f>+bma!Q384/data!$AJ384</f>
        <v>74.637692648575225</v>
      </c>
      <c r="R384">
        <f>+bma!R384/data!$AJ384</f>
        <v>36.921288701253367</v>
      </c>
      <c r="S384">
        <f>+bma!S384/data!$AJ384</f>
        <v>9.8163587953986404</v>
      </c>
    </row>
    <row r="385" spans="1:19" x14ac:dyDescent="0.25">
      <c r="A385">
        <f>+data!AH385</f>
        <v>-6.0300000000000207</v>
      </c>
      <c r="B385">
        <f>+data!AL385</f>
        <v>9.8163587953986404</v>
      </c>
      <c r="C385">
        <f>+bma!C385/data!$AJ385</f>
        <v>0</v>
      </c>
      <c r="D385">
        <f>+bma!D385/data!$AJ385</f>
        <v>0</v>
      </c>
      <c r="E385">
        <f>+bma!E385/data!$AJ385</f>
        <v>0</v>
      </c>
      <c r="F385">
        <f>+bma!F385/data!$AJ385</f>
        <v>9.8163587953986404</v>
      </c>
      <c r="G385">
        <f>+bma!G385/data!$AJ385</f>
        <v>0</v>
      </c>
      <c r="H385">
        <f>+bma!H385/data!$AJ385</f>
        <v>9.8163587953986404</v>
      </c>
      <c r="I385">
        <f>+bma!I385/data!$AJ385</f>
        <v>9.8163587953986404</v>
      </c>
      <c r="J385">
        <f>+bma!L385/data!$AJ385</f>
        <v>0</v>
      </c>
      <c r="K385">
        <f>+bma!M385/data!$AJ385</f>
        <v>9.8163587953986404</v>
      </c>
      <c r="L385">
        <f>+bma!J385/data!$AJ385</f>
        <v>0</v>
      </c>
      <c r="M385">
        <f>+bma!K385/data!$AJ385</f>
        <v>9.8163587953986404</v>
      </c>
      <c r="N385">
        <f>+bma!N385/data!$AJ385</f>
        <v>0</v>
      </c>
      <c r="O385">
        <f>+bma!O385/data!$AJ385</f>
        <v>9.8163587953986404</v>
      </c>
      <c r="P385">
        <f>+bma!P385/data!$AJ385</f>
        <v>0</v>
      </c>
      <c r="Q385">
        <f>+bma!Q385/data!$AJ385</f>
        <v>74.637692648575225</v>
      </c>
      <c r="R385">
        <f>+bma!R385/data!$AJ385</f>
        <v>36.921288701253367</v>
      </c>
      <c r="S385">
        <f>+bma!S385/data!$AJ385</f>
        <v>9.8163587953986404</v>
      </c>
    </row>
    <row r="386" spans="1:19" x14ac:dyDescent="0.25">
      <c r="A386">
        <f>+data!AH386</f>
        <v>-7.2499999999999973</v>
      </c>
      <c r="B386">
        <f>+data!AL386</f>
        <v>14.545188207788856</v>
      </c>
      <c r="C386">
        <f>+bma!C386/data!$AJ386</f>
        <v>0</v>
      </c>
      <c r="D386">
        <f>+bma!D386/data!$AJ386</f>
        <v>0</v>
      </c>
      <c r="E386">
        <f>+bma!E386/data!$AJ386</f>
        <v>0</v>
      </c>
      <c r="F386">
        <f>+bma!F386/data!$AJ386</f>
        <v>14.545188207788856</v>
      </c>
      <c r="G386">
        <f>+bma!G386/data!$AJ386</f>
        <v>0</v>
      </c>
      <c r="H386">
        <f>+bma!H386/data!$AJ386</f>
        <v>14.545188207788856</v>
      </c>
      <c r="I386">
        <f>+bma!I386/data!$AJ386</f>
        <v>14.545188207788856</v>
      </c>
      <c r="J386">
        <f>+bma!L386/data!$AJ386</f>
        <v>0</v>
      </c>
      <c r="K386">
        <f>+bma!M386/data!$AJ386</f>
        <v>14.545188207788856</v>
      </c>
      <c r="L386">
        <f>+bma!J386/data!$AJ386</f>
        <v>0</v>
      </c>
      <c r="M386">
        <f>+bma!K386/data!$AJ386</f>
        <v>14.545188207788856</v>
      </c>
      <c r="N386">
        <f>+bma!N386/data!$AJ386</f>
        <v>0</v>
      </c>
      <c r="O386">
        <f>+bma!O386/data!$AJ386</f>
        <v>14.545188207788856</v>
      </c>
      <c r="P386">
        <f>+bma!P386/data!$AJ386</f>
        <v>0</v>
      </c>
      <c r="Q386">
        <f>+bma!Q386/data!$AJ386</f>
        <v>110.59286947391357</v>
      </c>
      <c r="R386">
        <f>+bma!R386/data!$AJ386</f>
        <v>54.707361887135441</v>
      </c>
      <c r="S386">
        <f>+bma!S386/data!$AJ386</f>
        <v>14.545188207788856</v>
      </c>
    </row>
    <row r="387" spans="1:19" x14ac:dyDescent="0.25">
      <c r="A387">
        <f>+data!AH387</f>
        <v>-7.2499999999999973</v>
      </c>
      <c r="B387">
        <f>+data!AL387</f>
        <v>14.545188207788856</v>
      </c>
      <c r="C387">
        <f>+bma!C387/data!$AJ387</f>
        <v>0</v>
      </c>
      <c r="D387">
        <f>+bma!D387/data!$AJ387</f>
        <v>0</v>
      </c>
      <c r="E387">
        <f>+bma!E387/data!$AJ387</f>
        <v>0</v>
      </c>
      <c r="F387">
        <f>+bma!F387/data!$AJ387</f>
        <v>14.545188207788856</v>
      </c>
      <c r="G387">
        <f>+bma!G387/data!$AJ387</f>
        <v>0</v>
      </c>
      <c r="H387">
        <f>+bma!H387/data!$AJ387</f>
        <v>14.545188207788856</v>
      </c>
      <c r="I387">
        <f>+bma!I387/data!$AJ387</f>
        <v>14.545188207788856</v>
      </c>
      <c r="J387">
        <f>+bma!L387/data!$AJ387</f>
        <v>0</v>
      </c>
      <c r="K387">
        <f>+bma!M387/data!$AJ387</f>
        <v>14.545188207788856</v>
      </c>
      <c r="L387">
        <f>+bma!J387/data!$AJ387</f>
        <v>0</v>
      </c>
      <c r="M387">
        <f>+bma!K387/data!$AJ387</f>
        <v>14.545188207788856</v>
      </c>
      <c r="N387">
        <f>+bma!N387/data!$AJ387</f>
        <v>0</v>
      </c>
      <c r="O387">
        <f>+bma!O387/data!$AJ387</f>
        <v>14.545188207788856</v>
      </c>
      <c r="P387">
        <f>+bma!P387/data!$AJ387</f>
        <v>0</v>
      </c>
      <c r="Q387">
        <f>+bma!Q387/data!$AJ387</f>
        <v>110.59286947391357</v>
      </c>
      <c r="R387">
        <f>+bma!R387/data!$AJ387</f>
        <v>54.707361887135441</v>
      </c>
      <c r="S387">
        <f>+bma!S387/data!$AJ387</f>
        <v>14.545188207788856</v>
      </c>
    </row>
    <row r="388" spans="1:19" x14ac:dyDescent="0.25">
      <c r="A388">
        <f>+data!AH388</f>
        <v>-5.5799999999999992</v>
      </c>
      <c r="B388">
        <f>+data!AL388</f>
        <v>13.788995612444003</v>
      </c>
      <c r="C388">
        <f>+bma!C388/data!$AJ388</f>
        <v>0</v>
      </c>
      <c r="D388">
        <f>+bma!D388/data!$AJ388</f>
        <v>0</v>
      </c>
      <c r="E388">
        <f>+bma!E388/data!$AJ388</f>
        <v>0</v>
      </c>
      <c r="F388">
        <f>+bma!F388/data!$AJ388</f>
        <v>13.788995612444003</v>
      </c>
      <c r="G388">
        <f>+bma!G388/data!$AJ388</f>
        <v>0</v>
      </c>
      <c r="H388">
        <f>+bma!H388/data!$AJ388</f>
        <v>13.788995612444003</v>
      </c>
      <c r="I388">
        <f>+bma!I388/data!$AJ388</f>
        <v>13.788995612444003</v>
      </c>
      <c r="J388">
        <f>+bma!L388/data!$AJ388</f>
        <v>0</v>
      </c>
      <c r="K388">
        <f>+bma!M388/data!$AJ388</f>
        <v>13.788995612444003</v>
      </c>
      <c r="L388">
        <f>+bma!J388/data!$AJ388</f>
        <v>0</v>
      </c>
      <c r="M388">
        <f>+bma!K388/data!$AJ388</f>
        <v>13.788995612444003</v>
      </c>
      <c r="N388">
        <f>+bma!N388/data!$AJ388</f>
        <v>0</v>
      </c>
      <c r="O388">
        <f>+bma!O388/data!$AJ388</f>
        <v>13.788995612444003</v>
      </c>
      <c r="P388">
        <f>+bma!P388/data!$AJ388</f>
        <v>0</v>
      </c>
      <c r="Q388">
        <f>+bma!Q388/data!$AJ388</f>
        <v>104.84323545066111</v>
      </c>
      <c r="R388">
        <f>+bma!R388/data!$AJ388</f>
        <v>51.863170297524391</v>
      </c>
      <c r="S388">
        <f>+bma!S388/data!$AJ388</f>
        <v>13.788995612444003</v>
      </c>
    </row>
    <row r="389" spans="1:19" x14ac:dyDescent="0.25">
      <c r="A389">
        <f>+data!AH389</f>
        <v>-5.5799999999999992</v>
      </c>
      <c r="B389">
        <f>+data!AL389</f>
        <v>13.788995612444003</v>
      </c>
      <c r="C389">
        <f>+bma!C389/data!$AJ389</f>
        <v>0</v>
      </c>
      <c r="D389">
        <f>+bma!D389/data!$AJ389</f>
        <v>0</v>
      </c>
      <c r="E389">
        <f>+bma!E389/data!$AJ389</f>
        <v>0</v>
      </c>
      <c r="F389">
        <f>+bma!F389/data!$AJ389</f>
        <v>13.788995612444003</v>
      </c>
      <c r="G389">
        <f>+bma!G389/data!$AJ389</f>
        <v>0</v>
      </c>
      <c r="H389">
        <f>+bma!H389/data!$AJ389</f>
        <v>13.788995612444003</v>
      </c>
      <c r="I389">
        <f>+bma!I389/data!$AJ389</f>
        <v>13.788995612444003</v>
      </c>
      <c r="J389">
        <f>+bma!L389/data!$AJ389</f>
        <v>0</v>
      </c>
      <c r="K389">
        <f>+bma!M389/data!$AJ389</f>
        <v>13.788995612444003</v>
      </c>
      <c r="L389">
        <f>+bma!J389/data!$AJ389</f>
        <v>0</v>
      </c>
      <c r="M389">
        <f>+bma!K389/data!$AJ389</f>
        <v>13.788995612444003</v>
      </c>
      <c r="N389">
        <f>+bma!N389/data!$AJ389</f>
        <v>0</v>
      </c>
      <c r="O389">
        <f>+bma!O389/data!$AJ389</f>
        <v>13.788995612444003</v>
      </c>
      <c r="P389">
        <f>+bma!P389/data!$AJ389</f>
        <v>0</v>
      </c>
      <c r="Q389">
        <f>+bma!Q389/data!$AJ389</f>
        <v>104.84323545066111</v>
      </c>
      <c r="R389">
        <f>+bma!R389/data!$AJ389</f>
        <v>51.863170297524391</v>
      </c>
      <c r="S389">
        <f>+bma!S389/data!$AJ389</f>
        <v>13.788995612444003</v>
      </c>
    </row>
    <row r="390" spans="1:19" x14ac:dyDescent="0.25">
      <c r="A390">
        <f>+data!AH390</f>
        <v>0.53921568627450989</v>
      </c>
      <c r="B390">
        <f>+data!AL390</f>
        <v>6.2682336871182844</v>
      </c>
      <c r="C390">
        <f>+bma!C390/data!$AJ390</f>
        <v>0</v>
      </c>
      <c r="D390">
        <f>+bma!D390/data!$AJ390</f>
        <v>6.2682336871182844</v>
      </c>
      <c r="E390">
        <f>+bma!E390/data!$AJ390</f>
        <v>0</v>
      </c>
      <c r="F390">
        <f>+bma!F390/data!$AJ390</f>
        <v>0</v>
      </c>
      <c r="G390">
        <f>+bma!G390/data!$AJ390</f>
        <v>6.2682336871182844</v>
      </c>
      <c r="H390">
        <f>+bma!H390/data!$AJ390</f>
        <v>0</v>
      </c>
      <c r="I390">
        <f>+bma!I390/data!$AJ390</f>
        <v>6.2682336871182844</v>
      </c>
      <c r="J390">
        <f>+bma!L390/data!$AJ390</f>
        <v>0</v>
      </c>
      <c r="K390">
        <f>+bma!M390/data!$AJ390</f>
        <v>0</v>
      </c>
      <c r="L390">
        <f>+bma!J390/data!$AJ390</f>
        <v>0</v>
      </c>
      <c r="M390">
        <f>+bma!K390/data!$AJ390</f>
        <v>0</v>
      </c>
      <c r="N390">
        <f>+bma!N390/data!$AJ390</f>
        <v>0</v>
      </c>
      <c r="O390">
        <f>+bma!O390/data!$AJ390</f>
        <v>0</v>
      </c>
      <c r="P390">
        <f>+bma!P390/data!$AJ390</f>
        <v>6.2682336871182844</v>
      </c>
      <c r="Q390">
        <f>+bma!Q390/data!$AJ390</f>
        <v>47.625400194888641</v>
      </c>
      <c r="R390">
        <f>+bma!R390/data!$AJ390</f>
        <v>27.773396380856379</v>
      </c>
      <c r="S390">
        <f>+bma!S390/data!$AJ390</f>
        <v>6.2682336871182844</v>
      </c>
    </row>
    <row r="391" spans="1:19" x14ac:dyDescent="0.25">
      <c r="A391">
        <f>+data!AH391</f>
        <v>1.1287128712871286</v>
      </c>
      <c r="B391">
        <f>+data!AL391</f>
        <v>6.3461793817862766</v>
      </c>
      <c r="C391">
        <f>+bma!C391/data!$AJ391</f>
        <v>0</v>
      </c>
      <c r="D391">
        <f>+bma!D391/data!$AJ391</f>
        <v>6.3461793817862766</v>
      </c>
      <c r="E391">
        <f>+bma!E391/data!$AJ391</f>
        <v>0</v>
      </c>
      <c r="F391">
        <f>+bma!F391/data!$AJ391</f>
        <v>0</v>
      </c>
      <c r="G391">
        <f>+bma!G391/data!$AJ391</f>
        <v>6.3461793817862766</v>
      </c>
      <c r="H391">
        <f>+bma!H391/data!$AJ391</f>
        <v>0</v>
      </c>
      <c r="I391">
        <f>+bma!I391/data!$AJ391</f>
        <v>6.3461793817862766</v>
      </c>
      <c r="J391">
        <f>+bma!L391/data!$AJ391</f>
        <v>0</v>
      </c>
      <c r="K391">
        <f>+bma!M391/data!$AJ391</f>
        <v>0</v>
      </c>
      <c r="L391">
        <f>+bma!J391/data!$AJ391</f>
        <v>0</v>
      </c>
      <c r="M391">
        <f>+bma!K391/data!$AJ391</f>
        <v>0</v>
      </c>
      <c r="N391">
        <f>+bma!N391/data!$AJ391</f>
        <v>0</v>
      </c>
      <c r="O391">
        <f>+bma!O391/data!$AJ391</f>
        <v>0</v>
      </c>
      <c r="P391">
        <f>+bma!P391/data!$AJ391</f>
        <v>6.3461793817862766</v>
      </c>
      <c r="Q391">
        <f>+bma!Q391/data!$AJ391</f>
        <v>48.217623632515185</v>
      </c>
      <c r="R391">
        <f>+bma!R391/data!$AJ391</f>
        <v>28.118759489868125</v>
      </c>
      <c r="S391">
        <f>+bma!S391/data!$AJ391</f>
        <v>6.3461793817862766</v>
      </c>
    </row>
    <row r="392" spans="1:19" x14ac:dyDescent="0.25">
      <c r="A392">
        <f>+data!AH392</f>
        <v>-3.2857142857142856</v>
      </c>
      <c r="B392">
        <f>+data!AL392</f>
        <v>4.4492604292564097</v>
      </c>
      <c r="C392">
        <f>+bma!C392/data!$AJ392</f>
        <v>0</v>
      </c>
      <c r="D392">
        <f>+bma!D392/data!$AJ392</f>
        <v>4.4492604292564097</v>
      </c>
      <c r="E392">
        <f>+bma!E392/data!$AJ392</f>
        <v>0</v>
      </c>
      <c r="F392">
        <f>+bma!F392/data!$AJ392</f>
        <v>0</v>
      </c>
      <c r="G392">
        <f>+bma!G392/data!$AJ392</f>
        <v>4.4492604292564097</v>
      </c>
      <c r="H392">
        <f>+bma!H392/data!$AJ392</f>
        <v>0</v>
      </c>
      <c r="I392">
        <f>+bma!I392/data!$AJ392</f>
        <v>4.4492604292564097</v>
      </c>
      <c r="J392">
        <f>+bma!L392/data!$AJ392</f>
        <v>0</v>
      </c>
      <c r="K392">
        <f>+bma!M392/data!$AJ392</f>
        <v>0</v>
      </c>
      <c r="L392">
        <f>+bma!J392/data!$AJ392</f>
        <v>0</v>
      </c>
      <c r="M392">
        <f>+bma!K392/data!$AJ392</f>
        <v>0</v>
      </c>
      <c r="N392">
        <f>+bma!N392/data!$AJ392</f>
        <v>0</v>
      </c>
      <c r="O392">
        <f>+bma!O392/data!$AJ392</f>
        <v>4.4492604292564097</v>
      </c>
      <c r="P392">
        <f>+bma!P392/data!$AJ392</f>
        <v>4.4492604292564097</v>
      </c>
      <c r="Q392">
        <f>+bma!Q392/data!$AJ392</f>
        <v>33.822841755685154</v>
      </c>
      <c r="R392">
        <f>+bma!R392/data!$AJ392</f>
        <v>15.689698456573062</v>
      </c>
      <c r="S392">
        <f>+bma!S392/data!$AJ392</f>
        <v>4.4492604292564097</v>
      </c>
    </row>
    <row r="393" spans="1:19" x14ac:dyDescent="0.25">
      <c r="A393">
        <f>+data!AH393</f>
        <v>-3.8163265306122454</v>
      </c>
      <c r="B393">
        <f>+data!AL393</f>
        <v>4.8543123290796704</v>
      </c>
      <c r="C393">
        <f>+bma!C393/data!$AJ393</f>
        <v>0</v>
      </c>
      <c r="D393">
        <f>+bma!D393/data!$AJ393</f>
        <v>4.8543123290796704</v>
      </c>
      <c r="E393">
        <f>+bma!E393/data!$AJ393</f>
        <v>0</v>
      </c>
      <c r="F393">
        <f>+bma!F393/data!$AJ393</f>
        <v>0</v>
      </c>
      <c r="G393">
        <f>+bma!G393/data!$AJ393</f>
        <v>4.8543123290796704</v>
      </c>
      <c r="H393">
        <f>+bma!H393/data!$AJ393</f>
        <v>0</v>
      </c>
      <c r="I393">
        <f>+bma!I393/data!$AJ393</f>
        <v>4.8543123290796704</v>
      </c>
      <c r="J393">
        <f>+bma!L393/data!$AJ393</f>
        <v>0</v>
      </c>
      <c r="K393">
        <f>+bma!M393/data!$AJ393</f>
        <v>0</v>
      </c>
      <c r="L393">
        <f>+bma!J393/data!$AJ393</f>
        <v>0</v>
      </c>
      <c r="M393">
        <f>+bma!K393/data!$AJ393</f>
        <v>0</v>
      </c>
      <c r="N393">
        <f>+bma!N393/data!$AJ393</f>
        <v>0</v>
      </c>
      <c r="O393">
        <f>+bma!O393/data!$AJ393</f>
        <v>4.8543123290796704</v>
      </c>
      <c r="P393">
        <f>+bma!P393/data!$AJ393</f>
        <v>4.8543123290796704</v>
      </c>
      <c r="Q393">
        <f>+bma!Q393/data!$AJ393</f>
        <v>36.902006603055405</v>
      </c>
      <c r="R393">
        <f>+bma!R393/data!$AJ393</f>
        <v>17.118057679085716</v>
      </c>
      <c r="S393">
        <f>+bma!S393/data!$AJ393</f>
        <v>4.8543123290796704</v>
      </c>
    </row>
    <row r="394" spans="1:19" x14ac:dyDescent="0.25">
      <c r="A394">
        <f>+data!AH394</f>
        <v>-1.088235294117647</v>
      </c>
      <c r="B394">
        <f>+data!AL394</f>
        <v>3.1912781225338733</v>
      </c>
      <c r="C394">
        <f>+bma!C394/data!$AJ394</f>
        <v>0</v>
      </c>
      <c r="D394">
        <f>+bma!D394/data!$AJ394</f>
        <v>3.1912781225338733</v>
      </c>
      <c r="E394">
        <f>+bma!E394/data!$AJ394</f>
        <v>0</v>
      </c>
      <c r="F394">
        <f>+bma!F394/data!$AJ394</f>
        <v>0</v>
      </c>
      <c r="G394">
        <f>+bma!G394/data!$AJ394</f>
        <v>3.1912781225338733</v>
      </c>
      <c r="H394">
        <f>+bma!H394/data!$AJ394</f>
        <v>0</v>
      </c>
      <c r="I394">
        <f>+bma!I394/data!$AJ394</f>
        <v>3.1912781225338733</v>
      </c>
      <c r="J394">
        <f>+bma!L394/data!$AJ394</f>
        <v>0</v>
      </c>
      <c r="K394">
        <f>+bma!M394/data!$AJ394</f>
        <v>0</v>
      </c>
      <c r="L394">
        <f>+bma!J394/data!$AJ394</f>
        <v>0</v>
      </c>
      <c r="M394">
        <f>+bma!K394/data!$AJ394</f>
        <v>0</v>
      </c>
      <c r="N394">
        <f>+bma!N394/data!$AJ394</f>
        <v>0</v>
      </c>
      <c r="O394">
        <f>+bma!O394/data!$AJ394</f>
        <v>3.1912781225338733</v>
      </c>
      <c r="P394">
        <f>+bma!P394/data!$AJ394</f>
        <v>3.1912781225338733</v>
      </c>
      <c r="Q394">
        <f>+bma!Q394/data!$AJ394</f>
        <v>24.259783542246495</v>
      </c>
      <c r="R394">
        <f>+bma!R394/data!$AJ394</f>
        <v>11.253598711456672</v>
      </c>
      <c r="S394">
        <f>+bma!S394/data!$AJ394</f>
        <v>3.1912781225338733</v>
      </c>
    </row>
    <row r="395" spans="1:19" x14ac:dyDescent="0.25">
      <c r="A395">
        <f>+data!AH395</f>
        <v>-2.40625</v>
      </c>
      <c r="B395">
        <f>+data!AL395</f>
        <v>3.8457819832252587</v>
      </c>
      <c r="C395">
        <f>+bma!C395/data!$AJ395</f>
        <v>0</v>
      </c>
      <c r="D395">
        <f>+bma!D395/data!$AJ395</f>
        <v>3.8457819832252587</v>
      </c>
      <c r="E395">
        <f>+bma!E395/data!$AJ395</f>
        <v>0</v>
      </c>
      <c r="F395">
        <f>+bma!F395/data!$AJ395</f>
        <v>0</v>
      </c>
      <c r="G395">
        <f>+bma!G395/data!$AJ395</f>
        <v>3.8457819832252587</v>
      </c>
      <c r="H395">
        <f>+bma!H395/data!$AJ395</f>
        <v>0</v>
      </c>
      <c r="I395">
        <f>+bma!I395/data!$AJ395</f>
        <v>3.8457819832252587</v>
      </c>
      <c r="J395">
        <f>+bma!L395/data!$AJ395</f>
        <v>0</v>
      </c>
      <c r="K395">
        <f>+bma!M395/data!$AJ395</f>
        <v>0</v>
      </c>
      <c r="L395">
        <f>+bma!J395/data!$AJ395</f>
        <v>0</v>
      </c>
      <c r="M395">
        <f>+bma!K395/data!$AJ395</f>
        <v>0</v>
      </c>
      <c r="N395">
        <f>+bma!N395/data!$AJ395</f>
        <v>0</v>
      </c>
      <c r="O395">
        <f>+bma!O395/data!$AJ395</f>
        <v>3.8457819832252587</v>
      </c>
      <c r="P395">
        <f>+bma!P395/data!$AJ395</f>
        <v>3.8457819832252587</v>
      </c>
      <c r="Q395">
        <f>+bma!Q395/data!$AJ395</f>
        <v>29.23525774984406</v>
      </c>
      <c r="R395">
        <f>+bma!R395/data!$AJ395</f>
        <v>13.561615600148206</v>
      </c>
      <c r="S395">
        <f>+bma!S395/data!$AJ395</f>
        <v>3.8457819832252587</v>
      </c>
    </row>
    <row r="396" spans="1:19" x14ac:dyDescent="0.25">
      <c r="A396">
        <f>+data!AH396</f>
        <v>-2.7889413351314905</v>
      </c>
      <c r="B396">
        <f>+data!AL396</f>
        <v>75.344397228797348</v>
      </c>
      <c r="C396">
        <f>+bma!C396/data!$AJ396</f>
        <v>75.344397228797348</v>
      </c>
      <c r="D396">
        <f>+bma!D396/data!$AJ396</f>
        <v>0</v>
      </c>
      <c r="E396">
        <f>+bma!E396/data!$AJ396</f>
        <v>0</v>
      </c>
      <c r="F396">
        <f>+bma!F396/data!$AJ396</f>
        <v>0</v>
      </c>
      <c r="G396">
        <f>+bma!G396/data!$AJ396</f>
        <v>0</v>
      </c>
      <c r="H396">
        <f>+bma!H396/data!$AJ396</f>
        <v>75.344397228797348</v>
      </c>
      <c r="I396">
        <f>+bma!I396/data!$AJ396</f>
        <v>0</v>
      </c>
      <c r="J396">
        <f>+bma!L396/data!$AJ396</f>
        <v>75.344397228797348</v>
      </c>
      <c r="K396">
        <f>+bma!M396/data!$AJ396</f>
        <v>0</v>
      </c>
      <c r="L396">
        <f>+bma!J396/data!$AJ396</f>
        <v>0</v>
      </c>
      <c r="M396">
        <f>+bma!K396/data!$AJ396</f>
        <v>0</v>
      </c>
      <c r="N396">
        <f>+bma!N396/data!$AJ396</f>
        <v>0</v>
      </c>
      <c r="O396">
        <f>+bma!O396/data!$AJ396</f>
        <v>0</v>
      </c>
      <c r="P396">
        <f>+bma!P396/data!$AJ396</f>
        <v>75.344397228797348</v>
      </c>
      <c r="Q396">
        <f>+bma!Q396/data!$AJ396</f>
        <v>572.49679255889646</v>
      </c>
      <c r="R396">
        <f>+bma!R396/data!$AJ396</f>
        <v>330.1611829553151</v>
      </c>
      <c r="S396">
        <f>+bma!S396/data!$AJ396</f>
        <v>75.344397228797348</v>
      </c>
    </row>
    <row r="397" spans="1:19" x14ac:dyDescent="0.25">
      <c r="A397">
        <f>+data!AH397</f>
        <v>1.1791590493601463</v>
      </c>
      <c r="B397">
        <f>+data!AL397</f>
        <v>75.301994768157954</v>
      </c>
      <c r="C397">
        <f>+bma!C397/data!$AJ397</f>
        <v>75.301994768157954</v>
      </c>
      <c r="D397">
        <f>+bma!D397/data!$AJ397</f>
        <v>0</v>
      </c>
      <c r="E397">
        <f>+bma!E397/data!$AJ397</f>
        <v>0</v>
      </c>
      <c r="F397">
        <f>+bma!F397/data!$AJ397</f>
        <v>0</v>
      </c>
      <c r="G397">
        <f>+bma!G397/data!$AJ397</f>
        <v>0</v>
      </c>
      <c r="H397">
        <f>+bma!H397/data!$AJ397</f>
        <v>75.301994768157954</v>
      </c>
      <c r="I397">
        <f>+bma!I397/data!$AJ397</f>
        <v>0</v>
      </c>
      <c r="J397">
        <f>+bma!L397/data!$AJ397</f>
        <v>75.301994768157954</v>
      </c>
      <c r="K397">
        <f>+bma!M397/data!$AJ397</f>
        <v>0</v>
      </c>
      <c r="L397">
        <f>+bma!J397/data!$AJ397</f>
        <v>0</v>
      </c>
      <c r="M397">
        <f>+bma!K397/data!$AJ397</f>
        <v>0</v>
      </c>
      <c r="N397">
        <f>+bma!N397/data!$AJ397</f>
        <v>0</v>
      </c>
      <c r="O397">
        <f>+bma!O397/data!$AJ397</f>
        <v>0</v>
      </c>
      <c r="P397">
        <f>+bma!P397/data!$AJ397</f>
        <v>75.301994768157954</v>
      </c>
      <c r="Q397">
        <f>+bma!Q397/data!$AJ397</f>
        <v>572.17460174437656</v>
      </c>
      <c r="R397">
        <f>+bma!R397/data!$AJ397</f>
        <v>329.97537422792686</v>
      </c>
      <c r="S397">
        <f>+bma!S397/data!$AJ397</f>
        <v>75.301994768157954</v>
      </c>
    </row>
    <row r="398" spans="1:19" x14ac:dyDescent="0.25">
      <c r="A398">
        <f>+data!AH398</f>
        <v>-3.5196575776791379</v>
      </c>
      <c r="B398">
        <f>+data!AL398</f>
        <v>75.374982517172853</v>
      </c>
      <c r="C398">
        <f>+bma!C398/data!$AJ398</f>
        <v>75.374982517172853</v>
      </c>
      <c r="D398">
        <f>+bma!D398/data!$AJ398</f>
        <v>0</v>
      </c>
      <c r="E398">
        <f>+bma!E398/data!$AJ398</f>
        <v>0</v>
      </c>
      <c r="F398">
        <f>+bma!F398/data!$AJ398</f>
        <v>0</v>
      </c>
      <c r="G398">
        <f>+bma!G398/data!$AJ398</f>
        <v>0</v>
      </c>
      <c r="H398">
        <f>+bma!H398/data!$AJ398</f>
        <v>75.374982517172853</v>
      </c>
      <c r="I398">
        <f>+bma!I398/data!$AJ398</f>
        <v>0</v>
      </c>
      <c r="J398">
        <f>+bma!L398/data!$AJ398</f>
        <v>75.374982517172853</v>
      </c>
      <c r="K398">
        <f>+bma!M398/data!$AJ398</f>
        <v>0</v>
      </c>
      <c r="L398">
        <f>+bma!J398/data!$AJ398</f>
        <v>0</v>
      </c>
      <c r="M398">
        <f>+bma!K398/data!$AJ398</f>
        <v>0</v>
      </c>
      <c r="N398">
        <f>+bma!N398/data!$AJ398</f>
        <v>0</v>
      </c>
      <c r="O398">
        <f>+bma!O398/data!$AJ398</f>
        <v>0</v>
      </c>
      <c r="P398">
        <f>+bma!P398/data!$AJ398</f>
        <v>75.374982517172853</v>
      </c>
      <c r="Q398">
        <f>+bma!Q398/data!$AJ398</f>
        <v>572.72919178350367</v>
      </c>
      <c r="R398">
        <f>+bma!R398/data!$AJ398</f>
        <v>330.2952085147794</v>
      </c>
      <c r="S398">
        <f>+bma!S398/data!$AJ398</f>
        <v>75.374982517172853</v>
      </c>
    </row>
    <row r="399" spans="1:19" x14ac:dyDescent="0.25">
      <c r="A399">
        <f>+data!AH399</f>
        <v>-2.2800157977883098</v>
      </c>
      <c r="B399">
        <f>+data!AL399</f>
        <v>75.327275750807317</v>
      </c>
      <c r="C399">
        <f>+bma!C399/data!$AJ399</f>
        <v>75.327275750807317</v>
      </c>
      <c r="D399">
        <f>+bma!D399/data!$AJ399</f>
        <v>0</v>
      </c>
      <c r="E399">
        <f>+bma!E399/data!$AJ399</f>
        <v>0</v>
      </c>
      <c r="F399">
        <f>+bma!F399/data!$AJ399</f>
        <v>0</v>
      </c>
      <c r="G399">
        <f>+bma!G399/data!$AJ399</f>
        <v>0</v>
      </c>
      <c r="H399">
        <f>+bma!H399/data!$AJ399</f>
        <v>75.327275750807317</v>
      </c>
      <c r="I399">
        <f>+bma!I399/data!$AJ399</f>
        <v>0</v>
      </c>
      <c r="J399">
        <f>+bma!L399/data!$AJ399</f>
        <v>75.327275750807317</v>
      </c>
      <c r="K399">
        <f>+bma!M399/data!$AJ399</f>
        <v>0</v>
      </c>
      <c r="L399">
        <f>+bma!J399/data!$AJ399</f>
        <v>0</v>
      </c>
      <c r="M399">
        <f>+bma!K399/data!$AJ399</f>
        <v>0</v>
      </c>
      <c r="N399">
        <f>+bma!N399/data!$AJ399</f>
        <v>0</v>
      </c>
      <c r="O399">
        <f>+bma!O399/data!$AJ399</f>
        <v>0</v>
      </c>
      <c r="P399">
        <f>+bma!P399/data!$AJ399</f>
        <v>75.327275750807317</v>
      </c>
      <c r="Q399">
        <f>+bma!Q399/data!$AJ399</f>
        <v>572.36669673765857</v>
      </c>
      <c r="R399">
        <f>+bma!R399/data!$AJ399</f>
        <v>330.08615617648292</v>
      </c>
      <c r="S399">
        <f>+bma!S399/data!$AJ399</f>
        <v>75.327275750807317</v>
      </c>
    </row>
    <row r="400" spans="1:19" x14ac:dyDescent="0.25">
      <c r="A400">
        <f>+data!AH400</f>
        <v>-1.9562043795620438</v>
      </c>
      <c r="B400">
        <f>+data!AL400</f>
        <v>75.318170022741654</v>
      </c>
      <c r="C400">
        <f>+bma!C400/data!$AJ400</f>
        <v>75.318170022741654</v>
      </c>
      <c r="D400">
        <f>+bma!D400/data!$AJ400</f>
        <v>0</v>
      </c>
      <c r="E400">
        <f>+bma!E400/data!$AJ400</f>
        <v>0</v>
      </c>
      <c r="F400">
        <f>+bma!F400/data!$AJ400</f>
        <v>0</v>
      </c>
      <c r="G400">
        <f>+bma!G400/data!$AJ400</f>
        <v>0</v>
      </c>
      <c r="H400">
        <f>+bma!H400/data!$AJ400</f>
        <v>75.318170022741654</v>
      </c>
      <c r="I400">
        <f>+bma!I400/data!$AJ400</f>
        <v>0</v>
      </c>
      <c r="J400">
        <f>+bma!L400/data!$AJ400</f>
        <v>75.318170022741654</v>
      </c>
      <c r="K400">
        <f>+bma!M400/data!$AJ400</f>
        <v>0</v>
      </c>
      <c r="L400">
        <f>+bma!J400/data!$AJ400</f>
        <v>0</v>
      </c>
      <c r="M400">
        <f>+bma!K400/data!$AJ400</f>
        <v>0</v>
      </c>
      <c r="N400">
        <f>+bma!N400/data!$AJ400</f>
        <v>0</v>
      </c>
      <c r="O400">
        <f>+bma!O400/data!$AJ400</f>
        <v>0</v>
      </c>
      <c r="P400">
        <f>+bma!P400/data!$AJ400</f>
        <v>75.318170022741654</v>
      </c>
      <c r="Q400">
        <f>+bma!Q400/data!$AJ400</f>
        <v>572.29750778263008</v>
      </c>
      <c r="R400">
        <f>+bma!R400/data!$AJ400</f>
        <v>330.0462546302445</v>
      </c>
      <c r="S400">
        <f>+bma!S400/data!$AJ400</f>
        <v>75.318170022741654</v>
      </c>
    </row>
    <row r="401" spans="1:19" x14ac:dyDescent="0.25">
      <c r="A401">
        <f>+data!AH401</f>
        <v>-1.4400000000000022</v>
      </c>
      <c r="B401">
        <f>+data!AL401</f>
        <v>10.491596637309309</v>
      </c>
      <c r="C401">
        <f>+bma!C401/data!$AJ401</f>
        <v>10.491596637309309</v>
      </c>
      <c r="D401">
        <f>+bma!D401/data!$AJ401</f>
        <v>10.491596637309309</v>
      </c>
      <c r="E401">
        <f>+bma!E401/data!$AJ401</f>
        <v>0</v>
      </c>
      <c r="F401">
        <f>+bma!F401/data!$AJ401</f>
        <v>0</v>
      </c>
      <c r="G401">
        <f>+bma!G401/data!$AJ401</f>
        <v>10.491596637309309</v>
      </c>
      <c r="H401">
        <f>+bma!H401/data!$AJ401</f>
        <v>0</v>
      </c>
      <c r="I401">
        <f>+bma!I401/data!$AJ401</f>
        <v>0</v>
      </c>
      <c r="J401">
        <f>+bma!L401/data!$AJ401</f>
        <v>0</v>
      </c>
      <c r="K401">
        <f>+bma!M401/data!$AJ401</f>
        <v>0</v>
      </c>
      <c r="L401">
        <f>+bma!J401/data!$AJ401</f>
        <v>0</v>
      </c>
      <c r="M401">
        <f>+bma!K401/data!$AJ401</f>
        <v>0</v>
      </c>
      <c r="N401">
        <f>+bma!N401/data!$AJ401</f>
        <v>10.491596637309309</v>
      </c>
      <c r="O401">
        <f>+bma!O401/data!$AJ401</f>
        <v>0</v>
      </c>
      <c r="P401">
        <f>+bma!P401/data!$AJ401</f>
        <v>10.491596637309309</v>
      </c>
      <c r="Q401">
        <f>+bma!Q401/data!$AJ401</f>
        <v>79.708814325907198</v>
      </c>
      <c r="R401">
        <f>+bma!R401/data!$AJ401</f>
        <v>41.043367351876675</v>
      </c>
      <c r="S401">
        <f>+bma!S401/data!$AJ401</f>
        <v>10.491596637309309</v>
      </c>
    </row>
    <row r="402" spans="1:19" x14ac:dyDescent="0.25">
      <c r="A402">
        <f>+data!AH402</f>
        <v>-2.3600000000000145</v>
      </c>
      <c r="B402">
        <f>+data!AL402</f>
        <v>11.729006778069492</v>
      </c>
      <c r="C402">
        <f>+bma!C402/data!$AJ402</f>
        <v>11.729006778069492</v>
      </c>
      <c r="D402">
        <f>+bma!D402/data!$AJ402</f>
        <v>11.729006778069492</v>
      </c>
      <c r="E402">
        <f>+bma!E402/data!$AJ402</f>
        <v>0</v>
      </c>
      <c r="F402">
        <f>+bma!F402/data!$AJ402</f>
        <v>0</v>
      </c>
      <c r="G402">
        <f>+bma!G402/data!$AJ402</f>
        <v>11.729006778069492</v>
      </c>
      <c r="H402">
        <f>+bma!H402/data!$AJ402</f>
        <v>0</v>
      </c>
      <c r="I402">
        <f>+bma!I402/data!$AJ402</f>
        <v>0</v>
      </c>
      <c r="J402">
        <f>+bma!L402/data!$AJ402</f>
        <v>0</v>
      </c>
      <c r="K402">
        <f>+bma!M402/data!$AJ402</f>
        <v>0</v>
      </c>
      <c r="L402">
        <f>+bma!J402/data!$AJ402</f>
        <v>0</v>
      </c>
      <c r="M402">
        <f>+bma!K402/data!$AJ402</f>
        <v>0</v>
      </c>
      <c r="N402">
        <f>+bma!N402/data!$AJ402</f>
        <v>11.729006778069492</v>
      </c>
      <c r="O402">
        <f>+bma!O402/data!$AJ402</f>
        <v>0</v>
      </c>
      <c r="P402">
        <f>+bma!P402/data!$AJ402</f>
        <v>11.729006778069492</v>
      </c>
      <c r="Q402">
        <f>+bma!Q402/data!$AJ402</f>
        <v>89.109909179678041</v>
      </c>
      <c r="R402">
        <f>+bma!R402/data!$AJ402</f>
        <v>45.884144282963746</v>
      </c>
      <c r="S402">
        <f>+bma!S402/data!$AJ402</f>
        <v>11.729006778069492</v>
      </c>
    </row>
    <row r="403" spans="1:19" x14ac:dyDescent="0.25">
      <c r="A403">
        <f>+data!AH403</f>
        <v>-2.140000000000005</v>
      </c>
      <c r="B403">
        <f>+data!AL403</f>
        <v>10.610353434264102</v>
      </c>
      <c r="C403">
        <f>+bma!C403/data!$AJ403</f>
        <v>10.610353434264102</v>
      </c>
      <c r="D403">
        <f>+bma!D403/data!$AJ403</f>
        <v>10.610353434264102</v>
      </c>
      <c r="E403">
        <f>+bma!E403/data!$AJ403</f>
        <v>0</v>
      </c>
      <c r="F403">
        <f>+bma!F403/data!$AJ403</f>
        <v>0</v>
      </c>
      <c r="G403">
        <f>+bma!G403/data!$AJ403</f>
        <v>10.610353434264102</v>
      </c>
      <c r="H403">
        <f>+bma!H403/data!$AJ403</f>
        <v>0</v>
      </c>
      <c r="I403">
        <f>+bma!I403/data!$AJ403</f>
        <v>0</v>
      </c>
      <c r="J403">
        <f>+bma!L403/data!$AJ403</f>
        <v>0</v>
      </c>
      <c r="K403">
        <f>+bma!M403/data!$AJ403</f>
        <v>0</v>
      </c>
      <c r="L403">
        <f>+bma!J403/data!$AJ403</f>
        <v>0</v>
      </c>
      <c r="M403">
        <f>+bma!K403/data!$AJ403</f>
        <v>0</v>
      </c>
      <c r="N403">
        <f>+bma!N403/data!$AJ403</f>
        <v>10.610353434264102</v>
      </c>
      <c r="O403">
        <f>+bma!O403/data!$AJ403</f>
        <v>0</v>
      </c>
      <c r="P403">
        <f>+bma!P403/data!$AJ403</f>
        <v>10.610353434264102</v>
      </c>
      <c r="Q403">
        <f>+bma!Q403/data!$AJ403</f>
        <v>80.611056740064342</v>
      </c>
      <c r="R403">
        <f>+bma!R403/data!$AJ403</f>
        <v>41.507946672970156</v>
      </c>
      <c r="S403">
        <f>+bma!S403/data!$AJ403</f>
        <v>10.610353434264102</v>
      </c>
    </row>
    <row r="404" spans="1:19" x14ac:dyDescent="0.25">
      <c r="A404">
        <f>+data!AH404</f>
        <v>-1.6999999999999997</v>
      </c>
      <c r="B404">
        <f>+data!AL404</f>
        <v>4.9889878733065682</v>
      </c>
      <c r="C404">
        <f>+bma!C404/data!$AJ404</f>
        <v>4.9889878733065682</v>
      </c>
      <c r="D404">
        <f>+bma!D404/data!$AJ404</f>
        <v>4.9889878733065682</v>
      </c>
      <c r="E404">
        <f>+bma!E404/data!$AJ404</f>
        <v>0</v>
      </c>
      <c r="F404">
        <f>+bma!F404/data!$AJ404</f>
        <v>0</v>
      </c>
      <c r="G404">
        <f>+bma!G404/data!$AJ404</f>
        <v>4.9889878733065682</v>
      </c>
      <c r="H404">
        <f>+bma!H404/data!$AJ404</f>
        <v>0</v>
      </c>
      <c r="I404">
        <f>+bma!I404/data!$AJ404</f>
        <v>0</v>
      </c>
      <c r="J404">
        <f>+bma!L404/data!$AJ404</f>
        <v>0</v>
      </c>
      <c r="K404">
        <f>+bma!M404/data!$AJ404</f>
        <v>0</v>
      </c>
      <c r="L404">
        <f>+bma!J404/data!$AJ404</f>
        <v>0</v>
      </c>
      <c r="M404">
        <f>+bma!K404/data!$AJ404</f>
        <v>0</v>
      </c>
      <c r="N404">
        <f>+bma!N404/data!$AJ404</f>
        <v>4.9889878733065682</v>
      </c>
      <c r="O404">
        <f>+bma!O404/data!$AJ404</f>
        <v>0</v>
      </c>
      <c r="P404">
        <f>+bma!P404/data!$AJ404</f>
        <v>4.9889878733065682</v>
      </c>
      <c r="Q404">
        <f>+bma!Q404/data!$AJ404</f>
        <v>37.903316512707832</v>
      </c>
      <c r="R404">
        <f>+bma!R404/data!$AJ404</f>
        <v>19.517035307096382</v>
      </c>
      <c r="S404">
        <f>+bma!S404/data!$AJ404</f>
        <v>4.9889878733065682</v>
      </c>
    </row>
    <row r="405" spans="1:19" x14ac:dyDescent="0.25">
      <c r="A405">
        <f>+data!AH405</f>
        <v>-4.7600000000000318</v>
      </c>
      <c r="B405">
        <f>+data!AL405</f>
        <v>12.714464204204605</v>
      </c>
      <c r="C405">
        <f>+bma!C405/data!$AJ405</f>
        <v>12.714464204204605</v>
      </c>
      <c r="D405">
        <f>+bma!D405/data!$AJ405</f>
        <v>12.714464204204605</v>
      </c>
      <c r="E405">
        <f>+bma!E405/data!$AJ405</f>
        <v>0</v>
      </c>
      <c r="F405">
        <f>+bma!F405/data!$AJ405</f>
        <v>0</v>
      </c>
      <c r="G405">
        <f>+bma!G405/data!$AJ405</f>
        <v>12.714464204204605</v>
      </c>
      <c r="H405">
        <f>+bma!H405/data!$AJ405</f>
        <v>0</v>
      </c>
      <c r="I405">
        <f>+bma!I405/data!$AJ405</f>
        <v>0</v>
      </c>
      <c r="J405">
        <f>+bma!L405/data!$AJ405</f>
        <v>0</v>
      </c>
      <c r="K405">
        <f>+bma!M405/data!$AJ405</f>
        <v>0</v>
      </c>
      <c r="L405">
        <f>+bma!J405/data!$AJ405</f>
        <v>0</v>
      </c>
      <c r="M405">
        <f>+bma!K405/data!$AJ405</f>
        <v>0</v>
      </c>
      <c r="N405">
        <f>+bma!N405/data!$AJ405</f>
        <v>12.714464204204605</v>
      </c>
      <c r="O405">
        <f>+bma!O405/data!$AJ405</f>
        <v>0</v>
      </c>
      <c r="P405">
        <f>+bma!P405/data!$AJ405</f>
        <v>12.714464204204605</v>
      </c>
      <c r="Q405">
        <f>+bma!Q405/data!$AJ405</f>
        <v>96.596819487167252</v>
      </c>
      <c r="R405">
        <f>+bma!R405/data!$AJ405</f>
        <v>49.739276399525117</v>
      </c>
      <c r="S405">
        <f>+bma!S405/data!$AJ405</f>
        <v>12.714464204204605</v>
      </c>
    </row>
    <row r="406" spans="1:19" x14ac:dyDescent="0.25">
      <c r="A406">
        <f>+data!AH406</f>
        <v>-4.5999999999999996</v>
      </c>
      <c r="B406">
        <f>+data!AL406</f>
        <v>8.8971905678140875</v>
      </c>
      <c r="C406">
        <f>+bma!C406/data!$AJ406</f>
        <v>8.8971905678140875</v>
      </c>
      <c r="D406">
        <f>+bma!D406/data!$AJ406</f>
        <v>8.8971905678140875</v>
      </c>
      <c r="E406">
        <f>+bma!E406/data!$AJ406</f>
        <v>0</v>
      </c>
      <c r="F406">
        <f>+bma!F406/data!$AJ406</f>
        <v>0</v>
      </c>
      <c r="G406">
        <f>+bma!G406/data!$AJ406</f>
        <v>8.8971905678140875</v>
      </c>
      <c r="H406">
        <f>+bma!H406/data!$AJ406</f>
        <v>0</v>
      </c>
      <c r="I406">
        <f>+bma!I406/data!$AJ406</f>
        <v>8.8971905678140875</v>
      </c>
      <c r="J406">
        <f>+bma!L406/data!$AJ406</f>
        <v>0</v>
      </c>
      <c r="K406">
        <f>+bma!M406/data!$AJ406</f>
        <v>0</v>
      </c>
      <c r="L406">
        <f>+bma!J406/data!$AJ406</f>
        <v>0</v>
      </c>
      <c r="M406">
        <f>+bma!K406/data!$AJ406</f>
        <v>0</v>
      </c>
      <c r="N406">
        <f>+bma!N406/data!$AJ406</f>
        <v>8.8971905678140875</v>
      </c>
      <c r="O406">
        <f>+bma!O406/data!$AJ406</f>
        <v>0</v>
      </c>
      <c r="P406">
        <f>+bma!P406/data!$AJ406</f>
        <v>8.8971905678140875</v>
      </c>
      <c r="Q406">
        <f>+bma!Q406/data!$AJ406</f>
        <v>67.573130288442144</v>
      </c>
      <c r="R406">
        <f>+bma!R406/data!$AJ406</f>
        <v>32.127025570750114</v>
      </c>
      <c r="S406">
        <f>+bma!S406/data!$AJ406</f>
        <v>8.8971905678140875</v>
      </c>
    </row>
    <row r="407" spans="1:19" x14ac:dyDescent="0.25">
      <c r="A407">
        <f>+data!AH407</f>
        <v>-4.5999999999999996</v>
      </c>
      <c r="B407">
        <f>+data!AL407</f>
        <v>8.7840765023990972</v>
      </c>
      <c r="C407">
        <f>+bma!C407/data!$AJ407</f>
        <v>8.7840765023990972</v>
      </c>
      <c r="D407">
        <f>+bma!D407/data!$AJ407</f>
        <v>8.7840765023990972</v>
      </c>
      <c r="E407">
        <f>+bma!E407/data!$AJ407</f>
        <v>0</v>
      </c>
      <c r="F407">
        <f>+bma!F407/data!$AJ407</f>
        <v>0</v>
      </c>
      <c r="G407">
        <f>+bma!G407/data!$AJ407</f>
        <v>8.7840765023990972</v>
      </c>
      <c r="H407">
        <f>+bma!H407/data!$AJ407</f>
        <v>0</v>
      </c>
      <c r="I407">
        <f>+bma!I407/data!$AJ407</f>
        <v>8.7840765023990972</v>
      </c>
      <c r="J407">
        <f>+bma!L407/data!$AJ407</f>
        <v>0</v>
      </c>
      <c r="K407">
        <f>+bma!M407/data!$AJ407</f>
        <v>0</v>
      </c>
      <c r="L407">
        <f>+bma!J407/data!$AJ407</f>
        <v>0</v>
      </c>
      <c r="M407">
        <f>+bma!K407/data!$AJ407</f>
        <v>0</v>
      </c>
      <c r="N407">
        <f>+bma!N407/data!$AJ407</f>
        <v>8.7840765023990972</v>
      </c>
      <c r="O407">
        <f>+bma!O407/data!$AJ407</f>
        <v>0</v>
      </c>
      <c r="P407">
        <f>+bma!P407/data!$AJ407</f>
        <v>8.7840765023990972</v>
      </c>
      <c r="Q407">
        <f>+bma!Q407/data!$AJ407</f>
        <v>66.714042082846873</v>
      </c>
      <c r="R407">
        <f>+bma!R407/data!$AJ407</f>
        <v>31.718579955889943</v>
      </c>
      <c r="S407">
        <f>+bma!S407/data!$AJ407</f>
        <v>8.7840765023990972</v>
      </c>
    </row>
    <row r="408" spans="1:19" x14ac:dyDescent="0.25">
      <c r="A408">
        <f>+data!AH408</f>
        <v>-4.8</v>
      </c>
      <c r="B408">
        <f>+data!AL408</f>
        <v>8.8904443083571465</v>
      </c>
      <c r="C408">
        <f>+bma!C408/data!$AJ408</f>
        <v>8.8904443083571465</v>
      </c>
      <c r="D408">
        <f>+bma!D408/data!$AJ408</f>
        <v>8.8904443083571465</v>
      </c>
      <c r="E408">
        <f>+bma!E408/data!$AJ408</f>
        <v>0</v>
      </c>
      <c r="F408">
        <f>+bma!F408/data!$AJ408</f>
        <v>0</v>
      </c>
      <c r="G408">
        <f>+bma!G408/data!$AJ408</f>
        <v>8.8904443083571465</v>
      </c>
      <c r="H408">
        <f>+bma!H408/data!$AJ408</f>
        <v>0</v>
      </c>
      <c r="I408">
        <f>+bma!I408/data!$AJ408</f>
        <v>8.8904443083571465</v>
      </c>
      <c r="J408">
        <f>+bma!L408/data!$AJ408</f>
        <v>0</v>
      </c>
      <c r="K408">
        <f>+bma!M408/data!$AJ408</f>
        <v>0</v>
      </c>
      <c r="L408">
        <f>+bma!J408/data!$AJ408</f>
        <v>0</v>
      </c>
      <c r="M408">
        <f>+bma!K408/data!$AJ408</f>
        <v>0</v>
      </c>
      <c r="N408">
        <f>+bma!N408/data!$AJ408</f>
        <v>8.8904443083571465</v>
      </c>
      <c r="O408">
        <f>+bma!O408/data!$AJ408</f>
        <v>0</v>
      </c>
      <c r="P408">
        <f>+bma!P408/data!$AJ408</f>
        <v>8.8904443083571465</v>
      </c>
      <c r="Q408">
        <f>+bma!Q408/data!$AJ408</f>
        <v>67.521893230432767</v>
      </c>
      <c r="R408">
        <f>+bma!R408/data!$AJ408</f>
        <v>32.102665381044368</v>
      </c>
      <c r="S408">
        <f>+bma!S408/data!$AJ408</f>
        <v>8.8904443083571465</v>
      </c>
    </row>
    <row r="409" spans="1:19" x14ac:dyDescent="0.25">
      <c r="A409">
        <f>+data!AH409</f>
        <v>-5.5</v>
      </c>
      <c r="B409">
        <f>+data!AL409</f>
        <v>9.2330926563096938</v>
      </c>
      <c r="C409">
        <f>+bma!C409/data!$AJ409</f>
        <v>9.2330926563096938</v>
      </c>
      <c r="D409">
        <f>+bma!D409/data!$AJ409</f>
        <v>9.2330926563096938</v>
      </c>
      <c r="E409">
        <f>+bma!E409/data!$AJ409</f>
        <v>0</v>
      </c>
      <c r="F409">
        <f>+bma!F409/data!$AJ409</f>
        <v>0</v>
      </c>
      <c r="G409">
        <f>+bma!G409/data!$AJ409</f>
        <v>9.2330926563096938</v>
      </c>
      <c r="H409">
        <f>+bma!H409/data!$AJ409</f>
        <v>0</v>
      </c>
      <c r="I409">
        <f>+bma!I409/data!$AJ409</f>
        <v>9.2330926563096938</v>
      </c>
      <c r="J409">
        <f>+bma!L409/data!$AJ409</f>
        <v>0</v>
      </c>
      <c r="K409">
        <f>+bma!M409/data!$AJ409</f>
        <v>0</v>
      </c>
      <c r="L409">
        <f>+bma!J409/data!$AJ409</f>
        <v>0</v>
      </c>
      <c r="M409">
        <f>+bma!K409/data!$AJ409</f>
        <v>0</v>
      </c>
      <c r="N409">
        <f>+bma!N409/data!$AJ409</f>
        <v>9.2330926563096938</v>
      </c>
      <c r="O409">
        <f>+bma!O409/data!$AJ409</f>
        <v>0</v>
      </c>
      <c r="P409">
        <f>+bma!P409/data!$AJ409</f>
        <v>9.2330926563096938</v>
      </c>
      <c r="Q409">
        <f>+bma!Q409/data!$AJ409</f>
        <v>70.124267685923996</v>
      </c>
      <c r="R409">
        <f>+bma!R409/data!$AJ409</f>
        <v>33.339940468336486</v>
      </c>
      <c r="S409">
        <f>+bma!S409/data!$AJ409</f>
        <v>9.2330926563096938</v>
      </c>
    </row>
    <row r="410" spans="1:19" x14ac:dyDescent="0.25">
      <c r="A410">
        <f>+data!AH410</f>
        <v>0.25</v>
      </c>
      <c r="B410">
        <f>+data!AL410</f>
        <v>7.5539724648690632</v>
      </c>
      <c r="C410">
        <f>+bma!C410/data!$AJ410</f>
        <v>7.5539724648690632</v>
      </c>
      <c r="D410">
        <f>+bma!D410/data!$AJ410</f>
        <v>7.5539724648690632</v>
      </c>
      <c r="E410">
        <f>+bma!E410/data!$AJ410</f>
        <v>0</v>
      </c>
      <c r="F410">
        <f>+bma!F410/data!$AJ410</f>
        <v>0</v>
      </c>
      <c r="G410">
        <f>+bma!G410/data!$AJ410</f>
        <v>7.5539724648690632</v>
      </c>
      <c r="H410">
        <f>+bma!H410/data!$AJ410</f>
        <v>0</v>
      </c>
      <c r="I410">
        <f>+bma!I410/data!$AJ410</f>
        <v>7.5539724648690632</v>
      </c>
      <c r="J410">
        <f>+bma!L410/data!$AJ410</f>
        <v>0</v>
      </c>
      <c r="K410">
        <f>+bma!M410/data!$AJ410</f>
        <v>0</v>
      </c>
      <c r="L410">
        <f>+bma!J410/data!$AJ410</f>
        <v>0</v>
      </c>
      <c r="M410">
        <f>+bma!K410/data!$AJ410</f>
        <v>0</v>
      </c>
      <c r="N410">
        <f>+bma!N410/data!$AJ410</f>
        <v>7.5539724648690632</v>
      </c>
      <c r="O410">
        <f>+bma!O410/data!$AJ410</f>
        <v>0</v>
      </c>
      <c r="P410">
        <f>+bma!P410/data!$AJ410</f>
        <v>7.5539724648690632</v>
      </c>
      <c r="Q410">
        <f>+bma!Q410/data!$AJ410</f>
        <v>57.371544609874618</v>
      </c>
      <c r="R410">
        <f>+bma!R410/data!$AJ410</f>
        <v>27.276775144900068</v>
      </c>
      <c r="S410">
        <f>+bma!S410/data!$AJ410</f>
        <v>7.5539724648690632</v>
      </c>
    </row>
    <row r="411" spans="1:19" x14ac:dyDescent="0.25">
      <c r="A411">
        <f>+data!AH411</f>
        <v>-5.7999999999999989</v>
      </c>
      <c r="B411">
        <f>+data!AL411</f>
        <v>9.5205041883295252</v>
      </c>
      <c r="C411">
        <f>+bma!C411/data!$AJ411</f>
        <v>9.5205041883295252</v>
      </c>
      <c r="D411">
        <f>+bma!D411/data!$AJ411</f>
        <v>9.5205041883295252</v>
      </c>
      <c r="E411">
        <f>+bma!E411/data!$AJ411</f>
        <v>0</v>
      </c>
      <c r="F411">
        <f>+bma!F411/data!$AJ411</f>
        <v>0</v>
      </c>
      <c r="G411">
        <f>+bma!G411/data!$AJ411</f>
        <v>9.5205041883295252</v>
      </c>
      <c r="H411">
        <f>+bma!H411/data!$AJ411</f>
        <v>0</v>
      </c>
      <c r="I411">
        <f>+bma!I411/data!$AJ411</f>
        <v>9.5205041883295252</v>
      </c>
      <c r="J411">
        <f>+bma!L411/data!$AJ411</f>
        <v>0</v>
      </c>
      <c r="K411">
        <f>+bma!M411/data!$AJ411</f>
        <v>0</v>
      </c>
      <c r="L411">
        <f>+bma!J411/data!$AJ411</f>
        <v>0</v>
      </c>
      <c r="M411">
        <f>+bma!K411/data!$AJ411</f>
        <v>0</v>
      </c>
      <c r="N411">
        <f>+bma!N411/data!$AJ411</f>
        <v>9.5205041883295252</v>
      </c>
      <c r="O411">
        <f>+bma!O411/data!$AJ411</f>
        <v>0</v>
      </c>
      <c r="P411">
        <f>+bma!P411/data!$AJ411</f>
        <v>9.5205041883295252</v>
      </c>
      <c r="Q411">
        <f>+bma!Q411/data!$AJ411</f>
        <v>72.307124931876899</v>
      </c>
      <c r="R411">
        <f>+bma!R411/data!$AJ411</f>
        <v>34.377759942714469</v>
      </c>
      <c r="S411">
        <f>+bma!S411/data!$AJ411</f>
        <v>9.5205041883295252</v>
      </c>
    </row>
    <row r="412" spans="1:19" x14ac:dyDescent="0.25">
      <c r="A412">
        <f>+data!AH412</f>
        <v>-3.4000000000000004</v>
      </c>
      <c r="B412">
        <f>+data!AL412</f>
        <v>7.3184697854127947</v>
      </c>
      <c r="C412">
        <f>+bma!C412/data!$AJ412</f>
        <v>7.3184697854127947</v>
      </c>
      <c r="D412">
        <f>+bma!D412/data!$AJ412</f>
        <v>7.3184697854127947</v>
      </c>
      <c r="E412">
        <f>+bma!E412/data!$AJ412</f>
        <v>0</v>
      </c>
      <c r="F412">
        <f>+bma!F412/data!$AJ412</f>
        <v>7.3184697854127947</v>
      </c>
      <c r="G412">
        <f>+bma!G412/data!$AJ412</f>
        <v>0</v>
      </c>
      <c r="H412">
        <f>+bma!H412/data!$AJ412</f>
        <v>7.3184697854127947</v>
      </c>
      <c r="I412">
        <f>+bma!I412/data!$AJ412</f>
        <v>0</v>
      </c>
      <c r="J412">
        <f>+bma!L412/data!$AJ412</f>
        <v>7.3184697854127947</v>
      </c>
      <c r="K412">
        <f>+bma!M412/data!$AJ412</f>
        <v>0</v>
      </c>
      <c r="L412">
        <f>+bma!J412/data!$AJ412</f>
        <v>0</v>
      </c>
      <c r="M412">
        <f>+bma!K412/data!$AJ412</f>
        <v>0</v>
      </c>
      <c r="N412">
        <f>+bma!N412/data!$AJ412</f>
        <v>0</v>
      </c>
      <c r="O412">
        <f>+bma!O412/data!$AJ412</f>
        <v>7.3184697854127947</v>
      </c>
      <c r="P412">
        <f>+bma!P412/data!$AJ412</f>
        <v>7.3184697854127947</v>
      </c>
      <c r="Q412">
        <f>+bma!Q412/data!$AJ412</f>
        <v>55.601313073816023</v>
      </c>
      <c r="R412">
        <f>+bma!R412/data!$AJ412</f>
        <v>28.01979347769263</v>
      </c>
      <c r="S412">
        <f>+bma!S412/data!$AJ412</f>
        <v>0</v>
      </c>
    </row>
    <row r="413" spans="1:19" x14ac:dyDescent="0.25">
      <c r="A413">
        <f>+data!AH413</f>
        <v>-2</v>
      </c>
      <c r="B413">
        <f>+data!AL413</f>
        <v>6.7823299831252681</v>
      </c>
      <c r="C413">
        <f>+bma!C413/data!$AJ413</f>
        <v>6.7823299831252681</v>
      </c>
      <c r="D413">
        <f>+bma!D413/data!$AJ413</f>
        <v>0</v>
      </c>
      <c r="E413">
        <f>+bma!E413/data!$AJ413</f>
        <v>6.7823299831252681</v>
      </c>
      <c r="F413">
        <f>+bma!F413/data!$AJ413</f>
        <v>6.7823299831252681</v>
      </c>
      <c r="G413">
        <f>+bma!G413/data!$AJ413</f>
        <v>0</v>
      </c>
      <c r="H413">
        <f>+bma!H413/data!$AJ413</f>
        <v>6.7823299831252681</v>
      </c>
      <c r="I413">
        <f>+bma!I413/data!$AJ413</f>
        <v>0</v>
      </c>
      <c r="J413">
        <f>+bma!L413/data!$AJ413</f>
        <v>6.7823299831252681</v>
      </c>
      <c r="K413">
        <f>+bma!M413/data!$AJ413</f>
        <v>0</v>
      </c>
      <c r="L413">
        <f>+bma!J413/data!$AJ413</f>
        <v>0</v>
      </c>
      <c r="M413">
        <f>+bma!K413/data!$AJ413</f>
        <v>0</v>
      </c>
      <c r="N413">
        <f>+bma!N413/data!$AJ413</f>
        <v>0</v>
      </c>
      <c r="O413">
        <f>+bma!O413/data!$AJ413</f>
        <v>6.7823299831252681</v>
      </c>
      <c r="P413">
        <f>+bma!P413/data!$AJ413</f>
        <v>6.7823299831252681</v>
      </c>
      <c r="Q413">
        <f>+bma!Q413/data!$AJ413</f>
        <v>51.528046684475974</v>
      </c>
      <c r="R413">
        <f>+bma!R413/data!$AJ413</f>
        <v>25.967106648922712</v>
      </c>
      <c r="S413">
        <f>+bma!S413/data!$AJ413</f>
        <v>0</v>
      </c>
    </row>
    <row r="414" spans="1:19" x14ac:dyDescent="0.25">
      <c r="A414">
        <f>+data!AH414</f>
        <v>-1.7568000000000006</v>
      </c>
      <c r="B414">
        <f>+data!AL414</f>
        <v>6.2519074081435333</v>
      </c>
      <c r="C414">
        <f>+bma!C414/data!$AJ414</f>
        <v>0</v>
      </c>
      <c r="D414">
        <f>+bma!D414/data!$AJ414</f>
        <v>6.2519074081435333</v>
      </c>
      <c r="E414">
        <f>+bma!E414/data!$AJ414</f>
        <v>0</v>
      </c>
      <c r="F414">
        <f>+bma!F414/data!$AJ414</f>
        <v>0</v>
      </c>
      <c r="G414">
        <f>+bma!G414/data!$AJ414</f>
        <v>6.2519074081435333</v>
      </c>
      <c r="H414">
        <f>+bma!H414/data!$AJ414</f>
        <v>6.2519074081435333</v>
      </c>
      <c r="I414">
        <f>+bma!I414/data!$AJ414</f>
        <v>6.2519074081435333</v>
      </c>
      <c r="J414">
        <f>+bma!L414/data!$AJ414</f>
        <v>0</v>
      </c>
      <c r="K414">
        <f>+bma!M414/data!$AJ414</f>
        <v>0</v>
      </c>
      <c r="L414">
        <f>+bma!J414/data!$AJ414</f>
        <v>0</v>
      </c>
      <c r="M414">
        <f>+bma!K414/data!$AJ414</f>
        <v>0</v>
      </c>
      <c r="N414">
        <f>+bma!N414/data!$AJ414</f>
        <v>0</v>
      </c>
      <c r="O414">
        <f>+bma!O414/data!$AJ414</f>
        <v>0</v>
      </c>
      <c r="P414">
        <f>+bma!P414/data!$AJ414</f>
        <v>6.2519074081435333</v>
      </c>
      <c r="Q414">
        <f>+bma!Q414/data!$AJ414</f>
        <v>47.513883614964861</v>
      </c>
      <c r="R414">
        <f>+bma!R414/data!$AJ414</f>
        <v>18.408359996926738</v>
      </c>
      <c r="S414">
        <f>+bma!S414/data!$AJ414</f>
        <v>6.2519074081435333</v>
      </c>
    </row>
    <row r="415" spans="1:19" x14ac:dyDescent="0.25">
      <c r="A415">
        <f>+data!AH415</f>
        <v>-0.62430000000000019</v>
      </c>
      <c r="B415">
        <f>+data!AL415</f>
        <v>6.0323917719259574</v>
      </c>
      <c r="C415">
        <f>+bma!C415/data!$AJ415</f>
        <v>0</v>
      </c>
      <c r="D415">
        <f>+bma!D415/data!$AJ415</f>
        <v>6.0323917719259574</v>
      </c>
      <c r="E415">
        <f>+bma!E415/data!$AJ415</f>
        <v>0</v>
      </c>
      <c r="F415">
        <f>+bma!F415/data!$AJ415</f>
        <v>0</v>
      </c>
      <c r="G415">
        <f>+bma!G415/data!$AJ415</f>
        <v>6.0323917719259574</v>
      </c>
      <c r="H415">
        <f>+bma!H415/data!$AJ415</f>
        <v>6.0323917719259574</v>
      </c>
      <c r="I415">
        <f>+bma!I415/data!$AJ415</f>
        <v>6.0323917719259574</v>
      </c>
      <c r="J415">
        <f>+bma!L415/data!$AJ415</f>
        <v>0</v>
      </c>
      <c r="K415">
        <f>+bma!M415/data!$AJ415</f>
        <v>0</v>
      </c>
      <c r="L415">
        <f>+bma!J415/data!$AJ415</f>
        <v>0</v>
      </c>
      <c r="M415">
        <f>+bma!K415/data!$AJ415</f>
        <v>0</v>
      </c>
      <c r="N415">
        <f>+bma!N415/data!$AJ415</f>
        <v>0</v>
      </c>
      <c r="O415">
        <f>+bma!O415/data!$AJ415</f>
        <v>0</v>
      </c>
      <c r="P415">
        <f>+bma!P415/data!$AJ415</f>
        <v>6.0323917719259574</v>
      </c>
      <c r="Q415">
        <f>+bma!Q415/data!$AJ415</f>
        <v>45.845586292243624</v>
      </c>
      <c r="R415">
        <f>+bma!R415/data!$AJ415</f>
        <v>17.762009596537894</v>
      </c>
      <c r="S415">
        <f>+bma!S415/data!$AJ415</f>
        <v>6.0323917719259574</v>
      </c>
    </row>
    <row r="416" spans="1:19" x14ac:dyDescent="0.25">
      <c r="A416">
        <f>+data!AH416</f>
        <v>-3.2208999999999985</v>
      </c>
      <c r="B416">
        <f>+data!AL416</f>
        <v>6.7360371740363778</v>
      </c>
      <c r="C416">
        <f>+bma!C416/data!$AJ416</f>
        <v>0</v>
      </c>
      <c r="D416">
        <f>+bma!D416/data!$AJ416</f>
        <v>0</v>
      </c>
      <c r="E416">
        <f>+bma!E416/data!$AJ416</f>
        <v>0</v>
      </c>
      <c r="F416">
        <f>+bma!F416/data!$AJ416</f>
        <v>0</v>
      </c>
      <c r="G416">
        <f>+bma!G416/data!$AJ416</f>
        <v>6.7360371740363778</v>
      </c>
      <c r="H416">
        <f>+bma!H416/data!$AJ416</f>
        <v>6.7360371740363778</v>
      </c>
      <c r="I416">
        <f>+bma!I416/data!$AJ416</f>
        <v>6.7360371740363778</v>
      </c>
      <c r="J416">
        <f>+bma!L416/data!$AJ416</f>
        <v>0</v>
      </c>
      <c r="K416">
        <f>+bma!M416/data!$AJ416</f>
        <v>0</v>
      </c>
      <c r="L416">
        <f>+bma!J416/data!$AJ416</f>
        <v>0</v>
      </c>
      <c r="M416">
        <f>+bma!K416/data!$AJ416</f>
        <v>0</v>
      </c>
      <c r="N416">
        <f>+bma!N416/data!$AJ416</f>
        <v>0</v>
      </c>
      <c r="O416">
        <f>+bma!O416/data!$AJ416</f>
        <v>0</v>
      </c>
      <c r="P416">
        <f>+bma!P416/data!$AJ416</f>
        <v>6.7360371740363778</v>
      </c>
      <c r="Q416">
        <f>+bma!Q416/data!$AJ416</f>
        <v>51.193222391033416</v>
      </c>
      <c r="R416">
        <f>+bma!R416/data!$AJ416</f>
        <v>19.8338505606825</v>
      </c>
      <c r="S416">
        <f>+bma!S416/data!$AJ416</f>
        <v>6.7360371740363778</v>
      </c>
    </row>
    <row r="417" spans="1:19" x14ac:dyDescent="0.25">
      <c r="A417">
        <f>+data!AH417</f>
        <v>0.85200000000000031</v>
      </c>
      <c r="B417">
        <f>+data!AL417</f>
        <v>5.9771150231528933</v>
      </c>
      <c r="C417">
        <f>+bma!C417/data!$AJ417</f>
        <v>0</v>
      </c>
      <c r="D417">
        <f>+bma!D417/data!$AJ417</f>
        <v>5.9771150231528933</v>
      </c>
      <c r="E417">
        <f>+bma!E417/data!$AJ417</f>
        <v>0</v>
      </c>
      <c r="F417">
        <f>+bma!F417/data!$AJ417</f>
        <v>0</v>
      </c>
      <c r="G417">
        <f>+bma!G417/data!$AJ417</f>
        <v>5.9771150231528933</v>
      </c>
      <c r="H417">
        <f>+bma!H417/data!$AJ417</f>
        <v>5.9771150231528933</v>
      </c>
      <c r="I417">
        <f>+bma!I417/data!$AJ417</f>
        <v>5.9771150231528933</v>
      </c>
      <c r="J417">
        <f>+bma!L417/data!$AJ417</f>
        <v>0</v>
      </c>
      <c r="K417">
        <f>+bma!M417/data!$AJ417</f>
        <v>0</v>
      </c>
      <c r="L417">
        <f>+bma!J417/data!$AJ417</f>
        <v>0</v>
      </c>
      <c r="M417">
        <f>+bma!K417/data!$AJ417</f>
        <v>0</v>
      </c>
      <c r="N417">
        <f>+bma!N417/data!$AJ417</f>
        <v>0</v>
      </c>
      <c r="O417">
        <f>+bma!O417/data!$AJ417</f>
        <v>0</v>
      </c>
      <c r="P417">
        <f>+bma!P417/data!$AJ417</f>
        <v>5.9771150231528933</v>
      </c>
      <c r="Q417">
        <f>+bma!Q417/data!$AJ417</f>
        <v>45.425488418689717</v>
      </c>
      <c r="R417">
        <f>+bma!R417/data!$AJ417</f>
        <v>17.59925058165728</v>
      </c>
      <c r="S417">
        <f>+bma!S417/data!$AJ417</f>
        <v>5.9771150231528933</v>
      </c>
    </row>
    <row r="418" spans="1:19" x14ac:dyDescent="0.25">
      <c r="A418">
        <f>+data!AH418</f>
        <v>-0.75140000000000184</v>
      </c>
      <c r="B418">
        <f>+data!AL418</f>
        <v>5.7934965228262634</v>
      </c>
      <c r="C418">
        <f>+bma!C418/data!$AJ418</f>
        <v>0</v>
      </c>
      <c r="D418">
        <f>+bma!D418/data!$AJ418</f>
        <v>0</v>
      </c>
      <c r="E418">
        <f>+bma!E418/data!$AJ418</f>
        <v>0</v>
      </c>
      <c r="F418">
        <f>+bma!F418/data!$AJ418</f>
        <v>0</v>
      </c>
      <c r="G418">
        <f>+bma!G418/data!$AJ418</f>
        <v>5.7934965228262634</v>
      </c>
      <c r="H418">
        <f>+bma!H418/data!$AJ418</f>
        <v>5.7934965228262634</v>
      </c>
      <c r="I418">
        <f>+bma!I418/data!$AJ418</f>
        <v>5.7934965228262634</v>
      </c>
      <c r="J418">
        <f>+bma!L418/data!$AJ418</f>
        <v>0</v>
      </c>
      <c r="K418">
        <f>+bma!M418/data!$AJ418</f>
        <v>0</v>
      </c>
      <c r="L418">
        <f>+bma!J418/data!$AJ418</f>
        <v>0</v>
      </c>
      <c r="M418">
        <f>+bma!K418/data!$AJ418</f>
        <v>0</v>
      </c>
      <c r="N418">
        <f>+bma!N418/data!$AJ418</f>
        <v>0</v>
      </c>
      <c r="O418">
        <f>+bma!O418/data!$AJ418</f>
        <v>0</v>
      </c>
      <c r="P418">
        <f>+bma!P418/data!$AJ418</f>
        <v>5.7934965228262634</v>
      </c>
      <c r="Q418">
        <f>+bma!Q418/data!$AJ418</f>
        <v>44.030005810820363</v>
      </c>
      <c r="R418">
        <f>+bma!R418/data!$AJ418</f>
        <v>17.058597108174041</v>
      </c>
      <c r="S418">
        <f>+bma!S418/data!$AJ418</f>
        <v>5.7934965228262634</v>
      </c>
    </row>
    <row r="419" spans="1:19" x14ac:dyDescent="0.25">
      <c r="A419">
        <f>+data!AH419</f>
        <v>-1.1159000000000026</v>
      </c>
      <c r="B419">
        <f>+data!AL419</f>
        <v>5.8519426526581757</v>
      </c>
      <c r="C419">
        <f>+bma!C419/data!$AJ419</f>
        <v>0</v>
      </c>
      <c r="D419">
        <f>+bma!D419/data!$AJ419</f>
        <v>0</v>
      </c>
      <c r="E419">
        <f>+bma!E419/data!$AJ419</f>
        <v>0</v>
      </c>
      <c r="F419">
        <f>+bma!F419/data!$AJ419</f>
        <v>0</v>
      </c>
      <c r="G419">
        <f>+bma!G419/data!$AJ419</f>
        <v>5.8519426526581757</v>
      </c>
      <c r="H419">
        <f>+bma!H419/data!$AJ419</f>
        <v>5.8519426526581757</v>
      </c>
      <c r="I419">
        <f>+bma!I419/data!$AJ419</f>
        <v>5.8519426526581757</v>
      </c>
      <c r="J419">
        <f>+bma!L419/data!$AJ419</f>
        <v>0</v>
      </c>
      <c r="K419">
        <f>+bma!M419/data!$AJ419</f>
        <v>0</v>
      </c>
      <c r="L419">
        <f>+bma!J419/data!$AJ419</f>
        <v>0</v>
      </c>
      <c r="M419">
        <f>+bma!K419/data!$AJ419</f>
        <v>0</v>
      </c>
      <c r="N419">
        <f>+bma!N419/data!$AJ419</f>
        <v>0</v>
      </c>
      <c r="O419">
        <f>+bma!O419/data!$AJ419</f>
        <v>0</v>
      </c>
      <c r="P419">
        <f>+bma!P419/data!$AJ419</f>
        <v>5.8519426526581757</v>
      </c>
      <c r="Q419">
        <f>+bma!Q419/data!$AJ419</f>
        <v>44.474190669822178</v>
      </c>
      <c r="R419">
        <f>+bma!R419/data!$AJ419</f>
        <v>17.230688172250186</v>
      </c>
      <c r="S419">
        <f>+bma!S419/data!$AJ419</f>
        <v>5.8519426526581757</v>
      </c>
    </row>
    <row r="420" spans="1:19" x14ac:dyDescent="0.25">
      <c r="A420">
        <f>+data!AH420</f>
        <v>-2.6002999999999994</v>
      </c>
      <c r="B420">
        <f>+data!AL420</f>
        <v>6.2258782585270644</v>
      </c>
      <c r="C420">
        <f>+bma!C420/data!$AJ420</f>
        <v>0</v>
      </c>
      <c r="D420">
        <f>+bma!D420/data!$AJ420</f>
        <v>0</v>
      </c>
      <c r="E420">
        <f>+bma!E420/data!$AJ420</f>
        <v>0</v>
      </c>
      <c r="F420">
        <f>+bma!F420/data!$AJ420</f>
        <v>0</v>
      </c>
      <c r="G420">
        <f>+bma!G420/data!$AJ420</f>
        <v>6.2258782585270644</v>
      </c>
      <c r="H420">
        <f>+bma!H420/data!$AJ420</f>
        <v>6.2258782585270644</v>
      </c>
      <c r="I420">
        <f>+bma!I420/data!$AJ420</f>
        <v>6.2258782585270644</v>
      </c>
      <c r="J420">
        <f>+bma!L420/data!$AJ420</f>
        <v>0</v>
      </c>
      <c r="K420">
        <f>+bma!M420/data!$AJ420</f>
        <v>0</v>
      </c>
      <c r="L420">
        <f>+bma!J420/data!$AJ420</f>
        <v>0</v>
      </c>
      <c r="M420">
        <f>+bma!K420/data!$AJ420</f>
        <v>0</v>
      </c>
      <c r="N420">
        <f>+bma!N420/data!$AJ420</f>
        <v>0</v>
      </c>
      <c r="O420">
        <f>+bma!O420/data!$AJ420</f>
        <v>0</v>
      </c>
      <c r="P420">
        <f>+bma!P420/data!$AJ420</f>
        <v>6.2258782585270644</v>
      </c>
      <c r="Q420">
        <f>+bma!Q420/data!$AJ420</f>
        <v>47.316064628736356</v>
      </c>
      <c r="R420">
        <f>+bma!R420/data!$AJ420</f>
        <v>18.331718753659171</v>
      </c>
      <c r="S420">
        <f>+bma!S420/data!$AJ420</f>
        <v>6.2258782585270644</v>
      </c>
    </row>
    <row r="421" spans="1:19" x14ac:dyDescent="0.25">
      <c r="A421">
        <f>+data!AH421</f>
        <v>-4.6040999999999972</v>
      </c>
      <c r="B421">
        <f>+data!AL421</f>
        <v>7.2936778657958268</v>
      </c>
      <c r="C421">
        <f>+bma!C421/data!$AJ421</f>
        <v>0</v>
      </c>
      <c r="D421">
        <f>+bma!D421/data!$AJ421</f>
        <v>0</v>
      </c>
      <c r="E421">
        <f>+bma!E421/data!$AJ421</f>
        <v>0</v>
      </c>
      <c r="F421">
        <f>+bma!F421/data!$AJ421</f>
        <v>0</v>
      </c>
      <c r="G421">
        <f>+bma!G421/data!$AJ421</f>
        <v>7.2936778657958268</v>
      </c>
      <c r="H421">
        <f>+bma!H421/data!$AJ421</f>
        <v>7.2936778657958268</v>
      </c>
      <c r="I421">
        <f>+bma!I421/data!$AJ421</f>
        <v>7.2936778657958268</v>
      </c>
      <c r="J421">
        <f>+bma!L421/data!$AJ421</f>
        <v>0</v>
      </c>
      <c r="K421">
        <f>+bma!M421/data!$AJ421</f>
        <v>0</v>
      </c>
      <c r="L421">
        <f>+bma!J421/data!$AJ421</f>
        <v>0</v>
      </c>
      <c r="M421">
        <f>+bma!K421/data!$AJ421</f>
        <v>0</v>
      </c>
      <c r="N421">
        <f>+bma!N421/data!$AJ421</f>
        <v>0</v>
      </c>
      <c r="O421">
        <f>+bma!O421/data!$AJ421</f>
        <v>0</v>
      </c>
      <c r="P421">
        <f>+bma!P421/data!$AJ421</f>
        <v>7.2936778657958268</v>
      </c>
      <c r="Q421">
        <f>+bma!Q421/data!$AJ421</f>
        <v>55.431236999617433</v>
      </c>
      <c r="R421">
        <f>+bma!R421/data!$AJ421</f>
        <v>21.475789561486</v>
      </c>
      <c r="S421">
        <f>+bma!S421/data!$AJ421</f>
        <v>7.2936778657958268</v>
      </c>
    </row>
    <row r="422" spans="1:19" x14ac:dyDescent="0.25">
      <c r="A422">
        <f>+data!AH422</f>
        <v>-0.68760000000000154</v>
      </c>
      <c r="B422">
        <f>+data!AL422</f>
        <v>5.7855677128523872</v>
      </c>
      <c r="C422">
        <f>+bma!C422/data!$AJ422</f>
        <v>0</v>
      </c>
      <c r="D422">
        <f>+bma!D422/data!$AJ422</f>
        <v>5.7855677128523872</v>
      </c>
      <c r="E422">
        <f>+bma!E422/data!$AJ422</f>
        <v>0</v>
      </c>
      <c r="F422">
        <f>+bma!F422/data!$AJ422</f>
        <v>0</v>
      </c>
      <c r="G422">
        <f>+bma!G422/data!$AJ422</f>
        <v>5.7855677128523872</v>
      </c>
      <c r="H422">
        <f>+bma!H422/data!$AJ422</f>
        <v>5.7855677128523872</v>
      </c>
      <c r="I422">
        <f>+bma!I422/data!$AJ422</f>
        <v>5.7855677128523872</v>
      </c>
      <c r="J422">
        <f>+bma!L422/data!$AJ422</f>
        <v>0</v>
      </c>
      <c r="K422">
        <f>+bma!M422/data!$AJ422</f>
        <v>0</v>
      </c>
      <c r="L422">
        <f>+bma!J422/data!$AJ422</f>
        <v>0</v>
      </c>
      <c r="M422">
        <f>+bma!K422/data!$AJ422</f>
        <v>0</v>
      </c>
      <c r="N422">
        <f>+bma!N422/data!$AJ422</f>
        <v>0</v>
      </c>
      <c r="O422">
        <f>+bma!O422/data!$AJ422</f>
        <v>0</v>
      </c>
      <c r="P422">
        <f>+bma!P422/data!$AJ422</f>
        <v>5.7855677128523872</v>
      </c>
      <c r="Q422">
        <f>+bma!Q422/data!$AJ422</f>
        <v>43.969747632042285</v>
      </c>
      <c r="R422">
        <f>+bma!R422/data!$AJ422</f>
        <v>17.035251210863372</v>
      </c>
      <c r="S422">
        <f>+bma!S422/data!$AJ422</f>
        <v>5.7855677128523872</v>
      </c>
    </row>
    <row r="423" spans="1:19" x14ac:dyDescent="0.25">
      <c r="A423">
        <f>+data!AH423</f>
        <v>-0.4477000000000001</v>
      </c>
      <c r="B423">
        <f>+data!AL423</f>
        <v>5.7619818890725432</v>
      </c>
      <c r="C423">
        <f>+bma!C423/data!$AJ423</f>
        <v>0</v>
      </c>
      <c r="D423">
        <f>+bma!D423/data!$AJ423</f>
        <v>5.7619818890725432</v>
      </c>
      <c r="E423">
        <f>+bma!E423/data!$AJ423</f>
        <v>0</v>
      </c>
      <c r="F423">
        <f>+bma!F423/data!$AJ423</f>
        <v>0</v>
      </c>
      <c r="G423">
        <f>+bma!G423/data!$AJ423</f>
        <v>5.7619818890725432</v>
      </c>
      <c r="H423">
        <f>+bma!H423/data!$AJ423</f>
        <v>5.7619818890725432</v>
      </c>
      <c r="I423">
        <f>+bma!I423/data!$AJ423</f>
        <v>5.7619818890725432</v>
      </c>
      <c r="J423">
        <f>+bma!L423/data!$AJ423</f>
        <v>0</v>
      </c>
      <c r="K423">
        <f>+bma!M423/data!$AJ423</f>
        <v>0</v>
      </c>
      <c r="L423">
        <f>+bma!J423/data!$AJ423</f>
        <v>0</v>
      </c>
      <c r="M423">
        <f>+bma!K423/data!$AJ423</f>
        <v>0</v>
      </c>
      <c r="N423">
        <f>+bma!N423/data!$AJ423</f>
        <v>0</v>
      </c>
      <c r="O423">
        <f>+bma!O423/data!$AJ423</f>
        <v>0</v>
      </c>
      <c r="P423">
        <f>+bma!P423/data!$AJ423</f>
        <v>5.7619818890725432</v>
      </c>
      <c r="Q423">
        <f>+bma!Q423/data!$AJ423</f>
        <v>43.790497682726205</v>
      </c>
      <c r="R423">
        <f>+bma!R423/data!$AJ423</f>
        <v>16.96580419147887</v>
      </c>
      <c r="S423">
        <f>+bma!S423/data!$AJ423</f>
        <v>5.7619818890725432</v>
      </c>
    </row>
    <row r="424" spans="1:19" x14ac:dyDescent="0.25">
      <c r="A424">
        <f>+data!AH424</f>
        <v>-0.84930000000000028</v>
      </c>
      <c r="B424">
        <f>+data!AL424</f>
        <v>5.7202544078039059</v>
      </c>
      <c r="C424">
        <f>+bma!C424/data!$AJ424</f>
        <v>0</v>
      </c>
      <c r="D424">
        <f>+bma!D424/data!$AJ424</f>
        <v>5.7202544078039059</v>
      </c>
      <c r="E424">
        <f>+bma!E424/data!$AJ424</f>
        <v>0</v>
      </c>
      <c r="F424">
        <f>+bma!F424/data!$AJ424</f>
        <v>0</v>
      </c>
      <c r="G424">
        <f>+bma!G424/data!$AJ424</f>
        <v>5.7202544078039059</v>
      </c>
      <c r="H424">
        <f>+bma!H424/data!$AJ424</f>
        <v>5.7202544078039059</v>
      </c>
      <c r="I424">
        <f>+bma!I424/data!$AJ424</f>
        <v>5.7202544078039059</v>
      </c>
      <c r="J424">
        <f>+bma!L424/data!$AJ424</f>
        <v>0</v>
      </c>
      <c r="K424">
        <f>+bma!M424/data!$AJ424</f>
        <v>0</v>
      </c>
      <c r="L424">
        <f>+bma!J424/data!$AJ424</f>
        <v>0</v>
      </c>
      <c r="M424">
        <f>+bma!K424/data!$AJ424</f>
        <v>0</v>
      </c>
      <c r="N424">
        <f>+bma!N424/data!$AJ424</f>
        <v>0</v>
      </c>
      <c r="O424">
        <f>+bma!O424/data!$AJ424</f>
        <v>0</v>
      </c>
      <c r="P424">
        <f>+bma!P424/data!$AJ424</f>
        <v>5.7202544078039059</v>
      </c>
      <c r="Q424">
        <f>+bma!Q424/data!$AJ424</f>
        <v>43.47337291437772</v>
      </c>
      <c r="R424">
        <f>+bma!R424/data!$AJ424</f>
        <v>16.842940168259723</v>
      </c>
      <c r="S424">
        <f>+bma!S424/data!$AJ424</f>
        <v>5.7202544078039059</v>
      </c>
    </row>
    <row r="425" spans="1:19" x14ac:dyDescent="0.25">
      <c r="A425">
        <f>+data!AH425</f>
        <v>-0.64510000000000023</v>
      </c>
      <c r="B425">
        <f>+data!AL425</f>
        <v>5.6935185966149264</v>
      </c>
      <c r="C425">
        <f>+bma!C425/data!$AJ425</f>
        <v>0</v>
      </c>
      <c r="D425">
        <f>+bma!D425/data!$AJ425</f>
        <v>5.6935185966149264</v>
      </c>
      <c r="E425">
        <f>+bma!E425/data!$AJ425</f>
        <v>0</v>
      </c>
      <c r="F425">
        <f>+bma!F425/data!$AJ425</f>
        <v>0</v>
      </c>
      <c r="G425">
        <f>+bma!G425/data!$AJ425</f>
        <v>5.6935185966149264</v>
      </c>
      <c r="H425">
        <f>+bma!H425/data!$AJ425</f>
        <v>5.6935185966149264</v>
      </c>
      <c r="I425">
        <f>+bma!I425/data!$AJ425</f>
        <v>5.6935185966149264</v>
      </c>
      <c r="J425">
        <f>+bma!L425/data!$AJ425</f>
        <v>0</v>
      </c>
      <c r="K425">
        <f>+bma!M425/data!$AJ425</f>
        <v>0</v>
      </c>
      <c r="L425">
        <f>+bma!J425/data!$AJ425</f>
        <v>0</v>
      </c>
      <c r="M425">
        <f>+bma!K425/data!$AJ425</f>
        <v>0</v>
      </c>
      <c r="N425">
        <f>+bma!N425/data!$AJ425</f>
        <v>0</v>
      </c>
      <c r="O425">
        <f>+bma!O425/data!$AJ425</f>
        <v>0</v>
      </c>
      <c r="P425">
        <f>+bma!P425/data!$AJ425</f>
        <v>5.6935185966149264</v>
      </c>
      <c r="Q425">
        <f>+bma!Q425/data!$AJ425</f>
        <v>43.270183369450976</v>
      </c>
      <c r="R425">
        <f>+bma!R425/data!$AJ425</f>
        <v>16.76421820309826</v>
      </c>
      <c r="S425">
        <f>+bma!S425/data!$AJ425</f>
        <v>5.6935185966149264</v>
      </c>
    </row>
    <row r="426" spans="1:19" x14ac:dyDescent="0.25">
      <c r="A426">
        <f>+data!AH426</f>
        <v>-1.531012658227848</v>
      </c>
      <c r="B426">
        <f>+data!AL426</f>
        <v>55.886885758285494</v>
      </c>
      <c r="C426">
        <f>+bma!C426/data!$AJ426</f>
        <v>55.886885758285494</v>
      </c>
      <c r="D426">
        <f>+bma!D426/data!$AJ426</f>
        <v>55.886885758285494</v>
      </c>
      <c r="E426">
        <f>+bma!E426/data!$AJ426</f>
        <v>55.886885758285494</v>
      </c>
      <c r="F426">
        <f>+bma!F426/data!$AJ426</f>
        <v>55.886885758285494</v>
      </c>
      <c r="G426">
        <f>+bma!G426/data!$AJ426</f>
        <v>0</v>
      </c>
      <c r="H426">
        <f>+bma!H426/data!$AJ426</f>
        <v>0</v>
      </c>
      <c r="I426">
        <f>+bma!I426/data!$AJ426</f>
        <v>0</v>
      </c>
      <c r="J426">
        <f>+bma!L426/data!$AJ426</f>
        <v>55.886885758285494</v>
      </c>
      <c r="K426">
        <f>+bma!M426/data!$AJ426</f>
        <v>0</v>
      </c>
      <c r="L426">
        <f>+bma!J426/data!$AJ426</f>
        <v>0</v>
      </c>
      <c r="M426">
        <f>+bma!K426/data!$AJ426</f>
        <v>0</v>
      </c>
      <c r="N426">
        <f>+bma!N426/data!$AJ426</f>
        <v>0</v>
      </c>
      <c r="O426">
        <f>+bma!O426/data!$AJ426</f>
        <v>55.886885758285494</v>
      </c>
      <c r="P426">
        <f>+bma!P426/data!$AJ426</f>
        <v>55.886885758285494</v>
      </c>
      <c r="Q426">
        <f>+bma!Q426/data!$AJ426</f>
        <v>424.5106366625032</v>
      </c>
      <c r="R426">
        <f>+bma!R426/data!$AJ426</f>
        <v>248.28592890093279</v>
      </c>
      <c r="S426">
        <f>+bma!S426/data!$AJ426</f>
        <v>55.886885758285494</v>
      </c>
    </row>
    <row r="427" spans="1:19" x14ac:dyDescent="0.25">
      <c r="A427">
        <f>+data!AH427</f>
        <v>0.33333333333333337</v>
      </c>
      <c r="B427">
        <f>+data!AL427</f>
        <v>19.725899500684655</v>
      </c>
      <c r="C427">
        <f>+bma!C427/data!$AJ427</f>
        <v>19.725899500684655</v>
      </c>
      <c r="D427">
        <f>+bma!D427/data!$AJ427</f>
        <v>19.725899500684655</v>
      </c>
      <c r="E427">
        <f>+bma!E427/data!$AJ427</f>
        <v>0</v>
      </c>
      <c r="F427">
        <f>+bma!F427/data!$AJ427</f>
        <v>0</v>
      </c>
      <c r="G427">
        <f>+bma!G427/data!$AJ427</f>
        <v>0</v>
      </c>
      <c r="H427">
        <f>+bma!H427/data!$AJ427</f>
        <v>0</v>
      </c>
      <c r="I427">
        <f>+bma!I427/data!$AJ427</f>
        <v>0</v>
      </c>
      <c r="J427">
        <f>+bma!L427/data!$AJ427</f>
        <v>19.725899500684655</v>
      </c>
      <c r="K427">
        <f>+bma!M427/data!$AJ427</f>
        <v>0</v>
      </c>
      <c r="L427">
        <f>+bma!J427/data!$AJ427</f>
        <v>0</v>
      </c>
      <c r="M427">
        <f>+bma!K427/data!$AJ427</f>
        <v>0</v>
      </c>
      <c r="N427">
        <f>+bma!N427/data!$AJ427</f>
        <v>0</v>
      </c>
      <c r="O427">
        <f>+bma!O427/data!$AJ427</f>
        <v>19.725899500684655</v>
      </c>
      <c r="P427">
        <f>+bma!P427/data!$AJ427</f>
        <v>19.725899500684655</v>
      </c>
      <c r="Q427">
        <f>+bma!Q427/data!$AJ427</f>
        <v>150.01339448325925</v>
      </c>
      <c r="R427">
        <f>+bma!R427/data!$AJ427</f>
        <v>60.973603570294799</v>
      </c>
      <c r="S427">
        <f>+bma!S427/data!$AJ427</f>
        <v>19.725899500684655</v>
      </c>
    </row>
    <row r="428" spans="1:19" x14ac:dyDescent="0.25">
      <c r="A428">
        <f>+data!AH428</f>
        <v>-0.13636363636363638</v>
      </c>
      <c r="B428">
        <f>+data!AL428</f>
        <v>15.166363936069923</v>
      </c>
      <c r="C428">
        <f>+bma!C428/data!$AJ428</f>
        <v>15.166363936069923</v>
      </c>
      <c r="D428">
        <f>+bma!D428/data!$AJ428</f>
        <v>15.166363936069923</v>
      </c>
      <c r="E428">
        <f>+bma!E428/data!$AJ428</f>
        <v>0</v>
      </c>
      <c r="F428">
        <f>+bma!F428/data!$AJ428</f>
        <v>0</v>
      </c>
      <c r="G428">
        <f>+bma!G428/data!$AJ428</f>
        <v>0</v>
      </c>
      <c r="H428">
        <f>+bma!H428/data!$AJ428</f>
        <v>0</v>
      </c>
      <c r="I428">
        <f>+bma!I428/data!$AJ428</f>
        <v>0</v>
      </c>
      <c r="J428">
        <f>+bma!L428/data!$AJ428</f>
        <v>15.166363936069923</v>
      </c>
      <c r="K428">
        <f>+bma!M428/data!$AJ428</f>
        <v>0</v>
      </c>
      <c r="L428">
        <f>+bma!J428/data!$AJ428</f>
        <v>0</v>
      </c>
      <c r="M428">
        <f>+bma!K428/data!$AJ428</f>
        <v>0</v>
      </c>
      <c r="N428">
        <f>+bma!N428/data!$AJ428</f>
        <v>0</v>
      </c>
      <c r="O428">
        <f>+bma!O428/data!$AJ428</f>
        <v>15.166363936069923</v>
      </c>
      <c r="P428">
        <f>+bma!P428/data!$AJ428</f>
        <v>15.166363936069923</v>
      </c>
      <c r="Q428">
        <f>+bma!Q428/data!$AJ428</f>
        <v>115.33860526559847</v>
      </c>
      <c r="R428">
        <f>+bma!R428/data!$AJ428</f>
        <v>46.879883080041381</v>
      </c>
      <c r="S428">
        <f>+bma!S428/data!$AJ428</f>
        <v>15.166363936069923</v>
      </c>
    </row>
    <row r="429" spans="1:19" x14ac:dyDescent="0.25">
      <c r="A429">
        <f>+data!AH429</f>
        <v>-2.5</v>
      </c>
      <c r="B429">
        <f>+data!AL429</f>
        <v>21.406774628607646</v>
      </c>
      <c r="C429">
        <f>+bma!C429/data!$AJ429</f>
        <v>21.406774628607646</v>
      </c>
      <c r="D429">
        <f>+bma!D429/data!$AJ429</f>
        <v>21.406774628607646</v>
      </c>
      <c r="E429">
        <f>+bma!E429/data!$AJ429</f>
        <v>0</v>
      </c>
      <c r="F429">
        <f>+bma!F429/data!$AJ429</f>
        <v>0</v>
      </c>
      <c r="G429">
        <f>+bma!G429/data!$AJ429</f>
        <v>0</v>
      </c>
      <c r="H429">
        <f>+bma!H429/data!$AJ429</f>
        <v>0</v>
      </c>
      <c r="I429">
        <f>+bma!I429/data!$AJ429</f>
        <v>0</v>
      </c>
      <c r="J429">
        <f>+bma!L429/data!$AJ429</f>
        <v>21.406774628607646</v>
      </c>
      <c r="K429">
        <f>+bma!M429/data!$AJ429</f>
        <v>0</v>
      </c>
      <c r="L429">
        <f>+bma!J429/data!$AJ429</f>
        <v>0</v>
      </c>
      <c r="M429">
        <f>+bma!K429/data!$AJ429</f>
        <v>0</v>
      </c>
      <c r="N429">
        <f>+bma!N429/data!$AJ429</f>
        <v>0</v>
      </c>
      <c r="O429">
        <f>+bma!O429/data!$AJ429</f>
        <v>21.406774628607646</v>
      </c>
      <c r="P429">
        <f>+bma!P429/data!$AJ429</f>
        <v>21.406774628607646</v>
      </c>
      <c r="Q429">
        <f>+bma!Q429/data!$AJ429</f>
        <v>162.79627333922514</v>
      </c>
      <c r="R429">
        <f>+bma!R429/data!$AJ429</f>
        <v>66.169260868335272</v>
      </c>
      <c r="S429">
        <f>+bma!S429/data!$AJ429</f>
        <v>21.406774628607646</v>
      </c>
    </row>
    <row r="430" spans="1:19" x14ac:dyDescent="0.25">
      <c r="A430">
        <f>+data!AH430</f>
        <v>-7.3170731707317069E-2</v>
      </c>
      <c r="B430">
        <f>+data!AL430</f>
        <v>20.856781965489752</v>
      </c>
      <c r="C430">
        <f>+bma!C430/data!$AJ430</f>
        <v>20.856781965489752</v>
      </c>
      <c r="D430">
        <f>+bma!D430/data!$AJ430</f>
        <v>20.856781965489752</v>
      </c>
      <c r="E430">
        <f>+bma!E430/data!$AJ430</f>
        <v>0</v>
      </c>
      <c r="F430">
        <f>+bma!F430/data!$AJ430</f>
        <v>0</v>
      </c>
      <c r="G430">
        <f>+bma!G430/data!$AJ430</f>
        <v>0</v>
      </c>
      <c r="H430">
        <f>+bma!H430/data!$AJ430</f>
        <v>0</v>
      </c>
      <c r="I430">
        <f>+bma!I430/data!$AJ430</f>
        <v>0</v>
      </c>
      <c r="J430">
        <f>+bma!L430/data!$AJ430</f>
        <v>20.856781965489752</v>
      </c>
      <c r="K430">
        <f>+bma!M430/data!$AJ430</f>
        <v>0</v>
      </c>
      <c r="L430">
        <f>+bma!J430/data!$AJ430</f>
        <v>0</v>
      </c>
      <c r="M430">
        <f>+bma!K430/data!$AJ430</f>
        <v>0</v>
      </c>
      <c r="N430">
        <f>+bma!N430/data!$AJ430</f>
        <v>0</v>
      </c>
      <c r="O430">
        <f>+bma!O430/data!$AJ430</f>
        <v>20.856781965489752</v>
      </c>
      <c r="P430">
        <f>+bma!P430/data!$AJ430</f>
        <v>20.856781965489752</v>
      </c>
      <c r="Q430">
        <f>+bma!Q430/data!$AJ430</f>
        <v>158.61363688544319</v>
      </c>
      <c r="R430">
        <f>+bma!R430/data!$AJ430</f>
        <v>64.46920989695333</v>
      </c>
      <c r="S430">
        <f>+bma!S430/data!$AJ430</f>
        <v>20.856781965489752</v>
      </c>
    </row>
    <row r="431" spans="1:19" x14ac:dyDescent="0.25">
      <c r="A431">
        <f>+data!AH431</f>
        <v>-0.2608695652173913</v>
      </c>
      <c r="B431">
        <f>+data!AL431</f>
        <v>20.762178424482741</v>
      </c>
      <c r="C431">
        <f>+bma!C431/data!$AJ431</f>
        <v>20.762178424482741</v>
      </c>
      <c r="D431">
        <f>+bma!D431/data!$AJ431</f>
        <v>20.762178424482741</v>
      </c>
      <c r="E431">
        <f>+bma!E431/data!$AJ431</f>
        <v>0</v>
      </c>
      <c r="F431">
        <f>+bma!F431/data!$AJ431</f>
        <v>0</v>
      </c>
      <c r="G431">
        <f>+bma!G431/data!$AJ431</f>
        <v>0</v>
      </c>
      <c r="H431">
        <f>+bma!H431/data!$AJ431</f>
        <v>0</v>
      </c>
      <c r="I431">
        <f>+bma!I431/data!$AJ431</f>
        <v>0</v>
      </c>
      <c r="J431">
        <f>+bma!L431/data!$AJ431</f>
        <v>20.762178424482741</v>
      </c>
      <c r="K431">
        <f>+bma!M431/data!$AJ431</f>
        <v>0</v>
      </c>
      <c r="L431">
        <f>+bma!J431/data!$AJ431</f>
        <v>0</v>
      </c>
      <c r="M431">
        <f>+bma!K431/data!$AJ431</f>
        <v>0</v>
      </c>
      <c r="N431">
        <f>+bma!N431/data!$AJ431</f>
        <v>0</v>
      </c>
      <c r="O431">
        <f>+bma!O431/data!$AJ431</f>
        <v>20.762178424482741</v>
      </c>
      <c r="P431">
        <f>+bma!P431/data!$AJ431</f>
        <v>20.762178424482741</v>
      </c>
      <c r="Q431">
        <f>+bma!Q431/data!$AJ431</f>
        <v>157.89418688945668</v>
      </c>
      <c r="R431">
        <f>+bma!R431/data!$AJ431</f>
        <v>64.176786283748413</v>
      </c>
      <c r="S431">
        <f>+bma!S431/data!$AJ431</f>
        <v>20.762178424482741</v>
      </c>
    </row>
    <row r="432" spans="1:19" x14ac:dyDescent="0.25">
      <c r="A432">
        <f>+data!AH432</f>
        <v>-0.16666666666666666</v>
      </c>
      <c r="B432">
        <f>+data!AL432</f>
        <v>19.749120936836093</v>
      </c>
      <c r="C432">
        <f>+bma!C432/data!$AJ432</f>
        <v>19.749120936836093</v>
      </c>
      <c r="D432">
        <f>+bma!D432/data!$AJ432</f>
        <v>19.749120936836093</v>
      </c>
      <c r="E432">
        <f>+bma!E432/data!$AJ432</f>
        <v>0</v>
      </c>
      <c r="F432">
        <f>+bma!F432/data!$AJ432</f>
        <v>0</v>
      </c>
      <c r="G432">
        <f>+bma!G432/data!$AJ432</f>
        <v>0</v>
      </c>
      <c r="H432">
        <f>+bma!H432/data!$AJ432</f>
        <v>0</v>
      </c>
      <c r="I432">
        <f>+bma!I432/data!$AJ432</f>
        <v>0</v>
      </c>
      <c r="J432">
        <f>+bma!L432/data!$AJ432</f>
        <v>19.749120936836093</v>
      </c>
      <c r="K432">
        <f>+bma!M432/data!$AJ432</f>
        <v>0</v>
      </c>
      <c r="L432">
        <f>+bma!J432/data!$AJ432</f>
        <v>0</v>
      </c>
      <c r="M432">
        <f>+bma!K432/data!$AJ432</f>
        <v>0</v>
      </c>
      <c r="N432">
        <f>+bma!N432/data!$AJ432</f>
        <v>0</v>
      </c>
      <c r="O432">
        <f>+bma!O432/data!$AJ432</f>
        <v>19.749120936836093</v>
      </c>
      <c r="P432">
        <f>+bma!P432/data!$AJ432</f>
        <v>19.749120936836093</v>
      </c>
      <c r="Q432">
        <f>+bma!Q432/data!$AJ432</f>
        <v>150.18999106694011</v>
      </c>
      <c r="R432">
        <f>+bma!R432/data!$AJ432</f>
        <v>61.045382027960649</v>
      </c>
      <c r="S432">
        <f>+bma!S432/data!$AJ432</f>
        <v>19.749120936836093</v>
      </c>
    </row>
    <row r="433" spans="1:19" x14ac:dyDescent="0.25">
      <c r="A433">
        <f>+data!AH433</f>
        <v>-0.13333333333333333</v>
      </c>
      <c r="B433">
        <f>+data!AL433</f>
        <v>15.199268988269724</v>
      </c>
      <c r="C433">
        <f>+bma!C433/data!$AJ433</f>
        <v>15.199268988269724</v>
      </c>
      <c r="D433">
        <f>+bma!D433/data!$AJ433</f>
        <v>15.199268988269724</v>
      </c>
      <c r="E433">
        <f>+bma!E433/data!$AJ433</f>
        <v>0</v>
      </c>
      <c r="F433">
        <f>+bma!F433/data!$AJ433</f>
        <v>0</v>
      </c>
      <c r="G433">
        <f>+bma!G433/data!$AJ433</f>
        <v>0</v>
      </c>
      <c r="H433">
        <f>+bma!H433/data!$AJ433</f>
        <v>0</v>
      </c>
      <c r="I433">
        <f>+bma!I433/data!$AJ433</f>
        <v>0</v>
      </c>
      <c r="J433">
        <f>+bma!L433/data!$AJ433</f>
        <v>15.199268988269724</v>
      </c>
      <c r="K433">
        <f>+bma!M433/data!$AJ433</f>
        <v>0</v>
      </c>
      <c r="L433">
        <f>+bma!J433/data!$AJ433</f>
        <v>0</v>
      </c>
      <c r="M433">
        <f>+bma!K433/data!$AJ433</f>
        <v>0</v>
      </c>
      <c r="N433">
        <f>+bma!N433/data!$AJ433</f>
        <v>0</v>
      </c>
      <c r="O433">
        <f>+bma!O433/data!$AJ433</f>
        <v>15.199268988269724</v>
      </c>
      <c r="P433">
        <f>+bma!P433/data!$AJ433</f>
        <v>15.199268988269724</v>
      </c>
      <c r="Q433">
        <f>+bma!Q433/data!$AJ433</f>
        <v>115.58884473254749</v>
      </c>
      <c r="R433">
        <f>+bma!R433/data!$AJ433</f>
        <v>46.981594011308211</v>
      </c>
      <c r="S433">
        <f>+bma!S433/data!$AJ433</f>
        <v>15.199268988269724</v>
      </c>
    </row>
    <row r="434" spans="1:19" x14ac:dyDescent="0.25">
      <c r="A434">
        <f>+data!AH434</f>
        <v>-0.39130434782608692</v>
      </c>
      <c r="B434">
        <f>+data!AL434</f>
        <v>21.287393431151397</v>
      </c>
      <c r="C434">
        <f>+bma!C434/data!$AJ434</f>
        <v>21.287393431151397</v>
      </c>
      <c r="D434">
        <f>+bma!D434/data!$AJ434</f>
        <v>21.287393431151397</v>
      </c>
      <c r="E434">
        <f>+bma!E434/data!$AJ434</f>
        <v>0</v>
      </c>
      <c r="F434">
        <f>+bma!F434/data!$AJ434</f>
        <v>0</v>
      </c>
      <c r="G434">
        <f>+bma!G434/data!$AJ434</f>
        <v>0</v>
      </c>
      <c r="H434">
        <f>+bma!H434/data!$AJ434</f>
        <v>0</v>
      </c>
      <c r="I434">
        <f>+bma!I434/data!$AJ434</f>
        <v>0</v>
      </c>
      <c r="J434">
        <f>+bma!L434/data!$AJ434</f>
        <v>21.287393431151397</v>
      </c>
      <c r="K434">
        <f>+bma!M434/data!$AJ434</f>
        <v>0</v>
      </c>
      <c r="L434">
        <f>+bma!J434/data!$AJ434</f>
        <v>0</v>
      </c>
      <c r="M434">
        <f>+bma!K434/data!$AJ434</f>
        <v>0</v>
      </c>
      <c r="N434">
        <f>+bma!N434/data!$AJ434</f>
        <v>0</v>
      </c>
      <c r="O434">
        <f>+bma!O434/data!$AJ434</f>
        <v>21.287393431151397</v>
      </c>
      <c r="P434">
        <f>+bma!P434/data!$AJ434</f>
        <v>21.287393431151397</v>
      </c>
      <c r="Q434">
        <f>+bma!Q434/data!$AJ434</f>
        <v>161.88839186759611</v>
      </c>
      <c r="R434">
        <f>+bma!R434/data!$AJ434</f>
        <v>65.800248453606514</v>
      </c>
      <c r="S434">
        <f>+bma!S434/data!$AJ434</f>
        <v>21.287393431151397</v>
      </c>
    </row>
    <row r="435" spans="1:19" x14ac:dyDescent="0.25">
      <c r="A435">
        <f>+data!AH435</f>
        <v>2.5316455696202531E-2</v>
      </c>
      <c r="B435">
        <f>+data!AL435</f>
        <v>20.880628365136165</v>
      </c>
      <c r="C435">
        <f>+bma!C435/data!$AJ435</f>
        <v>20.880628365136165</v>
      </c>
      <c r="D435">
        <f>+bma!D435/data!$AJ435</f>
        <v>20.880628365136165</v>
      </c>
      <c r="E435">
        <f>+bma!E435/data!$AJ435</f>
        <v>0</v>
      </c>
      <c r="F435">
        <f>+bma!F435/data!$AJ435</f>
        <v>0</v>
      </c>
      <c r="G435">
        <f>+bma!G435/data!$AJ435</f>
        <v>0</v>
      </c>
      <c r="H435">
        <f>+bma!H435/data!$AJ435</f>
        <v>0</v>
      </c>
      <c r="I435">
        <f>+bma!I435/data!$AJ435</f>
        <v>0</v>
      </c>
      <c r="J435">
        <f>+bma!L435/data!$AJ435</f>
        <v>20.880628365136165</v>
      </c>
      <c r="K435">
        <f>+bma!M435/data!$AJ435</f>
        <v>0</v>
      </c>
      <c r="L435">
        <f>+bma!J435/data!$AJ435</f>
        <v>0</v>
      </c>
      <c r="M435">
        <f>+bma!K435/data!$AJ435</f>
        <v>0</v>
      </c>
      <c r="N435">
        <f>+bma!N435/data!$AJ435</f>
        <v>0</v>
      </c>
      <c r="O435">
        <f>+bma!O435/data!$AJ435</f>
        <v>20.880628365136165</v>
      </c>
      <c r="P435">
        <f>+bma!P435/data!$AJ435</f>
        <v>20.880628365136165</v>
      </c>
      <c r="Q435">
        <f>+bma!Q435/data!$AJ435</f>
        <v>158.7949862508822</v>
      </c>
      <c r="R435">
        <f>+bma!R435/data!$AJ435</f>
        <v>64.542920143655593</v>
      </c>
      <c r="S435">
        <f>+bma!S435/data!$AJ435</f>
        <v>20.880628365136165</v>
      </c>
    </row>
    <row r="436" spans="1:19" x14ac:dyDescent="0.25">
      <c r="A436">
        <f>+data!AH436</f>
        <v>-0.13513513513513514</v>
      </c>
      <c r="B436">
        <f>+data!AL436</f>
        <v>20.785048989712482</v>
      </c>
      <c r="C436">
        <f>+bma!C436/data!$AJ436</f>
        <v>20.785048989712482</v>
      </c>
      <c r="D436">
        <f>+bma!D436/data!$AJ436</f>
        <v>20.785048989712482</v>
      </c>
      <c r="E436">
        <f>+bma!E436/data!$AJ436</f>
        <v>0</v>
      </c>
      <c r="F436">
        <f>+bma!F436/data!$AJ436</f>
        <v>0</v>
      </c>
      <c r="G436">
        <f>+bma!G436/data!$AJ436</f>
        <v>0</v>
      </c>
      <c r="H436">
        <f>+bma!H436/data!$AJ436</f>
        <v>0</v>
      </c>
      <c r="I436">
        <f>+bma!I436/data!$AJ436</f>
        <v>0</v>
      </c>
      <c r="J436">
        <f>+bma!L436/data!$AJ436</f>
        <v>20.785048989712482</v>
      </c>
      <c r="K436">
        <f>+bma!M436/data!$AJ436</f>
        <v>0</v>
      </c>
      <c r="L436">
        <f>+bma!J436/data!$AJ436</f>
        <v>0</v>
      </c>
      <c r="M436">
        <f>+bma!K436/data!$AJ436</f>
        <v>0</v>
      </c>
      <c r="N436">
        <f>+bma!N436/data!$AJ436</f>
        <v>0</v>
      </c>
      <c r="O436">
        <f>+bma!O436/data!$AJ436</f>
        <v>20.785048989712482</v>
      </c>
      <c r="P436">
        <f>+bma!P436/data!$AJ436</f>
        <v>20.785048989712482</v>
      </c>
      <c r="Q436">
        <f>+bma!Q436/data!$AJ436</f>
        <v>158.06811513661953</v>
      </c>
      <c r="R436">
        <f>+bma!R436/data!$AJ436</f>
        <v>64.247480184307847</v>
      </c>
      <c r="S436">
        <f>+bma!S436/data!$AJ436</f>
        <v>20.785048989712482</v>
      </c>
    </row>
    <row r="437" spans="1:19" x14ac:dyDescent="0.25">
      <c r="A437">
        <f>+data!AH437</f>
        <v>-2.1666666666666665</v>
      </c>
      <c r="B437">
        <f>+data!AL437</f>
        <v>21.393794531229013</v>
      </c>
      <c r="C437">
        <f>+bma!C437/data!$AJ437</f>
        <v>21.393794531229013</v>
      </c>
      <c r="D437">
        <f>+bma!D437/data!$AJ437</f>
        <v>21.393794531229013</v>
      </c>
      <c r="E437">
        <f>+bma!E437/data!$AJ437</f>
        <v>0</v>
      </c>
      <c r="F437">
        <f>+bma!F437/data!$AJ437</f>
        <v>0</v>
      </c>
      <c r="G437">
        <f>+bma!G437/data!$AJ437</f>
        <v>0</v>
      </c>
      <c r="H437">
        <f>+bma!H437/data!$AJ437</f>
        <v>0</v>
      </c>
      <c r="I437">
        <f>+bma!I437/data!$AJ437</f>
        <v>0</v>
      </c>
      <c r="J437">
        <f>+bma!L437/data!$AJ437</f>
        <v>21.393794531229013</v>
      </c>
      <c r="K437">
        <f>+bma!M437/data!$AJ437</f>
        <v>0</v>
      </c>
      <c r="L437">
        <f>+bma!J437/data!$AJ437</f>
        <v>0</v>
      </c>
      <c r="M437">
        <f>+bma!K437/data!$AJ437</f>
        <v>0</v>
      </c>
      <c r="N437">
        <f>+bma!N437/data!$AJ437</f>
        <v>0</v>
      </c>
      <c r="O437">
        <f>+bma!O437/data!$AJ437</f>
        <v>21.393794531229013</v>
      </c>
      <c r="P437">
        <f>+bma!P437/data!$AJ437</f>
        <v>21.393794531229013</v>
      </c>
      <c r="Q437">
        <f>+bma!Q437/data!$AJ437</f>
        <v>162.69756106157087</v>
      </c>
      <c r="R437">
        <f>+bma!R437/data!$AJ437</f>
        <v>66.129138829193721</v>
      </c>
      <c r="S437">
        <f>+bma!S437/data!$AJ437</f>
        <v>21.393794531229013</v>
      </c>
    </row>
    <row r="438" spans="1:19" x14ac:dyDescent="0.25">
      <c r="A438">
        <f>+data!AH438</f>
        <v>-1.27</v>
      </c>
      <c r="B438">
        <f>+data!AL438</f>
        <v>10.982390450170673</v>
      </c>
      <c r="C438">
        <f>+bma!C438/data!$AJ438</f>
        <v>10.982390450170673</v>
      </c>
      <c r="D438">
        <f>+bma!D438/data!$AJ438</f>
        <v>10.982390450170673</v>
      </c>
      <c r="E438">
        <f>+bma!E438/data!$AJ438</f>
        <v>0</v>
      </c>
      <c r="F438">
        <f>+bma!F438/data!$AJ438</f>
        <v>0</v>
      </c>
      <c r="G438">
        <f>+bma!G438/data!$AJ438</f>
        <v>10.982390450170673</v>
      </c>
      <c r="H438">
        <f>+bma!H438/data!$AJ438</f>
        <v>0</v>
      </c>
      <c r="I438">
        <f>+bma!I438/data!$AJ438</f>
        <v>10.982390450170673</v>
      </c>
      <c r="J438">
        <f>+bma!L438/data!$AJ438</f>
        <v>10.982390450170673</v>
      </c>
      <c r="K438">
        <f>+bma!M438/data!$AJ438</f>
        <v>0</v>
      </c>
      <c r="L438">
        <f>+bma!J438/data!$AJ438</f>
        <v>0</v>
      </c>
      <c r="M438">
        <f>+bma!K438/data!$AJ438</f>
        <v>0</v>
      </c>
      <c r="N438">
        <f>+bma!N438/data!$AJ438</f>
        <v>0</v>
      </c>
      <c r="O438">
        <f>+bma!O438/data!$AJ438</f>
        <v>10.982390450170673</v>
      </c>
      <c r="P438">
        <f>+bma!P438/data!$AJ438</f>
        <v>10.982390450170673</v>
      </c>
      <c r="Q438">
        <f>+bma!Q438/data!$AJ438</f>
        <v>83.376792727813623</v>
      </c>
      <c r="R438">
        <f>+bma!R438/data!$AJ438</f>
        <v>28.983154394256069</v>
      </c>
      <c r="S438">
        <f>+bma!S438/data!$AJ438</f>
        <v>10.982390450170673</v>
      </c>
    </row>
    <row r="439" spans="1:19" x14ac:dyDescent="0.25">
      <c r="A439">
        <f>+data!AH439</f>
        <v>-4.8723939611790072</v>
      </c>
      <c r="B439">
        <f>+data!AL439</f>
        <v>8.2304448794055887</v>
      </c>
      <c r="C439">
        <f>+bma!C439/data!$AJ439</f>
        <v>8.2304448794055887</v>
      </c>
      <c r="D439">
        <f>+bma!D439/data!$AJ439</f>
        <v>8.2304448794055887</v>
      </c>
      <c r="E439">
        <f>+bma!E439/data!$AJ439</f>
        <v>0</v>
      </c>
      <c r="F439">
        <f>+bma!F439/data!$AJ439</f>
        <v>8.2304448794055887</v>
      </c>
      <c r="G439">
        <f>+bma!G439/data!$AJ439</f>
        <v>0</v>
      </c>
      <c r="H439">
        <f>+bma!H439/data!$AJ439</f>
        <v>0</v>
      </c>
      <c r="I439">
        <f>+bma!I439/data!$AJ439</f>
        <v>8.2304448794055887</v>
      </c>
      <c r="J439">
        <f>+bma!L439/data!$AJ439</f>
        <v>8.2304448794055887</v>
      </c>
      <c r="K439">
        <f>+bma!M439/data!$AJ439</f>
        <v>0</v>
      </c>
      <c r="L439">
        <f>+bma!J439/data!$AJ439</f>
        <v>8.2304448794055887</v>
      </c>
      <c r="M439">
        <f>+bma!K439/data!$AJ439</f>
        <v>0</v>
      </c>
      <c r="N439">
        <f>+bma!N439/data!$AJ439</f>
        <v>0</v>
      </c>
      <c r="O439">
        <f>+bma!O439/data!$AJ439</f>
        <v>0</v>
      </c>
      <c r="P439">
        <f>+bma!P439/data!$AJ439</f>
        <v>8.2304448794055887</v>
      </c>
      <c r="Q439">
        <f>+bma!Q439/data!$AJ439</f>
        <v>62.467767993952585</v>
      </c>
      <c r="R439">
        <f>+bma!R439/data!$AJ439</f>
        <v>29.493955603802632</v>
      </c>
      <c r="S439">
        <f>+bma!S439/data!$AJ439</f>
        <v>8.2304448794055887</v>
      </c>
    </row>
    <row r="440" spans="1:19" x14ac:dyDescent="0.25">
      <c r="A440">
        <f>+data!AH440</f>
        <v>-4.5673438675696012</v>
      </c>
      <c r="B440">
        <f>+data!AL440</f>
        <v>8.05360974995844</v>
      </c>
      <c r="C440">
        <f>+bma!C440/data!$AJ440</f>
        <v>8.05360974995844</v>
      </c>
      <c r="D440">
        <f>+bma!D440/data!$AJ440</f>
        <v>8.05360974995844</v>
      </c>
      <c r="E440">
        <f>+bma!E440/data!$AJ440</f>
        <v>0</v>
      </c>
      <c r="F440">
        <f>+bma!F440/data!$AJ440</f>
        <v>8.05360974995844</v>
      </c>
      <c r="G440">
        <f>+bma!G440/data!$AJ440</f>
        <v>0</v>
      </c>
      <c r="H440">
        <f>+bma!H440/data!$AJ440</f>
        <v>0</v>
      </c>
      <c r="I440">
        <f>+bma!I440/data!$AJ440</f>
        <v>8.05360974995844</v>
      </c>
      <c r="J440">
        <f>+bma!L440/data!$AJ440</f>
        <v>8.05360974995844</v>
      </c>
      <c r="K440">
        <f>+bma!M440/data!$AJ440</f>
        <v>0</v>
      </c>
      <c r="L440">
        <f>+bma!J440/data!$AJ440</f>
        <v>8.05360974995844</v>
      </c>
      <c r="M440">
        <f>+bma!K440/data!$AJ440</f>
        <v>0</v>
      </c>
      <c r="N440">
        <f>+bma!N440/data!$AJ440</f>
        <v>0</v>
      </c>
      <c r="O440">
        <f>+bma!O440/data!$AJ440</f>
        <v>0</v>
      </c>
      <c r="P440">
        <f>+bma!P440/data!$AJ440</f>
        <v>8.05360974995844</v>
      </c>
      <c r="Q440">
        <f>+bma!Q440/data!$AJ440</f>
        <v>61.125617478234311</v>
      </c>
      <c r="R440">
        <f>+bma!R440/data!$AJ440</f>
        <v>28.860263557561314</v>
      </c>
      <c r="S440">
        <f>+bma!S440/data!$AJ440</f>
        <v>8.05360974995844</v>
      </c>
    </row>
    <row r="441" spans="1:19" x14ac:dyDescent="0.25">
      <c r="A441">
        <f>+data!AH441</f>
        <v>-3.4848484848484849</v>
      </c>
      <c r="B441">
        <f>+data!AL441</f>
        <v>27.388759901871257</v>
      </c>
      <c r="C441">
        <f>+bma!C441/data!$AJ441</f>
        <v>0</v>
      </c>
      <c r="D441">
        <f>+bma!D441/data!$AJ441</f>
        <v>0</v>
      </c>
      <c r="E441">
        <f>+bma!E441/data!$AJ441</f>
        <v>27.388759901871257</v>
      </c>
      <c r="F441">
        <f>+bma!F441/data!$AJ441</f>
        <v>0</v>
      </c>
      <c r="G441">
        <f>+bma!G441/data!$AJ441</f>
        <v>27.388759901871257</v>
      </c>
      <c r="H441">
        <f>+bma!H441/data!$AJ441</f>
        <v>27.388759901871257</v>
      </c>
      <c r="I441">
        <f>+bma!I441/data!$AJ441</f>
        <v>27.388759901871257</v>
      </c>
      <c r="J441">
        <f>+bma!L441/data!$AJ441</f>
        <v>0</v>
      </c>
      <c r="K441">
        <f>+bma!M441/data!$AJ441</f>
        <v>27.388759901871257</v>
      </c>
      <c r="L441">
        <f>+bma!J441/data!$AJ441</f>
        <v>0</v>
      </c>
      <c r="M441">
        <f>+bma!K441/data!$AJ441</f>
        <v>0</v>
      </c>
      <c r="N441">
        <f>+bma!N441/data!$AJ441</f>
        <v>0</v>
      </c>
      <c r="O441">
        <f>+bma!O441/data!$AJ441</f>
        <v>27.388759901871257</v>
      </c>
      <c r="P441">
        <f>+bma!P441/data!$AJ441</f>
        <v>27.388759901871257</v>
      </c>
      <c r="Q441">
        <f>+bma!Q441/data!$AJ441</f>
        <v>208.1518911557512</v>
      </c>
      <c r="R441">
        <f>+bma!R441/data!$AJ441</f>
        <v>108.74137432832025</v>
      </c>
      <c r="S441">
        <f>+bma!S441/data!$AJ441</f>
        <v>27.388759901871257</v>
      </c>
    </row>
    <row r="442" spans="1:19" x14ac:dyDescent="0.25">
      <c r="A442">
        <f>+data!AH442</f>
        <v>2.7000000000000122</v>
      </c>
      <c r="B442">
        <f>+data!AL442</f>
        <v>7.5026661927610823</v>
      </c>
      <c r="C442">
        <f>+bma!C442/data!$AJ442</f>
        <v>7.5026661927610823</v>
      </c>
      <c r="D442">
        <f>+bma!D442/data!$AJ442</f>
        <v>7.5026661927610823</v>
      </c>
      <c r="E442">
        <f>+bma!E442/data!$AJ442</f>
        <v>0</v>
      </c>
      <c r="F442">
        <f>+bma!F442/data!$AJ442</f>
        <v>7.5026661927610823</v>
      </c>
      <c r="G442">
        <f>+bma!G442/data!$AJ442</f>
        <v>0</v>
      </c>
      <c r="H442">
        <f>+bma!H442/data!$AJ442</f>
        <v>0</v>
      </c>
      <c r="I442">
        <f>+bma!I442/data!$AJ442</f>
        <v>7.5026661927610823</v>
      </c>
      <c r="J442">
        <f>+bma!L442/data!$AJ442</f>
        <v>7.5026661927610823</v>
      </c>
      <c r="K442">
        <f>+bma!M442/data!$AJ442</f>
        <v>0</v>
      </c>
      <c r="L442">
        <f>+bma!J442/data!$AJ442</f>
        <v>0</v>
      </c>
      <c r="M442">
        <f>+bma!K442/data!$AJ442</f>
        <v>0</v>
      </c>
      <c r="N442">
        <f>+bma!N442/data!$AJ442</f>
        <v>0</v>
      </c>
      <c r="O442">
        <f>+bma!O442/data!$AJ442</f>
        <v>7.5026661927610823</v>
      </c>
      <c r="P442">
        <f>+bma!P442/data!$AJ442</f>
        <v>7.5026661927610823</v>
      </c>
      <c r="Q442">
        <f>+bma!Q442/data!$AJ442</f>
        <v>56.913642675718897</v>
      </c>
      <c r="R442">
        <f>+bma!R442/data!$AJ442</f>
        <v>33.760572360848244</v>
      </c>
      <c r="S442">
        <f>+bma!S442/data!$AJ442</f>
        <v>0</v>
      </c>
    </row>
    <row r="443" spans="1:19" x14ac:dyDescent="0.25">
      <c r="A443">
        <f>+data!AH443</f>
        <v>7</v>
      </c>
      <c r="B443">
        <f>+data!AL443</f>
        <v>9.8994949366116654</v>
      </c>
      <c r="C443">
        <f>+bma!C443/data!$AJ443</f>
        <v>9.8994949366116654</v>
      </c>
      <c r="D443">
        <f>+bma!D443/data!$AJ443</f>
        <v>9.8994949366116654</v>
      </c>
      <c r="E443">
        <f>+bma!E443/data!$AJ443</f>
        <v>0</v>
      </c>
      <c r="F443">
        <f>+bma!F443/data!$AJ443</f>
        <v>9.8994949366116654</v>
      </c>
      <c r="G443">
        <f>+bma!G443/data!$AJ443</f>
        <v>0</v>
      </c>
      <c r="H443">
        <f>+bma!H443/data!$AJ443</f>
        <v>0</v>
      </c>
      <c r="I443">
        <f>+bma!I443/data!$AJ443</f>
        <v>9.8994949366116654</v>
      </c>
      <c r="J443">
        <f>+bma!L443/data!$AJ443</f>
        <v>9.8994949366116654</v>
      </c>
      <c r="K443">
        <f>+bma!M443/data!$AJ443</f>
        <v>0</v>
      </c>
      <c r="L443">
        <f>+bma!J443/data!$AJ443</f>
        <v>0</v>
      </c>
      <c r="M443">
        <f>+bma!K443/data!$AJ443</f>
        <v>0</v>
      </c>
      <c r="N443">
        <f>+bma!N443/data!$AJ443</f>
        <v>0</v>
      </c>
      <c r="O443">
        <f>+bma!O443/data!$AJ443</f>
        <v>9.8994949366116654</v>
      </c>
      <c r="P443">
        <f>+bma!P443/data!$AJ443</f>
        <v>9.8994949366116654</v>
      </c>
      <c r="Q443">
        <f>+bma!Q443/data!$AJ443</f>
        <v>75.095479795704463</v>
      </c>
      <c r="R443">
        <f>+bma!R443/data!$AJ443</f>
        <v>44.545846310714538</v>
      </c>
      <c r="S443">
        <f>+bma!S443/data!$AJ443</f>
        <v>9.8994949366116654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443"/>
  <sheetViews>
    <sheetView zoomScale="85" zoomScaleNormal="85" workbookViewId="0">
      <selection activeCell="R441" sqref="R441"/>
    </sheetView>
  </sheetViews>
  <sheetFormatPr defaultRowHeight="15" x14ac:dyDescent="0.25"/>
  <cols>
    <col min="1" max="1" width="12.85546875" customWidth="1"/>
    <col min="2" max="2" width="12.28515625" customWidth="1"/>
    <col min="3" max="3" width="8.85546875" customWidth="1"/>
    <col min="4" max="4" width="4" customWidth="1"/>
    <col min="5" max="5" width="12.5703125" customWidth="1"/>
    <col min="6" max="6" width="6.7109375" customWidth="1"/>
    <col min="7" max="7" width="10.5703125" customWidth="1"/>
    <col min="8" max="8" width="15.140625" customWidth="1"/>
    <col min="9" max="9" width="7.85546875" customWidth="1"/>
    <col min="10" max="10" width="5.85546875" customWidth="1"/>
    <col min="11" max="11" width="7.7109375" customWidth="1"/>
    <col min="12" max="12" width="5.85546875" customWidth="1"/>
    <col min="13" max="13" width="6.5703125" customWidth="1"/>
    <col min="14" max="14" width="7.5703125" customWidth="1"/>
    <col min="15" max="15" width="6.85546875" customWidth="1"/>
    <col min="16" max="16" width="4.5703125" customWidth="1"/>
    <col min="17" max="17" width="12.42578125" customWidth="1"/>
    <col min="18" max="18" width="10.28515625" customWidth="1"/>
    <col min="19" max="19" width="10.5703125" customWidth="1"/>
  </cols>
  <sheetData>
    <row r="1" spans="1:19" s="6" customFormat="1" x14ac:dyDescent="0.25">
      <c r="A1" s="6" t="str">
        <f>+bma!A1</f>
        <v>pcc</v>
      </c>
      <c r="B1" s="6" t="str">
        <f>+bma!B1</f>
        <v>pcc_se</v>
      </c>
      <c r="C1" s="6" t="str">
        <f>+bma!C1</f>
        <v>shortrun</v>
      </c>
      <c r="D1" s="6" t="str">
        <f>+bma!D1</f>
        <v>ols</v>
      </c>
      <c r="E1" s="6" t="str">
        <f>+bma!E1</f>
        <v>endogeneity</v>
      </c>
      <c r="F1" s="6" t="str">
        <f>+bma!F1</f>
        <v>linear</v>
      </c>
      <c r="G1" s="6" t="str">
        <f>+bma!G1</f>
        <v>doublelog</v>
      </c>
      <c r="H1" s="6" t="str">
        <f>+bma!H1</f>
        <v>unemployment</v>
      </c>
      <c r="I1" s="6" t="str">
        <f>+bma!I1</f>
        <v>income</v>
      </c>
      <c r="J1" s="6" t="str">
        <f>+bma!J1</f>
        <v>male</v>
      </c>
      <c r="K1" s="6" t="str">
        <f>+bma!K1</f>
        <v>female</v>
      </c>
      <c r="L1" s="6" t="str">
        <f>+bma!L1</f>
        <v>cross</v>
      </c>
      <c r="M1" s="6" t="str">
        <f>+bma!M1</f>
        <v>panel</v>
      </c>
      <c r="N1" s="6" t="str">
        <f>+bma!N1</f>
        <v>private</v>
      </c>
      <c r="O1" s="6" t="str">
        <f>+bma!O1</f>
        <v>public</v>
      </c>
      <c r="P1" s="6" t="str">
        <f>+bma!P1</f>
        <v>usa</v>
      </c>
      <c r="Q1" s="6" t="str">
        <f>+bma!Q1</f>
        <v>ln_pub_year</v>
      </c>
      <c r="R1" s="6" t="str">
        <f>+bma!R1</f>
        <v>ln_google</v>
      </c>
      <c r="S1" s="6" t="str">
        <f>+bma!S1</f>
        <v>published</v>
      </c>
    </row>
    <row r="2" spans="1:19" x14ac:dyDescent="0.25">
      <c r="A2">
        <f>+bma_se!A2/data!$K2</f>
        <v>1.1647727272727273E-2</v>
      </c>
      <c r="B2">
        <f>+bma_se!B2/data!$K2</f>
        <v>0.12526462032902741</v>
      </c>
      <c r="C2">
        <f>+bma_se!C2/data!$K2</f>
        <v>0</v>
      </c>
      <c r="D2">
        <f>+bma_se!D2/data!$K2</f>
        <v>0.12526462032902741</v>
      </c>
      <c r="E2">
        <f>+bma_se!E2/data!$K2</f>
        <v>0</v>
      </c>
      <c r="F2">
        <f>+bma_se!F2/data!$K2</f>
        <v>0</v>
      </c>
      <c r="G2">
        <f>+bma_se!G2/data!$K2</f>
        <v>0.12526462032902741</v>
      </c>
      <c r="H2">
        <f>+bma_se!H2/data!$K2</f>
        <v>0</v>
      </c>
      <c r="I2">
        <f>+bma_se!I2/data!$K2</f>
        <v>0</v>
      </c>
      <c r="J2">
        <f>+bma_se!J2/data!$K2</f>
        <v>0</v>
      </c>
      <c r="K2">
        <f>+bma_se!K2/data!$K2</f>
        <v>0</v>
      </c>
      <c r="L2">
        <f>+bma_se!L2/data!$K2</f>
        <v>0</v>
      </c>
      <c r="M2">
        <f>+bma_se!M2/data!$K2</f>
        <v>0</v>
      </c>
      <c r="N2">
        <f>+bma_se!N2/data!$K2</f>
        <v>0</v>
      </c>
      <c r="O2">
        <f>+bma_se!O2/data!$K2</f>
        <v>0</v>
      </c>
      <c r="P2">
        <f>+bma_se!P2/data!$K2</f>
        <v>0.12526462032902741</v>
      </c>
      <c r="Q2">
        <f>+bma_se!Q2/data!$K2</f>
        <v>0.95118111112630821</v>
      </c>
      <c r="R2">
        <f>+bma_se!R2/data!$K2</f>
        <v>0.58416391576257931</v>
      </c>
      <c r="S2">
        <f>+bma_se!S2/data!$K2</f>
        <v>0.12526462032902741</v>
      </c>
    </row>
    <row r="3" spans="1:19" x14ac:dyDescent="0.25">
      <c r="A3">
        <f>+bma_se!A3/data!$K3</f>
        <v>-3.0629705681040384E-2</v>
      </c>
      <c r="B3">
        <f>+bma_se!B3/data!$K3</f>
        <v>0.12842793475588837</v>
      </c>
      <c r="C3">
        <f>+bma_se!C3/data!$K3</f>
        <v>0</v>
      </c>
      <c r="D3">
        <f>+bma_se!D3/data!$K3</f>
        <v>0.12842793475588837</v>
      </c>
      <c r="E3">
        <f>+bma_se!E3/data!$K3</f>
        <v>0</v>
      </c>
      <c r="F3">
        <f>+bma_se!F3/data!$K3</f>
        <v>0</v>
      </c>
      <c r="G3">
        <f>+bma_se!G3/data!$K3</f>
        <v>0.12842793475588837</v>
      </c>
      <c r="H3">
        <f>+bma_se!H3/data!$K3</f>
        <v>0</v>
      </c>
      <c r="I3">
        <f>+bma_se!I3/data!$K3</f>
        <v>0</v>
      </c>
      <c r="J3">
        <f>+bma_se!J3/data!$K3</f>
        <v>0</v>
      </c>
      <c r="K3">
        <f>+bma_se!K3/data!$K3</f>
        <v>0</v>
      </c>
      <c r="L3">
        <f>+bma_se!L3/data!$K3</f>
        <v>0</v>
      </c>
      <c r="M3">
        <f>+bma_se!M3/data!$K3</f>
        <v>0</v>
      </c>
      <c r="N3">
        <f>+bma_se!N3/data!$K3</f>
        <v>0</v>
      </c>
      <c r="O3">
        <f>+bma_se!O3/data!$K3</f>
        <v>0</v>
      </c>
      <c r="P3">
        <f>+bma_se!P3/data!$K3</f>
        <v>0.12842793475588837</v>
      </c>
      <c r="Q3">
        <f>+bma_se!Q3/data!$K3</f>
        <v>0.97520134064905906</v>
      </c>
      <c r="R3">
        <f>+bma_se!R3/data!$K3</f>
        <v>0.59891583963006523</v>
      </c>
      <c r="S3">
        <f>+bma_se!S3/data!$K3</f>
        <v>0.12842793475588837</v>
      </c>
    </row>
    <row r="4" spans="1:19" x14ac:dyDescent="0.25">
      <c r="A4">
        <f>+bma_se!A4/data!$K4</f>
        <v>-0.13534675615212527</v>
      </c>
      <c r="B4">
        <f>+bma_se!B4/data!$K4</f>
        <v>0.1840497214245608</v>
      </c>
      <c r="C4">
        <f>+bma_se!C4/data!$K4</f>
        <v>0</v>
      </c>
      <c r="D4">
        <f>+bma_se!D4/data!$K4</f>
        <v>0.1840497214245608</v>
      </c>
      <c r="E4">
        <f>+bma_se!E4/data!$K4</f>
        <v>0</v>
      </c>
      <c r="F4">
        <f>+bma_se!F4/data!$K4</f>
        <v>0</v>
      </c>
      <c r="G4">
        <f>+bma_se!G4/data!$K4</f>
        <v>0.1840497214245608</v>
      </c>
      <c r="H4">
        <f>+bma_se!H4/data!$K4</f>
        <v>0</v>
      </c>
      <c r="I4">
        <f>+bma_se!I4/data!$K4</f>
        <v>0</v>
      </c>
      <c r="J4">
        <f>+bma_se!J4/data!$K4</f>
        <v>0</v>
      </c>
      <c r="K4">
        <f>+bma_se!K4/data!$K4</f>
        <v>0</v>
      </c>
      <c r="L4">
        <f>+bma_se!L4/data!$K4</f>
        <v>0</v>
      </c>
      <c r="M4">
        <f>+bma_se!M4/data!$K4</f>
        <v>0</v>
      </c>
      <c r="N4">
        <f>+bma_se!N4/data!$K4</f>
        <v>0</v>
      </c>
      <c r="O4">
        <f>+bma_se!O4/data!$K4</f>
        <v>0</v>
      </c>
      <c r="P4">
        <f>+bma_se!P4/data!$K4</f>
        <v>0.1840497214245608</v>
      </c>
      <c r="Q4">
        <f>+bma_se!Q4/data!$K4</f>
        <v>1.3975583693725029</v>
      </c>
      <c r="R4">
        <f>+bma_se!R4/data!$K4</f>
        <v>0.85830464883043234</v>
      </c>
      <c r="S4">
        <f>+bma_se!S4/data!$K4</f>
        <v>0.1840497214245608</v>
      </c>
    </row>
    <row r="5" spans="1:19" x14ac:dyDescent="0.25">
      <c r="A5">
        <f>+bma_se!A5/data!$K5</f>
        <v>-7.0270270270270274E-2</v>
      </c>
      <c r="B5">
        <f>+bma_se!B5/data!$K5</f>
        <v>0.14315539263126761</v>
      </c>
      <c r="C5">
        <f>+bma_se!C5/data!$K5</f>
        <v>0</v>
      </c>
      <c r="D5">
        <f>+bma_se!D5/data!$K5</f>
        <v>0.14315539263126761</v>
      </c>
      <c r="E5">
        <f>+bma_se!E5/data!$K5</f>
        <v>0</v>
      </c>
      <c r="F5">
        <f>+bma_se!F5/data!$K5</f>
        <v>0</v>
      </c>
      <c r="G5">
        <f>+bma_se!G5/data!$K5</f>
        <v>0.14315539263126761</v>
      </c>
      <c r="H5">
        <f>+bma_se!H5/data!$K5</f>
        <v>0</v>
      </c>
      <c r="I5">
        <f>+bma_se!I5/data!$K5</f>
        <v>0</v>
      </c>
      <c r="J5">
        <f>+bma_se!J5/data!$K5</f>
        <v>0</v>
      </c>
      <c r="K5">
        <f>+bma_se!K5/data!$K5</f>
        <v>0</v>
      </c>
      <c r="L5">
        <f>+bma_se!L5/data!$K5</f>
        <v>0</v>
      </c>
      <c r="M5">
        <f>+bma_se!M5/data!$K5</f>
        <v>0</v>
      </c>
      <c r="N5">
        <f>+bma_se!N5/data!$K5</f>
        <v>0</v>
      </c>
      <c r="O5">
        <f>+bma_se!O5/data!$K5</f>
        <v>0</v>
      </c>
      <c r="P5">
        <f>+bma_se!P5/data!$K5</f>
        <v>0.14315539263126761</v>
      </c>
      <c r="Q5">
        <f>+bma_se!Q5/data!$K5</f>
        <v>1.0870324363660591</v>
      </c>
      <c r="R5">
        <f>+bma_se!R5/data!$K5</f>
        <v>0.66759644105696603</v>
      </c>
      <c r="S5">
        <f>+bma_se!S5/data!$K5</f>
        <v>0.14315539263126761</v>
      </c>
    </row>
    <row r="6" spans="1:19" x14ac:dyDescent="0.25">
      <c r="A6">
        <f>+bma_se!A6/data!$K6</f>
        <v>-3.8931492842535789E-2</v>
      </c>
      <c r="B6">
        <f>+bma_se!B6/data!$K6</f>
        <v>0.13065686622027933</v>
      </c>
      <c r="C6">
        <f>+bma_se!C6/data!$K6</f>
        <v>0</v>
      </c>
      <c r="D6">
        <f>+bma_se!D6/data!$K6</f>
        <v>0.13065686622027933</v>
      </c>
      <c r="E6">
        <f>+bma_se!E6/data!$K6</f>
        <v>0</v>
      </c>
      <c r="F6">
        <f>+bma_se!F6/data!$K6</f>
        <v>0</v>
      </c>
      <c r="G6">
        <f>+bma_se!G6/data!$K6</f>
        <v>0.13065686622027933</v>
      </c>
      <c r="H6">
        <f>+bma_se!H6/data!$K6</f>
        <v>0</v>
      </c>
      <c r="I6">
        <f>+bma_se!I6/data!$K6</f>
        <v>0</v>
      </c>
      <c r="J6">
        <f>+bma_se!J6/data!$K6</f>
        <v>0</v>
      </c>
      <c r="K6">
        <f>+bma_se!K6/data!$K6</f>
        <v>0</v>
      </c>
      <c r="L6">
        <f>+bma_se!L6/data!$K6</f>
        <v>0</v>
      </c>
      <c r="M6">
        <f>+bma_se!M6/data!$K6</f>
        <v>0</v>
      </c>
      <c r="N6">
        <f>+bma_se!N6/data!$K6</f>
        <v>0</v>
      </c>
      <c r="O6">
        <f>+bma_se!O6/data!$K6</f>
        <v>0</v>
      </c>
      <c r="P6">
        <f>+bma_se!P6/data!$K6</f>
        <v>0.13065686622027933</v>
      </c>
      <c r="Q6">
        <f>+bma_se!Q6/data!$K6</f>
        <v>0.99212645087854734</v>
      </c>
      <c r="R6">
        <f>+bma_se!R6/data!$K6</f>
        <v>0.60931032554943332</v>
      </c>
      <c r="S6">
        <f>+bma_se!S6/data!$K6</f>
        <v>0.13065686622027933</v>
      </c>
    </row>
    <row r="7" spans="1:19" x14ac:dyDescent="0.25">
      <c r="A7">
        <f>+bma_se!A7/data!$K7</f>
        <v>-0.14215686274509803</v>
      </c>
      <c r="B7">
        <f>+bma_se!B7/data!$K7</f>
        <v>0.18911406394312455</v>
      </c>
      <c r="C7">
        <f>+bma_se!C7/data!$K7</f>
        <v>0</v>
      </c>
      <c r="D7">
        <f>+bma_se!D7/data!$K7</f>
        <v>0.18911406394312455</v>
      </c>
      <c r="E7">
        <f>+bma_se!E7/data!$K7</f>
        <v>0</v>
      </c>
      <c r="F7">
        <f>+bma_se!F7/data!$K7</f>
        <v>0</v>
      </c>
      <c r="G7">
        <f>+bma_se!G7/data!$K7</f>
        <v>0.18911406394312455</v>
      </c>
      <c r="H7">
        <f>+bma_se!H7/data!$K7</f>
        <v>0</v>
      </c>
      <c r="I7">
        <f>+bma_se!I7/data!$K7</f>
        <v>0</v>
      </c>
      <c r="J7">
        <f>+bma_se!J7/data!$K7</f>
        <v>0</v>
      </c>
      <c r="K7">
        <f>+bma_se!K7/data!$K7</f>
        <v>0</v>
      </c>
      <c r="L7">
        <f>+bma_se!L7/data!$K7</f>
        <v>0</v>
      </c>
      <c r="M7">
        <f>+bma_se!M7/data!$K7</f>
        <v>0</v>
      </c>
      <c r="N7">
        <f>+bma_se!N7/data!$K7</f>
        <v>0</v>
      </c>
      <c r="O7">
        <f>+bma_se!O7/data!$K7</f>
        <v>0</v>
      </c>
      <c r="P7">
        <f>+bma_se!P7/data!$K7</f>
        <v>0.18911406394312455</v>
      </c>
      <c r="Q7">
        <f>+bma_se!Q7/data!$K7</f>
        <v>1.4360138161800593</v>
      </c>
      <c r="R7">
        <f>+bma_se!R7/data!$K7</f>
        <v>0.88192190124086089</v>
      </c>
      <c r="S7">
        <f>+bma_se!S7/data!$K7</f>
        <v>0.18911406394312455</v>
      </c>
    </row>
    <row r="8" spans="1:19" x14ac:dyDescent="0.25">
      <c r="A8">
        <f>+bma_se!A8/data!$K8</f>
        <v>-0.15585937499999999</v>
      </c>
      <c r="B8">
        <f>+bma_se!B8/data!$K8</f>
        <v>0.19961888771092323</v>
      </c>
      <c r="C8">
        <f>+bma_se!C8/data!$K8</f>
        <v>0</v>
      </c>
      <c r="D8">
        <f>+bma_se!D8/data!$K8</f>
        <v>0.19961888771092323</v>
      </c>
      <c r="E8">
        <f>+bma_se!E8/data!$K8</f>
        <v>0</v>
      </c>
      <c r="F8">
        <f>+bma_se!F8/data!$K8</f>
        <v>0</v>
      </c>
      <c r="G8">
        <f>+bma_se!G8/data!$K8</f>
        <v>0.19961888771092323</v>
      </c>
      <c r="H8">
        <f>+bma_se!H8/data!$K8</f>
        <v>0</v>
      </c>
      <c r="I8">
        <f>+bma_se!I8/data!$K8</f>
        <v>0</v>
      </c>
      <c r="J8">
        <f>+bma_se!J8/data!$K8</f>
        <v>0</v>
      </c>
      <c r="K8">
        <f>+bma_se!K8/data!$K8</f>
        <v>0</v>
      </c>
      <c r="L8">
        <f>+bma_se!L8/data!$K8</f>
        <v>0</v>
      </c>
      <c r="M8">
        <f>+bma_se!M8/data!$K8</f>
        <v>0</v>
      </c>
      <c r="N8">
        <f>+bma_se!N8/data!$K8</f>
        <v>0</v>
      </c>
      <c r="O8">
        <f>+bma_se!O8/data!$K8</f>
        <v>0</v>
      </c>
      <c r="P8">
        <f>+bma_se!P8/data!$K8</f>
        <v>0.19961888771092323</v>
      </c>
      <c r="Q8">
        <f>+bma_se!Q8/data!$K8</f>
        <v>1.5157808718530439</v>
      </c>
      <c r="R8">
        <f>+bma_se!R8/data!$K8</f>
        <v>0.93091050608774017</v>
      </c>
      <c r="S8">
        <f>+bma_se!S8/data!$K8</f>
        <v>0.19961888771092323</v>
      </c>
    </row>
    <row r="9" spans="1:19" x14ac:dyDescent="0.25">
      <c r="A9">
        <f>+bma_se!A9/data!$K9</f>
        <v>-7.5263449805879096E-2</v>
      </c>
      <c r="B9">
        <f>+bma_se!B9/data!$K9</f>
        <v>0.14567135075998175</v>
      </c>
      <c r="C9">
        <f>+bma_se!C9/data!$K9</f>
        <v>0</v>
      </c>
      <c r="D9">
        <f>+bma_se!D9/data!$K9</f>
        <v>0.14567135075998175</v>
      </c>
      <c r="E9">
        <f>+bma_se!E9/data!$K9</f>
        <v>0</v>
      </c>
      <c r="F9">
        <f>+bma_se!F9/data!$K9</f>
        <v>0</v>
      </c>
      <c r="G9">
        <f>+bma_se!G9/data!$K9</f>
        <v>0.14567135075998175</v>
      </c>
      <c r="H9">
        <f>+bma_se!H9/data!$K9</f>
        <v>0</v>
      </c>
      <c r="I9">
        <f>+bma_se!I9/data!$K9</f>
        <v>0</v>
      </c>
      <c r="J9">
        <f>+bma_se!J9/data!$K9</f>
        <v>0</v>
      </c>
      <c r="K9">
        <f>+bma_se!K9/data!$K9</f>
        <v>0</v>
      </c>
      <c r="L9">
        <f>+bma_se!L9/data!$K9</f>
        <v>0</v>
      </c>
      <c r="M9">
        <f>+bma_se!M9/data!$K9</f>
        <v>0</v>
      </c>
      <c r="N9">
        <f>+bma_se!N9/data!$K9</f>
        <v>0</v>
      </c>
      <c r="O9">
        <f>+bma_se!O9/data!$K9</f>
        <v>0</v>
      </c>
      <c r="P9">
        <f>+bma_se!P9/data!$K9</f>
        <v>0.14567135075998175</v>
      </c>
      <c r="Q9">
        <f>+bma_se!Q9/data!$K9</f>
        <v>1.1061370474057257</v>
      </c>
      <c r="R9">
        <f>+bma_se!R9/data!$K9</f>
        <v>0.67932945831677871</v>
      </c>
      <c r="S9">
        <f>+bma_se!S9/data!$K9</f>
        <v>0.14567135075998175</v>
      </c>
    </row>
    <row r="10" spans="1:19" x14ac:dyDescent="0.25">
      <c r="A10">
        <f>+bma_se!A10/data!$K10</f>
        <v>-6.0482777325739081E-3</v>
      </c>
      <c r="B10">
        <f>+bma_se!B10/data!$K10</f>
        <v>0.12486847968597163</v>
      </c>
      <c r="C10">
        <f>+bma_se!C10/data!$K10</f>
        <v>0</v>
      </c>
      <c r="D10">
        <f>+bma_se!D10/data!$K10</f>
        <v>0.12486847968597163</v>
      </c>
      <c r="E10">
        <f>+bma_se!E10/data!$K10</f>
        <v>0</v>
      </c>
      <c r="F10">
        <f>+bma_se!F10/data!$K10</f>
        <v>0</v>
      </c>
      <c r="G10">
        <f>+bma_se!G10/data!$K10</f>
        <v>0.12486847968597163</v>
      </c>
      <c r="H10">
        <f>+bma_se!H10/data!$K10</f>
        <v>0</v>
      </c>
      <c r="I10">
        <f>+bma_se!I10/data!$K10</f>
        <v>0</v>
      </c>
      <c r="J10">
        <f>+bma_se!J10/data!$K10</f>
        <v>0</v>
      </c>
      <c r="K10">
        <f>+bma_se!K10/data!$K10</f>
        <v>0</v>
      </c>
      <c r="L10">
        <f>+bma_se!L10/data!$K10</f>
        <v>0</v>
      </c>
      <c r="M10">
        <f>+bma_se!M10/data!$K10</f>
        <v>0</v>
      </c>
      <c r="N10">
        <f>+bma_se!N10/data!$K10</f>
        <v>0</v>
      </c>
      <c r="O10">
        <f>+bma_se!O10/data!$K10</f>
        <v>0</v>
      </c>
      <c r="P10">
        <f>+bma_se!P10/data!$K10</f>
        <v>0.12486847968597163</v>
      </c>
      <c r="Q10">
        <f>+bma_se!Q10/data!$K10</f>
        <v>0.94817306706698523</v>
      </c>
      <c r="R10">
        <f>+bma_se!R10/data!$K10</f>
        <v>0.58231653803826799</v>
      </c>
      <c r="S10">
        <f>+bma_se!S10/data!$K10</f>
        <v>0.12486847968597163</v>
      </c>
    </row>
    <row r="11" spans="1:19" x14ac:dyDescent="0.25">
      <c r="A11">
        <f>+bma_se!A11/data!$K11</f>
        <v>-0.15228758169934639</v>
      </c>
      <c r="B11">
        <f>+bma_se!B11/data!$K11</f>
        <v>0.19684273696377688</v>
      </c>
      <c r="C11">
        <f>+bma_se!C11/data!$K11</f>
        <v>0</v>
      </c>
      <c r="D11">
        <f>+bma_se!D11/data!$K11</f>
        <v>0.19684273696377688</v>
      </c>
      <c r="E11">
        <f>+bma_se!E11/data!$K11</f>
        <v>0</v>
      </c>
      <c r="F11">
        <f>+bma_se!F11/data!$K11</f>
        <v>0</v>
      </c>
      <c r="G11">
        <f>+bma_se!G11/data!$K11</f>
        <v>0.19684273696377688</v>
      </c>
      <c r="H11">
        <f>+bma_se!H11/data!$K11</f>
        <v>0</v>
      </c>
      <c r="I11">
        <f>+bma_se!I11/data!$K11</f>
        <v>0</v>
      </c>
      <c r="J11">
        <f>+bma_se!J11/data!$K11</f>
        <v>0</v>
      </c>
      <c r="K11">
        <f>+bma_se!K11/data!$K11</f>
        <v>0</v>
      </c>
      <c r="L11">
        <f>+bma_se!L11/data!$K11</f>
        <v>0</v>
      </c>
      <c r="M11">
        <f>+bma_se!M11/data!$K11</f>
        <v>0</v>
      </c>
      <c r="N11">
        <f>+bma_se!N11/data!$K11</f>
        <v>0</v>
      </c>
      <c r="O11">
        <f>+bma_se!O11/data!$K11</f>
        <v>0</v>
      </c>
      <c r="P11">
        <f>+bma_se!P11/data!$K11</f>
        <v>0.19684273696377688</v>
      </c>
      <c r="Q11">
        <f>+bma_se!Q11/data!$K11</f>
        <v>1.4947005209495823</v>
      </c>
      <c r="R11">
        <f>+bma_se!R11/data!$K11</f>
        <v>0.91796409642361876</v>
      </c>
      <c r="S11">
        <f>+bma_se!S11/data!$K11</f>
        <v>0.19684273696377688</v>
      </c>
    </row>
    <row r="12" spans="1:19" x14ac:dyDescent="0.25">
      <c r="A12">
        <f>+bma_se!A12/data!$K12</f>
        <v>-0.26856060606060606</v>
      </c>
      <c r="B12">
        <f>+bma_se!B12/data!$K12</f>
        <v>0.29610868728086248</v>
      </c>
      <c r="C12">
        <f>+bma_se!C12/data!$K12</f>
        <v>0</v>
      </c>
      <c r="D12">
        <f>+bma_se!D12/data!$K12</f>
        <v>0.29610868728086248</v>
      </c>
      <c r="E12">
        <f>+bma_se!E12/data!$K12</f>
        <v>0</v>
      </c>
      <c r="F12">
        <f>+bma_se!F12/data!$K12</f>
        <v>0</v>
      </c>
      <c r="G12">
        <f>+bma_se!G12/data!$K12</f>
        <v>0.29610868728086248</v>
      </c>
      <c r="H12">
        <f>+bma_se!H12/data!$K12</f>
        <v>0</v>
      </c>
      <c r="I12">
        <f>+bma_se!I12/data!$K12</f>
        <v>0</v>
      </c>
      <c r="J12">
        <f>+bma_se!J12/data!$K12</f>
        <v>0</v>
      </c>
      <c r="K12">
        <f>+bma_se!K12/data!$K12</f>
        <v>0</v>
      </c>
      <c r="L12">
        <f>+bma_se!L12/data!$K12</f>
        <v>0</v>
      </c>
      <c r="M12">
        <f>+bma_se!M12/data!$K12</f>
        <v>0</v>
      </c>
      <c r="N12">
        <f>+bma_se!N12/data!$K12</f>
        <v>0</v>
      </c>
      <c r="O12">
        <f>+bma_se!O12/data!$K12</f>
        <v>0</v>
      </c>
      <c r="P12">
        <f>+bma_se!P12/data!$K12</f>
        <v>0.29610868728086248</v>
      </c>
      <c r="Q12">
        <f>+bma_se!Q12/data!$K12</f>
        <v>2.2484640071726316</v>
      </c>
      <c r="R12">
        <f>+bma_se!R12/data!$K12</f>
        <v>1.3808848005043781</v>
      </c>
      <c r="S12">
        <f>+bma_se!S12/data!$K12</f>
        <v>0.29610868728086248</v>
      </c>
    </row>
    <row r="13" spans="1:19" x14ac:dyDescent="0.25">
      <c r="A13">
        <f>+bma_se!A13/data!$K13</f>
        <v>-0.27216248506571084</v>
      </c>
      <c r="B13">
        <f>+bma_se!B13/data!$K13</f>
        <v>0.29937931430327447</v>
      </c>
      <c r="C13">
        <f>+bma_se!C13/data!$K13</f>
        <v>0</v>
      </c>
      <c r="D13">
        <f>+bma_se!D13/data!$K13</f>
        <v>0.29937931430327447</v>
      </c>
      <c r="E13">
        <f>+bma_se!E13/data!$K13</f>
        <v>0</v>
      </c>
      <c r="F13">
        <f>+bma_se!F13/data!$K13</f>
        <v>0</v>
      </c>
      <c r="G13">
        <f>+bma_se!G13/data!$K13</f>
        <v>0.29937931430327447</v>
      </c>
      <c r="H13">
        <f>+bma_se!H13/data!$K13</f>
        <v>0</v>
      </c>
      <c r="I13">
        <f>+bma_se!I13/data!$K13</f>
        <v>0</v>
      </c>
      <c r="J13">
        <f>+bma_se!J13/data!$K13</f>
        <v>0</v>
      </c>
      <c r="K13">
        <f>+bma_se!K13/data!$K13</f>
        <v>0</v>
      </c>
      <c r="L13">
        <f>+bma_se!L13/data!$K13</f>
        <v>0</v>
      </c>
      <c r="M13">
        <f>+bma_se!M13/data!$K13</f>
        <v>0</v>
      </c>
      <c r="N13">
        <f>+bma_se!N13/data!$K13</f>
        <v>0</v>
      </c>
      <c r="O13">
        <f>+bma_se!O13/data!$K13</f>
        <v>0</v>
      </c>
      <c r="P13">
        <f>+bma_se!P13/data!$K13</f>
        <v>0.29937931430327447</v>
      </c>
      <c r="Q13">
        <f>+bma_se!Q13/data!$K13</f>
        <v>2.273299101368313</v>
      </c>
      <c r="R13">
        <f>+bma_se!R13/data!$K13</f>
        <v>1.3961371701151484</v>
      </c>
      <c r="S13">
        <f>+bma_se!S13/data!$K13</f>
        <v>0.29937931430327447</v>
      </c>
    </row>
    <row r="14" spans="1:19" x14ac:dyDescent="0.25">
      <c r="A14">
        <f>+bma_se!A14/data!$K14</f>
        <v>5.0877192982456146E-2</v>
      </c>
      <c r="B14">
        <f>+bma_se!B14/data!$K14</f>
        <v>0.13469983044283926</v>
      </c>
      <c r="C14">
        <f>+bma_se!C14/data!$K14</f>
        <v>0</v>
      </c>
      <c r="D14">
        <f>+bma_se!D14/data!$K14</f>
        <v>0.13469983044283926</v>
      </c>
      <c r="E14">
        <f>+bma_se!E14/data!$K14</f>
        <v>0</v>
      </c>
      <c r="F14">
        <f>+bma_se!F14/data!$K14</f>
        <v>0</v>
      </c>
      <c r="G14">
        <f>+bma_se!G14/data!$K14</f>
        <v>0.13469983044283926</v>
      </c>
      <c r="H14">
        <f>+bma_se!H14/data!$K14</f>
        <v>0</v>
      </c>
      <c r="I14">
        <f>+bma_se!I14/data!$K14</f>
        <v>0</v>
      </c>
      <c r="J14">
        <f>+bma_se!J14/data!$K14</f>
        <v>0</v>
      </c>
      <c r="K14">
        <f>+bma_se!K14/data!$K14</f>
        <v>0</v>
      </c>
      <c r="L14">
        <f>+bma_se!L14/data!$K14</f>
        <v>0</v>
      </c>
      <c r="M14">
        <f>+bma_se!M14/data!$K14</f>
        <v>0</v>
      </c>
      <c r="N14">
        <f>+bma_se!N14/data!$K14</f>
        <v>0</v>
      </c>
      <c r="O14">
        <f>+bma_se!O14/data!$K14</f>
        <v>0</v>
      </c>
      <c r="P14">
        <f>+bma_se!P14/data!$K14</f>
        <v>0.13469983044283926</v>
      </c>
      <c r="Q14">
        <f>+bma_se!Q14/data!$K14</f>
        <v>1.0228261902890641</v>
      </c>
      <c r="R14">
        <f>+bma_se!R14/data!$K14</f>
        <v>0.62816444258052384</v>
      </c>
      <c r="S14">
        <f>+bma_se!S14/data!$K14</f>
        <v>0.13469983044283926</v>
      </c>
    </row>
    <row r="15" spans="1:19" x14ac:dyDescent="0.25">
      <c r="A15">
        <f>+bma_se!A15/data!$K15</f>
        <v>-8.0694668820678508E-2</v>
      </c>
      <c r="B15">
        <f>+bma_se!B15/data!$K15</f>
        <v>0.14855027812708579</v>
      </c>
      <c r="C15">
        <f>+bma_se!C15/data!$K15</f>
        <v>0</v>
      </c>
      <c r="D15">
        <f>+bma_se!D15/data!$K15</f>
        <v>0.14855027812708579</v>
      </c>
      <c r="E15">
        <f>+bma_se!E15/data!$K15</f>
        <v>0</v>
      </c>
      <c r="F15">
        <f>+bma_se!F15/data!$K15</f>
        <v>0</v>
      </c>
      <c r="G15">
        <f>+bma_se!G15/data!$K15</f>
        <v>0.14855027812708579</v>
      </c>
      <c r="H15">
        <f>+bma_se!H15/data!$K15</f>
        <v>0</v>
      </c>
      <c r="I15">
        <f>+bma_se!I15/data!$K15</f>
        <v>0</v>
      </c>
      <c r="J15">
        <f>+bma_se!J15/data!$K15</f>
        <v>0</v>
      </c>
      <c r="K15">
        <f>+bma_se!K15/data!$K15</f>
        <v>0</v>
      </c>
      <c r="L15">
        <f>+bma_se!L15/data!$K15</f>
        <v>0</v>
      </c>
      <c r="M15">
        <f>+bma_se!M15/data!$K15</f>
        <v>0</v>
      </c>
      <c r="N15">
        <f>+bma_se!N15/data!$K15</f>
        <v>0</v>
      </c>
      <c r="O15">
        <f>+bma_se!O15/data!$K15</f>
        <v>0</v>
      </c>
      <c r="P15">
        <f>+bma_se!P15/data!$K15</f>
        <v>0.14855027812708579</v>
      </c>
      <c r="Q15">
        <f>+bma_se!Q15/data!$K15</f>
        <v>1.1279978196229818</v>
      </c>
      <c r="R15">
        <f>+bma_se!R15/data!$K15</f>
        <v>0.69275516047869878</v>
      </c>
      <c r="S15">
        <f>+bma_se!S15/data!$K15</f>
        <v>0.14855027812708579</v>
      </c>
    </row>
    <row r="16" spans="1:19" x14ac:dyDescent="0.25">
      <c r="A16">
        <f>+bma_se!A16/data!$K16</f>
        <v>3.3954065797641222E-2</v>
      </c>
      <c r="B16">
        <f>+bma_se!B16/data!$K16</f>
        <v>0.12926110838046417</v>
      </c>
      <c r="C16">
        <f>+bma_se!C16/data!$K16</f>
        <v>0</v>
      </c>
      <c r="D16">
        <f>+bma_se!D16/data!$K16</f>
        <v>0.12926110838046417</v>
      </c>
      <c r="E16">
        <f>+bma_se!E16/data!$K16</f>
        <v>0</v>
      </c>
      <c r="F16">
        <f>+bma_se!F16/data!$K16</f>
        <v>0</v>
      </c>
      <c r="G16">
        <f>+bma_se!G16/data!$K16</f>
        <v>0.12926110838046417</v>
      </c>
      <c r="H16">
        <f>+bma_se!H16/data!$K16</f>
        <v>0</v>
      </c>
      <c r="I16">
        <f>+bma_se!I16/data!$K16</f>
        <v>0</v>
      </c>
      <c r="J16">
        <f>+bma_se!J16/data!$K16</f>
        <v>0</v>
      </c>
      <c r="K16">
        <f>+bma_se!K16/data!$K16</f>
        <v>0</v>
      </c>
      <c r="L16">
        <f>+bma_se!L16/data!$K16</f>
        <v>0</v>
      </c>
      <c r="M16">
        <f>+bma_se!M16/data!$K16</f>
        <v>0</v>
      </c>
      <c r="N16">
        <f>+bma_se!N16/data!$K16</f>
        <v>0</v>
      </c>
      <c r="O16">
        <f>+bma_se!O16/data!$K16</f>
        <v>0</v>
      </c>
      <c r="P16">
        <f>+bma_se!P16/data!$K16</f>
        <v>0.12926110838046417</v>
      </c>
      <c r="Q16">
        <f>+bma_se!Q16/data!$K16</f>
        <v>0.98152793958739859</v>
      </c>
      <c r="R16">
        <f>+bma_se!R16/data!$K16</f>
        <v>0.60280129400468341</v>
      </c>
      <c r="S16">
        <f>+bma_se!S16/data!$K16</f>
        <v>0.12926110838046417</v>
      </c>
    </row>
    <row r="17" spans="1:19" x14ac:dyDescent="0.25">
      <c r="A17">
        <f>+bma_se!A17/data!$K17</f>
        <v>-0.11505376344086021</v>
      </c>
      <c r="B17">
        <f>+bma_se!B17/data!$K17</f>
        <v>0.17292783219763122</v>
      </c>
      <c r="C17">
        <f>+bma_se!C17/data!$K17</f>
        <v>0</v>
      </c>
      <c r="D17">
        <f>+bma_se!D17/data!$K17</f>
        <v>0.17292783219763122</v>
      </c>
      <c r="E17">
        <f>+bma_se!E17/data!$K17</f>
        <v>0</v>
      </c>
      <c r="F17">
        <f>+bma_se!F17/data!$K17</f>
        <v>0</v>
      </c>
      <c r="G17">
        <f>+bma_se!G17/data!$K17</f>
        <v>0.17292783219763122</v>
      </c>
      <c r="H17">
        <f>+bma_se!H17/data!$K17</f>
        <v>0</v>
      </c>
      <c r="I17">
        <f>+bma_se!I17/data!$K17</f>
        <v>0</v>
      </c>
      <c r="J17">
        <f>+bma_se!J17/data!$K17</f>
        <v>0</v>
      </c>
      <c r="K17">
        <f>+bma_se!K17/data!$K17</f>
        <v>0</v>
      </c>
      <c r="L17">
        <f>+bma_se!L17/data!$K17</f>
        <v>0</v>
      </c>
      <c r="M17">
        <f>+bma_se!M17/data!$K17</f>
        <v>0</v>
      </c>
      <c r="N17">
        <f>+bma_se!N17/data!$K17</f>
        <v>0</v>
      </c>
      <c r="O17">
        <f>+bma_se!O17/data!$K17</f>
        <v>0</v>
      </c>
      <c r="P17">
        <f>+bma_se!P17/data!$K17</f>
        <v>0.17292783219763122</v>
      </c>
      <c r="Q17">
        <f>+bma_se!Q17/data!$K17</f>
        <v>1.3131057048858557</v>
      </c>
      <c r="R17">
        <f>+bma_se!R17/data!$K17</f>
        <v>0.80643839685588914</v>
      </c>
      <c r="S17">
        <f>+bma_se!S17/data!$K17</f>
        <v>0.17292783219763122</v>
      </c>
    </row>
    <row r="18" spans="1:19" x14ac:dyDescent="0.25">
      <c r="A18">
        <f>+bma_se!A18/data!$K18</f>
        <v>-7.9581529581529586E-2</v>
      </c>
      <c r="B18">
        <f>+bma_se!B18/data!$K18</f>
        <v>0.15165713473886594</v>
      </c>
      <c r="C18">
        <f>+bma_se!C18/data!$K18</f>
        <v>0</v>
      </c>
      <c r="D18">
        <f>+bma_se!D18/data!$K18</f>
        <v>0.15165713473886594</v>
      </c>
      <c r="E18">
        <f>+bma_se!E18/data!$K18</f>
        <v>0</v>
      </c>
      <c r="F18">
        <f>+bma_se!F18/data!$K18</f>
        <v>0</v>
      </c>
      <c r="G18">
        <f>+bma_se!G18/data!$K18</f>
        <v>0.15165713473886594</v>
      </c>
      <c r="H18">
        <f>+bma_se!H18/data!$K18</f>
        <v>0</v>
      </c>
      <c r="I18">
        <f>+bma_se!I18/data!$K18</f>
        <v>0</v>
      </c>
      <c r="J18">
        <f>+bma_se!J18/data!$K18</f>
        <v>0</v>
      </c>
      <c r="K18">
        <f>+bma_se!K18/data!$K18</f>
        <v>0</v>
      </c>
      <c r="L18">
        <f>+bma_se!L18/data!$K18</f>
        <v>0</v>
      </c>
      <c r="M18">
        <f>+bma_se!M18/data!$K18</f>
        <v>0</v>
      </c>
      <c r="N18">
        <f>+bma_se!N18/data!$K18</f>
        <v>0</v>
      </c>
      <c r="O18">
        <f>+bma_se!O18/data!$K18</f>
        <v>0</v>
      </c>
      <c r="P18">
        <f>+bma_se!P18/data!$K18</f>
        <v>0.15165713473886594</v>
      </c>
      <c r="Q18">
        <f>+bma_se!Q18/data!$K18</f>
        <v>1.1515893438406013</v>
      </c>
      <c r="R18">
        <f>+bma_se!R18/data!$K18</f>
        <v>0.70724379676948224</v>
      </c>
      <c r="S18">
        <f>+bma_se!S18/data!$K18</f>
        <v>0.15165713473886594</v>
      </c>
    </row>
    <row r="19" spans="1:19" x14ac:dyDescent="0.25">
      <c r="A19">
        <f>+bma_se!A19/data!$K19</f>
        <v>-8.5229540918163663E-2</v>
      </c>
      <c r="B19">
        <f>+bma_se!B19/data!$K19</f>
        <v>0.15469564089458887</v>
      </c>
      <c r="C19">
        <f>+bma_se!C19/data!$K19</f>
        <v>0</v>
      </c>
      <c r="D19">
        <f>+bma_se!D19/data!$K19</f>
        <v>0.15469564089458887</v>
      </c>
      <c r="E19">
        <f>+bma_se!E19/data!$K19</f>
        <v>0</v>
      </c>
      <c r="F19">
        <f>+bma_se!F19/data!$K19</f>
        <v>0</v>
      </c>
      <c r="G19">
        <f>+bma_se!G19/data!$K19</f>
        <v>0.15469564089458887</v>
      </c>
      <c r="H19">
        <f>+bma_se!H19/data!$K19</f>
        <v>0</v>
      </c>
      <c r="I19">
        <f>+bma_se!I19/data!$K19</f>
        <v>0</v>
      </c>
      <c r="J19">
        <f>+bma_se!J19/data!$K19</f>
        <v>0</v>
      </c>
      <c r="K19">
        <f>+bma_se!K19/data!$K19</f>
        <v>0</v>
      </c>
      <c r="L19">
        <f>+bma_se!L19/data!$K19</f>
        <v>0</v>
      </c>
      <c r="M19">
        <f>+bma_se!M19/data!$K19</f>
        <v>0</v>
      </c>
      <c r="N19">
        <f>+bma_se!N19/data!$K19</f>
        <v>0</v>
      </c>
      <c r="O19">
        <f>+bma_se!O19/data!$K19</f>
        <v>0</v>
      </c>
      <c r="P19">
        <f>+bma_se!P19/data!$K19</f>
        <v>0.15469564089458887</v>
      </c>
      <c r="Q19">
        <f>+bma_se!Q19/data!$K19</f>
        <v>1.174661857482308</v>
      </c>
      <c r="R19">
        <f>+bma_se!R19/data!$K19</f>
        <v>0.72141368487782065</v>
      </c>
      <c r="S19">
        <f>+bma_se!S19/data!$K19</f>
        <v>0.15469564089458887</v>
      </c>
    </row>
    <row r="20" spans="1:19" x14ac:dyDescent="0.25">
      <c r="A20">
        <f>+bma_se!A20/data!$K20</f>
        <v>-0.24044444444444446</v>
      </c>
      <c r="B20">
        <f>+bma_se!B20/data!$K20</f>
        <v>0.27291060355153701</v>
      </c>
      <c r="C20">
        <f>+bma_se!C20/data!$K20</f>
        <v>0</v>
      </c>
      <c r="D20">
        <f>+bma_se!D20/data!$K20</f>
        <v>0.27291060355153701</v>
      </c>
      <c r="E20">
        <f>+bma_se!E20/data!$K20</f>
        <v>0</v>
      </c>
      <c r="F20">
        <f>+bma_se!F20/data!$K20</f>
        <v>0</v>
      </c>
      <c r="G20">
        <f>+bma_se!G20/data!$K20</f>
        <v>0.27291060355153701</v>
      </c>
      <c r="H20">
        <f>+bma_se!H20/data!$K20</f>
        <v>0</v>
      </c>
      <c r="I20">
        <f>+bma_se!I20/data!$K20</f>
        <v>0</v>
      </c>
      <c r="J20">
        <f>+bma_se!J20/data!$K20</f>
        <v>0</v>
      </c>
      <c r="K20">
        <f>+bma_se!K20/data!$K20</f>
        <v>0</v>
      </c>
      <c r="L20">
        <f>+bma_se!L20/data!$K20</f>
        <v>0</v>
      </c>
      <c r="M20">
        <f>+bma_se!M20/data!$K20</f>
        <v>0</v>
      </c>
      <c r="N20">
        <f>+bma_se!N20/data!$K20</f>
        <v>0</v>
      </c>
      <c r="O20">
        <f>+bma_se!O20/data!$K20</f>
        <v>0</v>
      </c>
      <c r="P20">
        <f>+bma_se!P20/data!$K20</f>
        <v>0.27291060355153701</v>
      </c>
      <c r="Q20">
        <f>+bma_se!Q20/data!$K20</f>
        <v>2.072312281332549</v>
      </c>
      <c r="R20">
        <f>+bma_se!R20/data!$K20</f>
        <v>1.2727019521157765</v>
      </c>
      <c r="S20">
        <f>+bma_se!S20/data!$K20</f>
        <v>0.27291060355153701</v>
      </c>
    </row>
    <row r="21" spans="1:19" x14ac:dyDescent="0.25">
      <c r="A21">
        <f>+bma_se!A21/data!$K21</f>
        <v>-0.26048109965635741</v>
      </c>
      <c r="B21">
        <f>+bma_se!B21/data!$K21</f>
        <v>0.29071819679003907</v>
      </c>
      <c r="C21">
        <f>+bma_se!C21/data!$K21</f>
        <v>0</v>
      </c>
      <c r="D21">
        <f>+bma_se!D21/data!$K21</f>
        <v>0.29071819679003907</v>
      </c>
      <c r="E21">
        <f>+bma_se!E21/data!$K21</f>
        <v>0</v>
      </c>
      <c r="F21">
        <f>+bma_se!F21/data!$K21</f>
        <v>0</v>
      </c>
      <c r="G21">
        <f>+bma_se!G21/data!$K21</f>
        <v>0.29071819679003907</v>
      </c>
      <c r="H21">
        <f>+bma_se!H21/data!$K21</f>
        <v>0</v>
      </c>
      <c r="I21">
        <f>+bma_se!I21/data!$K21</f>
        <v>0</v>
      </c>
      <c r="J21">
        <f>+bma_se!J21/data!$K21</f>
        <v>0</v>
      </c>
      <c r="K21">
        <f>+bma_se!K21/data!$K21</f>
        <v>0</v>
      </c>
      <c r="L21">
        <f>+bma_se!L21/data!$K21</f>
        <v>0</v>
      </c>
      <c r="M21">
        <f>+bma_se!M21/data!$K21</f>
        <v>0</v>
      </c>
      <c r="N21">
        <f>+bma_se!N21/data!$K21</f>
        <v>0</v>
      </c>
      <c r="O21">
        <f>+bma_se!O21/data!$K21</f>
        <v>0</v>
      </c>
      <c r="P21">
        <f>+bma_se!P21/data!$K21</f>
        <v>0.29071819679003907</v>
      </c>
      <c r="Q21">
        <f>+bma_se!Q21/data!$K21</f>
        <v>2.2075319968323659</v>
      </c>
      <c r="R21">
        <f>+bma_se!R21/data!$K21</f>
        <v>1.3557465769203432</v>
      </c>
      <c r="S21">
        <f>+bma_se!S21/data!$K21</f>
        <v>0.29071819679003907</v>
      </c>
    </row>
    <row r="22" spans="1:19" x14ac:dyDescent="0.25">
      <c r="A22">
        <f>+bma_se!A22/data!$K22</f>
        <v>-0.17723577235772359</v>
      </c>
      <c r="B22">
        <f>+bma_se!B22/data!$K22</f>
        <v>0.21926966427188574</v>
      </c>
      <c r="C22">
        <f>+bma_se!C22/data!$K22</f>
        <v>0</v>
      </c>
      <c r="D22">
        <f>+bma_se!D22/data!$K22</f>
        <v>0.21926966427188574</v>
      </c>
      <c r="E22">
        <f>+bma_se!E22/data!$K22</f>
        <v>0</v>
      </c>
      <c r="F22">
        <f>+bma_se!F22/data!$K22</f>
        <v>0</v>
      </c>
      <c r="G22">
        <f>+bma_se!G22/data!$K22</f>
        <v>0.21926966427188574</v>
      </c>
      <c r="H22">
        <f>+bma_se!H22/data!$K22</f>
        <v>0</v>
      </c>
      <c r="I22">
        <f>+bma_se!I22/data!$K22</f>
        <v>0</v>
      </c>
      <c r="J22">
        <f>+bma_se!J22/data!$K22</f>
        <v>0</v>
      </c>
      <c r="K22">
        <f>+bma_se!K22/data!$K22</f>
        <v>0</v>
      </c>
      <c r="L22">
        <f>+bma_se!L22/data!$K22</f>
        <v>0</v>
      </c>
      <c r="M22">
        <f>+bma_se!M22/data!$K22</f>
        <v>0</v>
      </c>
      <c r="N22">
        <f>+bma_se!N22/data!$K22</f>
        <v>0</v>
      </c>
      <c r="O22">
        <f>+bma_se!O22/data!$K22</f>
        <v>0</v>
      </c>
      <c r="P22">
        <f>+bma_se!P22/data!$K22</f>
        <v>0.21926966427188574</v>
      </c>
      <c r="Q22">
        <f>+bma_se!Q22/data!$K22</f>
        <v>1.6649965676708662</v>
      </c>
      <c r="R22">
        <f>+bma_se!R22/data!$K22</f>
        <v>1.0225507038824186</v>
      </c>
      <c r="S22">
        <f>+bma_se!S22/data!$K22</f>
        <v>0.21926966427188574</v>
      </c>
    </row>
    <row r="23" spans="1:19" x14ac:dyDescent="0.25">
      <c r="A23">
        <f>+bma_se!A23/data!$K23</f>
        <v>-4.9480642115203026E-2</v>
      </c>
      <c r="B23">
        <f>+bma_se!B23/data!$K23</f>
        <v>0.13825700926462811</v>
      </c>
      <c r="C23">
        <f>+bma_se!C23/data!$K23</f>
        <v>0</v>
      </c>
      <c r="D23">
        <f>+bma_se!D23/data!$K23</f>
        <v>0.13825700926462811</v>
      </c>
      <c r="E23">
        <f>+bma_se!E23/data!$K23</f>
        <v>0</v>
      </c>
      <c r="F23">
        <f>+bma_se!F23/data!$K23</f>
        <v>0</v>
      </c>
      <c r="G23">
        <f>+bma_se!G23/data!$K23</f>
        <v>0.13825700926462811</v>
      </c>
      <c r="H23">
        <f>+bma_se!H23/data!$K23</f>
        <v>0</v>
      </c>
      <c r="I23">
        <f>+bma_se!I23/data!$K23</f>
        <v>0</v>
      </c>
      <c r="J23">
        <f>+bma_se!J23/data!$K23</f>
        <v>0</v>
      </c>
      <c r="K23">
        <f>+bma_se!K23/data!$K23</f>
        <v>0</v>
      </c>
      <c r="L23">
        <f>+bma_se!L23/data!$K23</f>
        <v>0</v>
      </c>
      <c r="M23">
        <f>+bma_se!M23/data!$K23</f>
        <v>0</v>
      </c>
      <c r="N23">
        <f>+bma_se!N23/data!$K23</f>
        <v>0</v>
      </c>
      <c r="O23">
        <f>+bma_se!O23/data!$K23</f>
        <v>0</v>
      </c>
      <c r="P23">
        <f>+bma_se!P23/data!$K23</f>
        <v>0.13825700926462811</v>
      </c>
      <c r="Q23">
        <f>+bma_se!Q23/data!$K23</f>
        <v>1.0498371794677863</v>
      </c>
      <c r="R23">
        <f>+bma_se!R23/data!$K23</f>
        <v>0.64475312902802817</v>
      </c>
      <c r="S23">
        <f>+bma_se!S23/data!$K23</f>
        <v>0.13825700926462811</v>
      </c>
    </row>
    <row r="24" spans="1:19" x14ac:dyDescent="0.25">
      <c r="A24">
        <f>+bma_se!A24/data!$K24</f>
        <v>-0.21181818181818182</v>
      </c>
      <c r="B24">
        <f>+bma_se!B24/data!$K24</f>
        <v>0.24805968800961395</v>
      </c>
      <c r="C24">
        <f>+bma_se!C24/data!$K24</f>
        <v>0</v>
      </c>
      <c r="D24">
        <f>+bma_se!D24/data!$K24</f>
        <v>0.24805968800961395</v>
      </c>
      <c r="E24">
        <f>+bma_se!E24/data!$K24</f>
        <v>0</v>
      </c>
      <c r="F24">
        <f>+bma_se!F24/data!$K24</f>
        <v>0</v>
      </c>
      <c r="G24">
        <f>+bma_se!G24/data!$K24</f>
        <v>0.24805968800961395</v>
      </c>
      <c r="H24">
        <f>+bma_se!H24/data!$K24</f>
        <v>0</v>
      </c>
      <c r="I24">
        <f>+bma_se!I24/data!$K24</f>
        <v>0</v>
      </c>
      <c r="J24">
        <f>+bma_se!J24/data!$K24</f>
        <v>0</v>
      </c>
      <c r="K24">
        <f>+bma_se!K24/data!$K24</f>
        <v>0</v>
      </c>
      <c r="L24">
        <f>+bma_se!L24/data!$K24</f>
        <v>0</v>
      </c>
      <c r="M24">
        <f>+bma_se!M24/data!$K24</f>
        <v>0</v>
      </c>
      <c r="N24">
        <f>+bma_se!N24/data!$K24</f>
        <v>0</v>
      </c>
      <c r="O24">
        <f>+bma_se!O24/data!$K24</f>
        <v>0</v>
      </c>
      <c r="P24">
        <f>+bma_se!P24/data!$K24</f>
        <v>0.24805968800961395</v>
      </c>
      <c r="Q24">
        <f>+bma_se!Q24/data!$K24</f>
        <v>1.8836099853803143</v>
      </c>
      <c r="R24">
        <f>+bma_se!R24/data!$K24</f>
        <v>1.1568112233918662</v>
      </c>
      <c r="S24">
        <f>+bma_se!S24/data!$K24</f>
        <v>0.24805968800961395</v>
      </c>
    </row>
    <row r="25" spans="1:19" x14ac:dyDescent="0.25">
      <c r="A25">
        <f>+bma_se!A25/data!$K25</f>
        <v>-0.14939826476350407</v>
      </c>
      <c r="B25">
        <f>+bma_se!B25/data!$K25</f>
        <v>0.19745001438595219</v>
      </c>
      <c r="C25">
        <f>+bma_se!C25/data!$K25</f>
        <v>0</v>
      </c>
      <c r="D25">
        <f>+bma_se!D25/data!$K25</f>
        <v>0.19745001438595219</v>
      </c>
      <c r="E25">
        <f>+bma_se!E25/data!$K25</f>
        <v>0</v>
      </c>
      <c r="F25">
        <f>+bma_se!F25/data!$K25</f>
        <v>0</v>
      </c>
      <c r="G25">
        <f>+bma_se!G25/data!$K25</f>
        <v>0.19745001438595219</v>
      </c>
      <c r="H25">
        <f>+bma_se!H25/data!$K25</f>
        <v>0</v>
      </c>
      <c r="I25">
        <f>+bma_se!I25/data!$K25</f>
        <v>0</v>
      </c>
      <c r="J25">
        <f>+bma_se!J25/data!$K25</f>
        <v>0</v>
      </c>
      <c r="K25">
        <f>+bma_se!K25/data!$K25</f>
        <v>0</v>
      </c>
      <c r="L25">
        <f>+bma_se!L25/data!$K25</f>
        <v>0</v>
      </c>
      <c r="M25">
        <f>+bma_se!M25/data!$K25</f>
        <v>0</v>
      </c>
      <c r="N25">
        <f>+bma_se!N25/data!$K25</f>
        <v>0</v>
      </c>
      <c r="O25">
        <f>+bma_se!O25/data!$K25</f>
        <v>0</v>
      </c>
      <c r="P25">
        <f>+bma_se!P25/data!$K25</f>
        <v>0.19745001438595219</v>
      </c>
      <c r="Q25">
        <f>+bma_se!Q25/data!$K25</f>
        <v>1.4993118055379151</v>
      </c>
      <c r="R25">
        <f>+bma_se!R25/data!$K25</f>
        <v>0.92079609763801051</v>
      </c>
      <c r="S25">
        <f>+bma_se!S25/data!$K25</f>
        <v>0.19745001438595219</v>
      </c>
    </row>
    <row r="26" spans="1:19" x14ac:dyDescent="0.25">
      <c r="A26">
        <f>+bma_se!A26/data!$K26</f>
        <v>-0.36062378167641324</v>
      </c>
      <c r="B26">
        <f>+bma_se!B26/data!$K26</f>
        <v>0.38303547952802497</v>
      </c>
      <c r="C26">
        <f>+bma_se!C26/data!$K26</f>
        <v>0</v>
      </c>
      <c r="D26">
        <f>+bma_se!D26/data!$K26</f>
        <v>0.38303547952802497</v>
      </c>
      <c r="E26">
        <f>+bma_se!E26/data!$K26</f>
        <v>0</v>
      </c>
      <c r="F26">
        <f>+bma_se!F26/data!$K26</f>
        <v>0</v>
      </c>
      <c r="G26">
        <f>+bma_se!G26/data!$K26</f>
        <v>0.38303547952802497</v>
      </c>
      <c r="H26">
        <f>+bma_se!H26/data!$K26</f>
        <v>0</v>
      </c>
      <c r="I26">
        <f>+bma_se!I26/data!$K26</f>
        <v>0</v>
      </c>
      <c r="J26">
        <f>+bma_se!J26/data!$K26</f>
        <v>0</v>
      </c>
      <c r="K26">
        <f>+bma_se!K26/data!$K26</f>
        <v>0</v>
      </c>
      <c r="L26">
        <f>+bma_se!L26/data!$K26</f>
        <v>0</v>
      </c>
      <c r="M26">
        <f>+bma_se!M26/data!$K26</f>
        <v>0</v>
      </c>
      <c r="N26">
        <f>+bma_se!N26/data!$K26</f>
        <v>0</v>
      </c>
      <c r="O26">
        <f>+bma_se!O26/data!$K26</f>
        <v>0</v>
      </c>
      <c r="P26">
        <f>+bma_se!P26/data!$K26</f>
        <v>0.38303547952802497</v>
      </c>
      <c r="Q26">
        <f>+bma_se!Q26/data!$K26</f>
        <v>2.9085316513256374</v>
      </c>
      <c r="R26">
        <f>+bma_se!R26/data!$K26</f>
        <v>1.7862625936146936</v>
      </c>
      <c r="S26">
        <f>+bma_se!S26/data!$K26</f>
        <v>0.38303547952802497</v>
      </c>
    </row>
    <row r="27" spans="1:19" x14ac:dyDescent="0.25">
      <c r="A27">
        <f>+bma_se!A27/data!$K27</f>
        <v>1.3805631244323343E-2</v>
      </c>
      <c r="B27">
        <f>+bma_se!B27/data!$K27</f>
        <v>0.12983551948800798</v>
      </c>
      <c r="C27">
        <f>+bma_se!C27/data!$K27</f>
        <v>0</v>
      </c>
      <c r="D27">
        <f>+bma_se!D27/data!$K27</f>
        <v>0.12983551948800798</v>
      </c>
      <c r="E27">
        <f>+bma_se!E27/data!$K27</f>
        <v>0</v>
      </c>
      <c r="F27">
        <f>+bma_se!F27/data!$K27</f>
        <v>0</v>
      </c>
      <c r="G27">
        <f>+bma_se!G27/data!$K27</f>
        <v>0.12983551948800798</v>
      </c>
      <c r="H27">
        <f>+bma_se!H27/data!$K27</f>
        <v>0</v>
      </c>
      <c r="I27">
        <f>+bma_se!I27/data!$K27</f>
        <v>0</v>
      </c>
      <c r="J27">
        <f>+bma_se!J27/data!$K27</f>
        <v>0</v>
      </c>
      <c r="K27">
        <f>+bma_se!K27/data!$K27</f>
        <v>0</v>
      </c>
      <c r="L27">
        <f>+bma_se!L27/data!$K27</f>
        <v>0</v>
      </c>
      <c r="M27">
        <f>+bma_se!M27/data!$K27</f>
        <v>0</v>
      </c>
      <c r="N27">
        <f>+bma_se!N27/data!$K27</f>
        <v>0</v>
      </c>
      <c r="O27">
        <f>+bma_se!O27/data!$K27</f>
        <v>0</v>
      </c>
      <c r="P27">
        <f>+bma_se!P27/data!$K27</f>
        <v>0.12983551948800798</v>
      </c>
      <c r="Q27">
        <f>+bma_se!Q27/data!$K27</f>
        <v>0.98588965795673311</v>
      </c>
      <c r="R27">
        <f>+bma_se!R27/data!$K27</f>
        <v>0.60548002516563648</v>
      </c>
      <c r="S27">
        <f>+bma_se!S27/data!$K27</f>
        <v>0.12983551948800798</v>
      </c>
    </row>
    <row r="28" spans="1:19" x14ac:dyDescent="0.25">
      <c r="A28">
        <f>+bma_se!A28/data!$K28</f>
        <v>-9.0196078431372576E-2</v>
      </c>
      <c r="B28">
        <f>+bma_se!B28/data!$K28</f>
        <v>0.15748650491729435</v>
      </c>
      <c r="C28">
        <f>+bma_se!C28/data!$K28</f>
        <v>0</v>
      </c>
      <c r="D28">
        <f>+bma_se!D28/data!$K28</f>
        <v>0.15748650491729435</v>
      </c>
      <c r="E28">
        <f>+bma_se!E28/data!$K28</f>
        <v>0</v>
      </c>
      <c r="F28">
        <f>+bma_se!F28/data!$K28</f>
        <v>0</v>
      </c>
      <c r="G28">
        <f>+bma_se!G28/data!$K28</f>
        <v>0.15748650491729435</v>
      </c>
      <c r="H28">
        <f>+bma_se!H28/data!$K28</f>
        <v>0</v>
      </c>
      <c r="I28">
        <f>+bma_se!I28/data!$K28</f>
        <v>0</v>
      </c>
      <c r="J28">
        <f>+bma_se!J28/data!$K28</f>
        <v>0</v>
      </c>
      <c r="K28">
        <f>+bma_se!K28/data!$K28</f>
        <v>0</v>
      </c>
      <c r="L28">
        <f>+bma_se!L28/data!$K28</f>
        <v>0</v>
      </c>
      <c r="M28">
        <f>+bma_se!M28/data!$K28</f>
        <v>0</v>
      </c>
      <c r="N28">
        <f>+bma_se!N28/data!$K28</f>
        <v>0</v>
      </c>
      <c r="O28">
        <f>+bma_se!O28/data!$K28</f>
        <v>0</v>
      </c>
      <c r="P28">
        <f>+bma_se!P28/data!$K28</f>
        <v>0.15748650491729435</v>
      </c>
      <c r="Q28">
        <f>+bma_se!Q28/data!$K28</f>
        <v>1.1958539317898551</v>
      </c>
      <c r="R28">
        <f>+bma_se!R28/data!$K28</f>
        <v>0.73442870900500223</v>
      </c>
      <c r="S28">
        <f>+bma_se!S28/data!$K28</f>
        <v>0.15748650491729435</v>
      </c>
    </row>
    <row r="29" spans="1:19" x14ac:dyDescent="0.25">
      <c r="A29">
        <f>+bma_se!A29/data!$K29</f>
        <v>-0.1700729927007299</v>
      </c>
      <c r="B29">
        <f>+bma_se!B29/data!$K29</f>
        <v>0.21352163710699015</v>
      </c>
      <c r="C29">
        <f>+bma_se!C29/data!$K29</f>
        <v>0</v>
      </c>
      <c r="D29">
        <f>+bma_se!D29/data!$K29</f>
        <v>0.21352163710699015</v>
      </c>
      <c r="E29">
        <f>+bma_se!E29/data!$K29</f>
        <v>0</v>
      </c>
      <c r="F29">
        <f>+bma_se!F29/data!$K29</f>
        <v>0</v>
      </c>
      <c r="G29">
        <f>+bma_se!G29/data!$K29</f>
        <v>0.21352163710699015</v>
      </c>
      <c r="H29">
        <f>+bma_se!H29/data!$K29</f>
        <v>0</v>
      </c>
      <c r="I29">
        <f>+bma_se!I29/data!$K29</f>
        <v>0</v>
      </c>
      <c r="J29">
        <f>+bma_se!J29/data!$K29</f>
        <v>0</v>
      </c>
      <c r="K29">
        <f>+bma_se!K29/data!$K29</f>
        <v>0</v>
      </c>
      <c r="L29">
        <f>+bma_se!L29/data!$K29</f>
        <v>0</v>
      </c>
      <c r="M29">
        <f>+bma_se!M29/data!$K29</f>
        <v>0</v>
      </c>
      <c r="N29">
        <f>+bma_se!N29/data!$K29</f>
        <v>0</v>
      </c>
      <c r="O29">
        <f>+bma_se!O29/data!$K29</f>
        <v>0</v>
      </c>
      <c r="P29">
        <f>+bma_se!P29/data!$K29</f>
        <v>0.21352163710699015</v>
      </c>
      <c r="Q29">
        <f>+bma_se!Q29/data!$K29</f>
        <v>1.6213496476456541</v>
      </c>
      <c r="R29">
        <f>+bma_se!R29/data!$K29</f>
        <v>0.99574512982858498</v>
      </c>
      <c r="S29">
        <f>+bma_se!S29/data!$K29</f>
        <v>0.21352163710699015</v>
      </c>
    </row>
    <row r="30" spans="1:19" x14ac:dyDescent="0.25">
      <c r="A30">
        <f>+bma_se!A30/data!$K30</f>
        <v>-8.0797572605114873E-2</v>
      </c>
      <c r="B30">
        <f>+bma_se!B30/data!$K30</f>
        <v>0.1522987669206336</v>
      </c>
      <c r="C30">
        <f>+bma_se!C30/data!$K30</f>
        <v>0</v>
      </c>
      <c r="D30">
        <f>+bma_se!D30/data!$K30</f>
        <v>0.1522987669206336</v>
      </c>
      <c r="E30">
        <f>+bma_se!E30/data!$K30</f>
        <v>0</v>
      </c>
      <c r="F30">
        <f>+bma_se!F30/data!$K30</f>
        <v>0</v>
      </c>
      <c r="G30">
        <f>+bma_se!G30/data!$K30</f>
        <v>0.1522987669206336</v>
      </c>
      <c r="H30">
        <f>+bma_se!H30/data!$K30</f>
        <v>0</v>
      </c>
      <c r="I30">
        <f>+bma_se!I30/data!$K30</f>
        <v>0</v>
      </c>
      <c r="J30">
        <f>+bma_se!J30/data!$K30</f>
        <v>0</v>
      </c>
      <c r="K30">
        <f>+bma_se!K30/data!$K30</f>
        <v>0</v>
      </c>
      <c r="L30">
        <f>+bma_se!L30/data!$K30</f>
        <v>0</v>
      </c>
      <c r="M30">
        <f>+bma_se!M30/data!$K30</f>
        <v>0</v>
      </c>
      <c r="N30">
        <f>+bma_se!N30/data!$K30</f>
        <v>0</v>
      </c>
      <c r="O30">
        <f>+bma_se!O30/data!$K30</f>
        <v>0</v>
      </c>
      <c r="P30">
        <f>+bma_se!P30/data!$K30</f>
        <v>0.1522987669206336</v>
      </c>
      <c r="Q30">
        <f>+bma_se!Q30/data!$K30</f>
        <v>1.1564614969671991</v>
      </c>
      <c r="R30">
        <f>+bma_se!R30/data!$K30</f>
        <v>0.71023600930959263</v>
      </c>
      <c r="S30">
        <f>+bma_se!S30/data!$K30</f>
        <v>0.1522987669206336</v>
      </c>
    </row>
    <row r="31" spans="1:19" x14ac:dyDescent="0.25">
      <c r="A31">
        <f>+bma_se!A31/data!$K31</f>
        <v>-2.6134585289514869E-2</v>
      </c>
      <c r="B31">
        <f>+bma_se!B31/data!$K31</f>
        <v>0.13171819621799258</v>
      </c>
      <c r="C31">
        <f>+bma_se!C31/data!$K31</f>
        <v>0</v>
      </c>
      <c r="D31">
        <f>+bma_se!D31/data!$K31</f>
        <v>0.13171819621799258</v>
      </c>
      <c r="E31">
        <f>+bma_se!E31/data!$K31</f>
        <v>0</v>
      </c>
      <c r="F31">
        <f>+bma_se!F31/data!$K31</f>
        <v>0</v>
      </c>
      <c r="G31">
        <f>+bma_se!G31/data!$K31</f>
        <v>0.13171819621799258</v>
      </c>
      <c r="H31">
        <f>+bma_se!H31/data!$K31</f>
        <v>0</v>
      </c>
      <c r="I31">
        <f>+bma_se!I31/data!$K31</f>
        <v>0</v>
      </c>
      <c r="J31">
        <f>+bma_se!J31/data!$K31</f>
        <v>0</v>
      </c>
      <c r="K31">
        <f>+bma_se!K31/data!$K31</f>
        <v>0</v>
      </c>
      <c r="L31">
        <f>+bma_se!L31/data!$K31</f>
        <v>0</v>
      </c>
      <c r="M31">
        <f>+bma_se!M31/data!$K31</f>
        <v>0</v>
      </c>
      <c r="N31">
        <f>+bma_se!N31/data!$K31</f>
        <v>0</v>
      </c>
      <c r="O31">
        <f>+bma_se!O31/data!$K31</f>
        <v>0</v>
      </c>
      <c r="P31">
        <f>+bma_se!P31/data!$K31</f>
        <v>0.13171819621799258</v>
      </c>
      <c r="Q31">
        <f>+bma_se!Q31/data!$K31</f>
        <v>1.0001855264886033</v>
      </c>
      <c r="R31">
        <f>+bma_se!R31/data!$K31</f>
        <v>0.61425977325263914</v>
      </c>
      <c r="S31">
        <f>+bma_se!S31/data!$K31</f>
        <v>0.13171819621799258</v>
      </c>
    </row>
    <row r="32" spans="1:19" x14ac:dyDescent="0.25">
      <c r="A32">
        <f>+bma_se!A32/data!$K32</f>
        <v>-0.54000000000000059</v>
      </c>
      <c r="B32">
        <f>+bma_se!B32/data!$K32</f>
        <v>0.9573922915921147</v>
      </c>
      <c r="C32">
        <f>+bma_se!C32/data!$K32</f>
        <v>0</v>
      </c>
      <c r="D32">
        <f>+bma_se!D32/data!$K32</f>
        <v>0.9573922915921147</v>
      </c>
      <c r="E32">
        <f>+bma_se!E32/data!$K32</f>
        <v>0</v>
      </c>
      <c r="F32">
        <f>+bma_se!F32/data!$K32</f>
        <v>0</v>
      </c>
      <c r="G32">
        <f>+bma_se!G32/data!$K32</f>
        <v>0</v>
      </c>
      <c r="H32">
        <f>+bma_se!H32/data!$K32</f>
        <v>0.9573922915921147</v>
      </c>
      <c r="I32">
        <f>+bma_se!I32/data!$K32</f>
        <v>0.9573922915921147</v>
      </c>
      <c r="J32">
        <f>+bma_se!J32/data!$K32</f>
        <v>0</v>
      </c>
      <c r="K32">
        <f>+bma_se!K32/data!$K32</f>
        <v>0.9573922915921147</v>
      </c>
      <c r="L32">
        <f>+bma_se!L32/data!$K32</f>
        <v>0</v>
      </c>
      <c r="M32">
        <f>+bma_se!M32/data!$K32</f>
        <v>0</v>
      </c>
      <c r="N32">
        <f>+bma_se!N32/data!$K32</f>
        <v>0</v>
      </c>
      <c r="O32">
        <f>+bma_se!O32/data!$K32</f>
        <v>0</v>
      </c>
      <c r="P32">
        <f>+bma_se!P32/data!$K32</f>
        <v>0.9573922915921147</v>
      </c>
      <c r="Q32">
        <f>+bma_se!Q32/data!$K32</f>
        <v>7.2693552090610192</v>
      </c>
      <c r="R32">
        <f>+bma_se!R32/data!$K32</f>
        <v>2.455662400926903</v>
      </c>
      <c r="S32">
        <f>+bma_se!S32/data!$K32</f>
        <v>0.9573922915921147</v>
      </c>
    </row>
    <row r="33" spans="1:19" x14ac:dyDescent="0.25">
      <c r="A33">
        <f>+bma_se!A33/data!$K33</f>
        <v>-0.40750000000000069</v>
      </c>
      <c r="B33">
        <f>+bma_se!B33/data!$K33</f>
        <v>0.88941343030111741</v>
      </c>
      <c r="C33">
        <f>+bma_se!C33/data!$K33</f>
        <v>0</v>
      </c>
      <c r="D33">
        <f>+bma_se!D33/data!$K33</f>
        <v>0.88941343030111741</v>
      </c>
      <c r="E33">
        <f>+bma_se!E33/data!$K33</f>
        <v>0</v>
      </c>
      <c r="F33">
        <f>+bma_se!F33/data!$K33</f>
        <v>0.88941343030111741</v>
      </c>
      <c r="G33">
        <f>+bma_se!G33/data!$K33</f>
        <v>0</v>
      </c>
      <c r="H33">
        <f>+bma_se!H33/data!$K33</f>
        <v>0.88941343030111741</v>
      </c>
      <c r="I33">
        <f>+bma_se!I33/data!$K33</f>
        <v>0.88941343030111741</v>
      </c>
      <c r="J33">
        <f>+bma_se!J33/data!$K33</f>
        <v>0</v>
      </c>
      <c r="K33">
        <f>+bma_se!K33/data!$K33</f>
        <v>0.88941343030111741</v>
      </c>
      <c r="L33">
        <f>+bma_se!L33/data!$K33</f>
        <v>0</v>
      </c>
      <c r="M33">
        <f>+bma_se!M33/data!$K33</f>
        <v>0</v>
      </c>
      <c r="N33">
        <f>+bma_se!N33/data!$K33</f>
        <v>0</v>
      </c>
      <c r="O33">
        <f>+bma_se!O33/data!$K33</f>
        <v>0</v>
      </c>
      <c r="P33">
        <f>+bma_se!P33/data!$K33</f>
        <v>0.88941343030111741</v>
      </c>
      <c r="Q33">
        <f>+bma_se!Q33/data!$K33</f>
        <v>6.753200552530445</v>
      </c>
      <c r="R33">
        <f>+bma_se!R33/data!$K33</f>
        <v>2.2813000886374208</v>
      </c>
      <c r="S33">
        <f>+bma_se!S33/data!$K33</f>
        <v>0.88941343030111741</v>
      </c>
    </row>
    <row r="34" spans="1:19" x14ac:dyDescent="0.25">
      <c r="A34">
        <f>+bma_se!A34/data!$K34</f>
        <v>-0.29749999999999988</v>
      </c>
      <c r="B34">
        <f>+bma_se!B34/data!$K34</f>
        <v>0.84469299156557465</v>
      </c>
      <c r="C34">
        <f>+bma_se!C34/data!$K34</f>
        <v>0</v>
      </c>
      <c r="D34">
        <f>+bma_se!D34/data!$K34</f>
        <v>0.84469299156557465</v>
      </c>
      <c r="E34">
        <f>+bma_se!E34/data!$K34</f>
        <v>0</v>
      </c>
      <c r="F34">
        <f>+bma_se!F34/data!$K34</f>
        <v>0</v>
      </c>
      <c r="G34">
        <f>+bma_se!G34/data!$K34</f>
        <v>0</v>
      </c>
      <c r="H34">
        <f>+bma_se!H34/data!$K34</f>
        <v>0.84469299156557465</v>
      </c>
      <c r="I34">
        <f>+bma_se!I34/data!$K34</f>
        <v>0.84469299156557465</v>
      </c>
      <c r="J34">
        <f>+bma_se!J34/data!$K34</f>
        <v>0</v>
      </c>
      <c r="K34">
        <f>+bma_se!K34/data!$K34</f>
        <v>0.84469299156557465</v>
      </c>
      <c r="L34">
        <f>+bma_se!L34/data!$K34</f>
        <v>0</v>
      </c>
      <c r="M34">
        <f>+bma_se!M34/data!$K34</f>
        <v>0</v>
      </c>
      <c r="N34">
        <f>+bma_se!N34/data!$K34</f>
        <v>0</v>
      </c>
      <c r="O34">
        <f>+bma_se!O34/data!$K34</f>
        <v>0</v>
      </c>
      <c r="P34">
        <f>+bma_se!P34/data!$K34</f>
        <v>0.84469299156557465</v>
      </c>
      <c r="Q34">
        <f>+bma_se!Q34/data!$K34</f>
        <v>6.413644074868504</v>
      </c>
      <c r="R34">
        <f>+bma_se!R34/data!$K34</f>
        <v>2.1665944440231288</v>
      </c>
      <c r="S34">
        <f>+bma_se!S34/data!$K34</f>
        <v>0.84469299156557465</v>
      </c>
    </row>
    <row r="35" spans="1:19" x14ac:dyDescent="0.25">
      <c r="A35">
        <f>+bma_se!A35/data!$K35</f>
        <v>-0.40500000000000036</v>
      </c>
      <c r="B35">
        <f>+bma_se!B35/data!$K35</f>
        <v>0.88827079204485848</v>
      </c>
      <c r="C35">
        <f>+bma_se!C35/data!$K35</f>
        <v>0</v>
      </c>
      <c r="D35">
        <f>+bma_se!D35/data!$K35</f>
        <v>0.88827079204485848</v>
      </c>
      <c r="E35">
        <f>+bma_se!E35/data!$K35</f>
        <v>0</v>
      </c>
      <c r="F35">
        <f>+bma_se!F35/data!$K35</f>
        <v>0</v>
      </c>
      <c r="G35">
        <f>+bma_se!G35/data!$K35</f>
        <v>0.88827079204485848</v>
      </c>
      <c r="H35">
        <f>+bma_se!H35/data!$K35</f>
        <v>0.88827079204485848</v>
      </c>
      <c r="I35">
        <f>+bma_se!I35/data!$K35</f>
        <v>0.88827079204485848</v>
      </c>
      <c r="J35">
        <f>+bma_se!J35/data!$K35</f>
        <v>0</v>
      </c>
      <c r="K35">
        <f>+bma_se!K35/data!$K35</f>
        <v>0.88827079204485848</v>
      </c>
      <c r="L35">
        <f>+bma_se!L35/data!$K35</f>
        <v>0</v>
      </c>
      <c r="M35">
        <f>+bma_se!M35/data!$K35</f>
        <v>0</v>
      </c>
      <c r="N35">
        <f>+bma_se!N35/data!$K35</f>
        <v>0</v>
      </c>
      <c r="O35">
        <f>+bma_se!O35/data!$K35</f>
        <v>0</v>
      </c>
      <c r="P35">
        <f>+bma_se!P35/data!$K35</f>
        <v>0.88827079204485848</v>
      </c>
      <c r="Q35">
        <f>+bma_se!Q35/data!$K35</f>
        <v>6.7445246487936439</v>
      </c>
      <c r="R35">
        <f>+bma_se!R35/data!$K35</f>
        <v>2.2783692797846675</v>
      </c>
      <c r="S35">
        <f>+bma_se!S35/data!$K35</f>
        <v>0.88827079204485848</v>
      </c>
    </row>
    <row r="36" spans="1:19" x14ac:dyDescent="0.25">
      <c r="A36">
        <f>+bma_se!A36/data!$K36</f>
        <v>-0.41000000000000048</v>
      </c>
      <c r="B36">
        <f>+bma_se!B36/data!$K36</f>
        <v>8.4904711294485882</v>
      </c>
      <c r="C36">
        <f>+bma_se!C36/data!$K36</f>
        <v>0</v>
      </c>
      <c r="D36">
        <f>+bma_se!D36/data!$K36</f>
        <v>0</v>
      </c>
      <c r="E36">
        <f>+bma_se!E36/data!$K36</f>
        <v>8.4904711294485882</v>
      </c>
      <c r="F36">
        <f>+bma_se!F36/data!$K36</f>
        <v>0</v>
      </c>
      <c r="G36">
        <f>+bma_se!G36/data!$K36</f>
        <v>8.4904711294485882</v>
      </c>
      <c r="H36">
        <f>+bma_se!H36/data!$K36</f>
        <v>8.4904711294485882</v>
      </c>
      <c r="I36">
        <f>+bma_se!I36/data!$K36</f>
        <v>8.4904711294485882</v>
      </c>
      <c r="J36">
        <f>+bma_se!J36/data!$K36</f>
        <v>0</v>
      </c>
      <c r="K36">
        <f>+bma_se!K36/data!$K36</f>
        <v>8.4904711294485882</v>
      </c>
      <c r="L36">
        <f>+bma_se!L36/data!$K36</f>
        <v>0</v>
      </c>
      <c r="M36">
        <f>+bma_se!M36/data!$K36</f>
        <v>0</v>
      </c>
      <c r="N36">
        <f>+bma_se!N36/data!$K36</f>
        <v>8.4904711294485882</v>
      </c>
      <c r="O36">
        <f>+bma_se!O36/data!$K36</f>
        <v>0</v>
      </c>
      <c r="P36">
        <f>+bma_se!P36/data!$K36</f>
        <v>8.4904711294485882</v>
      </c>
      <c r="Q36">
        <f>+bma_se!Q36/data!$K36</f>
        <v>64.530993753203319</v>
      </c>
      <c r="R36">
        <f>+bma_se!R36/data!$K36</f>
        <v>34.762918016502184</v>
      </c>
      <c r="S36">
        <f>+bma_se!S36/data!$K36</f>
        <v>8.4904711294485882</v>
      </c>
    </row>
    <row r="37" spans="1:19" x14ac:dyDescent="0.25">
      <c r="A37">
        <f>+bma_se!A37/data!$K37</f>
        <v>-0.61600000000000055</v>
      </c>
      <c r="B37">
        <f>+bma_se!B37/data!$K37</f>
        <v>8.4982031041862012</v>
      </c>
      <c r="C37">
        <f>+bma_se!C37/data!$K37</f>
        <v>0</v>
      </c>
      <c r="D37">
        <f>+bma_se!D37/data!$K37</f>
        <v>0</v>
      </c>
      <c r="E37">
        <f>+bma_se!E37/data!$K37</f>
        <v>8.4982031041862012</v>
      </c>
      <c r="F37">
        <f>+bma_se!F37/data!$K37</f>
        <v>0</v>
      </c>
      <c r="G37">
        <f>+bma_se!G37/data!$K37</f>
        <v>8.4982031041862012</v>
      </c>
      <c r="H37">
        <f>+bma_se!H37/data!$K37</f>
        <v>8.4982031041862012</v>
      </c>
      <c r="I37">
        <f>+bma_se!I37/data!$K37</f>
        <v>8.4982031041862012</v>
      </c>
      <c r="J37">
        <f>+bma_se!J37/data!$K37</f>
        <v>0</v>
      </c>
      <c r="K37">
        <f>+bma_se!K37/data!$K37</f>
        <v>8.4982031041862012</v>
      </c>
      <c r="L37">
        <f>+bma_se!L37/data!$K37</f>
        <v>0</v>
      </c>
      <c r="M37">
        <f>+bma_se!M37/data!$K37</f>
        <v>0</v>
      </c>
      <c r="N37">
        <f>+bma_se!N37/data!$K37</f>
        <v>8.4982031041862012</v>
      </c>
      <c r="O37">
        <f>+bma_se!O37/data!$K37</f>
        <v>0</v>
      </c>
      <c r="P37">
        <f>+bma_se!P37/data!$K37</f>
        <v>8.4982031041862012</v>
      </c>
      <c r="Q37">
        <f>+bma_se!Q37/data!$K37</f>
        <v>64.589759869463009</v>
      </c>
      <c r="R37">
        <f>+bma_se!R37/data!$K37</f>
        <v>34.794575388609253</v>
      </c>
      <c r="S37">
        <f>+bma_se!S37/data!$K37</f>
        <v>8.4982031041862012</v>
      </c>
    </row>
    <row r="38" spans="1:19" x14ac:dyDescent="0.25">
      <c r="A38">
        <f>+bma_se!A38/data!$K38</f>
        <v>-0.70000000000000073</v>
      </c>
      <c r="B38">
        <f>+bma_se!B38/data!$K38</f>
        <v>8.507055894961546</v>
      </c>
      <c r="C38">
        <f>+bma_se!C38/data!$K38</f>
        <v>0</v>
      </c>
      <c r="D38">
        <f>+bma_se!D38/data!$K38</f>
        <v>0</v>
      </c>
      <c r="E38">
        <f>+bma_se!E38/data!$K38</f>
        <v>8.507055894961546</v>
      </c>
      <c r="F38">
        <f>+bma_se!F38/data!$K38</f>
        <v>0</v>
      </c>
      <c r="G38">
        <f>+bma_se!G38/data!$K38</f>
        <v>8.507055894961546</v>
      </c>
      <c r="H38">
        <f>+bma_se!H38/data!$K38</f>
        <v>8.507055894961546</v>
      </c>
      <c r="I38">
        <f>+bma_se!I38/data!$K38</f>
        <v>8.507055894961546</v>
      </c>
      <c r="J38">
        <f>+bma_se!J38/data!$K38</f>
        <v>0</v>
      </c>
      <c r="K38">
        <f>+bma_se!K38/data!$K38</f>
        <v>8.507055894961546</v>
      </c>
      <c r="L38">
        <f>+bma_se!L38/data!$K38</f>
        <v>0</v>
      </c>
      <c r="M38">
        <f>+bma_se!M38/data!$K38</f>
        <v>0</v>
      </c>
      <c r="N38">
        <f>+bma_se!N38/data!$K38</f>
        <v>8.507055894961546</v>
      </c>
      <c r="O38">
        <f>+bma_se!O38/data!$K38</f>
        <v>0</v>
      </c>
      <c r="P38">
        <f>+bma_se!P38/data!$K38</f>
        <v>8.507055894961546</v>
      </c>
      <c r="Q38">
        <f>+bma_se!Q38/data!$K38</f>
        <v>64.657044638177524</v>
      </c>
      <c r="R38">
        <f>+bma_se!R38/data!$K38</f>
        <v>34.830821768256328</v>
      </c>
      <c r="S38">
        <f>+bma_se!S38/data!$K38</f>
        <v>8.507055894961546</v>
      </c>
    </row>
    <row r="39" spans="1:19" x14ac:dyDescent="0.25">
      <c r="A39">
        <f>+bma_se!A39/data!$K39</f>
        <v>-0.64399999999999979</v>
      </c>
      <c r="B39">
        <f>+bma_se!B39/data!$K39</f>
        <v>6.1947345382994419</v>
      </c>
      <c r="C39">
        <f>+bma_se!C39/data!$K39</f>
        <v>0</v>
      </c>
      <c r="D39">
        <f>+bma_se!D39/data!$K39</f>
        <v>0</v>
      </c>
      <c r="E39">
        <f>+bma_se!E39/data!$K39</f>
        <v>6.1947345382994419</v>
      </c>
      <c r="F39">
        <f>+bma_se!F39/data!$K39</f>
        <v>0</v>
      </c>
      <c r="G39">
        <f>+bma_se!G39/data!$K39</f>
        <v>6.1947345382994419</v>
      </c>
      <c r="H39">
        <f>+bma_se!H39/data!$K39</f>
        <v>6.1947345382994419</v>
      </c>
      <c r="I39">
        <f>+bma_se!I39/data!$K39</f>
        <v>6.1947345382994419</v>
      </c>
      <c r="J39">
        <f>+bma_se!J39/data!$K39</f>
        <v>0</v>
      </c>
      <c r="K39">
        <f>+bma_se!K39/data!$K39</f>
        <v>6.1947345382994419</v>
      </c>
      <c r="L39">
        <f>+bma_se!L39/data!$K39</f>
        <v>0</v>
      </c>
      <c r="M39">
        <f>+bma_se!M39/data!$K39</f>
        <v>0</v>
      </c>
      <c r="N39">
        <f>+bma_se!N39/data!$K39</f>
        <v>6.1947345382994419</v>
      </c>
      <c r="O39">
        <f>+bma_se!O39/data!$K39</f>
        <v>0</v>
      </c>
      <c r="P39">
        <f>+bma_se!P39/data!$K39</f>
        <v>6.1947345382994419</v>
      </c>
      <c r="Q39">
        <f>+bma_se!Q39/data!$K39</f>
        <v>47.082472774360156</v>
      </c>
      <c r="R39">
        <f>+bma_se!R39/data!$K39</f>
        <v>25.363380383213627</v>
      </c>
      <c r="S39">
        <f>+bma_se!S39/data!$K39</f>
        <v>6.1947345382994419</v>
      </c>
    </row>
    <row r="40" spans="1:19" x14ac:dyDescent="0.25">
      <c r="A40">
        <f>+bma_se!A40/data!$K40</f>
        <v>-0.64399999999999946</v>
      </c>
      <c r="B40">
        <f>+bma_se!B40/data!$K40</f>
        <v>6.1947345382994419</v>
      </c>
      <c r="C40">
        <f>+bma_se!C40/data!$K40</f>
        <v>0</v>
      </c>
      <c r="D40">
        <f>+bma_se!D40/data!$K40</f>
        <v>0</v>
      </c>
      <c r="E40">
        <f>+bma_se!E40/data!$K40</f>
        <v>6.1947345382994419</v>
      </c>
      <c r="F40">
        <f>+bma_se!F40/data!$K40</f>
        <v>0</v>
      </c>
      <c r="G40">
        <f>+bma_se!G40/data!$K40</f>
        <v>6.1947345382994419</v>
      </c>
      <c r="H40">
        <f>+bma_se!H40/data!$K40</f>
        <v>6.1947345382994419</v>
      </c>
      <c r="I40">
        <f>+bma_se!I40/data!$K40</f>
        <v>6.1947345382994419</v>
      </c>
      <c r="J40">
        <f>+bma_se!J40/data!$K40</f>
        <v>0</v>
      </c>
      <c r="K40">
        <f>+bma_se!K40/data!$K40</f>
        <v>6.1947345382994419</v>
      </c>
      <c r="L40">
        <f>+bma_se!L40/data!$K40</f>
        <v>0</v>
      </c>
      <c r="M40">
        <f>+bma_se!M40/data!$K40</f>
        <v>0</v>
      </c>
      <c r="N40">
        <f>+bma_se!N40/data!$K40</f>
        <v>6.1947345382994419</v>
      </c>
      <c r="O40">
        <f>+bma_se!O40/data!$K40</f>
        <v>0</v>
      </c>
      <c r="P40">
        <f>+bma_se!P40/data!$K40</f>
        <v>6.1947345382994419</v>
      </c>
      <c r="Q40">
        <f>+bma_se!Q40/data!$K40</f>
        <v>47.082472774360156</v>
      </c>
      <c r="R40">
        <f>+bma_se!R40/data!$K40</f>
        <v>25.363380383213627</v>
      </c>
      <c r="S40">
        <f>+bma_se!S40/data!$K40</f>
        <v>6.1947345382994419</v>
      </c>
    </row>
    <row r="41" spans="1:19" x14ac:dyDescent="0.25">
      <c r="A41">
        <f>+bma_se!A41/data!$K41</f>
        <v>-2.8944954128440363</v>
      </c>
      <c r="B41">
        <f>+bma_se!B41/data!$K41</f>
        <v>8.8248571487007741</v>
      </c>
      <c r="C41">
        <f>+bma_se!C41/data!$K41</f>
        <v>8.8248571487007741</v>
      </c>
      <c r="D41">
        <f>+bma_se!D41/data!$K41</f>
        <v>0</v>
      </c>
      <c r="E41">
        <f>+bma_se!E41/data!$K41</f>
        <v>8.8248571487007741</v>
      </c>
      <c r="F41">
        <f>+bma_se!F41/data!$K41</f>
        <v>8.8248571487007741</v>
      </c>
      <c r="G41">
        <f>+bma_se!G41/data!$K41</f>
        <v>0</v>
      </c>
      <c r="H41">
        <f>+bma_se!H41/data!$K41</f>
        <v>8.8248571487007741</v>
      </c>
      <c r="I41">
        <f>+bma_se!I41/data!$K41</f>
        <v>8.8248571487007741</v>
      </c>
      <c r="J41">
        <f>+bma_se!J41/data!$K41</f>
        <v>0</v>
      </c>
      <c r="K41">
        <f>+bma_se!K41/data!$K41</f>
        <v>8.8248571487007741</v>
      </c>
      <c r="L41">
        <f>+bma_se!L41/data!$K41</f>
        <v>0</v>
      </c>
      <c r="M41">
        <f>+bma_se!M41/data!$K41</f>
        <v>0</v>
      </c>
      <c r="N41">
        <f>+bma_se!N41/data!$K41</f>
        <v>8.8248571487007741</v>
      </c>
      <c r="O41">
        <f>+bma_se!O41/data!$K41</f>
        <v>0</v>
      </c>
      <c r="P41">
        <f>+bma_se!P41/data!$K41</f>
        <v>8.8248571487007741</v>
      </c>
      <c r="Q41">
        <f>+bma_se!Q41/data!$K41</f>
        <v>67.08569920842271</v>
      </c>
      <c r="R41">
        <f>+bma_se!R41/data!$K41</f>
        <v>0</v>
      </c>
      <c r="S41">
        <f>+bma_se!S41/data!$K41</f>
        <v>8.8248571487007741</v>
      </c>
    </row>
    <row r="42" spans="1:19" x14ac:dyDescent="0.25">
      <c r="A42">
        <f>+bma_se!A42/data!$K42</f>
        <v>-0.68181818181818177</v>
      </c>
      <c r="B42">
        <f>+bma_se!B42/data!$K42</f>
        <v>8.364500943454896</v>
      </c>
      <c r="C42">
        <f>+bma_se!C42/data!$K42</f>
        <v>8.364500943454896</v>
      </c>
      <c r="D42">
        <f>+bma_se!D42/data!$K42</f>
        <v>0</v>
      </c>
      <c r="E42">
        <f>+bma_se!E42/data!$K42</f>
        <v>8.364500943454896</v>
      </c>
      <c r="F42">
        <f>+bma_se!F42/data!$K42</f>
        <v>8.364500943454896</v>
      </c>
      <c r="G42">
        <f>+bma_se!G42/data!$K42</f>
        <v>0</v>
      </c>
      <c r="H42">
        <f>+bma_se!H42/data!$K42</f>
        <v>8.364500943454896</v>
      </c>
      <c r="I42">
        <f>+bma_se!I42/data!$K42</f>
        <v>8.364500943454896</v>
      </c>
      <c r="J42">
        <f>+bma_se!J42/data!$K42</f>
        <v>0</v>
      </c>
      <c r="K42">
        <f>+bma_se!K42/data!$K42</f>
        <v>8.364500943454896</v>
      </c>
      <c r="L42">
        <f>+bma_se!L42/data!$K42</f>
        <v>0</v>
      </c>
      <c r="M42">
        <f>+bma_se!M42/data!$K42</f>
        <v>0</v>
      </c>
      <c r="N42">
        <f>+bma_se!N42/data!$K42</f>
        <v>0</v>
      </c>
      <c r="O42">
        <f>+bma_se!O42/data!$K42</f>
        <v>8.364500943454896</v>
      </c>
      <c r="P42">
        <f>+bma_se!P42/data!$K42</f>
        <v>8.364500943454896</v>
      </c>
      <c r="Q42">
        <f>+bma_se!Q42/data!$K42</f>
        <v>63.586116451051659</v>
      </c>
      <c r="R42">
        <f>+bma_se!R42/data!$K42</f>
        <v>0</v>
      </c>
      <c r="S42">
        <f>+bma_se!S42/data!$K42</f>
        <v>8.364500943454896</v>
      </c>
    </row>
    <row r="43" spans="1:19" x14ac:dyDescent="0.25">
      <c r="A43">
        <f>+bma_se!A43/data!$K43</f>
        <v>-2.0753333333333353</v>
      </c>
      <c r="B43">
        <f>+bma_se!B43/data!$K43</f>
        <v>11.351764796717733</v>
      </c>
      <c r="C43">
        <f>+bma_se!C43/data!$K43</f>
        <v>11.351764796717733</v>
      </c>
      <c r="D43">
        <f>+bma_se!D43/data!$K43</f>
        <v>11.351764796717733</v>
      </c>
      <c r="E43">
        <f>+bma_se!E43/data!$K43</f>
        <v>0</v>
      </c>
      <c r="F43">
        <f>+bma_se!F43/data!$K43</f>
        <v>0</v>
      </c>
      <c r="G43">
        <f>+bma_se!G43/data!$K43</f>
        <v>11.351764796717733</v>
      </c>
      <c r="H43">
        <f>+bma_se!H43/data!$K43</f>
        <v>0</v>
      </c>
      <c r="I43">
        <f>+bma_se!I43/data!$K43</f>
        <v>11.351764796717733</v>
      </c>
      <c r="J43">
        <f>+bma_se!J43/data!$K43</f>
        <v>11.351764796717733</v>
      </c>
      <c r="K43">
        <f>+bma_se!K43/data!$K43</f>
        <v>0</v>
      </c>
      <c r="L43">
        <f>+bma_se!L43/data!$K43</f>
        <v>0</v>
      </c>
      <c r="M43">
        <f>+bma_se!M43/data!$K43</f>
        <v>0</v>
      </c>
      <c r="N43">
        <f>+bma_se!N43/data!$K43</f>
        <v>0</v>
      </c>
      <c r="O43">
        <f>+bma_se!O43/data!$K43</f>
        <v>0</v>
      </c>
      <c r="P43">
        <f>+bma_se!P43/data!$K43</f>
        <v>11.351764796717733</v>
      </c>
      <c r="Q43">
        <f>+bma_se!Q43/data!$K43</f>
        <v>86.272299982104698</v>
      </c>
      <c r="R43">
        <f>+bma_se!R43/data!$K43</f>
        <v>36.985139477126857</v>
      </c>
      <c r="S43">
        <f>+bma_se!S43/data!$K43</f>
        <v>11.351764796717733</v>
      </c>
    </row>
    <row r="44" spans="1:19" x14ac:dyDescent="0.25">
      <c r="A44">
        <f>+bma_se!A44/data!$K44</f>
        <v>1.7083333333333321</v>
      </c>
      <c r="B44">
        <f>+bma_se!B44/data!$K44</f>
        <v>11.295356100824996</v>
      </c>
      <c r="C44">
        <f>+bma_se!C44/data!$K44</f>
        <v>11.295356100824996</v>
      </c>
      <c r="D44">
        <f>+bma_se!D44/data!$K44</f>
        <v>11.295356100824996</v>
      </c>
      <c r="E44">
        <f>+bma_se!E44/data!$K44</f>
        <v>0</v>
      </c>
      <c r="F44">
        <f>+bma_se!F44/data!$K44</f>
        <v>0</v>
      </c>
      <c r="G44">
        <f>+bma_se!G44/data!$K44</f>
        <v>11.295356100824996</v>
      </c>
      <c r="H44">
        <f>+bma_se!H44/data!$K44</f>
        <v>0</v>
      </c>
      <c r="I44">
        <f>+bma_se!I44/data!$K44</f>
        <v>11.295356100824996</v>
      </c>
      <c r="J44">
        <f>+bma_se!J44/data!$K44</f>
        <v>11.295356100824996</v>
      </c>
      <c r="K44">
        <f>+bma_se!K44/data!$K44</f>
        <v>0</v>
      </c>
      <c r="L44">
        <f>+bma_se!L44/data!$K44</f>
        <v>0</v>
      </c>
      <c r="M44">
        <f>+bma_se!M44/data!$K44</f>
        <v>0</v>
      </c>
      <c r="N44">
        <f>+bma_se!N44/data!$K44</f>
        <v>11.295356100824996</v>
      </c>
      <c r="O44">
        <f>+bma_se!O44/data!$K44</f>
        <v>0</v>
      </c>
      <c r="P44">
        <f>+bma_se!P44/data!$K44</f>
        <v>11.295356100824996</v>
      </c>
      <c r="Q44">
        <f>+bma_se!Q44/data!$K44</f>
        <v>85.843599421372076</v>
      </c>
      <c r="R44">
        <f>+bma_se!R44/data!$K44</f>
        <v>36.801354530673514</v>
      </c>
      <c r="S44">
        <f>+bma_se!S44/data!$K44</f>
        <v>11.295356100824996</v>
      </c>
    </row>
    <row r="45" spans="1:19" x14ac:dyDescent="0.25">
      <c r="A45">
        <f>+bma_se!A45/data!$K45</f>
        <v>-0.30200000000000027</v>
      </c>
      <c r="B45">
        <f>+bma_se!B45/data!$K45</f>
        <v>11.164531318221805</v>
      </c>
      <c r="C45">
        <f>+bma_se!C45/data!$K45</f>
        <v>11.164531318221805</v>
      </c>
      <c r="D45">
        <f>+bma_se!D45/data!$K45</f>
        <v>11.164531318221805</v>
      </c>
      <c r="E45">
        <f>+bma_se!E45/data!$K45</f>
        <v>0</v>
      </c>
      <c r="F45">
        <f>+bma_se!F45/data!$K45</f>
        <v>0</v>
      </c>
      <c r="G45">
        <f>+bma_se!G45/data!$K45</f>
        <v>11.164531318221805</v>
      </c>
      <c r="H45">
        <f>+bma_se!H45/data!$K45</f>
        <v>0</v>
      </c>
      <c r="I45">
        <f>+bma_se!I45/data!$K45</f>
        <v>11.164531318221805</v>
      </c>
      <c r="J45">
        <f>+bma_se!J45/data!$K45</f>
        <v>11.164531318221805</v>
      </c>
      <c r="K45">
        <f>+bma_se!K45/data!$K45</f>
        <v>0</v>
      </c>
      <c r="L45">
        <f>+bma_se!L45/data!$K45</f>
        <v>0</v>
      </c>
      <c r="M45">
        <f>+bma_se!M45/data!$K45</f>
        <v>0</v>
      </c>
      <c r="N45">
        <f>+bma_se!N45/data!$K45</f>
        <v>0</v>
      </c>
      <c r="O45">
        <f>+bma_se!O45/data!$K45</f>
        <v>11.164531318221805</v>
      </c>
      <c r="P45">
        <f>+bma_se!P45/data!$K45</f>
        <v>11.164531318221805</v>
      </c>
      <c r="Q45">
        <f>+bma_se!Q45/data!$K45</f>
        <v>84.849343894416549</v>
      </c>
      <c r="R45">
        <f>+bma_se!R45/data!$K45</f>
        <v>36.375114829773196</v>
      </c>
      <c r="S45">
        <f>+bma_se!S45/data!$K45</f>
        <v>11.164531318221805</v>
      </c>
    </row>
    <row r="46" spans="1:19" x14ac:dyDescent="0.25">
      <c r="A46">
        <f>+bma_se!A46/data!$K46</f>
        <v>-0.78212290502793302</v>
      </c>
      <c r="B46">
        <f>+bma_se!B46/data!$K46</f>
        <v>4.6353766015901376</v>
      </c>
      <c r="C46">
        <f>+bma_se!C46/data!$K46</f>
        <v>4.6353766015901376</v>
      </c>
      <c r="D46">
        <f>+bma_se!D46/data!$K46</f>
        <v>4.6353766015901376</v>
      </c>
      <c r="E46">
        <f>+bma_se!E46/data!$K46</f>
        <v>0</v>
      </c>
      <c r="F46">
        <f>+bma_se!F46/data!$K46</f>
        <v>4.6353766015901376</v>
      </c>
      <c r="G46">
        <f>+bma_se!G46/data!$K46</f>
        <v>0</v>
      </c>
      <c r="H46">
        <f>+bma_se!H46/data!$K46</f>
        <v>4.6353766015901376</v>
      </c>
      <c r="I46">
        <f>+bma_se!I46/data!$K46</f>
        <v>4.6353766015901376</v>
      </c>
      <c r="J46">
        <f>+bma_se!J46/data!$K46</f>
        <v>0</v>
      </c>
      <c r="K46">
        <f>+bma_se!K46/data!$K46</f>
        <v>4.6353766015901376</v>
      </c>
      <c r="L46">
        <f>+bma_se!L46/data!$K46</f>
        <v>4.6353766015901376</v>
      </c>
      <c r="M46">
        <f>+bma_se!M46/data!$K46</f>
        <v>0</v>
      </c>
      <c r="N46">
        <f>+bma_se!N46/data!$K46</f>
        <v>0</v>
      </c>
      <c r="O46">
        <f>+bma_se!O46/data!$K46</f>
        <v>4.6353766015901376</v>
      </c>
      <c r="P46">
        <f>+bma_se!P46/data!$K46</f>
        <v>0</v>
      </c>
      <c r="Q46">
        <f>+bma_se!Q46/data!$K46</f>
        <v>35.263075886781387</v>
      </c>
      <c r="R46">
        <f>+bma_se!R46/data!$K46</f>
        <v>5.092480359026144</v>
      </c>
      <c r="S46">
        <f>+bma_se!S46/data!$K46</f>
        <v>4.6353766015901376</v>
      </c>
    </row>
    <row r="47" spans="1:19" x14ac:dyDescent="0.25">
      <c r="A47">
        <f>+bma_se!A47/data!$K47</f>
        <v>-0.72549019607843135</v>
      </c>
      <c r="B47">
        <f>+bma_se!B47/data!$K47</f>
        <v>4.6396482651819539</v>
      </c>
      <c r="C47">
        <f>+bma_se!C47/data!$K47</f>
        <v>4.6396482651819539</v>
      </c>
      <c r="D47">
        <f>+bma_se!D47/data!$K47</f>
        <v>0</v>
      </c>
      <c r="E47">
        <f>+bma_se!E47/data!$K47</f>
        <v>0</v>
      </c>
      <c r="F47">
        <f>+bma_se!F47/data!$K47</f>
        <v>4.6396482651819539</v>
      </c>
      <c r="G47">
        <f>+bma_se!G47/data!$K47</f>
        <v>0</v>
      </c>
      <c r="H47">
        <f>+bma_se!H47/data!$K47</f>
        <v>4.6396482651819539</v>
      </c>
      <c r="I47">
        <f>+bma_se!I47/data!$K47</f>
        <v>4.6396482651819539</v>
      </c>
      <c r="J47">
        <f>+bma_se!J47/data!$K47</f>
        <v>0</v>
      </c>
      <c r="K47">
        <f>+bma_se!K47/data!$K47</f>
        <v>4.6396482651819539</v>
      </c>
      <c r="L47">
        <f>+bma_se!L47/data!$K47</f>
        <v>4.6396482651819539</v>
      </c>
      <c r="M47">
        <f>+bma_se!M47/data!$K47</f>
        <v>0</v>
      </c>
      <c r="N47">
        <f>+bma_se!N47/data!$K47</f>
        <v>0</v>
      </c>
      <c r="O47">
        <f>+bma_se!O47/data!$K47</f>
        <v>4.6396482651819539</v>
      </c>
      <c r="P47">
        <f>+bma_se!P47/data!$K47</f>
        <v>0</v>
      </c>
      <c r="Q47">
        <f>+bma_se!Q47/data!$K47</f>
        <v>35.295572059228164</v>
      </c>
      <c r="R47">
        <f>+bma_se!R47/data!$K47</f>
        <v>5.097173259908077</v>
      </c>
      <c r="S47">
        <f>+bma_se!S47/data!$K47</f>
        <v>4.6396482651819539</v>
      </c>
    </row>
    <row r="48" spans="1:19" x14ac:dyDescent="0.25">
      <c r="A48">
        <f>+bma_se!A48/data!$K48</f>
        <v>-0.60496183206106868</v>
      </c>
      <c r="B48">
        <f>+bma_se!B48/data!$K48</f>
        <v>4.6087936402328413</v>
      </c>
      <c r="C48">
        <f>+bma_se!C48/data!$K48</f>
        <v>4.6087936402328413</v>
      </c>
      <c r="D48">
        <f>+bma_se!D48/data!$K48</f>
        <v>4.6087936402328413</v>
      </c>
      <c r="E48">
        <f>+bma_se!E48/data!$K48</f>
        <v>0</v>
      </c>
      <c r="F48">
        <f>+bma_se!F48/data!$K48</f>
        <v>4.6087936402328413</v>
      </c>
      <c r="G48">
        <f>+bma_se!G48/data!$K48</f>
        <v>0</v>
      </c>
      <c r="H48">
        <f>+bma_se!H48/data!$K48</f>
        <v>4.6087936402328413</v>
      </c>
      <c r="I48">
        <f>+bma_se!I48/data!$K48</f>
        <v>4.6087936402328413</v>
      </c>
      <c r="J48">
        <f>+bma_se!J48/data!$K48</f>
        <v>0</v>
      </c>
      <c r="K48">
        <f>+bma_se!K48/data!$K48</f>
        <v>4.6087936402328413</v>
      </c>
      <c r="L48">
        <f>+bma_se!L48/data!$K48</f>
        <v>0</v>
      </c>
      <c r="M48">
        <f>+bma_se!M48/data!$K48</f>
        <v>4.6087936402328413</v>
      </c>
      <c r="N48">
        <f>+bma_se!N48/data!$K48</f>
        <v>0</v>
      </c>
      <c r="O48">
        <f>+bma_se!O48/data!$K48</f>
        <v>4.6087936402328413</v>
      </c>
      <c r="P48">
        <f>+bma_se!P48/data!$K48</f>
        <v>0</v>
      </c>
      <c r="Q48">
        <f>+bma_se!Q48/data!$K48</f>
        <v>35.060849171628149</v>
      </c>
      <c r="R48">
        <f>+bma_se!R48/data!$K48</f>
        <v>5.0632759986834817</v>
      </c>
      <c r="S48">
        <f>+bma_se!S48/data!$K48</f>
        <v>4.6087936402328413</v>
      </c>
    </row>
    <row r="49" spans="1:19" x14ac:dyDescent="0.25">
      <c r="A49">
        <f>+bma_se!A49/data!$K49</f>
        <v>-0.76099210822998875</v>
      </c>
      <c r="B49">
        <f>+bma_se!B49/data!$K49</f>
        <v>4.6453319567914972</v>
      </c>
      <c r="C49">
        <f>+bma_se!C49/data!$K49</f>
        <v>4.6453319567914972</v>
      </c>
      <c r="D49">
        <f>+bma_se!D49/data!$K49</f>
        <v>0</v>
      </c>
      <c r="E49">
        <f>+bma_se!E49/data!$K49</f>
        <v>0</v>
      </c>
      <c r="F49">
        <f>+bma_se!F49/data!$K49</f>
        <v>4.6453319567914972</v>
      </c>
      <c r="G49">
        <f>+bma_se!G49/data!$K49</f>
        <v>0</v>
      </c>
      <c r="H49">
        <f>+bma_se!H49/data!$K49</f>
        <v>4.6453319567914972</v>
      </c>
      <c r="I49">
        <f>+bma_se!I49/data!$K49</f>
        <v>4.6453319567914972</v>
      </c>
      <c r="J49">
        <f>+bma_se!J49/data!$K49</f>
        <v>0</v>
      </c>
      <c r="K49">
        <f>+bma_se!K49/data!$K49</f>
        <v>4.6453319567914972</v>
      </c>
      <c r="L49">
        <f>+bma_se!L49/data!$K49</f>
        <v>0</v>
      </c>
      <c r="M49">
        <f>+bma_se!M49/data!$K49</f>
        <v>4.6453319567914972</v>
      </c>
      <c r="N49">
        <f>+bma_se!N49/data!$K49</f>
        <v>0</v>
      </c>
      <c r="O49">
        <f>+bma_se!O49/data!$K49</f>
        <v>4.6453319567914972</v>
      </c>
      <c r="P49">
        <f>+bma_se!P49/data!$K49</f>
        <v>0</v>
      </c>
      <c r="Q49">
        <f>+bma_se!Q49/data!$K49</f>
        <v>35.338810066788461</v>
      </c>
      <c r="R49">
        <f>+bma_se!R49/data!$K49</f>
        <v>5.1034174317146199</v>
      </c>
      <c r="S49">
        <f>+bma_se!S49/data!$K49</f>
        <v>4.6453319567914972</v>
      </c>
    </row>
    <row r="50" spans="1:19" x14ac:dyDescent="0.25">
      <c r="A50">
        <f>+bma_se!A50/data!$K50</f>
        <v>-0.27700831024930744</v>
      </c>
      <c r="B50">
        <f>+bma_se!B50/data!$K50</f>
        <v>1.8466366554578382</v>
      </c>
      <c r="C50">
        <f>+bma_se!C50/data!$K50</f>
        <v>0</v>
      </c>
      <c r="D50">
        <f>+bma_se!D50/data!$K50</f>
        <v>1.8466366554578382</v>
      </c>
      <c r="E50">
        <f>+bma_se!E50/data!$K50</f>
        <v>0</v>
      </c>
      <c r="F50">
        <f>+bma_se!F50/data!$K50</f>
        <v>0</v>
      </c>
      <c r="G50">
        <f>+bma_se!G50/data!$K50</f>
        <v>1.8466366554578382</v>
      </c>
      <c r="H50">
        <f>+bma_se!H50/data!$K50</f>
        <v>0</v>
      </c>
      <c r="I50">
        <f>+bma_se!I50/data!$K50</f>
        <v>1.8466366554578382</v>
      </c>
      <c r="J50">
        <f>+bma_se!J50/data!$K50</f>
        <v>0</v>
      </c>
      <c r="K50">
        <f>+bma_se!K50/data!$K50</f>
        <v>0</v>
      </c>
      <c r="L50">
        <f>+bma_se!L50/data!$K50</f>
        <v>0</v>
      </c>
      <c r="M50">
        <f>+bma_se!M50/data!$K50</f>
        <v>0</v>
      </c>
      <c r="N50">
        <f>+bma_se!N50/data!$K50</f>
        <v>1.8466366554578382</v>
      </c>
      <c r="O50">
        <f>+bma_se!O50/data!$K50</f>
        <v>0</v>
      </c>
      <c r="P50">
        <f>+bma_se!P50/data!$K50</f>
        <v>1.8466366554578382</v>
      </c>
      <c r="Q50">
        <f>+bma_se!Q50/data!$K50</f>
        <v>14.039795674417055</v>
      </c>
      <c r="R50">
        <f>+bma_se!R50/data!$K50</f>
        <v>6.9455697885080214</v>
      </c>
      <c r="S50">
        <f>+bma_se!S50/data!$K50</f>
        <v>1.8466366554578382</v>
      </c>
    </row>
    <row r="51" spans="1:19" x14ac:dyDescent="0.25">
      <c r="A51">
        <f>+bma_se!A51/data!$K51</f>
        <v>-0.80785562632696395</v>
      </c>
      <c r="B51">
        <f>+bma_se!B51/data!$K51</f>
        <v>3.1157962495233362</v>
      </c>
      <c r="C51">
        <f>+bma_se!C51/data!$K51</f>
        <v>0</v>
      </c>
      <c r="D51">
        <f>+bma_se!D51/data!$K51</f>
        <v>3.1157962495233362</v>
      </c>
      <c r="E51">
        <f>+bma_se!E51/data!$K51</f>
        <v>0</v>
      </c>
      <c r="F51">
        <f>+bma_se!F51/data!$K51</f>
        <v>0</v>
      </c>
      <c r="G51">
        <f>+bma_se!G51/data!$K51</f>
        <v>3.1157962495233362</v>
      </c>
      <c r="H51">
        <f>+bma_se!H51/data!$K51</f>
        <v>0</v>
      </c>
      <c r="I51">
        <f>+bma_se!I51/data!$K51</f>
        <v>0</v>
      </c>
      <c r="J51">
        <f>+bma_se!J51/data!$K51</f>
        <v>0</v>
      </c>
      <c r="K51">
        <f>+bma_se!K51/data!$K51</f>
        <v>0</v>
      </c>
      <c r="L51">
        <f>+bma_se!L51/data!$K51</f>
        <v>0</v>
      </c>
      <c r="M51">
        <f>+bma_se!M51/data!$K51</f>
        <v>0</v>
      </c>
      <c r="N51">
        <f>+bma_se!N51/data!$K51</f>
        <v>3.1157962495233362</v>
      </c>
      <c r="O51">
        <f>+bma_se!O51/data!$K51</f>
        <v>0</v>
      </c>
      <c r="P51">
        <f>+bma_se!P51/data!$K51</f>
        <v>3.1157962495233362</v>
      </c>
      <c r="Q51">
        <f>+bma_se!Q51/data!$K51</f>
        <v>23.689090421297223</v>
      </c>
      <c r="R51">
        <f>+bma_se!R51/data!$K51</f>
        <v>11.719132853707173</v>
      </c>
      <c r="S51">
        <f>+bma_se!S51/data!$K51</f>
        <v>3.1157962495233362</v>
      </c>
    </row>
    <row r="52" spans="1:19" x14ac:dyDescent="0.25">
      <c r="A52">
        <f>+bma_se!A52/data!$K52</f>
        <v>-0.27700831024930744</v>
      </c>
      <c r="B52">
        <f>+bma_se!B52/data!$K52</f>
        <v>1.8616182457303283</v>
      </c>
      <c r="C52">
        <f>+bma_se!C52/data!$K52</f>
        <v>0</v>
      </c>
      <c r="D52">
        <f>+bma_se!D52/data!$K52</f>
        <v>1.8616182457303283</v>
      </c>
      <c r="E52">
        <f>+bma_se!E52/data!$K52</f>
        <v>0</v>
      </c>
      <c r="F52">
        <f>+bma_se!F52/data!$K52</f>
        <v>0</v>
      </c>
      <c r="G52">
        <f>+bma_se!G52/data!$K52</f>
        <v>0</v>
      </c>
      <c r="H52">
        <f>+bma_se!H52/data!$K52</f>
        <v>0</v>
      </c>
      <c r="I52">
        <f>+bma_se!I52/data!$K52</f>
        <v>0</v>
      </c>
      <c r="J52">
        <f>+bma_se!J52/data!$K52</f>
        <v>0</v>
      </c>
      <c r="K52">
        <f>+bma_se!K52/data!$K52</f>
        <v>0</v>
      </c>
      <c r="L52">
        <f>+bma_se!L52/data!$K52</f>
        <v>0</v>
      </c>
      <c r="M52">
        <f>+bma_se!M52/data!$K52</f>
        <v>0</v>
      </c>
      <c r="N52">
        <f>+bma_se!N52/data!$K52</f>
        <v>1.8616182457303283</v>
      </c>
      <c r="O52">
        <f>+bma_se!O52/data!$K52</f>
        <v>0</v>
      </c>
      <c r="P52">
        <f>+bma_se!P52/data!$K52</f>
        <v>1.8616182457303283</v>
      </c>
      <c r="Q52">
        <f>+bma_se!Q52/data!$K52</f>
        <v>14.153699222081357</v>
      </c>
      <c r="R52">
        <f>+bma_se!R52/data!$K52</f>
        <v>7.001918545840911</v>
      </c>
      <c r="S52">
        <f>+bma_se!S52/data!$K52</f>
        <v>1.8616182457303283</v>
      </c>
    </row>
    <row r="53" spans="1:19" x14ac:dyDescent="0.25">
      <c r="A53">
        <f>+bma_se!A53/data!$K53</f>
        <v>-0.92836257309941528</v>
      </c>
      <c r="B53">
        <f>+bma_se!B53/data!$K53</f>
        <v>2.2300152865491474</v>
      </c>
      <c r="C53">
        <f>+bma_se!C53/data!$K53</f>
        <v>0</v>
      </c>
      <c r="D53">
        <f>+bma_se!D53/data!$K53</f>
        <v>2.2300152865491474</v>
      </c>
      <c r="E53">
        <f>+bma_se!E53/data!$K53</f>
        <v>0</v>
      </c>
      <c r="F53">
        <f>+bma_se!F53/data!$K53</f>
        <v>0</v>
      </c>
      <c r="G53">
        <f>+bma_se!G53/data!$K53</f>
        <v>2.2300152865491474</v>
      </c>
      <c r="H53">
        <f>+bma_se!H53/data!$K53</f>
        <v>0</v>
      </c>
      <c r="I53">
        <f>+bma_se!I53/data!$K53</f>
        <v>2.2300152865491474</v>
      </c>
      <c r="J53">
        <f>+bma_se!J53/data!$K53</f>
        <v>0</v>
      </c>
      <c r="K53">
        <f>+bma_se!K53/data!$K53</f>
        <v>0</v>
      </c>
      <c r="L53">
        <f>+bma_se!L53/data!$K53</f>
        <v>0</v>
      </c>
      <c r="M53">
        <f>+bma_se!M53/data!$K53</f>
        <v>0</v>
      </c>
      <c r="N53">
        <f>+bma_se!N53/data!$K53</f>
        <v>2.2300152865491474</v>
      </c>
      <c r="O53">
        <f>+bma_se!O53/data!$K53</f>
        <v>0</v>
      </c>
      <c r="P53">
        <f>+bma_se!P53/data!$K53</f>
        <v>2.2300152865491474</v>
      </c>
      <c r="Q53">
        <f>+bma_se!Q53/data!$K53</f>
        <v>16.954585452119801</v>
      </c>
      <c r="R53">
        <f>+bma_se!R53/data!$K53</f>
        <v>8.387533495768654</v>
      </c>
      <c r="S53">
        <f>+bma_se!S53/data!$K53</f>
        <v>2.2300152865491474</v>
      </c>
    </row>
    <row r="54" spans="1:19" x14ac:dyDescent="0.25">
      <c r="A54">
        <f>+bma_se!A54/data!$K54</f>
        <v>-1.5485564304461941</v>
      </c>
      <c r="B54">
        <f>+bma_se!B54/data!$K54</f>
        <v>3.4654203394952496</v>
      </c>
      <c r="C54">
        <f>+bma_se!C54/data!$K54</f>
        <v>0</v>
      </c>
      <c r="D54">
        <f>+bma_se!D54/data!$K54</f>
        <v>3.4654203394952496</v>
      </c>
      <c r="E54">
        <f>+bma_se!E54/data!$K54</f>
        <v>0</v>
      </c>
      <c r="F54">
        <f>+bma_se!F54/data!$K54</f>
        <v>0</v>
      </c>
      <c r="G54">
        <f>+bma_se!G54/data!$K54</f>
        <v>3.4654203394952496</v>
      </c>
      <c r="H54">
        <f>+bma_se!H54/data!$K54</f>
        <v>0</v>
      </c>
      <c r="I54">
        <f>+bma_se!I54/data!$K54</f>
        <v>0</v>
      </c>
      <c r="J54">
        <f>+bma_se!J54/data!$K54</f>
        <v>0</v>
      </c>
      <c r="K54">
        <f>+bma_se!K54/data!$K54</f>
        <v>0</v>
      </c>
      <c r="L54">
        <f>+bma_se!L54/data!$K54</f>
        <v>0</v>
      </c>
      <c r="M54">
        <f>+bma_se!M54/data!$K54</f>
        <v>0</v>
      </c>
      <c r="N54">
        <f>+bma_se!N54/data!$K54</f>
        <v>3.4654203394952496</v>
      </c>
      <c r="O54">
        <f>+bma_se!O54/data!$K54</f>
        <v>0</v>
      </c>
      <c r="P54">
        <f>+bma_se!P54/data!$K54</f>
        <v>3.4654203394952496</v>
      </c>
      <c r="Q54">
        <f>+bma_se!Q54/data!$K54</f>
        <v>26.347247764568774</v>
      </c>
      <c r="R54">
        <f>+bma_se!R54/data!$K54</f>
        <v>13.034138980909534</v>
      </c>
      <c r="S54">
        <f>+bma_se!S54/data!$K54</f>
        <v>3.4654203394952496</v>
      </c>
    </row>
    <row r="55" spans="1:19" x14ac:dyDescent="0.25">
      <c r="A55">
        <f>+bma_se!A55/data!$K55</f>
        <v>-1.4024390243902438</v>
      </c>
      <c r="B55">
        <f>+bma_se!B55/data!$K55</f>
        <v>3.4026381424188745</v>
      </c>
      <c r="C55">
        <f>+bma_se!C55/data!$K55</f>
        <v>0</v>
      </c>
      <c r="D55">
        <f>+bma_se!D55/data!$K55</f>
        <v>3.4026381424188745</v>
      </c>
      <c r="E55">
        <f>+bma_se!E55/data!$K55</f>
        <v>0</v>
      </c>
      <c r="F55">
        <f>+bma_se!F55/data!$K55</f>
        <v>0</v>
      </c>
      <c r="G55">
        <f>+bma_se!G55/data!$K55</f>
        <v>0</v>
      </c>
      <c r="H55">
        <f>+bma_se!H55/data!$K55</f>
        <v>0</v>
      </c>
      <c r="I55">
        <f>+bma_se!I55/data!$K55</f>
        <v>0</v>
      </c>
      <c r="J55">
        <f>+bma_se!J55/data!$K55</f>
        <v>0</v>
      </c>
      <c r="K55">
        <f>+bma_se!K55/data!$K55</f>
        <v>0</v>
      </c>
      <c r="L55">
        <f>+bma_se!L55/data!$K55</f>
        <v>0</v>
      </c>
      <c r="M55">
        <f>+bma_se!M55/data!$K55</f>
        <v>0</v>
      </c>
      <c r="N55">
        <f>+bma_se!N55/data!$K55</f>
        <v>3.4026381424188745</v>
      </c>
      <c r="O55">
        <f>+bma_se!O55/data!$K55</f>
        <v>0</v>
      </c>
      <c r="P55">
        <f>+bma_se!P55/data!$K55</f>
        <v>3.4026381424188745</v>
      </c>
      <c r="Q55">
        <f>+bma_se!Q55/data!$K55</f>
        <v>25.8699209356346</v>
      </c>
      <c r="R55">
        <f>+bma_se!R55/data!$K55</f>
        <v>12.79800258126587</v>
      </c>
      <c r="S55">
        <f>+bma_se!S55/data!$K55</f>
        <v>3.4026381424188745</v>
      </c>
    </row>
    <row r="56" spans="1:19" x14ac:dyDescent="0.25">
      <c r="A56">
        <f>+bma_se!A56/data!$K56</f>
        <v>-2.9216467463479412</v>
      </c>
      <c r="B56">
        <f>+bma_se!B56/data!$K56</f>
        <v>21.366703529333805</v>
      </c>
      <c r="C56">
        <f>+bma_se!C56/data!$K56</f>
        <v>21.366703529333805</v>
      </c>
      <c r="D56">
        <f>+bma_se!D56/data!$K56</f>
        <v>21.366703529333805</v>
      </c>
      <c r="E56">
        <f>+bma_se!E56/data!$K56</f>
        <v>0</v>
      </c>
      <c r="F56">
        <f>+bma_se!F56/data!$K56</f>
        <v>0</v>
      </c>
      <c r="G56">
        <f>+bma_se!G56/data!$K56</f>
        <v>21.366703529333805</v>
      </c>
      <c r="H56">
        <f>+bma_se!H56/data!$K56</f>
        <v>0</v>
      </c>
      <c r="I56">
        <f>+bma_se!I56/data!$K56</f>
        <v>21.366703529333805</v>
      </c>
      <c r="J56">
        <f>+bma_se!J56/data!$K56</f>
        <v>0</v>
      </c>
      <c r="K56">
        <f>+bma_se!K56/data!$K56</f>
        <v>21.366703529333805</v>
      </c>
      <c r="L56">
        <f>+bma_se!L56/data!$K56</f>
        <v>0</v>
      </c>
      <c r="M56">
        <f>+bma_se!M56/data!$K56</f>
        <v>0</v>
      </c>
      <c r="N56">
        <f>+bma_se!N56/data!$K56</f>
        <v>0</v>
      </c>
      <c r="O56">
        <f>+bma_se!O56/data!$K56</f>
        <v>21.366703529333805</v>
      </c>
      <c r="P56">
        <f>+bma_se!P56/data!$K56</f>
        <v>21.366703529333805</v>
      </c>
      <c r="Q56">
        <f>+bma_se!Q56/data!$K56</f>
        <v>162.05074174290283</v>
      </c>
      <c r="R56">
        <f>+bma_se!R56/data!$K56</f>
        <v>121.43936884525102</v>
      </c>
      <c r="S56">
        <f>+bma_se!S56/data!$K56</f>
        <v>21.366703529333805</v>
      </c>
    </row>
    <row r="57" spans="1:19" x14ac:dyDescent="0.25">
      <c r="A57">
        <f>+bma_se!A57/data!$K57</f>
        <v>-3.7239583333333333E-2</v>
      </c>
      <c r="B57">
        <f>+bma_se!B57/data!$K57</f>
        <v>0.32616987378793932</v>
      </c>
      <c r="C57">
        <f>+bma_se!C57/data!$K57</f>
        <v>0</v>
      </c>
      <c r="D57">
        <f>+bma_se!D57/data!$K57</f>
        <v>0.32616987378793932</v>
      </c>
      <c r="E57">
        <f>+bma_se!E57/data!$K57</f>
        <v>0</v>
      </c>
      <c r="F57">
        <f>+bma_se!F57/data!$K57</f>
        <v>0</v>
      </c>
      <c r="G57">
        <f>+bma_se!G57/data!$K57</f>
        <v>0.32616987378793932</v>
      </c>
      <c r="H57">
        <f>+bma_se!H57/data!$K57</f>
        <v>0.32616987378793932</v>
      </c>
      <c r="I57">
        <f>+bma_se!I57/data!$K57</f>
        <v>0.32616987378793932</v>
      </c>
      <c r="J57">
        <f>+bma_se!J57/data!$K57</f>
        <v>0</v>
      </c>
      <c r="K57">
        <f>+bma_se!K57/data!$K57</f>
        <v>0.32616987378793932</v>
      </c>
      <c r="L57">
        <f>+bma_se!L57/data!$K57</f>
        <v>0.32616987378793932</v>
      </c>
      <c r="M57">
        <f>+bma_se!M57/data!$K57</f>
        <v>0</v>
      </c>
      <c r="N57">
        <f>+bma_se!N57/data!$K57</f>
        <v>0</v>
      </c>
      <c r="O57">
        <f>+bma_se!O57/data!$K57</f>
        <v>0</v>
      </c>
      <c r="P57">
        <f>+bma_se!P57/data!$K57</f>
        <v>0</v>
      </c>
      <c r="Q57">
        <f>+bma_se!Q57/data!$K57</f>
        <v>2.4795114158882834</v>
      </c>
      <c r="R57">
        <f>+bma_se!R57/data!$K57</f>
        <v>0.99303168265447839</v>
      </c>
      <c r="S57">
        <f>+bma_se!S57/data!$K57</f>
        <v>0</v>
      </c>
    </row>
    <row r="58" spans="1:19" x14ac:dyDescent="0.25">
      <c r="A58">
        <f>+bma_se!A58/data!$K58</f>
        <v>-6.4554794520547951E-2</v>
      </c>
      <c r="B58">
        <f>+bma_se!B58/data!$K58</f>
        <v>0.32659963486750898</v>
      </c>
      <c r="C58">
        <f>+bma_se!C58/data!$K58</f>
        <v>0</v>
      </c>
      <c r="D58">
        <f>+bma_se!D58/data!$K58</f>
        <v>0.32659963486750898</v>
      </c>
      <c r="E58">
        <f>+bma_se!E58/data!$K58</f>
        <v>0</v>
      </c>
      <c r="F58">
        <f>+bma_se!F58/data!$K58</f>
        <v>0</v>
      </c>
      <c r="G58">
        <f>+bma_se!G58/data!$K58</f>
        <v>0.32659963486750898</v>
      </c>
      <c r="H58">
        <f>+bma_se!H58/data!$K58</f>
        <v>0.32659963486750898</v>
      </c>
      <c r="I58">
        <f>+bma_se!I58/data!$K58</f>
        <v>0.32659963486750898</v>
      </c>
      <c r="J58">
        <f>+bma_se!J58/data!$K58</f>
        <v>0</v>
      </c>
      <c r="K58">
        <f>+bma_se!K58/data!$K58</f>
        <v>0.32659963486750898</v>
      </c>
      <c r="L58">
        <f>+bma_se!L58/data!$K58</f>
        <v>0.32659963486750898</v>
      </c>
      <c r="M58">
        <f>+bma_se!M58/data!$K58</f>
        <v>0</v>
      </c>
      <c r="N58">
        <f>+bma_se!N58/data!$K58</f>
        <v>0</v>
      </c>
      <c r="O58">
        <f>+bma_se!O58/data!$K58</f>
        <v>0</v>
      </c>
      <c r="P58">
        <f>+bma_se!P58/data!$K58</f>
        <v>0</v>
      </c>
      <c r="Q58">
        <f>+bma_se!Q58/data!$K58</f>
        <v>2.4827784174985861</v>
      </c>
      <c r="R58">
        <f>+bma_se!R58/data!$K58</f>
        <v>0.99434010014573304</v>
      </c>
      <c r="S58">
        <f>+bma_se!S58/data!$K58</f>
        <v>0</v>
      </c>
    </row>
    <row r="59" spans="1:19" x14ac:dyDescent="0.25">
      <c r="A59">
        <f>+bma_se!A59/data!$K59</f>
        <v>-8.7022900763358779E-2</v>
      </c>
      <c r="B59">
        <f>+bma_se!B59/data!$K59</f>
        <v>0.33177249020566701</v>
      </c>
      <c r="C59">
        <f>+bma_se!C59/data!$K59</f>
        <v>0.33177249020566701</v>
      </c>
      <c r="D59">
        <f>+bma_se!D59/data!$K59</f>
        <v>0.33177249020566701</v>
      </c>
      <c r="E59">
        <f>+bma_se!E59/data!$K59</f>
        <v>0</v>
      </c>
      <c r="F59">
        <f>+bma_se!F59/data!$K59</f>
        <v>0</v>
      </c>
      <c r="G59">
        <f>+bma_se!G59/data!$K59</f>
        <v>0.33177249020566701</v>
      </c>
      <c r="H59">
        <f>+bma_se!H59/data!$K59</f>
        <v>0.33177249020566701</v>
      </c>
      <c r="I59">
        <f>+bma_se!I59/data!$K59</f>
        <v>0.33177249020566701</v>
      </c>
      <c r="J59">
        <f>+bma_se!J59/data!$K59</f>
        <v>0</v>
      </c>
      <c r="K59">
        <f>+bma_se!K59/data!$K59</f>
        <v>0.33177249020566701</v>
      </c>
      <c r="L59">
        <f>+bma_se!L59/data!$K59</f>
        <v>0.33177249020566701</v>
      </c>
      <c r="M59">
        <f>+bma_se!M59/data!$K59</f>
        <v>0</v>
      </c>
      <c r="N59">
        <f>+bma_se!N59/data!$K59</f>
        <v>0</v>
      </c>
      <c r="O59">
        <f>+bma_se!O59/data!$K59</f>
        <v>0</v>
      </c>
      <c r="P59">
        <f>+bma_se!P59/data!$K59</f>
        <v>0</v>
      </c>
      <c r="Q59">
        <f>+bma_se!Q59/data!$K59</f>
        <v>2.5221019568394403</v>
      </c>
      <c r="R59">
        <f>+bma_se!R59/data!$K59</f>
        <v>1.0100889771984281</v>
      </c>
      <c r="S59">
        <f>+bma_se!S59/data!$K59</f>
        <v>0</v>
      </c>
    </row>
    <row r="60" spans="1:19" x14ac:dyDescent="0.25">
      <c r="A60">
        <f>+bma_se!A60/data!$K60</f>
        <v>-0.10324675324675325</v>
      </c>
      <c r="B60">
        <f>+bma_se!B60/data!$K60</f>
        <v>0.33265581620647477</v>
      </c>
      <c r="C60">
        <f>+bma_se!C60/data!$K60</f>
        <v>0.33265581620647477</v>
      </c>
      <c r="D60">
        <f>+bma_se!D60/data!$K60</f>
        <v>0.33265581620647477</v>
      </c>
      <c r="E60">
        <f>+bma_se!E60/data!$K60</f>
        <v>0</v>
      </c>
      <c r="F60">
        <f>+bma_se!F60/data!$K60</f>
        <v>0</v>
      </c>
      <c r="G60">
        <f>+bma_se!G60/data!$K60</f>
        <v>0.33265581620647477</v>
      </c>
      <c r="H60">
        <f>+bma_se!H60/data!$K60</f>
        <v>0.33265581620647477</v>
      </c>
      <c r="I60">
        <f>+bma_se!I60/data!$K60</f>
        <v>0.33265581620647477</v>
      </c>
      <c r="J60">
        <f>+bma_se!J60/data!$K60</f>
        <v>0</v>
      </c>
      <c r="K60">
        <f>+bma_se!K60/data!$K60</f>
        <v>0.33265581620647477</v>
      </c>
      <c r="L60">
        <f>+bma_se!L60/data!$K60</f>
        <v>0.33265581620647477</v>
      </c>
      <c r="M60">
        <f>+bma_se!M60/data!$K60</f>
        <v>0</v>
      </c>
      <c r="N60">
        <f>+bma_se!N60/data!$K60</f>
        <v>0</v>
      </c>
      <c r="O60">
        <f>+bma_se!O60/data!$K60</f>
        <v>0</v>
      </c>
      <c r="P60">
        <f>+bma_se!P60/data!$K60</f>
        <v>0</v>
      </c>
      <c r="Q60">
        <f>+bma_se!Q60/data!$K60</f>
        <v>2.528816914531633</v>
      </c>
      <c r="R60">
        <f>+bma_se!R60/data!$K60</f>
        <v>1.012778283524385</v>
      </c>
      <c r="S60">
        <f>+bma_se!S60/data!$K60</f>
        <v>0</v>
      </c>
    </row>
    <row r="61" spans="1:19" x14ac:dyDescent="0.25">
      <c r="A61">
        <f>+bma_se!A61/data!$K61</f>
        <v>-1.6923076923076923E-2</v>
      </c>
      <c r="B61">
        <f>+bma_se!B61/data!$K61</f>
        <v>0.31668026546114991</v>
      </c>
      <c r="C61">
        <f>+bma_se!C61/data!$K61</f>
        <v>0.31668026546114991</v>
      </c>
      <c r="D61">
        <f>+bma_se!D61/data!$K61</f>
        <v>0.31668026546114991</v>
      </c>
      <c r="E61">
        <f>+bma_se!E61/data!$K61</f>
        <v>0</v>
      </c>
      <c r="F61">
        <f>+bma_se!F61/data!$K61</f>
        <v>0</v>
      </c>
      <c r="G61">
        <f>+bma_se!G61/data!$K61</f>
        <v>0.31668026546114991</v>
      </c>
      <c r="H61">
        <f>+bma_se!H61/data!$K61</f>
        <v>0.31668026546114991</v>
      </c>
      <c r="I61">
        <f>+bma_se!I61/data!$K61</f>
        <v>0.31668026546114991</v>
      </c>
      <c r="J61">
        <f>+bma_se!J61/data!$K61</f>
        <v>0</v>
      </c>
      <c r="K61">
        <f>+bma_se!K61/data!$K61</f>
        <v>0.31668026546114991</v>
      </c>
      <c r="L61">
        <f>+bma_se!L61/data!$K61</f>
        <v>0.31668026546114991</v>
      </c>
      <c r="M61">
        <f>+bma_se!M61/data!$K61</f>
        <v>0</v>
      </c>
      <c r="N61">
        <f>+bma_se!N61/data!$K61</f>
        <v>0</v>
      </c>
      <c r="O61">
        <f>+bma_se!O61/data!$K61</f>
        <v>0</v>
      </c>
      <c r="P61">
        <f>+bma_se!P61/data!$K61</f>
        <v>0</v>
      </c>
      <c r="Q61">
        <f>+bma_se!Q61/data!$K61</f>
        <v>2.4073723433696461</v>
      </c>
      <c r="R61">
        <f>+bma_se!R61/data!$K61</f>
        <v>0.96414035184257629</v>
      </c>
      <c r="S61">
        <f>+bma_se!S61/data!$K61</f>
        <v>0</v>
      </c>
    </row>
    <row r="62" spans="1:19" x14ac:dyDescent="0.25">
      <c r="A62">
        <f>+bma_se!A62/data!$K62</f>
        <v>-3.6764705882352941E-3</v>
      </c>
      <c r="B62">
        <f>+bma_se!B62/data!$K62</f>
        <v>0.32405789056276063</v>
      </c>
      <c r="C62">
        <f>+bma_se!C62/data!$K62</f>
        <v>0</v>
      </c>
      <c r="D62">
        <f>+bma_se!D62/data!$K62</f>
        <v>0.32405789056276063</v>
      </c>
      <c r="E62">
        <f>+bma_se!E62/data!$K62</f>
        <v>0</v>
      </c>
      <c r="F62">
        <f>+bma_se!F62/data!$K62</f>
        <v>0</v>
      </c>
      <c r="G62">
        <f>+bma_se!G62/data!$K62</f>
        <v>0.32405789056276063</v>
      </c>
      <c r="H62">
        <f>+bma_se!H62/data!$K62</f>
        <v>0.32405789056276063</v>
      </c>
      <c r="I62">
        <f>+bma_se!I62/data!$K62</f>
        <v>0.32405789056276063</v>
      </c>
      <c r="J62">
        <f>+bma_se!J62/data!$K62</f>
        <v>0</v>
      </c>
      <c r="K62">
        <f>+bma_se!K62/data!$K62</f>
        <v>0.32405789056276063</v>
      </c>
      <c r="L62">
        <f>+bma_se!L62/data!$K62</f>
        <v>0</v>
      </c>
      <c r="M62">
        <f>+bma_se!M62/data!$K62</f>
        <v>0.32405789056276063</v>
      </c>
      <c r="N62">
        <f>+bma_se!N62/data!$K62</f>
        <v>0</v>
      </c>
      <c r="O62">
        <f>+bma_se!O62/data!$K62</f>
        <v>0</v>
      </c>
      <c r="P62">
        <f>+bma_se!P62/data!$K62</f>
        <v>0</v>
      </c>
      <c r="Q62">
        <f>+bma_se!Q62/data!$K62</f>
        <v>2.4634563263848315</v>
      </c>
      <c r="R62">
        <f>+bma_se!R62/data!$K62</f>
        <v>0.98660170114980761</v>
      </c>
      <c r="S62">
        <f>+bma_se!S62/data!$K62</f>
        <v>0</v>
      </c>
    </row>
    <row r="63" spans="1:19" x14ac:dyDescent="0.25">
      <c r="A63">
        <f>+bma_se!A63/data!$K63</f>
        <v>-2.3899371069182392E-2</v>
      </c>
      <c r="B63">
        <f>+bma_se!B63/data!$K63</f>
        <v>0.32104700580678597</v>
      </c>
      <c r="C63">
        <f>+bma_se!C63/data!$K63</f>
        <v>0</v>
      </c>
      <c r="D63">
        <f>+bma_se!D63/data!$K63</f>
        <v>0.32104700580678597</v>
      </c>
      <c r="E63">
        <f>+bma_se!E63/data!$K63</f>
        <v>0</v>
      </c>
      <c r="F63">
        <f>+bma_se!F63/data!$K63</f>
        <v>0</v>
      </c>
      <c r="G63">
        <f>+bma_se!G63/data!$K63</f>
        <v>0.32104700580678597</v>
      </c>
      <c r="H63">
        <f>+bma_se!H63/data!$K63</f>
        <v>0.32104700580678597</v>
      </c>
      <c r="I63">
        <f>+bma_se!I63/data!$K63</f>
        <v>0.32104700580678597</v>
      </c>
      <c r="J63">
        <f>+bma_se!J63/data!$K63</f>
        <v>0</v>
      </c>
      <c r="K63">
        <f>+bma_se!K63/data!$K63</f>
        <v>0.32104700580678597</v>
      </c>
      <c r="L63">
        <f>+bma_se!L63/data!$K63</f>
        <v>0</v>
      </c>
      <c r="M63">
        <f>+bma_se!M63/data!$K63</f>
        <v>0.32104700580678597</v>
      </c>
      <c r="N63">
        <f>+bma_se!N63/data!$K63</f>
        <v>0</v>
      </c>
      <c r="O63">
        <f>+bma_se!O63/data!$K63</f>
        <v>0</v>
      </c>
      <c r="P63">
        <f>+bma_se!P63/data!$K63</f>
        <v>0</v>
      </c>
      <c r="Q63">
        <f>+bma_se!Q63/data!$K63</f>
        <v>2.440567875536618</v>
      </c>
      <c r="R63">
        <f>+bma_se!R63/data!$K63</f>
        <v>0.97743499325989336</v>
      </c>
      <c r="S63">
        <f>+bma_se!S63/data!$K63</f>
        <v>0</v>
      </c>
    </row>
    <row r="64" spans="1:19" x14ac:dyDescent="0.25">
      <c r="A64">
        <f>+bma_se!A64/data!$K64</f>
        <v>-5.2464788732394373E-2</v>
      </c>
      <c r="B64">
        <f>+bma_se!B64/data!$K64</f>
        <v>0.324426500238089</v>
      </c>
      <c r="C64">
        <f>+bma_se!C64/data!$K64</f>
        <v>0.324426500238089</v>
      </c>
      <c r="D64">
        <f>+bma_se!D64/data!$K64</f>
        <v>0.324426500238089</v>
      </c>
      <c r="E64">
        <f>+bma_se!E64/data!$K64</f>
        <v>0</v>
      </c>
      <c r="F64">
        <f>+bma_se!F64/data!$K64</f>
        <v>0</v>
      </c>
      <c r="G64">
        <f>+bma_se!G64/data!$K64</f>
        <v>0.324426500238089</v>
      </c>
      <c r="H64">
        <f>+bma_se!H64/data!$K64</f>
        <v>0.324426500238089</v>
      </c>
      <c r="I64">
        <f>+bma_se!I64/data!$K64</f>
        <v>0.324426500238089</v>
      </c>
      <c r="J64">
        <f>+bma_se!J64/data!$K64</f>
        <v>0</v>
      </c>
      <c r="K64">
        <f>+bma_se!K64/data!$K64</f>
        <v>0.324426500238089</v>
      </c>
      <c r="L64">
        <f>+bma_se!L64/data!$K64</f>
        <v>0</v>
      </c>
      <c r="M64">
        <f>+bma_se!M64/data!$K64</f>
        <v>0.324426500238089</v>
      </c>
      <c r="N64">
        <f>+bma_se!N64/data!$K64</f>
        <v>0</v>
      </c>
      <c r="O64">
        <f>+bma_se!O64/data!$K64</f>
        <v>0</v>
      </c>
      <c r="P64">
        <f>+bma_se!P64/data!$K64</f>
        <v>0</v>
      </c>
      <c r="Q64">
        <f>+bma_se!Q64/data!$K64</f>
        <v>2.4662584610129294</v>
      </c>
      <c r="R64">
        <f>+bma_se!R64/data!$K64</f>
        <v>0.9877239417843674</v>
      </c>
      <c r="S64">
        <f>+bma_se!S64/data!$K64</f>
        <v>0</v>
      </c>
    </row>
    <row r="65" spans="1:19" x14ac:dyDescent="0.25">
      <c r="A65">
        <f>+bma_se!A65/data!$K65</f>
        <v>-6.4685314685314688E-2</v>
      </c>
      <c r="B65">
        <f>+bma_se!B65/data!$K65</f>
        <v>0.32277575797438413</v>
      </c>
      <c r="C65">
        <f>+bma_se!C65/data!$K65</f>
        <v>0.32277575797438413</v>
      </c>
      <c r="D65">
        <f>+bma_se!D65/data!$K65</f>
        <v>0.32277575797438413</v>
      </c>
      <c r="E65">
        <f>+bma_se!E65/data!$K65</f>
        <v>0</v>
      </c>
      <c r="F65">
        <f>+bma_se!F65/data!$K65</f>
        <v>0</v>
      </c>
      <c r="G65">
        <f>+bma_se!G65/data!$K65</f>
        <v>0.32277575797438413</v>
      </c>
      <c r="H65">
        <f>+bma_se!H65/data!$K65</f>
        <v>0.32277575797438413</v>
      </c>
      <c r="I65">
        <f>+bma_se!I65/data!$K65</f>
        <v>0.32277575797438413</v>
      </c>
      <c r="J65">
        <f>+bma_se!J65/data!$K65</f>
        <v>0</v>
      </c>
      <c r="K65">
        <f>+bma_se!K65/data!$K65</f>
        <v>0.32277575797438413</v>
      </c>
      <c r="L65">
        <f>+bma_se!L65/data!$K65</f>
        <v>0</v>
      </c>
      <c r="M65">
        <f>+bma_se!M65/data!$K65</f>
        <v>0.32277575797438413</v>
      </c>
      <c r="N65">
        <f>+bma_se!N65/data!$K65</f>
        <v>0</v>
      </c>
      <c r="O65">
        <f>+bma_se!O65/data!$K65</f>
        <v>0</v>
      </c>
      <c r="P65">
        <f>+bma_se!P65/data!$K65</f>
        <v>0</v>
      </c>
      <c r="Q65">
        <f>+bma_se!Q65/data!$K65</f>
        <v>2.4537096800969866</v>
      </c>
      <c r="R65">
        <f>+bma_se!R65/data!$K65</f>
        <v>0.98269821899544585</v>
      </c>
      <c r="S65">
        <f>+bma_se!S65/data!$K65</f>
        <v>0</v>
      </c>
    </row>
    <row r="66" spans="1:19" x14ac:dyDescent="0.25">
      <c r="A66">
        <f>+bma_se!A66/data!$K66</f>
        <v>1.0743801652892562E-2</v>
      </c>
      <c r="B66">
        <f>+bma_se!B66/data!$K66</f>
        <v>0.31641022308698663</v>
      </c>
      <c r="C66">
        <f>+bma_se!C66/data!$K66</f>
        <v>0.31641022308698663</v>
      </c>
      <c r="D66">
        <f>+bma_se!D66/data!$K66</f>
        <v>0.31641022308698663</v>
      </c>
      <c r="E66">
        <f>+bma_se!E66/data!$K66</f>
        <v>0</v>
      </c>
      <c r="F66">
        <f>+bma_se!F66/data!$K66</f>
        <v>0</v>
      </c>
      <c r="G66">
        <f>+bma_se!G66/data!$K66</f>
        <v>0.31641022308698663</v>
      </c>
      <c r="H66">
        <f>+bma_se!H66/data!$K66</f>
        <v>0.31641022308698663</v>
      </c>
      <c r="I66">
        <f>+bma_se!I66/data!$K66</f>
        <v>0.31641022308698663</v>
      </c>
      <c r="J66">
        <f>+bma_se!J66/data!$K66</f>
        <v>0</v>
      </c>
      <c r="K66">
        <f>+bma_se!K66/data!$K66</f>
        <v>0.31641022308698663</v>
      </c>
      <c r="L66">
        <f>+bma_se!L66/data!$K66</f>
        <v>0</v>
      </c>
      <c r="M66">
        <f>+bma_se!M66/data!$K66</f>
        <v>0.31641022308698663</v>
      </c>
      <c r="N66">
        <f>+bma_se!N66/data!$K66</f>
        <v>0</v>
      </c>
      <c r="O66">
        <f>+bma_se!O66/data!$K66</f>
        <v>0</v>
      </c>
      <c r="P66">
        <f>+bma_se!P66/data!$K66</f>
        <v>0</v>
      </c>
      <c r="Q66">
        <f>+bma_se!Q66/data!$K66</f>
        <v>2.4053195077054097</v>
      </c>
      <c r="R66">
        <f>+bma_se!R66/data!$K66</f>
        <v>0.96331820162346182</v>
      </c>
      <c r="S66">
        <f>+bma_se!S66/data!$K66</f>
        <v>0</v>
      </c>
    </row>
    <row r="67" spans="1:19" x14ac:dyDescent="0.25">
      <c r="A67">
        <f>+bma_se!A67/data!$K67</f>
        <v>-3.0538922155688618E-2</v>
      </c>
      <c r="B67">
        <f>+bma_se!B67/data!$K67</f>
        <v>0.32547292631865893</v>
      </c>
      <c r="C67">
        <f>+bma_se!C67/data!$K67</f>
        <v>0</v>
      </c>
      <c r="D67">
        <f>+bma_se!D67/data!$K67</f>
        <v>0.32547292631865893</v>
      </c>
      <c r="E67">
        <f>+bma_se!E67/data!$K67</f>
        <v>0</v>
      </c>
      <c r="F67">
        <f>+bma_se!F67/data!$K67</f>
        <v>0</v>
      </c>
      <c r="G67">
        <f>+bma_se!G67/data!$K67</f>
        <v>0.32547292631865893</v>
      </c>
      <c r="H67">
        <f>+bma_se!H67/data!$K67</f>
        <v>0.32547292631865893</v>
      </c>
      <c r="I67">
        <f>+bma_se!I67/data!$K67</f>
        <v>0.32547292631865893</v>
      </c>
      <c r="J67">
        <f>+bma_se!J67/data!$K67</f>
        <v>0</v>
      </c>
      <c r="K67">
        <f>+bma_se!K67/data!$K67</f>
        <v>0.32547292631865893</v>
      </c>
      <c r="L67">
        <f>+bma_se!L67/data!$K67</f>
        <v>0</v>
      </c>
      <c r="M67">
        <f>+bma_se!M67/data!$K67</f>
        <v>0</v>
      </c>
      <c r="N67">
        <f>+bma_se!N67/data!$K67</f>
        <v>0</v>
      </c>
      <c r="O67">
        <f>+bma_se!O67/data!$K67</f>
        <v>0</v>
      </c>
      <c r="P67">
        <f>+bma_se!P67/data!$K67</f>
        <v>0</v>
      </c>
      <c r="Q67">
        <f>+bma_se!Q67/data!$K67</f>
        <v>2.4742132895276656</v>
      </c>
      <c r="R67">
        <f>+bma_se!R67/data!$K67</f>
        <v>0.99090981005446233</v>
      </c>
      <c r="S67">
        <f>+bma_se!S67/data!$K67</f>
        <v>0</v>
      </c>
    </row>
    <row r="68" spans="1:19" x14ac:dyDescent="0.25">
      <c r="A68">
        <f>+bma_se!A68/data!$K68</f>
        <v>-5.9514170040485828E-2</v>
      </c>
      <c r="B68">
        <f>+bma_se!B68/data!$K68</f>
        <v>0.32564080892235825</v>
      </c>
      <c r="C68">
        <f>+bma_se!C68/data!$K68</f>
        <v>0</v>
      </c>
      <c r="D68">
        <f>+bma_se!D68/data!$K68</f>
        <v>0.32564080892235825</v>
      </c>
      <c r="E68">
        <f>+bma_se!E68/data!$K68</f>
        <v>0</v>
      </c>
      <c r="F68">
        <f>+bma_se!F68/data!$K68</f>
        <v>0</v>
      </c>
      <c r="G68">
        <f>+bma_se!G68/data!$K68</f>
        <v>0.32564080892235825</v>
      </c>
      <c r="H68">
        <f>+bma_se!H68/data!$K68</f>
        <v>0.32564080892235825</v>
      </c>
      <c r="I68">
        <f>+bma_se!I68/data!$K68</f>
        <v>0.32564080892235825</v>
      </c>
      <c r="J68">
        <f>+bma_se!J68/data!$K68</f>
        <v>0</v>
      </c>
      <c r="K68">
        <f>+bma_se!K68/data!$K68</f>
        <v>0.32564080892235825</v>
      </c>
      <c r="L68">
        <f>+bma_se!L68/data!$K68</f>
        <v>0</v>
      </c>
      <c r="M68">
        <f>+bma_se!M68/data!$K68</f>
        <v>0</v>
      </c>
      <c r="N68">
        <f>+bma_se!N68/data!$K68</f>
        <v>0</v>
      </c>
      <c r="O68">
        <f>+bma_se!O68/data!$K68</f>
        <v>0</v>
      </c>
      <c r="P68">
        <f>+bma_se!P68/data!$K68</f>
        <v>0</v>
      </c>
      <c r="Q68">
        <f>+bma_se!Q68/data!$K68</f>
        <v>2.4754895166284934</v>
      </c>
      <c r="R68">
        <f>+bma_se!R68/data!$K68</f>
        <v>0.99142093250272489</v>
      </c>
      <c r="S68">
        <f>+bma_se!S68/data!$K68</f>
        <v>0</v>
      </c>
    </row>
    <row r="69" spans="1:19" x14ac:dyDescent="0.25">
      <c r="A69">
        <f>+bma_se!A69/data!$K69</f>
        <v>-7.7307692307692313E-2</v>
      </c>
      <c r="B69">
        <f>+bma_se!B69/data!$K69</f>
        <v>0.32935767683468498</v>
      </c>
      <c r="C69">
        <f>+bma_se!C69/data!$K69</f>
        <v>0.32935767683468498</v>
      </c>
      <c r="D69">
        <f>+bma_se!D69/data!$K69</f>
        <v>0.32935767683468498</v>
      </c>
      <c r="E69">
        <f>+bma_se!E69/data!$K69</f>
        <v>0</v>
      </c>
      <c r="F69">
        <f>+bma_se!F69/data!$K69</f>
        <v>0</v>
      </c>
      <c r="G69">
        <f>+bma_se!G69/data!$K69</f>
        <v>0.32935767683468498</v>
      </c>
      <c r="H69">
        <f>+bma_se!H69/data!$K69</f>
        <v>0.32935767683468498</v>
      </c>
      <c r="I69">
        <f>+bma_se!I69/data!$K69</f>
        <v>0.32935767683468498</v>
      </c>
      <c r="J69">
        <f>+bma_se!J69/data!$K69</f>
        <v>0</v>
      </c>
      <c r="K69">
        <f>+bma_se!K69/data!$K69</f>
        <v>0.32935767683468498</v>
      </c>
      <c r="L69">
        <f>+bma_se!L69/data!$K69</f>
        <v>0</v>
      </c>
      <c r="M69">
        <f>+bma_se!M69/data!$K69</f>
        <v>0</v>
      </c>
      <c r="N69">
        <f>+bma_se!N69/data!$K69</f>
        <v>0</v>
      </c>
      <c r="O69">
        <f>+bma_se!O69/data!$K69</f>
        <v>0</v>
      </c>
      <c r="P69">
        <f>+bma_se!P69/data!$K69</f>
        <v>0</v>
      </c>
      <c r="Q69">
        <f>+bma_se!Q69/data!$K69</f>
        <v>2.5037447822449455</v>
      </c>
      <c r="R69">
        <f>+bma_se!R69/data!$K69</f>
        <v>1.0027370223497658</v>
      </c>
      <c r="S69">
        <f>+bma_se!S69/data!$K69</f>
        <v>0</v>
      </c>
    </row>
    <row r="70" spans="1:19" x14ac:dyDescent="0.25">
      <c r="A70">
        <f>+bma_se!A70/data!$K70</f>
        <v>-9.7619047619047619E-2</v>
      </c>
      <c r="B70">
        <f>+bma_se!B70/data!$K70</f>
        <v>0.33095238095238094</v>
      </c>
      <c r="C70">
        <f>+bma_se!C70/data!$K70</f>
        <v>0.33095238095238094</v>
      </c>
      <c r="D70">
        <f>+bma_se!D70/data!$K70</f>
        <v>0.33095238095238094</v>
      </c>
      <c r="E70">
        <f>+bma_se!E70/data!$K70</f>
        <v>0</v>
      </c>
      <c r="F70">
        <f>+bma_se!F70/data!$K70</f>
        <v>0</v>
      </c>
      <c r="G70">
        <f>+bma_se!G70/data!$K70</f>
        <v>0.33095238095238094</v>
      </c>
      <c r="H70">
        <f>+bma_se!H70/data!$K70</f>
        <v>0.33095238095238094</v>
      </c>
      <c r="I70">
        <f>+bma_se!I70/data!$K70</f>
        <v>0.33095238095238094</v>
      </c>
      <c r="J70">
        <f>+bma_se!J70/data!$K70</f>
        <v>0</v>
      </c>
      <c r="K70">
        <f>+bma_se!K70/data!$K70</f>
        <v>0.33095238095238094</v>
      </c>
      <c r="L70">
        <f>+bma_se!L70/data!$K70</f>
        <v>0</v>
      </c>
      <c r="M70">
        <f>+bma_se!M70/data!$K70</f>
        <v>0</v>
      </c>
      <c r="N70">
        <f>+bma_se!N70/data!$K70</f>
        <v>0</v>
      </c>
      <c r="O70">
        <f>+bma_se!O70/data!$K70</f>
        <v>0</v>
      </c>
      <c r="P70">
        <f>+bma_se!P70/data!$K70</f>
        <v>0</v>
      </c>
      <c r="Q70">
        <f>+bma_se!Q70/data!$K70</f>
        <v>2.5158675666666666</v>
      </c>
      <c r="R70">
        <f>+bma_se!R70/data!$K70</f>
        <v>1.0075921357142856</v>
      </c>
      <c r="S70">
        <f>+bma_se!S70/data!$K70</f>
        <v>0</v>
      </c>
    </row>
    <row r="71" spans="1:19" x14ac:dyDescent="0.25">
      <c r="A71">
        <f>+bma_se!A71/data!$K71</f>
        <v>-6.2500000000000003E-3</v>
      </c>
      <c r="B71">
        <f>+bma_se!B71/data!$K71</f>
        <v>0.31628952322199982</v>
      </c>
      <c r="C71">
        <f>+bma_se!C71/data!$K71</f>
        <v>0.31628952322199982</v>
      </c>
      <c r="D71">
        <f>+bma_se!D71/data!$K71</f>
        <v>0.31628952322199982</v>
      </c>
      <c r="E71">
        <f>+bma_se!E71/data!$K71</f>
        <v>0</v>
      </c>
      <c r="F71">
        <f>+bma_se!F71/data!$K71</f>
        <v>0</v>
      </c>
      <c r="G71">
        <f>+bma_se!G71/data!$K71</f>
        <v>0.31628952322199982</v>
      </c>
      <c r="H71">
        <f>+bma_se!H71/data!$K71</f>
        <v>0.31628952322199982</v>
      </c>
      <c r="I71">
        <f>+bma_se!I71/data!$K71</f>
        <v>0.31628952322199982</v>
      </c>
      <c r="J71">
        <f>+bma_se!J71/data!$K71</f>
        <v>0</v>
      </c>
      <c r="K71">
        <f>+bma_se!K71/data!$K71</f>
        <v>0.31628952322199982</v>
      </c>
      <c r="L71">
        <f>+bma_se!L71/data!$K71</f>
        <v>0</v>
      </c>
      <c r="M71">
        <f>+bma_se!M71/data!$K71</f>
        <v>0</v>
      </c>
      <c r="N71">
        <f>+bma_se!N71/data!$K71</f>
        <v>0</v>
      </c>
      <c r="O71">
        <f>+bma_se!O71/data!$K71</f>
        <v>0</v>
      </c>
      <c r="P71">
        <f>+bma_se!P71/data!$K71</f>
        <v>0</v>
      </c>
      <c r="Q71">
        <f>+bma_se!Q71/data!$K71</f>
        <v>2.4044019591603667</v>
      </c>
      <c r="R71">
        <f>+bma_se!R71/data!$K71</f>
        <v>0.96295072810841253</v>
      </c>
      <c r="S71">
        <f>+bma_se!S71/data!$K71</f>
        <v>0</v>
      </c>
    </row>
    <row r="72" spans="1:19" x14ac:dyDescent="0.25">
      <c r="A72">
        <f>+bma_se!A72/data!$K72</f>
        <v>-1.3087248322147652E-2</v>
      </c>
      <c r="B72">
        <f>+bma_se!B72/data!$K72</f>
        <v>0.97219919567372892</v>
      </c>
      <c r="C72">
        <f>+bma_se!C72/data!$K72</f>
        <v>0</v>
      </c>
      <c r="D72">
        <f>+bma_se!D72/data!$K72</f>
        <v>0</v>
      </c>
      <c r="E72">
        <f>+bma_se!E72/data!$K72</f>
        <v>0.97219919567372892</v>
      </c>
      <c r="F72">
        <f>+bma_se!F72/data!$K72</f>
        <v>0</v>
      </c>
      <c r="G72">
        <f>+bma_se!G72/data!$K72</f>
        <v>0.97219919567372892</v>
      </c>
      <c r="H72">
        <f>+bma_se!H72/data!$K72</f>
        <v>0.97219919567372892</v>
      </c>
      <c r="I72">
        <f>+bma_se!I72/data!$K72</f>
        <v>0.97219919567372892</v>
      </c>
      <c r="J72">
        <f>+bma_se!J72/data!$K72</f>
        <v>0</v>
      </c>
      <c r="K72">
        <f>+bma_se!K72/data!$K72</f>
        <v>0.97219919567372892</v>
      </c>
      <c r="L72">
        <f>+bma_se!L72/data!$K72</f>
        <v>0</v>
      </c>
      <c r="M72">
        <f>+bma_se!M72/data!$K72</f>
        <v>0</v>
      </c>
      <c r="N72">
        <f>+bma_se!N72/data!$K72</f>
        <v>0</v>
      </c>
      <c r="O72">
        <f>+bma_se!O72/data!$K72</f>
        <v>0</v>
      </c>
      <c r="P72">
        <f>+bma_se!P72/data!$K72</f>
        <v>0</v>
      </c>
      <c r="Q72">
        <f>+bma_se!Q72/data!$K72</f>
        <v>7.3905630099905109</v>
      </c>
      <c r="R72">
        <f>+bma_se!R72/data!$K72</f>
        <v>2.9598828118101683</v>
      </c>
      <c r="S72">
        <f>+bma_se!S72/data!$K72</f>
        <v>0</v>
      </c>
    </row>
    <row r="73" spans="1:19" x14ac:dyDescent="0.25">
      <c r="A73">
        <f>+bma_se!A73/data!$K73</f>
        <v>1.948051948051948E-2</v>
      </c>
      <c r="B73">
        <f>+bma_se!B73/data!$K73</f>
        <v>0.97230627409228965</v>
      </c>
      <c r="C73">
        <f>+bma_se!C73/data!$K73</f>
        <v>0</v>
      </c>
      <c r="D73">
        <f>+bma_se!D73/data!$K73</f>
        <v>0</v>
      </c>
      <c r="E73">
        <f>+bma_se!E73/data!$K73</f>
        <v>0.97230627409228965</v>
      </c>
      <c r="F73">
        <f>+bma_se!F73/data!$K73</f>
        <v>0</v>
      </c>
      <c r="G73">
        <f>+bma_se!G73/data!$K73</f>
        <v>0.97230627409228965</v>
      </c>
      <c r="H73">
        <f>+bma_se!H73/data!$K73</f>
        <v>0.97230627409228965</v>
      </c>
      <c r="I73">
        <f>+bma_se!I73/data!$K73</f>
        <v>0.97230627409228965</v>
      </c>
      <c r="J73">
        <f>+bma_se!J73/data!$K73</f>
        <v>0</v>
      </c>
      <c r="K73">
        <f>+bma_se!K73/data!$K73</f>
        <v>0.97230627409228965</v>
      </c>
      <c r="L73">
        <f>+bma_se!L73/data!$K73</f>
        <v>0</v>
      </c>
      <c r="M73">
        <f>+bma_se!M73/data!$K73</f>
        <v>0</v>
      </c>
      <c r="N73">
        <f>+bma_se!N73/data!$K73</f>
        <v>0</v>
      </c>
      <c r="O73">
        <f>+bma_se!O73/data!$K73</f>
        <v>0</v>
      </c>
      <c r="P73">
        <f>+bma_se!P73/data!$K73</f>
        <v>0</v>
      </c>
      <c r="Q73">
        <f>+bma_se!Q73/data!$K73</f>
        <v>7.3913770096347253</v>
      </c>
      <c r="R73">
        <f>+bma_se!R73/data!$K73</f>
        <v>2.9602088145182801</v>
      </c>
      <c r="S73">
        <f>+bma_se!S73/data!$K73</f>
        <v>0</v>
      </c>
    </row>
    <row r="74" spans="1:19" x14ac:dyDescent="0.25">
      <c r="A74">
        <f>+bma_se!A74/data!$K74</f>
        <v>2.0758928571428571E-2</v>
      </c>
      <c r="B74">
        <f>+bma_se!B74/data!$K74</f>
        <v>0.97233272757602562</v>
      </c>
      <c r="C74">
        <f>+bma_se!C74/data!$K74</f>
        <v>0</v>
      </c>
      <c r="D74">
        <f>+bma_se!D74/data!$K74</f>
        <v>0</v>
      </c>
      <c r="E74">
        <f>+bma_se!E74/data!$K74</f>
        <v>0.97233272757602562</v>
      </c>
      <c r="F74">
        <f>+bma_se!F74/data!$K74</f>
        <v>0</v>
      </c>
      <c r="G74">
        <f>+bma_se!G74/data!$K74</f>
        <v>0.97233272757602562</v>
      </c>
      <c r="H74">
        <f>+bma_se!H74/data!$K74</f>
        <v>0.97233272757602562</v>
      </c>
      <c r="I74">
        <f>+bma_se!I74/data!$K74</f>
        <v>0.97233272757602562</v>
      </c>
      <c r="J74">
        <f>+bma_se!J74/data!$K74</f>
        <v>0</v>
      </c>
      <c r="K74">
        <f>+bma_se!K74/data!$K74</f>
        <v>0.97233272757602562</v>
      </c>
      <c r="L74">
        <f>+bma_se!L74/data!$K74</f>
        <v>0</v>
      </c>
      <c r="M74">
        <f>+bma_se!M74/data!$K74</f>
        <v>0</v>
      </c>
      <c r="N74">
        <f>+bma_se!N74/data!$K74</f>
        <v>0</v>
      </c>
      <c r="O74">
        <f>+bma_se!O74/data!$K74</f>
        <v>0</v>
      </c>
      <c r="P74">
        <f>+bma_se!P74/data!$K74</f>
        <v>0</v>
      </c>
      <c r="Q74">
        <f>+bma_se!Q74/data!$K74</f>
        <v>7.3915781064256452</v>
      </c>
      <c r="R74">
        <f>+bma_se!R74/data!$K74</f>
        <v>2.9602893527579441</v>
      </c>
      <c r="S74">
        <f>+bma_se!S74/data!$K74</f>
        <v>0</v>
      </c>
    </row>
    <row r="75" spans="1:19" x14ac:dyDescent="0.25">
      <c r="A75">
        <f>+bma_se!A75/data!$K75</f>
        <v>-1.8500000000000012</v>
      </c>
      <c r="B75">
        <f>+bma_se!B75/data!$K75</f>
        <v>2.0273134932713304</v>
      </c>
      <c r="C75">
        <f>+bma_se!C75/data!$K75</f>
        <v>0</v>
      </c>
      <c r="D75">
        <f>+bma_se!D75/data!$K75</f>
        <v>2.0273134932713304</v>
      </c>
      <c r="E75">
        <f>+bma_se!E75/data!$K75</f>
        <v>0</v>
      </c>
      <c r="F75">
        <f>+bma_se!F75/data!$K75</f>
        <v>0</v>
      </c>
      <c r="G75">
        <f>+bma_se!G75/data!$K75</f>
        <v>2.0273134932713304</v>
      </c>
      <c r="H75">
        <f>+bma_se!H75/data!$K75</f>
        <v>0</v>
      </c>
      <c r="I75">
        <f>+bma_se!I75/data!$K75</f>
        <v>0</v>
      </c>
      <c r="J75">
        <f>+bma_se!J75/data!$K75</f>
        <v>0</v>
      </c>
      <c r="K75">
        <f>+bma_se!K75/data!$K75</f>
        <v>0</v>
      </c>
      <c r="L75">
        <f>+bma_se!L75/data!$K75</f>
        <v>0</v>
      </c>
      <c r="M75">
        <f>+bma_se!M75/data!$K75</f>
        <v>0</v>
      </c>
      <c r="N75">
        <f>+bma_se!N75/data!$K75</f>
        <v>0</v>
      </c>
      <c r="O75">
        <f>+bma_se!O75/data!$K75</f>
        <v>2.0273134932713304</v>
      </c>
      <c r="P75">
        <f>+bma_se!P75/data!$K75</f>
        <v>2.0273134932713304</v>
      </c>
      <c r="Q75">
        <f>+bma_se!Q75/data!$K75</f>
        <v>15.425566846860921</v>
      </c>
      <c r="R75">
        <f>+bma_se!R75/data!$K75</f>
        <v>0</v>
      </c>
      <c r="S75">
        <f>+bma_se!S75/data!$K75</f>
        <v>2.0273134932713304</v>
      </c>
    </row>
    <row r="76" spans="1:19" x14ac:dyDescent="0.25">
      <c r="A76">
        <f>+bma_se!A76/data!$K76</f>
        <v>-1.5300000000000065</v>
      </c>
      <c r="B76">
        <f>+bma_se!B76/data!$K76</f>
        <v>1.740229869873523</v>
      </c>
      <c r="C76">
        <f>+bma_se!C76/data!$K76</f>
        <v>0</v>
      </c>
      <c r="D76">
        <f>+bma_se!D76/data!$K76</f>
        <v>1.740229869873523</v>
      </c>
      <c r="E76">
        <f>+bma_se!E76/data!$K76</f>
        <v>0</v>
      </c>
      <c r="F76">
        <f>+bma_se!F76/data!$K76</f>
        <v>0</v>
      </c>
      <c r="G76">
        <f>+bma_se!G76/data!$K76</f>
        <v>1.740229869873523</v>
      </c>
      <c r="H76">
        <f>+bma_se!H76/data!$K76</f>
        <v>0</v>
      </c>
      <c r="I76">
        <f>+bma_se!I76/data!$K76</f>
        <v>0</v>
      </c>
      <c r="J76">
        <f>+bma_se!J76/data!$K76</f>
        <v>0</v>
      </c>
      <c r="K76">
        <f>+bma_se!K76/data!$K76</f>
        <v>0</v>
      </c>
      <c r="L76">
        <f>+bma_se!L76/data!$K76</f>
        <v>0</v>
      </c>
      <c r="M76">
        <f>+bma_se!M76/data!$K76</f>
        <v>0</v>
      </c>
      <c r="N76">
        <f>+bma_se!N76/data!$K76</f>
        <v>0</v>
      </c>
      <c r="O76">
        <f>+bma_se!O76/data!$K76</f>
        <v>1.740229869873523</v>
      </c>
      <c r="P76">
        <f>+bma_se!P76/data!$K76</f>
        <v>1.740229869873523</v>
      </c>
      <c r="Q76">
        <f>+bma_se!Q76/data!$K76</f>
        <v>13.241184590214424</v>
      </c>
      <c r="R76">
        <f>+bma_se!R76/data!$K76</f>
        <v>0</v>
      </c>
      <c r="S76">
        <f>+bma_se!S76/data!$K76</f>
        <v>1.740229869873523</v>
      </c>
    </row>
    <row r="77" spans="1:19" x14ac:dyDescent="0.25">
      <c r="A77">
        <f>+bma_se!A77/data!$K77</f>
        <v>-1.362500000000006</v>
      </c>
      <c r="B77">
        <f>+bma_se!B77/data!$K77</f>
        <v>1.5949627738602605</v>
      </c>
      <c r="C77">
        <f>+bma_se!C77/data!$K77</f>
        <v>0</v>
      </c>
      <c r="D77">
        <f>+bma_se!D77/data!$K77</f>
        <v>1.5949627738602605</v>
      </c>
      <c r="E77">
        <f>+bma_se!E77/data!$K77</f>
        <v>0</v>
      </c>
      <c r="F77">
        <f>+bma_se!F77/data!$K77</f>
        <v>0</v>
      </c>
      <c r="G77">
        <f>+bma_se!G77/data!$K77</f>
        <v>1.5949627738602605</v>
      </c>
      <c r="H77">
        <f>+bma_se!H77/data!$K77</f>
        <v>0</v>
      </c>
      <c r="I77">
        <f>+bma_se!I77/data!$K77</f>
        <v>0</v>
      </c>
      <c r="J77">
        <f>+bma_se!J77/data!$K77</f>
        <v>0</v>
      </c>
      <c r="K77">
        <f>+bma_se!K77/data!$K77</f>
        <v>0</v>
      </c>
      <c r="L77">
        <f>+bma_se!L77/data!$K77</f>
        <v>0</v>
      </c>
      <c r="M77">
        <f>+bma_se!M77/data!$K77</f>
        <v>0</v>
      </c>
      <c r="N77">
        <f>+bma_se!N77/data!$K77</f>
        <v>0</v>
      </c>
      <c r="O77">
        <f>+bma_se!O77/data!$K77</f>
        <v>1.5949627738602605</v>
      </c>
      <c r="P77">
        <f>+bma_se!P77/data!$K77</f>
        <v>1.5949627738602605</v>
      </c>
      <c r="Q77">
        <f>+bma_se!Q77/data!$K77</f>
        <v>12.135865996104895</v>
      </c>
      <c r="R77">
        <f>+bma_se!R77/data!$K77</f>
        <v>0</v>
      </c>
      <c r="S77">
        <f>+bma_se!S77/data!$K77</f>
        <v>1.5949627738602605</v>
      </c>
    </row>
    <row r="78" spans="1:19" x14ac:dyDescent="0.25">
      <c r="A78">
        <f>+bma_se!A78/data!$K78</f>
        <v>-1.6575000000000055</v>
      </c>
      <c r="B78">
        <f>+bma_se!B78/data!$K78</f>
        <v>1.8533230290480984</v>
      </c>
      <c r="C78">
        <f>+bma_se!C78/data!$K78</f>
        <v>0</v>
      </c>
      <c r="D78">
        <f>+bma_se!D78/data!$K78</f>
        <v>1.8533230290480984</v>
      </c>
      <c r="E78">
        <f>+bma_se!E78/data!$K78</f>
        <v>0</v>
      </c>
      <c r="F78">
        <f>+bma_se!F78/data!$K78</f>
        <v>0</v>
      </c>
      <c r="G78">
        <f>+bma_se!G78/data!$K78</f>
        <v>1.8533230290480984</v>
      </c>
      <c r="H78">
        <f>+bma_se!H78/data!$K78</f>
        <v>0</v>
      </c>
      <c r="I78">
        <f>+bma_se!I78/data!$K78</f>
        <v>0</v>
      </c>
      <c r="J78">
        <f>+bma_se!J78/data!$K78</f>
        <v>0</v>
      </c>
      <c r="K78">
        <f>+bma_se!K78/data!$K78</f>
        <v>0</v>
      </c>
      <c r="L78">
        <f>+bma_se!L78/data!$K78</f>
        <v>0</v>
      </c>
      <c r="M78">
        <f>+bma_se!M78/data!$K78</f>
        <v>0</v>
      </c>
      <c r="N78">
        <f>+bma_se!N78/data!$K78</f>
        <v>0</v>
      </c>
      <c r="O78">
        <f>+bma_se!O78/data!$K78</f>
        <v>1.8533230290480984</v>
      </c>
      <c r="P78">
        <f>+bma_se!P78/data!$K78</f>
        <v>1.8533230290480984</v>
      </c>
      <c r="Q78">
        <f>+bma_se!Q78/data!$K78</f>
        <v>14.101695849356233</v>
      </c>
      <c r="R78">
        <f>+bma_se!R78/data!$K78</f>
        <v>0</v>
      </c>
      <c r="S78">
        <f>+bma_se!S78/data!$K78</f>
        <v>1.8533230290480984</v>
      </c>
    </row>
    <row r="79" spans="1:19" x14ac:dyDescent="0.25">
      <c r="A79">
        <f>+bma_se!A79/data!$K79</f>
        <v>-0.26329787234042556</v>
      </c>
      <c r="B79">
        <f>+bma_se!B79/data!$K79</f>
        <v>3.4464357704125281</v>
      </c>
      <c r="C79">
        <f>+bma_se!C79/data!$K79</f>
        <v>0</v>
      </c>
      <c r="D79">
        <f>+bma_se!D79/data!$K79</f>
        <v>3.4464357704125281</v>
      </c>
      <c r="E79">
        <f>+bma_se!E79/data!$K79</f>
        <v>0</v>
      </c>
      <c r="F79">
        <f>+bma_se!F79/data!$K79</f>
        <v>0</v>
      </c>
      <c r="G79">
        <f>+bma_se!G79/data!$K79</f>
        <v>0</v>
      </c>
      <c r="H79">
        <f>+bma_se!H79/data!$K79</f>
        <v>0</v>
      </c>
      <c r="I79">
        <f>+bma_se!I79/data!$K79</f>
        <v>0</v>
      </c>
      <c r="J79">
        <f>+bma_se!J79/data!$K79</f>
        <v>0</v>
      </c>
      <c r="K79">
        <f>+bma_se!K79/data!$K79</f>
        <v>0</v>
      </c>
      <c r="L79">
        <f>+bma_se!L79/data!$K79</f>
        <v>0</v>
      </c>
      <c r="M79">
        <f>+bma_se!M79/data!$K79</f>
        <v>0</v>
      </c>
      <c r="N79">
        <f>+bma_se!N79/data!$K79</f>
        <v>3.4464357704125281</v>
      </c>
      <c r="O79">
        <f>+bma_se!O79/data!$K79</f>
        <v>0</v>
      </c>
      <c r="P79">
        <f>+bma_se!P79/data!$K79</f>
        <v>3.4464357704125281</v>
      </c>
      <c r="Q79">
        <f>+bma_se!Q79/data!$K79</f>
        <v>26.197743758085334</v>
      </c>
      <c r="R79">
        <f>+bma_se!R79/data!$K79</f>
        <v>3.7862956946044481</v>
      </c>
      <c r="S79">
        <f>+bma_se!S79/data!$K79</f>
        <v>0</v>
      </c>
    </row>
    <row r="80" spans="1:19" x14ac:dyDescent="0.25">
      <c r="A80">
        <f>+bma_se!A80/data!$K80</f>
        <v>-0.17317335243553009</v>
      </c>
      <c r="B80">
        <f>+bma_se!B80/data!$K80</f>
        <v>3.0205527656364088</v>
      </c>
      <c r="C80">
        <f>+bma_se!C80/data!$K80</f>
        <v>0</v>
      </c>
      <c r="D80">
        <f>+bma_se!D80/data!$K80</f>
        <v>3.0205527656364088</v>
      </c>
      <c r="E80">
        <f>+bma_se!E80/data!$K80</f>
        <v>0</v>
      </c>
      <c r="F80">
        <f>+bma_se!F80/data!$K80</f>
        <v>0</v>
      </c>
      <c r="G80">
        <f>+bma_se!G80/data!$K80</f>
        <v>0</v>
      </c>
      <c r="H80">
        <f>+bma_se!H80/data!$K80</f>
        <v>0</v>
      </c>
      <c r="I80">
        <f>+bma_se!I80/data!$K80</f>
        <v>0</v>
      </c>
      <c r="J80">
        <f>+bma_se!J80/data!$K80</f>
        <v>0</v>
      </c>
      <c r="K80">
        <f>+bma_se!K80/data!$K80</f>
        <v>0</v>
      </c>
      <c r="L80">
        <f>+bma_se!L80/data!$K80</f>
        <v>0</v>
      </c>
      <c r="M80">
        <f>+bma_se!M80/data!$K80</f>
        <v>0</v>
      </c>
      <c r="N80">
        <f>+bma_se!N80/data!$K80</f>
        <v>0</v>
      </c>
      <c r="O80">
        <f>+bma_se!O80/data!$K80</f>
        <v>3.0205527656364088</v>
      </c>
      <c r="P80">
        <f>+bma_se!P80/data!$K80</f>
        <v>3.0205527656364088</v>
      </c>
      <c r="Q80">
        <f>+bma_se!Q80/data!$K80</f>
        <v>22.960435833814131</v>
      </c>
      <c r="R80">
        <f>+bma_se!R80/data!$K80</f>
        <v>3.3184155149613463</v>
      </c>
      <c r="S80">
        <f>+bma_se!S80/data!$K80</f>
        <v>0</v>
      </c>
    </row>
    <row r="81" spans="1:19" x14ac:dyDescent="0.25">
      <c r="A81">
        <f>+bma_se!A81/data!$K81</f>
        <v>4.9426934097421202E-2</v>
      </c>
      <c r="B81">
        <f>+bma_se!B81/data!$K81</f>
        <v>1.0395037382396808</v>
      </c>
      <c r="C81">
        <f>+bma_se!C81/data!$K81</f>
        <v>0</v>
      </c>
      <c r="D81">
        <f>+bma_se!D81/data!$K81</f>
        <v>1.0395037382396808</v>
      </c>
      <c r="E81">
        <f>+bma_se!E81/data!$K81</f>
        <v>0</v>
      </c>
      <c r="F81">
        <f>+bma_se!F81/data!$K81</f>
        <v>0</v>
      </c>
      <c r="G81">
        <f>+bma_se!G81/data!$K81</f>
        <v>0</v>
      </c>
      <c r="H81">
        <f>+bma_se!H81/data!$K81</f>
        <v>0</v>
      </c>
      <c r="I81">
        <f>+bma_se!I81/data!$K81</f>
        <v>0</v>
      </c>
      <c r="J81">
        <f>+bma_se!J81/data!$K81</f>
        <v>0</v>
      </c>
      <c r="K81">
        <f>+bma_se!K81/data!$K81</f>
        <v>0</v>
      </c>
      <c r="L81">
        <f>+bma_se!L81/data!$K81</f>
        <v>0</v>
      </c>
      <c r="M81">
        <f>+bma_se!M81/data!$K81</f>
        <v>0</v>
      </c>
      <c r="N81">
        <f>+bma_se!N81/data!$K81</f>
        <v>1.0395037382396808</v>
      </c>
      <c r="O81">
        <f>+bma_se!O81/data!$K81</f>
        <v>0</v>
      </c>
      <c r="P81">
        <f>+bma_se!P81/data!$K81</f>
        <v>1.0395037382396808</v>
      </c>
      <c r="Q81">
        <f>+bma_se!Q81/data!$K81</f>
        <v>7.9016857948625869</v>
      </c>
      <c r="R81">
        <f>+bma_se!R81/data!$K81</f>
        <v>1.1420112808749723</v>
      </c>
      <c r="S81">
        <f>+bma_se!S81/data!$K81</f>
        <v>0</v>
      </c>
    </row>
    <row r="82" spans="1:19" x14ac:dyDescent="0.25">
      <c r="A82">
        <f>+bma_se!A82/data!$K82</f>
        <v>-0.140625</v>
      </c>
      <c r="B82">
        <f>+bma_se!B82/data!$K82</f>
        <v>2.196466000334401</v>
      </c>
      <c r="C82">
        <f>+bma_se!C82/data!$K82</f>
        <v>0</v>
      </c>
      <c r="D82">
        <f>+bma_se!D82/data!$K82</f>
        <v>2.196466000334401</v>
      </c>
      <c r="E82">
        <f>+bma_se!E82/data!$K82</f>
        <v>0</v>
      </c>
      <c r="F82">
        <f>+bma_se!F82/data!$K82</f>
        <v>0</v>
      </c>
      <c r="G82">
        <f>+bma_se!G82/data!$K82</f>
        <v>0</v>
      </c>
      <c r="H82">
        <f>+bma_se!H82/data!$K82</f>
        <v>0</v>
      </c>
      <c r="I82">
        <f>+bma_se!I82/data!$K82</f>
        <v>0</v>
      </c>
      <c r="J82">
        <f>+bma_se!J82/data!$K82</f>
        <v>0</v>
      </c>
      <c r="K82">
        <f>+bma_se!K82/data!$K82</f>
        <v>0</v>
      </c>
      <c r="L82">
        <f>+bma_se!L82/data!$K82</f>
        <v>0</v>
      </c>
      <c r="M82">
        <f>+bma_se!M82/data!$K82</f>
        <v>0</v>
      </c>
      <c r="N82">
        <f>+bma_se!N82/data!$K82</f>
        <v>2.196466000334401</v>
      </c>
      <c r="O82">
        <f>+bma_se!O82/data!$K82</f>
        <v>0</v>
      </c>
      <c r="P82">
        <f>+bma_se!P82/data!$K82</f>
        <v>2.196466000334401</v>
      </c>
      <c r="Q82">
        <f>+bma_se!Q82/data!$K82</f>
        <v>16.696221047873916</v>
      </c>
      <c r="R82">
        <f>+bma_se!R82/data!$K82</f>
        <v>2.4130639055593766</v>
      </c>
      <c r="S82">
        <f>+bma_se!S82/data!$K82</f>
        <v>0</v>
      </c>
    </row>
    <row r="83" spans="1:19" x14ac:dyDescent="0.25">
      <c r="A83">
        <f>+bma_se!A83/data!$K83</f>
        <v>-0.17561983471074383</v>
      </c>
      <c r="B83">
        <f>+bma_se!B83/data!$K83</f>
        <v>2.4245615224909902</v>
      </c>
      <c r="C83">
        <f>+bma_se!C83/data!$K83</f>
        <v>0</v>
      </c>
      <c r="D83">
        <f>+bma_se!D83/data!$K83</f>
        <v>2.4245615224909902</v>
      </c>
      <c r="E83">
        <f>+bma_se!E83/data!$K83</f>
        <v>0</v>
      </c>
      <c r="F83">
        <f>+bma_se!F83/data!$K83</f>
        <v>0</v>
      </c>
      <c r="G83">
        <f>+bma_se!G83/data!$K83</f>
        <v>0</v>
      </c>
      <c r="H83">
        <f>+bma_se!H83/data!$K83</f>
        <v>0</v>
      </c>
      <c r="I83">
        <f>+bma_se!I83/data!$K83</f>
        <v>0</v>
      </c>
      <c r="J83">
        <f>+bma_se!J83/data!$K83</f>
        <v>0</v>
      </c>
      <c r="K83">
        <f>+bma_se!K83/data!$K83</f>
        <v>0</v>
      </c>
      <c r="L83">
        <f>+bma_se!L83/data!$K83</f>
        <v>0</v>
      </c>
      <c r="M83">
        <f>+bma_se!M83/data!$K83</f>
        <v>0</v>
      </c>
      <c r="N83">
        <f>+bma_se!N83/data!$K83</f>
        <v>2.4245615224909902</v>
      </c>
      <c r="O83">
        <f>+bma_se!O83/data!$K83</f>
        <v>0</v>
      </c>
      <c r="P83">
        <f>+bma_se!P83/data!$K83</f>
        <v>2.4245615224909902</v>
      </c>
      <c r="Q83">
        <f>+bma_se!Q83/data!$K83</f>
        <v>18.430066806186058</v>
      </c>
      <c r="R83">
        <f>+bma_se!R83/data!$K83</f>
        <v>2.6636523833468715</v>
      </c>
      <c r="S83">
        <f>+bma_se!S83/data!$K83</f>
        <v>0</v>
      </c>
    </row>
    <row r="84" spans="1:19" x14ac:dyDescent="0.25">
      <c r="A84">
        <f>+bma_se!A84/data!$K84</f>
        <v>-2.4032258064516129E-2</v>
      </c>
      <c r="B84">
        <f>+bma_se!B84/data!$K84</f>
        <v>1.5450877966729526</v>
      </c>
      <c r="C84">
        <f>+bma_se!C84/data!$K84</f>
        <v>0</v>
      </c>
      <c r="D84">
        <f>+bma_se!D84/data!$K84</f>
        <v>1.5450877966729526</v>
      </c>
      <c r="E84">
        <f>+bma_se!E84/data!$K84</f>
        <v>0</v>
      </c>
      <c r="F84">
        <f>+bma_se!F84/data!$K84</f>
        <v>0</v>
      </c>
      <c r="G84">
        <f>+bma_se!G84/data!$K84</f>
        <v>0</v>
      </c>
      <c r="H84">
        <f>+bma_se!H84/data!$K84</f>
        <v>0</v>
      </c>
      <c r="I84">
        <f>+bma_se!I84/data!$K84</f>
        <v>0</v>
      </c>
      <c r="J84">
        <f>+bma_se!J84/data!$K84</f>
        <v>0</v>
      </c>
      <c r="K84">
        <f>+bma_se!K84/data!$K84</f>
        <v>0</v>
      </c>
      <c r="L84">
        <f>+bma_se!L84/data!$K84</f>
        <v>0</v>
      </c>
      <c r="M84">
        <f>+bma_se!M84/data!$K84</f>
        <v>0</v>
      </c>
      <c r="N84">
        <f>+bma_se!N84/data!$K84</f>
        <v>0</v>
      </c>
      <c r="O84">
        <f>+bma_se!O84/data!$K84</f>
        <v>1.5450877966729526</v>
      </c>
      <c r="P84">
        <f>+bma_se!P84/data!$K84</f>
        <v>1.5450877966729526</v>
      </c>
      <c r="Q84">
        <f>+bma_se!Q84/data!$K84</f>
        <v>11.744833467805377</v>
      </c>
      <c r="R84">
        <f>+bma_se!R84/data!$K84</f>
        <v>1.6974519944784656</v>
      </c>
      <c r="S84">
        <f>+bma_se!S84/data!$K84</f>
        <v>0</v>
      </c>
    </row>
    <row r="85" spans="1:19" x14ac:dyDescent="0.25">
      <c r="A85">
        <f>+bma_se!A85/data!$K85</f>
        <v>-6.6866812227074236E-3</v>
      </c>
      <c r="B85">
        <f>+bma_se!B85/data!$K85</f>
        <v>2.1369255863753831</v>
      </c>
      <c r="C85">
        <f>+bma_se!C85/data!$K85</f>
        <v>0</v>
      </c>
      <c r="D85">
        <f>+bma_se!D85/data!$K85</f>
        <v>2.1369255863753831</v>
      </c>
      <c r="E85">
        <f>+bma_se!E85/data!$K85</f>
        <v>0</v>
      </c>
      <c r="F85">
        <f>+bma_se!F85/data!$K85</f>
        <v>0</v>
      </c>
      <c r="G85">
        <f>+bma_se!G85/data!$K85</f>
        <v>0</v>
      </c>
      <c r="H85">
        <f>+bma_se!H85/data!$K85</f>
        <v>0</v>
      </c>
      <c r="I85">
        <f>+bma_se!I85/data!$K85</f>
        <v>0</v>
      </c>
      <c r="J85">
        <f>+bma_se!J85/data!$K85</f>
        <v>0</v>
      </c>
      <c r="K85">
        <f>+bma_se!K85/data!$K85</f>
        <v>0</v>
      </c>
      <c r="L85">
        <f>+bma_se!L85/data!$K85</f>
        <v>0</v>
      </c>
      <c r="M85">
        <f>+bma_se!M85/data!$K85</f>
        <v>0</v>
      </c>
      <c r="N85">
        <f>+bma_se!N85/data!$K85</f>
        <v>0</v>
      </c>
      <c r="O85">
        <f>+bma_se!O85/data!$K85</f>
        <v>2.1369255863753831</v>
      </c>
      <c r="P85">
        <f>+bma_se!P85/data!$K85</f>
        <v>2.1369255863753831</v>
      </c>
      <c r="Q85">
        <f>+bma_se!Q85/data!$K85</f>
        <v>16.243630426125009</v>
      </c>
      <c r="R85">
        <f>+bma_se!R85/data!$K85</f>
        <v>2.347652092299032</v>
      </c>
      <c r="S85">
        <f>+bma_se!S85/data!$K85</f>
        <v>0</v>
      </c>
    </row>
    <row r="86" spans="1:19" x14ac:dyDescent="0.25">
      <c r="A86">
        <f>+bma_se!A86/data!$K86</f>
        <v>-0.17614533965244866</v>
      </c>
      <c r="B86">
        <f>+bma_se!B86/data!$K86</f>
        <v>1.4469026161705827</v>
      </c>
      <c r="C86">
        <f>+bma_se!C86/data!$K86</f>
        <v>0</v>
      </c>
      <c r="D86">
        <f>+bma_se!D86/data!$K86</f>
        <v>1.4469026161705827</v>
      </c>
      <c r="E86">
        <f>+bma_se!E86/data!$K86</f>
        <v>0</v>
      </c>
      <c r="F86">
        <f>+bma_se!F86/data!$K86</f>
        <v>0</v>
      </c>
      <c r="G86">
        <f>+bma_se!G86/data!$K86</f>
        <v>0</v>
      </c>
      <c r="H86">
        <f>+bma_se!H86/data!$K86</f>
        <v>0</v>
      </c>
      <c r="I86">
        <f>+bma_se!I86/data!$K86</f>
        <v>0</v>
      </c>
      <c r="J86">
        <f>+bma_se!J86/data!$K86</f>
        <v>0</v>
      </c>
      <c r="K86">
        <f>+bma_se!K86/data!$K86</f>
        <v>0</v>
      </c>
      <c r="L86">
        <f>+bma_se!L86/data!$K86</f>
        <v>0</v>
      </c>
      <c r="M86">
        <f>+bma_se!M86/data!$K86</f>
        <v>0</v>
      </c>
      <c r="N86">
        <f>+bma_se!N86/data!$K86</f>
        <v>0</v>
      </c>
      <c r="O86">
        <f>+bma_se!O86/data!$K86</f>
        <v>1.4469026161705827</v>
      </c>
      <c r="P86">
        <f>+bma_se!P86/data!$K86</f>
        <v>1.4469026161705827</v>
      </c>
      <c r="Q86">
        <f>+bma_se!Q86/data!$K86</f>
        <v>10.9984884403643</v>
      </c>
      <c r="R86">
        <f>+bma_se!R86/data!$K86</f>
        <v>1.5895845769563961</v>
      </c>
      <c r="S86">
        <f>+bma_se!S86/data!$K86</f>
        <v>0</v>
      </c>
    </row>
    <row r="87" spans="1:19" x14ac:dyDescent="0.25">
      <c r="A87">
        <f>+bma_se!A87/data!$K87</f>
        <v>-0.22756410256410256</v>
      </c>
      <c r="B87">
        <f>+bma_se!B87/data!$K87</f>
        <v>3.447857729195885</v>
      </c>
      <c r="C87">
        <f>+bma_se!C87/data!$K87</f>
        <v>0</v>
      </c>
      <c r="D87">
        <f>+bma_se!D87/data!$K87</f>
        <v>0</v>
      </c>
      <c r="E87">
        <f>+bma_se!E87/data!$K87</f>
        <v>0</v>
      </c>
      <c r="F87">
        <f>+bma_se!F87/data!$K87</f>
        <v>0</v>
      </c>
      <c r="G87">
        <f>+bma_se!G87/data!$K87</f>
        <v>0</v>
      </c>
      <c r="H87">
        <f>+bma_se!H87/data!$K87</f>
        <v>0</v>
      </c>
      <c r="I87">
        <f>+bma_se!I87/data!$K87</f>
        <v>0</v>
      </c>
      <c r="J87">
        <f>+bma_se!J87/data!$K87</f>
        <v>0</v>
      </c>
      <c r="K87">
        <f>+bma_se!K87/data!$K87</f>
        <v>0</v>
      </c>
      <c r="L87">
        <f>+bma_se!L87/data!$K87</f>
        <v>0</v>
      </c>
      <c r="M87">
        <f>+bma_se!M87/data!$K87</f>
        <v>0</v>
      </c>
      <c r="N87">
        <f>+bma_se!N87/data!$K87</f>
        <v>3.447857729195885</v>
      </c>
      <c r="O87">
        <f>+bma_se!O87/data!$K87</f>
        <v>0</v>
      </c>
      <c r="P87">
        <f>+bma_se!P87/data!$K87</f>
        <v>3.447857729195885</v>
      </c>
      <c r="Q87">
        <f>+bma_se!Q87/data!$K87</f>
        <v>26.208552638425061</v>
      </c>
      <c r="R87">
        <f>+bma_se!R87/data!$K87</f>
        <v>3.7878578755873495</v>
      </c>
      <c r="S87">
        <f>+bma_se!S87/data!$K87</f>
        <v>0</v>
      </c>
    </row>
    <row r="88" spans="1:19" x14ac:dyDescent="0.25">
      <c r="A88">
        <f>+bma_se!A88/data!$K88</f>
        <v>-0.11514945652173914</v>
      </c>
      <c r="B88">
        <f>+bma_se!B88/data!$K88</f>
        <v>3.0223092408516461</v>
      </c>
      <c r="C88">
        <f>+bma_se!C88/data!$K88</f>
        <v>0</v>
      </c>
      <c r="D88">
        <f>+bma_se!D88/data!$K88</f>
        <v>0</v>
      </c>
      <c r="E88">
        <f>+bma_se!E88/data!$K88</f>
        <v>0</v>
      </c>
      <c r="F88">
        <f>+bma_se!F88/data!$K88</f>
        <v>0</v>
      </c>
      <c r="G88">
        <f>+bma_se!G88/data!$K88</f>
        <v>0</v>
      </c>
      <c r="H88">
        <f>+bma_se!H88/data!$K88</f>
        <v>0</v>
      </c>
      <c r="I88">
        <f>+bma_se!I88/data!$K88</f>
        <v>0</v>
      </c>
      <c r="J88">
        <f>+bma_se!J88/data!$K88</f>
        <v>0</v>
      </c>
      <c r="K88">
        <f>+bma_se!K88/data!$K88</f>
        <v>0</v>
      </c>
      <c r="L88">
        <f>+bma_se!L88/data!$K88</f>
        <v>0</v>
      </c>
      <c r="M88">
        <f>+bma_se!M88/data!$K88</f>
        <v>0</v>
      </c>
      <c r="N88">
        <f>+bma_se!N88/data!$K88</f>
        <v>0</v>
      </c>
      <c r="O88">
        <f>+bma_se!O88/data!$K88</f>
        <v>3.0223092408516461</v>
      </c>
      <c r="P88">
        <f>+bma_se!P88/data!$K88</f>
        <v>3.0223092408516461</v>
      </c>
      <c r="Q88">
        <f>+bma_se!Q88/data!$K88</f>
        <v>22.973787508028185</v>
      </c>
      <c r="R88">
        <f>+bma_se!R88/data!$K88</f>
        <v>3.3203451997105082</v>
      </c>
      <c r="S88">
        <f>+bma_se!S88/data!$K88</f>
        <v>0</v>
      </c>
    </row>
    <row r="89" spans="1:19" x14ac:dyDescent="0.25">
      <c r="A89">
        <f>+bma_se!A89/data!$K89</f>
        <v>-0.11016705069124423</v>
      </c>
      <c r="B89">
        <f>+bma_se!B89/data!$K89</f>
        <v>1.0534671466438843</v>
      </c>
      <c r="C89">
        <f>+bma_se!C89/data!$K89</f>
        <v>0</v>
      </c>
      <c r="D89">
        <f>+bma_se!D89/data!$K89</f>
        <v>0</v>
      </c>
      <c r="E89">
        <f>+bma_se!E89/data!$K89</f>
        <v>0</v>
      </c>
      <c r="F89">
        <f>+bma_se!F89/data!$K89</f>
        <v>0</v>
      </c>
      <c r="G89">
        <f>+bma_se!G89/data!$K89</f>
        <v>0</v>
      </c>
      <c r="H89">
        <f>+bma_se!H89/data!$K89</f>
        <v>0</v>
      </c>
      <c r="I89">
        <f>+bma_se!I89/data!$K89</f>
        <v>0</v>
      </c>
      <c r="J89">
        <f>+bma_se!J89/data!$K89</f>
        <v>0</v>
      </c>
      <c r="K89">
        <f>+bma_se!K89/data!$K89</f>
        <v>0</v>
      </c>
      <c r="L89">
        <f>+bma_se!L89/data!$K89</f>
        <v>0</v>
      </c>
      <c r="M89">
        <f>+bma_se!M89/data!$K89</f>
        <v>0</v>
      </c>
      <c r="N89">
        <f>+bma_se!N89/data!$K89</f>
        <v>1.0534671466438843</v>
      </c>
      <c r="O89">
        <f>+bma_se!O89/data!$K89</f>
        <v>0</v>
      </c>
      <c r="P89">
        <f>+bma_se!P89/data!$K89</f>
        <v>1.0534671466438843</v>
      </c>
      <c r="Q89">
        <f>+bma_se!Q89/data!$K89</f>
        <v>8.0078272754331152</v>
      </c>
      <c r="R89">
        <f>+bma_se!R89/data!$K89</f>
        <v>1.157351648908731</v>
      </c>
      <c r="S89">
        <f>+bma_se!S89/data!$K89</f>
        <v>0</v>
      </c>
    </row>
    <row r="90" spans="1:19" x14ac:dyDescent="0.25">
      <c r="A90">
        <f>+bma_se!A90/data!$K90</f>
        <v>-4.7591743119266054E-2</v>
      </c>
      <c r="B90">
        <f>+bma_se!B90/data!$K90</f>
        <v>2.1969259714458134</v>
      </c>
      <c r="C90">
        <f>+bma_se!C90/data!$K90</f>
        <v>0</v>
      </c>
      <c r="D90">
        <f>+bma_se!D90/data!$K90</f>
        <v>0</v>
      </c>
      <c r="E90">
        <f>+bma_se!E90/data!$K90</f>
        <v>0</v>
      </c>
      <c r="F90">
        <f>+bma_se!F90/data!$K90</f>
        <v>0</v>
      </c>
      <c r="G90">
        <f>+bma_se!G90/data!$K90</f>
        <v>0</v>
      </c>
      <c r="H90">
        <f>+bma_se!H90/data!$K90</f>
        <v>0</v>
      </c>
      <c r="I90">
        <f>+bma_se!I90/data!$K90</f>
        <v>0</v>
      </c>
      <c r="J90">
        <f>+bma_se!J90/data!$K90</f>
        <v>0</v>
      </c>
      <c r="K90">
        <f>+bma_se!K90/data!$K90</f>
        <v>0</v>
      </c>
      <c r="L90">
        <f>+bma_se!L90/data!$K90</f>
        <v>0</v>
      </c>
      <c r="M90">
        <f>+bma_se!M90/data!$K90</f>
        <v>0</v>
      </c>
      <c r="N90">
        <f>+bma_se!N90/data!$K90</f>
        <v>2.1969259714458134</v>
      </c>
      <c r="O90">
        <f>+bma_se!O90/data!$K90</f>
        <v>0</v>
      </c>
      <c r="P90">
        <f>+bma_se!P90/data!$K90</f>
        <v>2.1969259714458134</v>
      </c>
      <c r="Q90">
        <f>+bma_se!Q90/data!$K90</f>
        <v>16.699717473200149</v>
      </c>
      <c r="R90">
        <f>+bma_se!R90/data!$K90</f>
        <v>2.4135692353420275</v>
      </c>
      <c r="S90">
        <f>+bma_se!S90/data!$K90</f>
        <v>0</v>
      </c>
    </row>
    <row r="91" spans="1:19" x14ac:dyDescent="0.25">
      <c r="A91">
        <f>+bma_se!A91/data!$K91</f>
        <v>-0.16392215568862276</v>
      </c>
      <c r="B91">
        <f>+bma_se!B91/data!$K91</f>
        <v>2.4277681053028117</v>
      </c>
      <c r="C91">
        <f>+bma_se!C91/data!$K91</f>
        <v>0</v>
      </c>
      <c r="D91">
        <f>+bma_se!D91/data!$K91</f>
        <v>0</v>
      </c>
      <c r="E91">
        <f>+bma_se!E91/data!$K91</f>
        <v>0</v>
      </c>
      <c r="F91">
        <f>+bma_se!F91/data!$K91</f>
        <v>0</v>
      </c>
      <c r="G91">
        <f>+bma_se!G91/data!$K91</f>
        <v>0</v>
      </c>
      <c r="H91">
        <f>+bma_se!H91/data!$K91</f>
        <v>0</v>
      </c>
      <c r="I91">
        <f>+bma_se!I91/data!$K91</f>
        <v>0</v>
      </c>
      <c r="J91">
        <f>+bma_se!J91/data!$K91</f>
        <v>0</v>
      </c>
      <c r="K91">
        <f>+bma_se!K91/data!$K91</f>
        <v>0</v>
      </c>
      <c r="L91">
        <f>+bma_se!L91/data!$K91</f>
        <v>0</v>
      </c>
      <c r="M91">
        <f>+bma_se!M91/data!$K91</f>
        <v>0</v>
      </c>
      <c r="N91">
        <f>+bma_se!N91/data!$K91</f>
        <v>2.4277681053028117</v>
      </c>
      <c r="O91">
        <f>+bma_se!O91/data!$K91</f>
        <v>0</v>
      </c>
      <c r="P91">
        <f>+bma_se!P91/data!$K91</f>
        <v>2.4277681053028117</v>
      </c>
      <c r="Q91">
        <f>+bma_se!Q91/data!$K91</f>
        <v>18.454441331185006</v>
      </c>
      <c r="R91">
        <f>+bma_se!R91/data!$K91</f>
        <v>2.6671751737029323</v>
      </c>
      <c r="S91">
        <f>+bma_se!S91/data!$K91</f>
        <v>0</v>
      </c>
    </row>
    <row r="92" spans="1:19" x14ac:dyDescent="0.25">
      <c r="A92">
        <f>+bma_se!A92/data!$K92</f>
        <v>-8.0280172413793108E-2</v>
      </c>
      <c r="B92">
        <f>+bma_se!B92/data!$K92</f>
        <v>1.553285197921743</v>
      </c>
      <c r="C92">
        <f>+bma_se!C92/data!$K92</f>
        <v>0</v>
      </c>
      <c r="D92">
        <f>+bma_se!D92/data!$K92</f>
        <v>0</v>
      </c>
      <c r="E92">
        <f>+bma_se!E92/data!$K92</f>
        <v>0</v>
      </c>
      <c r="F92">
        <f>+bma_se!F92/data!$K92</f>
        <v>0</v>
      </c>
      <c r="G92">
        <f>+bma_se!G92/data!$K92</f>
        <v>0</v>
      </c>
      <c r="H92">
        <f>+bma_se!H92/data!$K92</f>
        <v>0</v>
      </c>
      <c r="I92">
        <f>+bma_se!I92/data!$K92</f>
        <v>0</v>
      </c>
      <c r="J92">
        <f>+bma_se!J92/data!$K92</f>
        <v>0</v>
      </c>
      <c r="K92">
        <f>+bma_se!K92/data!$K92</f>
        <v>0</v>
      </c>
      <c r="L92">
        <f>+bma_se!L92/data!$K92</f>
        <v>0</v>
      </c>
      <c r="M92">
        <f>+bma_se!M92/data!$K92</f>
        <v>0</v>
      </c>
      <c r="N92">
        <f>+bma_se!N92/data!$K92</f>
        <v>0</v>
      </c>
      <c r="O92">
        <f>+bma_se!O92/data!$K92</f>
        <v>1.553285197921743</v>
      </c>
      <c r="P92">
        <f>+bma_se!P92/data!$K92</f>
        <v>1.553285197921743</v>
      </c>
      <c r="Q92">
        <f>+bma_se!Q92/data!$K92</f>
        <v>11.807145210052735</v>
      </c>
      <c r="R92">
        <f>+bma_se!R92/data!$K92</f>
        <v>1.706457757859202</v>
      </c>
      <c r="S92">
        <f>+bma_se!S92/data!$K92</f>
        <v>0</v>
      </c>
    </row>
    <row r="93" spans="1:19" x14ac:dyDescent="0.25">
      <c r="A93">
        <f>+bma_se!A93/data!$K93</f>
        <v>-0.1280545112781955</v>
      </c>
      <c r="B93">
        <f>+bma_se!B93/data!$K93</f>
        <v>2.1453054462846772</v>
      </c>
      <c r="C93">
        <f>+bma_se!C93/data!$K93</f>
        <v>0</v>
      </c>
      <c r="D93">
        <f>+bma_se!D93/data!$K93</f>
        <v>0</v>
      </c>
      <c r="E93">
        <f>+bma_se!E93/data!$K93</f>
        <v>0</v>
      </c>
      <c r="F93">
        <f>+bma_se!F93/data!$K93</f>
        <v>0</v>
      </c>
      <c r="G93">
        <f>+bma_se!G93/data!$K93</f>
        <v>0</v>
      </c>
      <c r="H93">
        <f>+bma_se!H93/data!$K93</f>
        <v>0</v>
      </c>
      <c r="I93">
        <f>+bma_se!I93/data!$K93</f>
        <v>0</v>
      </c>
      <c r="J93">
        <f>+bma_se!J93/data!$K93</f>
        <v>0</v>
      </c>
      <c r="K93">
        <f>+bma_se!K93/data!$K93</f>
        <v>0</v>
      </c>
      <c r="L93">
        <f>+bma_se!L93/data!$K93</f>
        <v>0</v>
      </c>
      <c r="M93">
        <f>+bma_se!M93/data!$K93</f>
        <v>0</v>
      </c>
      <c r="N93">
        <f>+bma_se!N93/data!$K93</f>
        <v>0</v>
      </c>
      <c r="O93">
        <f>+bma_se!O93/data!$K93</f>
        <v>2.1453054462846772</v>
      </c>
      <c r="P93">
        <f>+bma_se!P93/data!$K93</f>
        <v>2.1453054462846772</v>
      </c>
      <c r="Q93">
        <f>+bma_se!Q93/data!$K93</f>
        <v>16.307329109999241</v>
      </c>
      <c r="R93">
        <f>+bma_se!R93/data!$K93</f>
        <v>2.3568583069537019</v>
      </c>
      <c r="S93">
        <f>+bma_se!S93/data!$K93</f>
        <v>0</v>
      </c>
    </row>
    <row r="94" spans="1:19" x14ac:dyDescent="0.25">
      <c r="A94">
        <f>+bma_se!A94/data!$K94</f>
        <v>7.1395131086142316E-2</v>
      </c>
      <c r="B94">
        <f>+bma_se!B94/data!$K94</f>
        <v>1.4446897641856564</v>
      </c>
      <c r="C94">
        <f>+bma_se!C94/data!$K94</f>
        <v>0</v>
      </c>
      <c r="D94">
        <f>+bma_se!D94/data!$K94</f>
        <v>0</v>
      </c>
      <c r="E94">
        <f>+bma_se!E94/data!$K94</f>
        <v>0</v>
      </c>
      <c r="F94">
        <f>+bma_se!F94/data!$K94</f>
        <v>0</v>
      </c>
      <c r="G94">
        <f>+bma_se!G94/data!$K94</f>
        <v>0</v>
      </c>
      <c r="H94">
        <f>+bma_se!H94/data!$K94</f>
        <v>0</v>
      </c>
      <c r="I94">
        <f>+bma_se!I94/data!$K94</f>
        <v>0</v>
      </c>
      <c r="J94">
        <f>+bma_se!J94/data!$K94</f>
        <v>0</v>
      </c>
      <c r="K94">
        <f>+bma_se!K94/data!$K94</f>
        <v>0</v>
      </c>
      <c r="L94">
        <f>+bma_se!L94/data!$K94</f>
        <v>0</v>
      </c>
      <c r="M94">
        <f>+bma_se!M94/data!$K94</f>
        <v>0</v>
      </c>
      <c r="N94">
        <f>+bma_se!N94/data!$K94</f>
        <v>0</v>
      </c>
      <c r="O94">
        <f>+bma_se!O94/data!$K94</f>
        <v>1.4446897641856564</v>
      </c>
      <c r="P94">
        <f>+bma_se!P94/data!$K94</f>
        <v>1.4446897641856564</v>
      </c>
      <c r="Q94">
        <f>+bma_se!Q94/data!$K94</f>
        <v>10.981667662860378</v>
      </c>
      <c r="R94">
        <f>+bma_se!R94/data!$K94</f>
        <v>1.5871535112115323</v>
      </c>
      <c r="S94">
        <f>+bma_se!S94/data!$K94</f>
        <v>0</v>
      </c>
    </row>
    <row r="95" spans="1:19" x14ac:dyDescent="0.25">
      <c r="A95">
        <f>+bma_se!A95/data!$K95</f>
        <v>-0.40833333333333338</v>
      </c>
      <c r="B95">
        <f>+bma_se!B95/data!$K95</f>
        <v>1.013828004260201</v>
      </c>
      <c r="C95">
        <f>+bma_se!C95/data!$K95</f>
        <v>0</v>
      </c>
      <c r="D95">
        <f>+bma_se!D95/data!$K95</f>
        <v>1.013828004260201</v>
      </c>
      <c r="E95">
        <f>+bma_se!E95/data!$K95</f>
        <v>0</v>
      </c>
      <c r="F95">
        <f>+bma_se!F95/data!$K95</f>
        <v>0</v>
      </c>
      <c r="G95">
        <f>+bma_se!G95/data!$K95</f>
        <v>1.013828004260201</v>
      </c>
      <c r="H95">
        <f>+bma_se!H95/data!$K95</f>
        <v>0</v>
      </c>
      <c r="I95">
        <f>+bma_se!I95/data!$K95</f>
        <v>1.013828004260201</v>
      </c>
      <c r="J95">
        <f>+bma_se!J95/data!$K95</f>
        <v>0</v>
      </c>
      <c r="K95">
        <f>+bma_se!K95/data!$K95</f>
        <v>1.013828004260201</v>
      </c>
      <c r="L95">
        <f>+bma_se!L95/data!$K95</f>
        <v>0</v>
      </c>
      <c r="M95">
        <f>+bma_se!M95/data!$K95</f>
        <v>0</v>
      </c>
      <c r="N95">
        <f>+bma_se!N95/data!$K95</f>
        <v>0</v>
      </c>
      <c r="O95">
        <f>+bma_se!O95/data!$K95</f>
        <v>0</v>
      </c>
      <c r="P95">
        <f>+bma_se!P95/data!$K95</f>
        <v>1.013828004260201</v>
      </c>
      <c r="Q95">
        <f>+bma_se!Q95/data!$K95</f>
        <v>7.6988861773354467</v>
      </c>
      <c r="R95">
        <f>+bma_se!R95/data!$K95</f>
        <v>2.9303400763295659</v>
      </c>
      <c r="S95">
        <f>+bma_se!S95/data!$K95</f>
        <v>1.013828004260201</v>
      </c>
    </row>
    <row r="96" spans="1:19" x14ac:dyDescent="0.25">
      <c r="A96">
        <f>+bma_se!A96/data!$K96</f>
        <v>-0.12816666666666673</v>
      </c>
      <c r="B96">
        <f>+bma_se!B96/data!$K96</f>
        <v>0.75629508130094303</v>
      </c>
      <c r="C96">
        <f>+bma_se!C96/data!$K96</f>
        <v>0</v>
      </c>
      <c r="D96">
        <f>+bma_se!D96/data!$K96</f>
        <v>0.75629508130094303</v>
      </c>
      <c r="E96">
        <f>+bma_se!E96/data!$K96</f>
        <v>0</v>
      </c>
      <c r="F96">
        <f>+bma_se!F96/data!$K96</f>
        <v>0</v>
      </c>
      <c r="G96">
        <f>+bma_se!G96/data!$K96</f>
        <v>0.75629508130094303</v>
      </c>
      <c r="H96">
        <f>+bma_se!H96/data!$K96</f>
        <v>0.75629508130094303</v>
      </c>
      <c r="I96">
        <f>+bma_se!I96/data!$K96</f>
        <v>0.75629508130094303</v>
      </c>
      <c r="J96">
        <f>+bma_se!J96/data!$K96</f>
        <v>0</v>
      </c>
      <c r="K96">
        <f>+bma_se!K96/data!$K96</f>
        <v>0.75629508130094303</v>
      </c>
      <c r="L96">
        <f>+bma_se!L96/data!$K96</f>
        <v>0</v>
      </c>
      <c r="M96">
        <f>+bma_se!M96/data!$K96</f>
        <v>0</v>
      </c>
      <c r="N96">
        <f>+bma_se!N96/data!$K96</f>
        <v>0</v>
      </c>
      <c r="O96">
        <f>+bma_se!O96/data!$K96</f>
        <v>0</v>
      </c>
      <c r="P96">
        <f>+bma_se!P96/data!$K96</f>
        <v>0.75629508130094303</v>
      </c>
      <c r="Q96">
        <f>+bma_se!Q96/data!$K96</f>
        <v>5.7432125793994429</v>
      </c>
      <c r="R96">
        <f>+bma_se!R96/data!$K96</f>
        <v>2.1859741267299695</v>
      </c>
      <c r="S96">
        <f>+bma_se!S96/data!$K96</f>
        <v>0.75629508130094303</v>
      </c>
    </row>
    <row r="97" spans="1:19" x14ac:dyDescent="0.25">
      <c r="A97">
        <f>+bma_se!A97/data!$K97</f>
        <v>-0.45833333333333476</v>
      </c>
      <c r="B97">
        <f>+bma_se!B97/data!$K97</f>
        <v>1.0349785290311855</v>
      </c>
      <c r="C97">
        <f>+bma_se!C97/data!$K97</f>
        <v>0</v>
      </c>
      <c r="D97">
        <f>+bma_se!D97/data!$K97</f>
        <v>1.0349785290311855</v>
      </c>
      <c r="E97">
        <f>+bma_se!E97/data!$K97</f>
        <v>0</v>
      </c>
      <c r="F97">
        <f>+bma_se!F97/data!$K97</f>
        <v>0</v>
      </c>
      <c r="G97">
        <f>+bma_se!G97/data!$K97</f>
        <v>1.0349785290311855</v>
      </c>
      <c r="H97">
        <f>+bma_se!H97/data!$K97</f>
        <v>0</v>
      </c>
      <c r="I97">
        <f>+bma_se!I97/data!$K97</f>
        <v>1.0349785290311855</v>
      </c>
      <c r="J97">
        <f>+bma_se!J97/data!$K97</f>
        <v>0</v>
      </c>
      <c r="K97">
        <f>+bma_se!K97/data!$K97</f>
        <v>1.0349785290311855</v>
      </c>
      <c r="L97">
        <f>+bma_se!L97/data!$K97</f>
        <v>0</v>
      </c>
      <c r="M97">
        <f>+bma_se!M97/data!$K97</f>
        <v>0</v>
      </c>
      <c r="N97">
        <f>+bma_se!N97/data!$K97</f>
        <v>0</v>
      </c>
      <c r="O97">
        <f>+bma_se!O97/data!$K97</f>
        <v>0</v>
      </c>
      <c r="P97">
        <f>+bma_se!P97/data!$K97</f>
        <v>1.0349785290311855</v>
      </c>
      <c r="Q97">
        <f>+bma_se!Q97/data!$K97</f>
        <v>7.8595006820822819</v>
      </c>
      <c r="R97">
        <f>+bma_se!R97/data!$K97</f>
        <v>2.991472960912926</v>
      </c>
      <c r="S97">
        <f>+bma_se!S97/data!$K97</f>
        <v>1.0349785290311855</v>
      </c>
    </row>
    <row r="98" spans="1:19" x14ac:dyDescent="0.25">
      <c r="A98">
        <f>+bma_se!A98/data!$K98</f>
        <v>0.58000000000000174</v>
      </c>
      <c r="B98">
        <f>+bma_se!B98/data!$K98</f>
        <v>1.0555461987889396</v>
      </c>
      <c r="C98">
        <f>+bma_se!C98/data!$K98</f>
        <v>0</v>
      </c>
      <c r="D98">
        <f>+bma_se!D98/data!$K98</f>
        <v>1.0555461987889396</v>
      </c>
      <c r="E98">
        <f>+bma_se!E98/data!$K98</f>
        <v>0</v>
      </c>
      <c r="F98">
        <f>+bma_se!F98/data!$K98</f>
        <v>0</v>
      </c>
      <c r="G98">
        <f>+bma_se!G98/data!$K98</f>
        <v>1.0555461987889396</v>
      </c>
      <c r="H98">
        <f>+bma_se!H98/data!$K98</f>
        <v>0</v>
      </c>
      <c r="I98">
        <f>+bma_se!I98/data!$K98</f>
        <v>1.0555461987889396</v>
      </c>
      <c r="J98">
        <f>+bma_se!J98/data!$K98</f>
        <v>0</v>
      </c>
      <c r="K98">
        <f>+bma_se!K98/data!$K98</f>
        <v>1.0555461987889396</v>
      </c>
      <c r="L98">
        <f>+bma_se!L98/data!$K98</f>
        <v>0</v>
      </c>
      <c r="M98">
        <f>+bma_se!M98/data!$K98</f>
        <v>0</v>
      </c>
      <c r="N98">
        <f>+bma_se!N98/data!$K98</f>
        <v>0</v>
      </c>
      <c r="O98">
        <f>+bma_se!O98/data!$K98</f>
        <v>0</v>
      </c>
      <c r="P98">
        <f>+bma_se!P98/data!$K98</f>
        <v>1.0555461987889396</v>
      </c>
      <c r="Q98">
        <f>+bma_se!Q98/data!$K98</f>
        <v>8.0156890569669557</v>
      </c>
      <c r="R98">
        <f>+bma_se!R98/data!$K98</f>
        <v>3.0509211776859853</v>
      </c>
      <c r="S98">
        <f>+bma_se!S98/data!$K98</f>
        <v>1.0555461987889396</v>
      </c>
    </row>
    <row r="99" spans="1:19" x14ac:dyDescent="0.25">
      <c r="A99">
        <f>+bma_se!A99/data!$K99</f>
        <v>0.56500000000000339</v>
      </c>
      <c r="B99">
        <f>+bma_se!B99/data!$K99</f>
        <v>1.0340333650322913</v>
      </c>
      <c r="C99">
        <f>+bma_se!C99/data!$K99</f>
        <v>0</v>
      </c>
      <c r="D99">
        <f>+bma_se!D99/data!$K99</f>
        <v>1.0340333650322913</v>
      </c>
      <c r="E99">
        <f>+bma_se!E99/data!$K99</f>
        <v>0</v>
      </c>
      <c r="F99">
        <f>+bma_se!F99/data!$K99</f>
        <v>0</v>
      </c>
      <c r="G99">
        <f>+bma_se!G99/data!$K99</f>
        <v>1.0340333650322913</v>
      </c>
      <c r="H99">
        <f>+bma_se!H99/data!$K99</f>
        <v>0</v>
      </c>
      <c r="I99">
        <f>+bma_se!I99/data!$K99</f>
        <v>1.0340333650322913</v>
      </c>
      <c r="J99">
        <f>+bma_se!J99/data!$K99</f>
        <v>0</v>
      </c>
      <c r="K99">
        <f>+bma_se!K99/data!$K99</f>
        <v>1.0340333650322913</v>
      </c>
      <c r="L99">
        <f>+bma_se!L99/data!$K99</f>
        <v>0</v>
      </c>
      <c r="M99">
        <f>+bma_se!M99/data!$K99</f>
        <v>0</v>
      </c>
      <c r="N99">
        <f>+bma_se!N99/data!$K99</f>
        <v>0</v>
      </c>
      <c r="O99">
        <f>+bma_se!O99/data!$K99</f>
        <v>0</v>
      </c>
      <c r="P99">
        <f>+bma_se!P99/data!$K99</f>
        <v>1.0340333650322913</v>
      </c>
      <c r="Q99">
        <f>+bma_se!Q99/data!$K99</f>
        <v>7.8523232219846868</v>
      </c>
      <c r="R99">
        <f>+bma_se!R99/data!$K99</f>
        <v>2.9887410853551142</v>
      </c>
      <c r="S99">
        <f>+bma_se!S99/data!$K99</f>
        <v>1.0340333650322913</v>
      </c>
    </row>
    <row r="100" spans="1:19" x14ac:dyDescent="0.25">
      <c r="A100">
        <f>+bma_se!A100/data!$K100</f>
        <v>-0.58666666666666822</v>
      </c>
      <c r="B100">
        <f>+bma_se!B100/data!$K100</f>
        <v>1.0722561882933273</v>
      </c>
      <c r="C100">
        <f>+bma_se!C100/data!$K100</f>
        <v>0</v>
      </c>
      <c r="D100">
        <f>+bma_se!D100/data!$K100</f>
        <v>1.0722561882933273</v>
      </c>
      <c r="E100">
        <f>+bma_se!E100/data!$K100</f>
        <v>0</v>
      </c>
      <c r="F100">
        <f>+bma_se!F100/data!$K100</f>
        <v>0</v>
      </c>
      <c r="G100">
        <f>+bma_se!G100/data!$K100</f>
        <v>1.0722561882933273</v>
      </c>
      <c r="H100">
        <f>+bma_se!H100/data!$K100</f>
        <v>0</v>
      </c>
      <c r="I100">
        <f>+bma_se!I100/data!$K100</f>
        <v>1.0722561882933273</v>
      </c>
      <c r="J100">
        <f>+bma_se!J100/data!$K100</f>
        <v>0</v>
      </c>
      <c r="K100">
        <f>+bma_se!K100/data!$K100</f>
        <v>1.0722561882933273</v>
      </c>
      <c r="L100">
        <f>+bma_se!L100/data!$K100</f>
        <v>0</v>
      </c>
      <c r="M100">
        <f>+bma_se!M100/data!$K100</f>
        <v>0</v>
      </c>
      <c r="N100">
        <f>+bma_se!N100/data!$K100</f>
        <v>0</v>
      </c>
      <c r="O100">
        <f>+bma_se!O100/data!$K100</f>
        <v>0</v>
      </c>
      <c r="P100">
        <f>+bma_se!P100/data!$K100</f>
        <v>1.0722561882933273</v>
      </c>
      <c r="Q100">
        <f>+bma_se!Q100/data!$K100</f>
        <v>8.1425826786445548</v>
      </c>
      <c r="R100">
        <f>+bma_se!R100/data!$K100</f>
        <v>3.0992192634697608</v>
      </c>
      <c r="S100">
        <f>+bma_se!S100/data!$K100</f>
        <v>1.0722561882933273</v>
      </c>
    </row>
    <row r="101" spans="1:19" x14ac:dyDescent="0.25">
      <c r="A101">
        <f>+bma_se!A101/data!$K101</f>
        <v>-8.1081081081081086E-2</v>
      </c>
      <c r="B101">
        <f>+bma_se!B101/data!$K101</f>
        <v>12.755158726637209</v>
      </c>
      <c r="C101">
        <f>+bma_se!C101/data!$K101</f>
        <v>0</v>
      </c>
      <c r="D101">
        <f>+bma_se!D101/data!$K101</f>
        <v>12.755158726637209</v>
      </c>
      <c r="E101">
        <f>+bma_se!E101/data!$K101</f>
        <v>12.755158726637209</v>
      </c>
      <c r="F101">
        <f>+bma_se!F101/data!$K101</f>
        <v>0</v>
      </c>
      <c r="G101">
        <f>+bma_se!G101/data!$K101</f>
        <v>12.755158726637209</v>
      </c>
      <c r="H101">
        <f>+bma_se!H101/data!$K101</f>
        <v>0</v>
      </c>
      <c r="I101">
        <f>+bma_se!I101/data!$K101</f>
        <v>0</v>
      </c>
      <c r="J101">
        <f>+bma_se!J101/data!$K101</f>
        <v>0</v>
      </c>
      <c r="K101">
        <f>+bma_se!K101/data!$K101</f>
        <v>12.755158726637209</v>
      </c>
      <c r="L101">
        <f>+bma_se!L101/data!$K101</f>
        <v>0</v>
      </c>
      <c r="M101">
        <f>+bma_se!M101/data!$K101</f>
        <v>0</v>
      </c>
      <c r="N101">
        <f>+bma_se!N101/data!$K101</f>
        <v>0</v>
      </c>
      <c r="O101">
        <f>+bma_se!O101/data!$K101</f>
        <v>12.755158726637209</v>
      </c>
      <c r="P101">
        <f>+bma_se!P101/data!$K101</f>
        <v>0</v>
      </c>
      <c r="Q101">
        <f>+bma_se!Q101/data!$K101</f>
        <v>97.007982138296811</v>
      </c>
      <c r="R101">
        <f>+bma_se!R101/data!$K101</f>
        <v>50.15106471551907</v>
      </c>
      <c r="S101">
        <f>+bma_se!S101/data!$K101</f>
        <v>12.755158726637209</v>
      </c>
    </row>
    <row r="102" spans="1:19" x14ac:dyDescent="0.25">
      <c r="A102">
        <f>+bma_se!A102/data!$K102</f>
        <v>-7.575757575757576E-2</v>
      </c>
      <c r="B102">
        <f>+bma_se!B102/data!$K102</f>
        <v>12.750225065083542</v>
      </c>
      <c r="C102">
        <f>+bma_se!C102/data!$K102</f>
        <v>0</v>
      </c>
      <c r="D102">
        <f>+bma_se!D102/data!$K102</f>
        <v>12.750225065083542</v>
      </c>
      <c r="E102">
        <f>+bma_se!E102/data!$K102</f>
        <v>12.750225065083542</v>
      </c>
      <c r="F102">
        <f>+bma_se!F102/data!$K102</f>
        <v>0</v>
      </c>
      <c r="G102">
        <f>+bma_se!G102/data!$K102</f>
        <v>12.750225065083542</v>
      </c>
      <c r="H102">
        <f>+bma_se!H102/data!$K102</f>
        <v>0</v>
      </c>
      <c r="I102">
        <f>+bma_se!I102/data!$K102</f>
        <v>0</v>
      </c>
      <c r="J102">
        <f>+bma_se!J102/data!$K102</f>
        <v>0</v>
      </c>
      <c r="K102">
        <f>+bma_se!K102/data!$K102</f>
        <v>12.750225065083542</v>
      </c>
      <c r="L102">
        <f>+bma_se!L102/data!$K102</f>
        <v>0</v>
      </c>
      <c r="M102">
        <f>+bma_se!M102/data!$K102</f>
        <v>0</v>
      </c>
      <c r="N102">
        <f>+bma_se!N102/data!$K102</f>
        <v>0</v>
      </c>
      <c r="O102">
        <f>+bma_se!O102/data!$K102</f>
        <v>12.750225065083542</v>
      </c>
      <c r="P102">
        <f>+bma_se!P102/data!$K102</f>
        <v>0</v>
      </c>
      <c r="Q102">
        <f>+bma_se!Q102/data!$K102</f>
        <v>96.970459708185857</v>
      </c>
      <c r="R102">
        <f>+bma_se!R102/data!$K102</f>
        <v>50.131666416747166</v>
      </c>
      <c r="S102">
        <f>+bma_se!S102/data!$K102</f>
        <v>12.750225065083542</v>
      </c>
    </row>
    <row r="103" spans="1:19" x14ac:dyDescent="0.25">
      <c r="A103">
        <f>+bma_se!A103/data!$K103</f>
        <v>-7.0512820512820512E-2</v>
      </c>
      <c r="B103">
        <f>+bma_se!B103/data!$K103</f>
        <v>12.720749665717687</v>
      </c>
      <c r="C103">
        <f>+bma_se!C103/data!$K103</f>
        <v>0</v>
      </c>
      <c r="D103">
        <f>+bma_se!D103/data!$K103</f>
        <v>12.720749665717687</v>
      </c>
      <c r="E103">
        <f>+bma_se!E103/data!$K103</f>
        <v>12.720749665717687</v>
      </c>
      <c r="F103">
        <f>+bma_se!F103/data!$K103</f>
        <v>0</v>
      </c>
      <c r="G103">
        <f>+bma_se!G103/data!$K103</f>
        <v>12.720749665717687</v>
      </c>
      <c r="H103">
        <f>+bma_se!H103/data!$K103</f>
        <v>0</v>
      </c>
      <c r="I103">
        <f>+bma_se!I103/data!$K103</f>
        <v>0</v>
      </c>
      <c r="J103">
        <f>+bma_se!J103/data!$K103</f>
        <v>0</v>
      </c>
      <c r="K103">
        <f>+bma_se!K103/data!$K103</f>
        <v>12.720749665717687</v>
      </c>
      <c r="L103">
        <f>+bma_se!L103/data!$K103</f>
        <v>0</v>
      </c>
      <c r="M103">
        <f>+bma_se!M103/data!$K103</f>
        <v>0</v>
      </c>
      <c r="N103">
        <f>+bma_se!N103/data!$K103</f>
        <v>0</v>
      </c>
      <c r="O103">
        <f>+bma_se!O103/data!$K103</f>
        <v>12.720749665717687</v>
      </c>
      <c r="P103">
        <f>+bma_se!P103/data!$K103</f>
        <v>0</v>
      </c>
      <c r="Q103">
        <f>+bma_se!Q103/data!$K103</f>
        <v>96.746287741651969</v>
      </c>
      <c r="R103">
        <f>+bma_se!R103/data!$K103</f>
        <v>50.015774275160112</v>
      </c>
      <c r="S103">
        <f>+bma_se!S103/data!$K103</f>
        <v>12.720749665717687</v>
      </c>
    </row>
    <row r="104" spans="1:19" x14ac:dyDescent="0.25">
      <c r="A104">
        <f>+bma_se!A104/data!$K104</f>
        <v>-3.0303030303030304E-2</v>
      </c>
      <c r="B104">
        <f>+bma_se!B104/data!$K104</f>
        <v>12.715676084017142</v>
      </c>
      <c r="C104">
        <f>+bma_se!C104/data!$K104</f>
        <v>0</v>
      </c>
      <c r="D104">
        <f>+bma_se!D104/data!$K104</f>
        <v>12.715676084017142</v>
      </c>
      <c r="E104">
        <f>+bma_se!E104/data!$K104</f>
        <v>12.715676084017142</v>
      </c>
      <c r="F104">
        <f>+bma_se!F104/data!$K104</f>
        <v>0</v>
      </c>
      <c r="G104">
        <f>+bma_se!G104/data!$K104</f>
        <v>12.715676084017142</v>
      </c>
      <c r="H104">
        <f>+bma_se!H104/data!$K104</f>
        <v>0</v>
      </c>
      <c r="I104">
        <f>+bma_se!I104/data!$K104</f>
        <v>0</v>
      </c>
      <c r="J104">
        <f>+bma_se!J104/data!$K104</f>
        <v>0</v>
      </c>
      <c r="K104">
        <f>+bma_se!K104/data!$K104</f>
        <v>12.715676084017142</v>
      </c>
      <c r="L104">
        <f>+bma_se!L104/data!$K104</f>
        <v>0</v>
      </c>
      <c r="M104">
        <f>+bma_se!M104/data!$K104</f>
        <v>0</v>
      </c>
      <c r="N104">
        <f>+bma_se!N104/data!$K104</f>
        <v>0</v>
      </c>
      <c r="O104">
        <f>+bma_se!O104/data!$K104</f>
        <v>12.715676084017142</v>
      </c>
      <c r="P104">
        <f>+bma_se!P104/data!$K104</f>
        <v>0</v>
      </c>
      <c r="Q104">
        <f>+bma_se!Q104/data!$K104</f>
        <v>96.707701163975301</v>
      </c>
      <c r="R104">
        <f>+bma_se!R104/data!$K104</f>
        <v>49.995825834716783</v>
      </c>
      <c r="S104">
        <f>+bma_se!S104/data!$K104</f>
        <v>12.715676084017142</v>
      </c>
    </row>
    <row r="105" spans="1:19" x14ac:dyDescent="0.25">
      <c r="A105">
        <f>+bma_se!A105/data!$K105</f>
        <v>0.47499999999999998</v>
      </c>
      <c r="B105">
        <f>+bma_se!B105/data!$K105</f>
        <v>3.3623838269894173</v>
      </c>
      <c r="C105">
        <f>+bma_se!C105/data!$K105</f>
        <v>0</v>
      </c>
      <c r="D105">
        <f>+bma_se!D105/data!$K105</f>
        <v>3.3623838269894173</v>
      </c>
      <c r="E105">
        <f>+bma_se!E105/data!$K105</f>
        <v>0</v>
      </c>
      <c r="F105">
        <f>+bma_se!F105/data!$K105</f>
        <v>0</v>
      </c>
      <c r="G105">
        <f>+bma_se!G105/data!$K105</f>
        <v>0</v>
      </c>
      <c r="H105">
        <f>+bma_se!H105/data!$K105</f>
        <v>3.3623838269894173</v>
      </c>
      <c r="I105">
        <f>+bma_se!I105/data!$K105</f>
        <v>3.3623838269894173</v>
      </c>
      <c r="J105">
        <f>+bma_se!J105/data!$K105</f>
        <v>0</v>
      </c>
      <c r="K105">
        <f>+bma_se!K105/data!$K105</f>
        <v>3.3623838269894173</v>
      </c>
      <c r="L105">
        <f>+bma_se!L105/data!$K105</f>
        <v>0</v>
      </c>
      <c r="M105">
        <f>+bma_se!M105/data!$K105</f>
        <v>0</v>
      </c>
      <c r="N105">
        <f>+bma_se!N105/data!$K105</f>
        <v>0</v>
      </c>
      <c r="O105">
        <f>+bma_se!O105/data!$K105</f>
        <v>3.3623838269894173</v>
      </c>
      <c r="P105">
        <f>+bma_se!P105/data!$K105</f>
        <v>3.3623838269894173</v>
      </c>
      <c r="Q105">
        <f>+bma_se!Q105/data!$K105</f>
        <v>25.577263735384566</v>
      </c>
      <c r="R105">
        <f>+bma_se!R105/data!$K105</f>
        <v>0</v>
      </c>
      <c r="S105">
        <f>+bma_se!S105/data!$K105</f>
        <v>0</v>
      </c>
    </row>
    <row r="106" spans="1:19" x14ac:dyDescent="0.25">
      <c r="A106">
        <f>+bma_se!A106/data!$K106</f>
        <v>0.74285714285714277</v>
      </c>
      <c r="B106">
        <f>+bma_se!B106/data!$K106</f>
        <v>3.410547864301845</v>
      </c>
      <c r="C106">
        <f>+bma_se!C106/data!$K106</f>
        <v>0</v>
      </c>
      <c r="D106">
        <f>+bma_se!D106/data!$K106</f>
        <v>3.410547864301845</v>
      </c>
      <c r="E106">
        <f>+bma_se!E106/data!$K106</f>
        <v>0</v>
      </c>
      <c r="F106">
        <f>+bma_se!F106/data!$K106</f>
        <v>0</v>
      </c>
      <c r="G106">
        <f>+bma_se!G106/data!$K106</f>
        <v>0</v>
      </c>
      <c r="H106">
        <f>+bma_se!H106/data!$K106</f>
        <v>3.410547864301845</v>
      </c>
      <c r="I106">
        <f>+bma_se!I106/data!$K106</f>
        <v>3.410547864301845</v>
      </c>
      <c r="J106">
        <f>+bma_se!J106/data!$K106</f>
        <v>0</v>
      </c>
      <c r="K106">
        <f>+bma_se!K106/data!$K106</f>
        <v>3.410547864301845</v>
      </c>
      <c r="L106">
        <f>+bma_se!L106/data!$K106</f>
        <v>0</v>
      </c>
      <c r="M106">
        <f>+bma_se!M106/data!$K106</f>
        <v>0</v>
      </c>
      <c r="N106">
        <f>+bma_se!N106/data!$K106</f>
        <v>0</v>
      </c>
      <c r="O106">
        <f>+bma_se!O106/data!$K106</f>
        <v>3.410547864301845</v>
      </c>
      <c r="P106">
        <f>+bma_se!P106/data!$K106</f>
        <v>3.410547864301845</v>
      </c>
      <c r="Q106">
        <f>+bma_se!Q106/data!$K106</f>
        <v>25.943641980191877</v>
      </c>
      <c r="R106">
        <f>+bma_se!R106/data!$K106</f>
        <v>0</v>
      </c>
      <c r="S106">
        <f>+bma_se!S106/data!$K106</f>
        <v>0</v>
      </c>
    </row>
    <row r="107" spans="1:19" x14ac:dyDescent="0.25">
      <c r="A107">
        <f>+bma_se!A107/data!$K107</f>
        <v>-8.5714285714285715E-2</v>
      </c>
      <c r="B107">
        <f>+bma_se!B107/data!$K107</f>
        <v>3.3297667994584108</v>
      </c>
      <c r="C107">
        <f>+bma_se!C107/data!$K107</f>
        <v>0</v>
      </c>
      <c r="D107">
        <f>+bma_se!D107/data!$K107</f>
        <v>3.3297667994584108</v>
      </c>
      <c r="E107">
        <f>+bma_se!E107/data!$K107</f>
        <v>0</v>
      </c>
      <c r="F107">
        <f>+bma_se!F107/data!$K107</f>
        <v>0</v>
      </c>
      <c r="G107">
        <f>+bma_se!G107/data!$K107</f>
        <v>0</v>
      </c>
      <c r="H107">
        <f>+bma_se!H107/data!$K107</f>
        <v>3.3297667994584108</v>
      </c>
      <c r="I107">
        <f>+bma_se!I107/data!$K107</f>
        <v>3.3297667994584108</v>
      </c>
      <c r="J107">
        <f>+bma_se!J107/data!$K107</f>
        <v>0</v>
      </c>
      <c r="K107">
        <f>+bma_se!K107/data!$K107</f>
        <v>3.3297667994584108</v>
      </c>
      <c r="L107">
        <f>+bma_se!L107/data!$K107</f>
        <v>0</v>
      </c>
      <c r="M107">
        <f>+bma_se!M107/data!$K107</f>
        <v>0</v>
      </c>
      <c r="N107">
        <f>+bma_se!N107/data!$K107</f>
        <v>0</v>
      </c>
      <c r="O107">
        <f>+bma_se!O107/data!$K107</f>
        <v>3.3297667994584108</v>
      </c>
      <c r="P107">
        <f>+bma_se!P107/data!$K107</f>
        <v>3.3297667994584108</v>
      </c>
      <c r="Q107">
        <f>+bma_se!Q107/data!$K107</f>
        <v>25.329149790531396</v>
      </c>
      <c r="R107">
        <f>+bma_se!R107/data!$K107</f>
        <v>0</v>
      </c>
      <c r="S107">
        <f>+bma_se!S107/data!$K107</f>
        <v>0</v>
      </c>
    </row>
    <row r="108" spans="1:19" x14ac:dyDescent="0.25">
      <c r="A108">
        <f>+bma_se!A108/data!$K108</f>
        <v>-7.2727272727272724E-2</v>
      </c>
      <c r="B108">
        <f>+bma_se!B108/data!$K108</f>
        <v>3.3294578021351087</v>
      </c>
      <c r="C108">
        <f>+bma_se!C108/data!$K108</f>
        <v>0</v>
      </c>
      <c r="D108">
        <f>+bma_se!D108/data!$K108</f>
        <v>3.3294578021351087</v>
      </c>
      <c r="E108">
        <f>+bma_se!E108/data!$K108</f>
        <v>0</v>
      </c>
      <c r="F108">
        <f>+bma_se!F108/data!$K108</f>
        <v>0</v>
      </c>
      <c r="G108">
        <f>+bma_se!G108/data!$K108</f>
        <v>0</v>
      </c>
      <c r="H108">
        <f>+bma_se!H108/data!$K108</f>
        <v>3.3294578021351087</v>
      </c>
      <c r="I108">
        <f>+bma_se!I108/data!$K108</f>
        <v>3.3294578021351087</v>
      </c>
      <c r="J108">
        <f>+bma_se!J108/data!$K108</f>
        <v>0</v>
      </c>
      <c r="K108">
        <f>+bma_se!K108/data!$K108</f>
        <v>3.3294578021351087</v>
      </c>
      <c r="L108">
        <f>+bma_se!L108/data!$K108</f>
        <v>0</v>
      </c>
      <c r="M108">
        <f>+bma_se!M108/data!$K108</f>
        <v>0</v>
      </c>
      <c r="N108">
        <f>+bma_se!N108/data!$K108</f>
        <v>0</v>
      </c>
      <c r="O108">
        <f>+bma_se!O108/data!$K108</f>
        <v>3.3294578021351087</v>
      </c>
      <c r="P108">
        <f>+bma_se!P108/data!$K108</f>
        <v>3.3294578021351087</v>
      </c>
      <c r="Q108">
        <f>+bma_se!Q108/data!$K108</f>
        <v>25.326799283736726</v>
      </c>
      <c r="R108">
        <f>+bma_se!R108/data!$K108</f>
        <v>0</v>
      </c>
      <c r="S108">
        <f>+bma_se!S108/data!$K108</f>
        <v>0</v>
      </c>
    </row>
    <row r="109" spans="1:19" x14ac:dyDescent="0.25">
      <c r="A109">
        <f>+bma_se!A109/data!$K109</f>
        <v>0.18461538461538463</v>
      </c>
      <c r="B109">
        <f>+bma_se!B109/data!$K109</f>
        <v>3.3337790629009425</v>
      </c>
      <c r="C109">
        <f>+bma_se!C109/data!$K109</f>
        <v>0</v>
      </c>
      <c r="D109">
        <f>+bma_se!D109/data!$K109</f>
        <v>3.3337790629009425</v>
      </c>
      <c r="E109">
        <f>+bma_se!E109/data!$K109</f>
        <v>0</v>
      </c>
      <c r="F109">
        <f>+bma_se!F109/data!$K109</f>
        <v>0</v>
      </c>
      <c r="G109">
        <f>+bma_se!G109/data!$K109</f>
        <v>0</v>
      </c>
      <c r="H109">
        <f>+bma_se!H109/data!$K109</f>
        <v>3.3337790629009425</v>
      </c>
      <c r="I109">
        <f>+bma_se!I109/data!$K109</f>
        <v>3.3337790629009425</v>
      </c>
      <c r="J109">
        <f>+bma_se!J109/data!$K109</f>
        <v>0</v>
      </c>
      <c r="K109">
        <f>+bma_se!K109/data!$K109</f>
        <v>3.3337790629009425</v>
      </c>
      <c r="L109">
        <f>+bma_se!L109/data!$K109</f>
        <v>0</v>
      </c>
      <c r="M109">
        <f>+bma_se!M109/data!$K109</f>
        <v>0</v>
      </c>
      <c r="N109">
        <f>+bma_se!N109/data!$K109</f>
        <v>0</v>
      </c>
      <c r="O109">
        <f>+bma_se!O109/data!$K109</f>
        <v>3.3337790629009425</v>
      </c>
      <c r="P109">
        <f>+bma_se!P109/data!$K109</f>
        <v>3.3337790629009425</v>
      </c>
      <c r="Q109">
        <f>+bma_se!Q109/data!$K109</f>
        <v>25.359670613116172</v>
      </c>
      <c r="R109">
        <f>+bma_se!R109/data!$K109</f>
        <v>0</v>
      </c>
      <c r="S109">
        <f>+bma_se!S109/data!$K109</f>
        <v>0</v>
      </c>
    </row>
    <row r="110" spans="1:19" x14ac:dyDescent="0.25">
      <c r="A110">
        <f>+bma_se!A110/data!$K110</f>
        <v>-0.52</v>
      </c>
      <c r="B110">
        <f>+bma_se!B110/data!$K110</f>
        <v>10.571206175266852</v>
      </c>
      <c r="C110">
        <f>+bma_se!C110/data!$K110</f>
        <v>0</v>
      </c>
      <c r="D110">
        <f>+bma_se!D110/data!$K110</f>
        <v>0</v>
      </c>
      <c r="E110">
        <f>+bma_se!E110/data!$K110</f>
        <v>0</v>
      </c>
      <c r="F110">
        <f>+bma_se!F110/data!$K110</f>
        <v>10.571206175266852</v>
      </c>
      <c r="G110">
        <f>+bma_se!G110/data!$K110</f>
        <v>0</v>
      </c>
      <c r="H110">
        <f>+bma_se!H110/data!$K110</f>
        <v>10.571206175266852</v>
      </c>
      <c r="I110">
        <f>+bma_se!I110/data!$K110</f>
        <v>10.571206175266852</v>
      </c>
      <c r="J110">
        <f>+bma_se!J110/data!$K110</f>
        <v>0</v>
      </c>
      <c r="K110">
        <f>+bma_se!K110/data!$K110</f>
        <v>10.571206175266852</v>
      </c>
      <c r="L110">
        <f>+bma_se!L110/data!$K110</f>
        <v>0</v>
      </c>
      <c r="M110">
        <f>+bma_se!M110/data!$K110</f>
        <v>0</v>
      </c>
      <c r="N110">
        <f>+bma_se!N110/data!$K110</f>
        <v>0</v>
      </c>
      <c r="O110">
        <f>+bma_se!O110/data!$K110</f>
        <v>0</v>
      </c>
      <c r="P110">
        <f>+bma_se!P110/data!$K110</f>
        <v>0</v>
      </c>
      <c r="Q110">
        <f>+bma_se!Q110/data!$K110</f>
        <v>80.40869579707568</v>
      </c>
      <c r="R110">
        <f>+bma_se!R110/data!$K110</f>
        <v>39.511680185109654</v>
      </c>
      <c r="S110">
        <f>+bma_se!S110/data!$K110</f>
        <v>0</v>
      </c>
    </row>
    <row r="111" spans="1:19" x14ac:dyDescent="0.25">
      <c r="A111">
        <f>+bma_se!A111/data!$K111</f>
        <v>-0.504</v>
      </c>
      <c r="B111">
        <f>+bma_se!B111/data!$K111</f>
        <v>10.570431211639381</v>
      </c>
      <c r="C111">
        <f>+bma_se!C111/data!$K111</f>
        <v>0</v>
      </c>
      <c r="D111">
        <f>+bma_se!D111/data!$K111</f>
        <v>0</v>
      </c>
      <c r="E111">
        <f>+bma_se!E111/data!$K111</f>
        <v>0</v>
      </c>
      <c r="F111">
        <f>+bma_se!F111/data!$K111</f>
        <v>10.570431211639381</v>
      </c>
      <c r="G111">
        <f>+bma_se!G111/data!$K111</f>
        <v>0</v>
      </c>
      <c r="H111">
        <f>+bma_se!H111/data!$K111</f>
        <v>10.570431211639381</v>
      </c>
      <c r="I111">
        <f>+bma_se!I111/data!$K111</f>
        <v>10.570431211639381</v>
      </c>
      <c r="J111">
        <f>+bma_se!J111/data!$K111</f>
        <v>0</v>
      </c>
      <c r="K111">
        <f>+bma_se!K111/data!$K111</f>
        <v>10.570431211639381</v>
      </c>
      <c r="L111">
        <f>+bma_se!L111/data!$K111</f>
        <v>0</v>
      </c>
      <c r="M111">
        <f>+bma_se!M111/data!$K111</f>
        <v>0</v>
      </c>
      <c r="N111">
        <f>+bma_se!N111/data!$K111</f>
        <v>0</v>
      </c>
      <c r="O111">
        <f>+bma_se!O111/data!$K111</f>
        <v>0</v>
      </c>
      <c r="P111">
        <f>+bma_se!P111/data!$K111</f>
        <v>0</v>
      </c>
      <c r="Q111">
        <f>+bma_se!Q111/data!$K111</f>
        <v>80.402801123039254</v>
      </c>
      <c r="R111">
        <f>+bma_se!R111/data!$K111</f>
        <v>39.508783626808167</v>
      </c>
      <c r="S111">
        <f>+bma_se!S111/data!$K111</f>
        <v>0</v>
      </c>
    </row>
    <row r="112" spans="1:19" x14ac:dyDescent="0.25">
      <c r="A112">
        <f>+bma_se!A112/data!$K112</f>
        <v>-0.3296</v>
      </c>
      <c r="B112">
        <f>+bma_se!B112/data!$K112</f>
        <v>9.8624863072148283</v>
      </c>
      <c r="C112">
        <f>+bma_se!C112/data!$K112</f>
        <v>0</v>
      </c>
      <c r="D112">
        <f>+bma_se!D112/data!$K112</f>
        <v>0</v>
      </c>
      <c r="E112">
        <f>+bma_se!E112/data!$K112</f>
        <v>0</v>
      </c>
      <c r="F112">
        <f>+bma_se!F112/data!$K112</f>
        <v>9.8624863072148283</v>
      </c>
      <c r="G112">
        <f>+bma_se!G112/data!$K112</f>
        <v>0</v>
      </c>
      <c r="H112">
        <f>+bma_se!H112/data!$K112</f>
        <v>9.8624863072148283</v>
      </c>
      <c r="I112">
        <f>+bma_se!I112/data!$K112</f>
        <v>9.8624863072148283</v>
      </c>
      <c r="J112">
        <f>+bma_se!J112/data!$K112</f>
        <v>0</v>
      </c>
      <c r="K112">
        <f>+bma_se!K112/data!$K112</f>
        <v>9.8624863072148283</v>
      </c>
      <c r="L112">
        <f>+bma_se!L112/data!$K112</f>
        <v>0</v>
      </c>
      <c r="M112">
        <f>+bma_se!M112/data!$K112</f>
        <v>0</v>
      </c>
      <c r="N112">
        <f>+bma_se!N112/data!$K112</f>
        <v>0</v>
      </c>
      <c r="O112">
        <f>+bma_se!O112/data!$K112</f>
        <v>0</v>
      </c>
      <c r="P112">
        <f>+bma_se!P112/data!$K112</f>
        <v>0</v>
      </c>
      <c r="Q112">
        <f>+bma_se!Q112/data!$K112</f>
        <v>75.01789749736318</v>
      </c>
      <c r="R112">
        <f>+bma_se!R112/data!$K112</f>
        <v>36.862719195887649</v>
      </c>
      <c r="S112">
        <f>+bma_se!S112/data!$K112</f>
        <v>0</v>
      </c>
    </row>
    <row r="113" spans="1:19" x14ac:dyDescent="0.25">
      <c r="A113">
        <f>+bma_se!A113/data!$K113</f>
        <v>-0.50133333333333341</v>
      </c>
      <c r="B113">
        <f>+bma_se!B113/data!$K113</f>
        <v>10.23774072298723</v>
      </c>
      <c r="C113">
        <f>+bma_se!C113/data!$K113</f>
        <v>0</v>
      </c>
      <c r="D113">
        <f>+bma_se!D113/data!$K113</f>
        <v>0</v>
      </c>
      <c r="E113">
        <f>+bma_se!E113/data!$K113</f>
        <v>0</v>
      </c>
      <c r="F113">
        <f>+bma_se!F113/data!$K113</f>
        <v>10.23774072298723</v>
      </c>
      <c r="G113">
        <f>+bma_se!G113/data!$K113</f>
        <v>0</v>
      </c>
      <c r="H113">
        <f>+bma_se!H113/data!$K113</f>
        <v>10.23774072298723</v>
      </c>
      <c r="I113">
        <f>+bma_se!I113/data!$K113</f>
        <v>10.23774072298723</v>
      </c>
      <c r="J113">
        <f>+bma_se!J113/data!$K113</f>
        <v>0</v>
      </c>
      <c r="K113">
        <f>+bma_se!K113/data!$K113</f>
        <v>10.23774072298723</v>
      </c>
      <c r="L113">
        <f>+bma_se!L113/data!$K113</f>
        <v>0</v>
      </c>
      <c r="M113">
        <f>+bma_se!M113/data!$K113</f>
        <v>0</v>
      </c>
      <c r="N113">
        <f>+bma_se!N113/data!$K113</f>
        <v>0</v>
      </c>
      <c r="O113">
        <f>+bma_se!O113/data!$K113</f>
        <v>0</v>
      </c>
      <c r="P113">
        <f>+bma_se!P113/data!$K113</f>
        <v>0</v>
      </c>
      <c r="Q113">
        <f>+bma_se!Q113/data!$K113</f>
        <v>77.87222818244139</v>
      </c>
      <c r="R113">
        <f>+bma_se!R113/data!$K113</f>
        <v>38.265296368087682</v>
      </c>
      <c r="S113">
        <f>+bma_se!S113/data!$K113</f>
        <v>0</v>
      </c>
    </row>
    <row r="114" spans="1:19" x14ac:dyDescent="0.25">
      <c r="A114">
        <f>+bma_se!A114/data!$K114</f>
        <v>-0.35888888888888892</v>
      </c>
      <c r="B114">
        <f>+bma_se!B114/data!$K114</f>
        <v>9.4999369068730086</v>
      </c>
      <c r="C114">
        <f>+bma_se!C114/data!$K114</f>
        <v>0</v>
      </c>
      <c r="D114">
        <f>+bma_se!D114/data!$K114</f>
        <v>0</v>
      </c>
      <c r="E114">
        <f>+bma_se!E114/data!$K114</f>
        <v>0</v>
      </c>
      <c r="F114">
        <f>+bma_se!F114/data!$K114</f>
        <v>9.4999369068730086</v>
      </c>
      <c r="G114">
        <f>+bma_se!G114/data!$K114</f>
        <v>0</v>
      </c>
      <c r="H114">
        <f>+bma_se!H114/data!$K114</f>
        <v>9.4999369068730086</v>
      </c>
      <c r="I114">
        <f>+bma_se!I114/data!$K114</f>
        <v>9.4999369068730086</v>
      </c>
      <c r="J114">
        <f>+bma_se!J114/data!$K114</f>
        <v>0</v>
      </c>
      <c r="K114">
        <f>+bma_se!K114/data!$K114</f>
        <v>9.4999369068730086</v>
      </c>
      <c r="L114">
        <f>+bma_se!L114/data!$K114</f>
        <v>0</v>
      </c>
      <c r="M114">
        <f>+bma_se!M114/data!$K114</f>
        <v>0</v>
      </c>
      <c r="N114">
        <f>+bma_se!N114/data!$K114</f>
        <v>0</v>
      </c>
      <c r="O114">
        <f>+bma_se!O114/data!$K114</f>
        <v>0</v>
      </c>
      <c r="P114">
        <f>+bma_se!P114/data!$K114</f>
        <v>0</v>
      </c>
      <c r="Q114">
        <f>+bma_se!Q114/data!$K114</f>
        <v>72.260206089195975</v>
      </c>
      <c r="R114">
        <f>+bma_se!R114/data!$K114</f>
        <v>35.507629178712037</v>
      </c>
      <c r="S114">
        <f>+bma_se!S114/data!$K114</f>
        <v>0</v>
      </c>
    </row>
    <row r="115" spans="1:19" x14ac:dyDescent="0.25">
      <c r="A115">
        <f>+bma_se!A115/data!$K115</f>
        <v>-1.2199999999999995</v>
      </c>
      <c r="B115">
        <f>+bma_se!B115/data!$K115</f>
        <v>6.1227771476675512</v>
      </c>
      <c r="C115">
        <f>+bma_se!C115/data!$K115</f>
        <v>6.1227771476675512</v>
      </c>
      <c r="D115">
        <f>+bma_se!D115/data!$K115</f>
        <v>6.1227771476675512</v>
      </c>
      <c r="E115">
        <f>+bma_se!E115/data!$K115</f>
        <v>0</v>
      </c>
      <c r="F115">
        <f>+bma_se!F115/data!$K115</f>
        <v>0</v>
      </c>
      <c r="G115">
        <f>+bma_se!G115/data!$K115</f>
        <v>6.1227771476675512</v>
      </c>
      <c r="H115">
        <f>+bma_se!H115/data!$K115</f>
        <v>0</v>
      </c>
      <c r="I115">
        <f>+bma_se!I115/data!$K115</f>
        <v>6.1227771476675512</v>
      </c>
      <c r="J115">
        <f>+bma_se!J115/data!$K115</f>
        <v>6.1227771476675512</v>
      </c>
      <c r="K115">
        <f>+bma_se!K115/data!$K115</f>
        <v>0</v>
      </c>
      <c r="L115">
        <f>+bma_se!L115/data!$K115</f>
        <v>0</v>
      </c>
      <c r="M115">
        <f>+bma_se!M115/data!$K115</f>
        <v>0</v>
      </c>
      <c r="N115">
        <f>+bma_se!N115/data!$K115</f>
        <v>0</v>
      </c>
      <c r="O115">
        <f>+bma_se!O115/data!$K115</f>
        <v>6.1227771476675512</v>
      </c>
      <c r="P115">
        <f>+bma_se!P115/data!$K115</f>
        <v>6.1227771476675512</v>
      </c>
      <c r="Q115">
        <f>+bma_se!Q115/data!$K115</f>
        <v>46.477095156926524</v>
      </c>
      <c r="R115">
        <f>+bma_se!R115/data!$K115</f>
        <v>13.453119018283834</v>
      </c>
      <c r="S115">
        <f>+bma_se!S115/data!$K115</f>
        <v>6.1227771476675512</v>
      </c>
    </row>
    <row r="116" spans="1:19" x14ac:dyDescent="0.25">
      <c r="A116">
        <f>+bma_se!A116/data!$K116</f>
        <v>-1.1724137931034482</v>
      </c>
      <c r="B116">
        <f>+bma_se!B116/data!$K116</f>
        <v>7.3814405920098229</v>
      </c>
      <c r="C116">
        <f>+bma_se!C116/data!$K116</f>
        <v>7.3814405920098229</v>
      </c>
      <c r="D116">
        <f>+bma_se!D116/data!$K116</f>
        <v>0</v>
      </c>
      <c r="E116">
        <f>+bma_se!E116/data!$K116</f>
        <v>7.3814405920098229</v>
      </c>
      <c r="F116">
        <f>+bma_se!F116/data!$K116</f>
        <v>0</v>
      </c>
      <c r="G116">
        <f>+bma_se!G116/data!$K116</f>
        <v>0</v>
      </c>
      <c r="H116">
        <f>+bma_se!H116/data!$K116</f>
        <v>0</v>
      </c>
      <c r="I116">
        <f>+bma_se!I116/data!$K116</f>
        <v>0</v>
      </c>
      <c r="J116">
        <f>+bma_se!J116/data!$K116</f>
        <v>0</v>
      </c>
      <c r="K116">
        <f>+bma_se!K116/data!$K116</f>
        <v>7.3814405920098229</v>
      </c>
      <c r="L116">
        <f>+bma_se!L116/data!$K116</f>
        <v>0</v>
      </c>
      <c r="M116">
        <f>+bma_se!M116/data!$K116</f>
        <v>0</v>
      </c>
      <c r="N116">
        <f>+bma_se!N116/data!$K116</f>
        <v>0</v>
      </c>
      <c r="O116">
        <f>+bma_se!O116/data!$K116</f>
        <v>0</v>
      </c>
      <c r="P116">
        <f>+bma_se!P116/data!$K116</f>
        <v>0</v>
      </c>
      <c r="Q116">
        <f>+bma_se!Q116/data!$K116</f>
        <v>56.153430912284279</v>
      </c>
      <c r="R116">
        <f>+bma_se!R116/data!$K116</f>
        <v>13.225762613698928</v>
      </c>
      <c r="S116">
        <f>+bma_se!S116/data!$K116</f>
        <v>7.3814405920098229</v>
      </c>
    </row>
    <row r="117" spans="1:19" x14ac:dyDescent="0.25">
      <c r="A117">
        <f>+bma_se!A117/data!$K117</f>
        <v>-2.592592592592593</v>
      </c>
      <c r="B117">
        <f>+bma_se!B117/data!$K117</f>
        <v>8.1547111615889722</v>
      </c>
      <c r="C117">
        <f>+bma_se!C117/data!$K117</f>
        <v>0</v>
      </c>
      <c r="D117">
        <f>+bma_se!D117/data!$K117</f>
        <v>0</v>
      </c>
      <c r="E117">
        <f>+bma_se!E117/data!$K117</f>
        <v>8.1547111615889722</v>
      </c>
      <c r="F117">
        <f>+bma_se!F117/data!$K117</f>
        <v>0</v>
      </c>
      <c r="G117">
        <f>+bma_se!G117/data!$K117</f>
        <v>0</v>
      </c>
      <c r="H117">
        <f>+bma_se!H117/data!$K117</f>
        <v>0</v>
      </c>
      <c r="I117">
        <f>+bma_se!I117/data!$K117</f>
        <v>0</v>
      </c>
      <c r="J117">
        <f>+bma_se!J117/data!$K117</f>
        <v>0</v>
      </c>
      <c r="K117">
        <f>+bma_se!K117/data!$K117</f>
        <v>8.1547111615889722</v>
      </c>
      <c r="L117">
        <f>+bma_se!L117/data!$K117</f>
        <v>0</v>
      </c>
      <c r="M117">
        <f>+bma_se!M117/data!$K117</f>
        <v>0</v>
      </c>
      <c r="N117">
        <f>+bma_se!N117/data!$K117</f>
        <v>0</v>
      </c>
      <c r="O117">
        <f>+bma_se!O117/data!$K117</f>
        <v>0</v>
      </c>
      <c r="P117">
        <f>+bma_se!P117/data!$K117</f>
        <v>0</v>
      </c>
      <c r="Q117">
        <f>+bma_se!Q117/data!$K117</f>
        <v>62.035994751159883</v>
      </c>
      <c r="R117">
        <f>+bma_se!R117/data!$K117</f>
        <v>14.611277116177497</v>
      </c>
      <c r="S117">
        <f>+bma_se!S117/data!$K117</f>
        <v>8.1547111615889722</v>
      </c>
    </row>
    <row r="118" spans="1:19" x14ac:dyDescent="0.25">
      <c r="A118">
        <f>+bma_se!A118/data!$K118</f>
        <v>-1.4864864864864866</v>
      </c>
      <c r="B118">
        <f>+bma_se!B118/data!$K118</f>
        <v>8.1095744419829145</v>
      </c>
      <c r="C118">
        <f>+bma_se!C118/data!$K118</f>
        <v>8.1095744419829145</v>
      </c>
      <c r="D118">
        <f>+bma_se!D118/data!$K118</f>
        <v>0</v>
      </c>
      <c r="E118">
        <f>+bma_se!E118/data!$K118</f>
        <v>8.1095744419829145</v>
      </c>
      <c r="F118">
        <f>+bma_se!F118/data!$K118</f>
        <v>0</v>
      </c>
      <c r="G118">
        <f>+bma_se!G118/data!$K118</f>
        <v>0</v>
      </c>
      <c r="H118">
        <f>+bma_se!H118/data!$K118</f>
        <v>0</v>
      </c>
      <c r="I118">
        <f>+bma_se!I118/data!$K118</f>
        <v>0</v>
      </c>
      <c r="J118">
        <f>+bma_se!J118/data!$K118</f>
        <v>0</v>
      </c>
      <c r="K118">
        <f>+bma_se!K118/data!$K118</f>
        <v>8.1095744419829145</v>
      </c>
      <c r="L118">
        <f>+bma_se!L118/data!$K118</f>
        <v>0</v>
      </c>
      <c r="M118">
        <f>+bma_se!M118/data!$K118</f>
        <v>0</v>
      </c>
      <c r="N118">
        <f>+bma_se!N118/data!$K118</f>
        <v>0</v>
      </c>
      <c r="O118">
        <f>+bma_se!O118/data!$K118</f>
        <v>0</v>
      </c>
      <c r="P118">
        <f>+bma_se!P118/data!$K118</f>
        <v>0</v>
      </c>
      <c r="Q118">
        <f>+bma_se!Q118/data!$K118</f>
        <v>61.692622528026426</v>
      </c>
      <c r="R118">
        <f>+bma_se!R118/data!$K118</f>
        <v>14.530402992592867</v>
      </c>
      <c r="S118">
        <f>+bma_se!S118/data!$K118</f>
        <v>8.1095744419829145</v>
      </c>
    </row>
    <row r="119" spans="1:19" x14ac:dyDescent="0.25">
      <c r="A119">
        <f>+bma_se!A119/data!$K119</f>
        <v>-0.16190476190476208</v>
      </c>
      <c r="B119">
        <f>+bma_se!B119/data!$K119</f>
        <v>0.31428571428571433</v>
      </c>
      <c r="C119">
        <f>+bma_se!C119/data!$K119</f>
        <v>0.31428571428571433</v>
      </c>
      <c r="D119">
        <f>+bma_se!D119/data!$K119</f>
        <v>0.31428571428571433</v>
      </c>
      <c r="E119">
        <f>+bma_se!E119/data!$K119</f>
        <v>0</v>
      </c>
      <c r="F119">
        <f>+bma_se!F119/data!$K119</f>
        <v>0.31428571428571433</v>
      </c>
      <c r="G119">
        <f>+bma_se!G119/data!$K119</f>
        <v>0</v>
      </c>
      <c r="H119">
        <f>+bma_se!H119/data!$K119</f>
        <v>0</v>
      </c>
      <c r="I119">
        <f>+bma_se!I119/data!$K119</f>
        <v>0</v>
      </c>
      <c r="J119">
        <f>+bma_se!J119/data!$K119</f>
        <v>0.31428571428571433</v>
      </c>
      <c r="K119">
        <f>+bma_se!K119/data!$K119</f>
        <v>0</v>
      </c>
      <c r="L119">
        <f>+bma_se!L119/data!$K119</f>
        <v>0</v>
      </c>
      <c r="M119">
        <f>+bma_se!M119/data!$K119</f>
        <v>0</v>
      </c>
      <c r="N119">
        <f>+bma_se!N119/data!$K119</f>
        <v>0</v>
      </c>
      <c r="O119">
        <f>+bma_se!O119/data!$K119</f>
        <v>0</v>
      </c>
      <c r="P119">
        <f>+bma_se!P119/data!$K119</f>
        <v>0.31428571428571433</v>
      </c>
      <c r="Q119">
        <f>+bma_se!Q119/data!$K119</f>
        <v>2.3869635428571434</v>
      </c>
      <c r="R119">
        <f>+bma_se!R119/data!$K119</f>
        <v>1.1348599428571429</v>
      </c>
      <c r="S119">
        <f>+bma_se!S119/data!$K119</f>
        <v>0.31428571428571433</v>
      </c>
    </row>
    <row r="120" spans="1:19" x14ac:dyDescent="0.25">
      <c r="A120">
        <f>+bma_se!A120/data!$K120</f>
        <v>-0.17761904761904762</v>
      </c>
      <c r="B120">
        <f>+bma_se!B120/data!$K120</f>
        <v>0.35287256569340675</v>
      </c>
      <c r="C120">
        <f>+bma_se!C120/data!$K120</f>
        <v>0.35287256569340675</v>
      </c>
      <c r="D120">
        <f>+bma_se!D120/data!$K120</f>
        <v>0.35287256569340675</v>
      </c>
      <c r="E120">
        <f>+bma_se!E120/data!$K120</f>
        <v>0</v>
      </c>
      <c r="F120">
        <f>+bma_se!F120/data!$K120</f>
        <v>0.35287256569340675</v>
      </c>
      <c r="G120">
        <f>+bma_se!G120/data!$K120</f>
        <v>0</v>
      </c>
      <c r="H120">
        <f>+bma_se!H120/data!$K120</f>
        <v>0</v>
      </c>
      <c r="I120">
        <f>+bma_se!I120/data!$K120</f>
        <v>0</v>
      </c>
      <c r="J120">
        <f>+bma_se!J120/data!$K120</f>
        <v>0.35287256569340675</v>
      </c>
      <c r="K120">
        <f>+bma_se!K120/data!$K120</f>
        <v>0</v>
      </c>
      <c r="L120">
        <f>+bma_se!L120/data!$K120</f>
        <v>0</v>
      </c>
      <c r="M120">
        <f>+bma_se!M120/data!$K120</f>
        <v>0</v>
      </c>
      <c r="N120">
        <f>+bma_se!N120/data!$K120</f>
        <v>0</v>
      </c>
      <c r="O120">
        <f>+bma_se!O120/data!$K120</f>
        <v>0</v>
      </c>
      <c r="P120">
        <f>+bma_se!P120/data!$K120</f>
        <v>0.35287256569340675</v>
      </c>
      <c r="Q120">
        <f>+bma_se!Q120/data!$K120</f>
        <v>2.6800262032238038</v>
      </c>
      <c r="R120">
        <f>+bma_se!R120/data!$K120</f>
        <v>1.2741938991685049</v>
      </c>
      <c r="S120">
        <f>+bma_se!S120/data!$K120</f>
        <v>0.35287256569340675</v>
      </c>
    </row>
    <row r="121" spans="1:19" x14ac:dyDescent="0.25">
      <c r="A121">
        <f>+bma_se!A121/data!$K121</f>
        <v>-0.16809523809523819</v>
      </c>
      <c r="B121">
        <f>+bma_se!B121/data!$K121</f>
        <v>0.34160120494511537</v>
      </c>
      <c r="C121">
        <f>+bma_se!C121/data!$K121</f>
        <v>0.34160120494511537</v>
      </c>
      <c r="D121">
        <f>+bma_se!D121/data!$K121</f>
        <v>0.34160120494511537</v>
      </c>
      <c r="E121">
        <f>+bma_se!E121/data!$K121</f>
        <v>0</v>
      </c>
      <c r="F121">
        <f>+bma_se!F121/data!$K121</f>
        <v>0.34160120494511537</v>
      </c>
      <c r="G121">
        <f>+bma_se!G121/data!$K121</f>
        <v>0</v>
      </c>
      <c r="H121">
        <f>+bma_se!H121/data!$K121</f>
        <v>0</v>
      </c>
      <c r="I121">
        <f>+bma_se!I121/data!$K121</f>
        <v>0</v>
      </c>
      <c r="J121">
        <f>+bma_se!J121/data!$K121</f>
        <v>0.34160120494511537</v>
      </c>
      <c r="K121">
        <f>+bma_se!K121/data!$K121</f>
        <v>0</v>
      </c>
      <c r="L121">
        <f>+bma_se!L121/data!$K121</f>
        <v>0</v>
      </c>
      <c r="M121">
        <f>+bma_se!M121/data!$K121</f>
        <v>0</v>
      </c>
      <c r="N121">
        <f>+bma_se!N121/data!$K121</f>
        <v>0</v>
      </c>
      <c r="O121">
        <f>+bma_se!O121/data!$K121</f>
        <v>0</v>
      </c>
      <c r="P121">
        <f>+bma_se!P121/data!$K121</f>
        <v>0.34160120494511537</v>
      </c>
      <c r="Q121">
        <f>+bma_se!Q121/data!$K121</f>
        <v>2.5944215258183778</v>
      </c>
      <c r="R121">
        <f>+bma_se!R121/data!$K121</f>
        <v>1.233493939758006</v>
      </c>
      <c r="S121">
        <f>+bma_se!S121/data!$K121</f>
        <v>0.34160120494511537</v>
      </c>
    </row>
    <row r="122" spans="1:19" x14ac:dyDescent="0.25">
      <c r="A122">
        <f>+bma_se!A122/data!$K122</f>
        <v>-1.4333333333333345E-2</v>
      </c>
      <c r="B122">
        <f>+bma_se!B122/data!$K122</f>
        <v>0.26975507913862978</v>
      </c>
      <c r="C122">
        <f>+bma_se!C122/data!$K122</f>
        <v>0.26975507913862978</v>
      </c>
      <c r="D122">
        <f>+bma_se!D122/data!$K122</f>
        <v>0.26975507913862978</v>
      </c>
      <c r="E122">
        <f>+bma_se!E122/data!$K122</f>
        <v>0</v>
      </c>
      <c r="F122">
        <f>+bma_se!F122/data!$K122</f>
        <v>0.26975507913862978</v>
      </c>
      <c r="G122">
        <f>+bma_se!G122/data!$K122</f>
        <v>0</v>
      </c>
      <c r="H122">
        <f>+bma_se!H122/data!$K122</f>
        <v>0</v>
      </c>
      <c r="I122">
        <f>+bma_se!I122/data!$K122</f>
        <v>0</v>
      </c>
      <c r="J122">
        <f>+bma_se!J122/data!$K122</f>
        <v>0.26975507913862978</v>
      </c>
      <c r="K122">
        <f>+bma_se!K122/data!$K122</f>
        <v>0</v>
      </c>
      <c r="L122">
        <f>+bma_se!L122/data!$K122</f>
        <v>0</v>
      </c>
      <c r="M122">
        <f>+bma_se!M122/data!$K122</f>
        <v>0</v>
      </c>
      <c r="N122">
        <f>+bma_se!N122/data!$K122</f>
        <v>0</v>
      </c>
      <c r="O122">
        <f>+bma_se!O122/data!$K122</f>
        <v>0.26975507913862978</v>
      </c>
      <c r="P122">
        <f>+bma_se!P122/data!$K122</f>
        <v>0.26975507913862978</v>
      </c>
      <c r="Q122">
        <f>+bma_se!Q122/data!$K122</f>
        <v>2.0487585344687136</v>
      </c>
      <c r="R122">
        <f>+bma_se!R122/data!$K122</f>
        <v>0.97406347085310274</v>
      </c>
      <c r="S122">
        <f>+bma_se!S122/data!$K122</f>
        <v>0.26975507913862978</v>
      </c>
    </row>
    <row r="123" spans="1:19" x14ac:dyDescent="0.25">
      <c r="A123">
        <f>+bma_se!A123/data!$K123</f>
        <v>0.12666666666666679</v>
      </c>
      <c r="B123">
        <f>+bma_se!B123/data!$K123</f>
        <v>0.29766894819763862</v>
      </c>
      <c r="C123">
        <f>+bma_se!C123/data!$K123</f>
        <v>0.29766894819763862</v>
      </c>
      <c r="D123">
        <f>+bma_se!D123/data!$K123</f>
        <v>0.29766894819763862</v>
      </c>
      <c r="E123">
        <f>+bma_se!E123/data!$K123</f>
        <v>0</v>
      </c>
      <c r="F123">
        <f>+bma_se!F123/data!$K123</f>
        <v>0.29766894819763862</v>
      </c>
      <c r="G123">
        <f>+bma_se!G123/data!$K123</f>
        <v>0</v>
      </c>
      <c r="H123">
        <f>+bma_se!H123/data!$K123</f>
        <v>0</v>
      </c>
      <c r="I123">
        <f>+bma_se!I123/data!$K123</f>
        <v>0</v>
      </c>
      <c r="J123">
        <f>+bma_se!J123/data!$K123</f>
        <v>0.29766894819763862</v>
      </c>
      <c r="K123">
        <f>+bma_se!K123/data!$K123</f>
        <v>0</v>
      </c>
      <c r="L123">
        <f>+bma_se!L123/data!$K123</f>
        <v>0</v>
      </c>
      <c r="M123">
        <f>+bma_se!M123/data!$K123</f>
        <v>0</v>
      </c>
      <c r="N123">
        <f>+bma_se!N123/data!$K123</f>
        <v>0.29766894819763862</v>
      </c>
      <c r="O123">
        <f>+bma_se!O123/data!$K123</f>
        <v>0</v>
      </c>
      <c r="P123">
        <f>+bma_se!P123/data!$K123</f>
        <v>0.29766894819763862</v>
      </c>
      <c r="Q123">
        <f>+bma_se!Q123/data!$K123</f>
        <v>2.2607611319630743</v>
      </c>
      <c r="R123">
        <f>+bma_se!R123/data!$K123</f>
        <v>1.0748581630879208</v>
      </c>
      <c r="S123">
        <f>+bma_se!S123/data!$K123</f>
        <v>0.29766894819763862</v>
      </c>
    </row>
    <row r="124" spans="1:19" x14ac:dyDescent="0.25">
      <c r="A124">
        <f>+bma_se!A124/data!$K124</f>
        <v>0.1280952380952381</v>
      </c>
      <c r="B124">
        <f>+bma_se!B124/data!$K124</f>
        <v>0.33072482756005156</v>
      </c>
      <c r="C124">
        <f>+bma_se!C124/data!$K124</f>
        <v>0.33072482756005156</v>
      </c>
      <c r="D124">
        <f>+bma_se!D124/data!$K124</f>
        <v>0.33072482756005156</v>
      </c>
      <c r="E124">
        <f>+bma_se!E124/data!$K124</f>
        <v>0</v>
      </c>
      <c r="F124">
        <f>+bma_se!F124/data!$K124</f>
        <v>0.33072482756005156</v>
      </c>
      <c r="G124">
        <f>+bma_se!G124/data!$K124</f>
        <v>0</v>
      </c>
      <c r="H124">
        <f>+bma_se!H124/data!$K124</f>
        <v>0</v>
      </c>
      <c r="I124">
        <f>+bma_se!I124/data!$K124</f>
        <v>0</v>
      </c>
      <c r="J124">
        <f>+bma_se!J124/data!$K124</f>
        <v>0.33072482756005156</v>
      </c>
      <c r="K124">
        <f>+bma_se!K124/data!$K124</f>
        <v>0</v>
      </c>
      <c r="L124">
        <f>+bma_se!L124/data!$K124</f>
        <v>0</v>
      </c>
      <c r="M124">
        <f>+bma_se!M124/data!$K124</f>
        <v>0</v>
      </c>
      <c r="N124">
        <f>+bma_se!N124/data!$K124</f>
        <v>0.33072482756005156</v>
      </c>
      <c r="O124">
        <f>+bma_se!O124/data!$K124</f>
        <v>0</v>
      </c>
      <c r="P124">
        <f>+bma_se!P124/data!$K124</f>
        <v>0.33072482756005156</v>
      </c>
      <c r="Q124">
        <f>+bma_se!Q124/data!$K124</f>
        <v>2.5118167012385948</v>
      </c>
      <c r="R124">
        <f>+bma_se!R124/data!$K124</f>
        <v>1.1942202328834863</v>
      </c>
      <c r="S124">
        <f>+bma_se!S124/data!$K124</f>
        <v>0.33072482756005156</v>
      </c>
    </row>
    <row r="125" spans="1:19" x14ac:dyDescent="0.25">
      <c r="A125">
        <f>+bma_se!A125/data!$K125</f>
        <v>6.0476190476190447E-2</v>
      </c>
      <c r="B125">
        <f>+bma_se!B125/data!$K125</f>
        <v>0.30346786281939703</v>
      </c>
      <c r="C125">
        <f>+bma_se!C125/data!$K125</f>
        <v>0.30346786281939703</v>
      </c>
      <c r="D125">
        <f>+bma_se!D125/data!$K125</f>
        <v>0.30346786281939703</v>
      </c>
      <c r="E125">
        <f>+bma_se!E125/data!$K125</f>
        <v>0</v>
      </c>
      <c r="F125">
        <f>+bma_se!F125/data!$K125</f>
        <v>0.30346786281939703</v>
      </c>
      <c r="G125">
        <f>+bma_se!G125/data!$K125</f>
        <v>0</v>
      </c>
      <c r="H125">
        <f>+bma_se!H125/data!$K125</f>
        <v>0</v>
      </c>
      <c r="I125">
        <f>+bma_se!I125/data!$K125</f>
        <v>0</v>
      </c>
      <c r="J125">
        <f>+bma_se!J125/data!$K125</f>
        <v>0.30346786281939703</v>
      </c>
      <c r="K125">
        <f>+bma_se!K125/data!$K125</f>
        <v>0</v>
      </c>
      <c r="L125">
        <f>+bma_se!L125/data!$K125</f>
        <v>0</v>
      </c>
      <c r="M125">
        <f>+bma_se!M125/data!$K125</f>
        <v>0</v>
      </c>
      <c r="N125">
        <f>+bma_se!N125/data!$K125</f>
        <v>0.30346786281939703</v>
      </c>
      <c r="O125">
        <f>+bma_se!O125/data!$K125</f>
        <v>0</v>
      </c>
      <c r="P125">
        <f>+bma_se!P125/data!$K125</f>
        <v>0.30346786281939703</v>
      </c>
      <c r="Q125">
        <f>+bma_se!Q125/data!$K125</f>
        <v>2.3048032158412335</v>
      </c>
      <c r="R125">
        <f>+bma_se!R125/data!$K125</f>
        <v>1.0957975682760914</v>
      </c>
      <c r="S125">
        <f>+bma_se!S125/data!$K125</f>
        <v>0.30346786281939703</v>
      </c>
    </row>
    <row r="126" spans="1:19" x14ac:dyDescent="0.25">
      <c r="A126">
        <f>+bma_se!A126/data!$K126</f>
        <v>-0.17714285714285732</v>
      </c>
      <c r="B126">
        <f>+bma_se!B126/data!$K126</f>
        <v>0.34940311916544153</v>
      </c>
      <c r="C126">
        <f>+bma_se!C126/data!$K126</f>
        <v>0.34940311916544153</v>
      </c>
      <c r="D126">
        <f>+bma_se!D126/data!$K126</f>
        <v>0</v>
      </c>
      <c r="E126">
        <f>+bma_se!E126/data!$K126</f>
        <v>0.34940311916544153</v>
      </c>
      <c r="F126">
        <f>+bma_se!F126/data!$K126</f>
        <v>0.34940311916544153</v>
      </c>
      <c r="G126">
        <f>+bma_se!G126/data!$K126</f>
        <v>0</v>
      </c>
      <c r="H126">
        <f>+bma_se!H126/data!$K126</f>
        <v>0</v>
      </c>
      <c r="I126">
        <f>+bma_se!I126/data!$K126</f>
        <v>0</v>
      </c>
      <c r="J126">
        <f>+bma_se!J126/data!$K126</f>
        <v>0.34940311916544153</v>
      </c>
      <c r="K126">
        <f>+bma_se!K126/data!$K126</f>
        <v>0</v>
      </c>
      <c r="L126">
        <f>+bma_se!L126/data!$K126</f>
        <v>0</v>
      </c>
      <c r="M126">
        <f>+bma_se!M126/data!$K126</f>
        <v>0</v>
      </c>
      <c r="N126">
        <f>+bma_se!N126/data!$K126</f>
        <v>0</v>
      </c>
      <c r="O126">
        <f>+bma_se!O126/data!$K126</f>
        <v>0</v>
      </c>
      <c r="P126">
        <f>+bma_se!P126/data!$K126</f>
        <v>0.34940311916544153</v>
      </c>
      <c r="Q126">
        <f>+bma_se!Q126/data!$K126</f>
        <v>2.6536761592997058</v>
      </c>
      <c r="R126">
        <f>+bma_se!R126/data!$K126</f>
        <v>1.2616660122506378</v>
      </c>
      <c r="S126">
        <f>+bma_se!S126/data!$K126</f>
        <v>0.34940311916544153</v>
      </c>
    </row>
    <row r="127" spans="1:19" x14ac:dyDescent="0.25">
      <c r="A127">
        <f>+bma_se!A127/data!$K127</f>
        <v>-0.1700000000000001</v>
      </c>
      <c r="B127">
        <f>+bma_se!B127/data!$K127</f>
        <v>0.3392164507412852</v>
      </c>
      <c r="C127">
        <f>+bma_se!C127/data!$K127</f>
        <v>0.3392164507412852</v>
      </c>
      <c r="D127">
        <f>+bma_se!D127/data!$K127</f>
        <v>0</v>
      </c>
      <c r="E127">
        <f>+bma_se!E127/data!$K127</f>
        <v>0.3392164507412852</v>
      </c>
      <c r="F127">
        <f>+bma_se!F127/data!$K127</f>
        <v>0.3392164507412852</v>
      </c>
      <c r="G127">
        <f>+bma_se!G127/data!$K127</f>
        <v>0</v>
      </c>
      <c r="H127">
        <f>+bma_se!H127/data!$K127</f>
        <v>0</v>
      </c>
      <c r="I127">
        <f>+bma_se!I127/data!$K127</f>
        <v>0</v>
      </c>
      <c r="J127">
        <f>+bma_se!J127/data!$K127</f>
        <v>0.3392164507412852</v>
      </c>
      <c r="K127">
        <f>+bma_se!K127/data!$K127</f>
        <v>0</v>
      </c>
      <c r="L127">
        <f>+bma_se!L127/data!$K127</f>
        <v>0</v>
      </c>
      <c r="M127">
        <f>+bma_se!M127/data!$K127</f>
        <v>0</v>
      </c>
      <c r="N127">
        <f>+bma_se!N127/data!$K127</f>
        <v>0</v>
      </c>
      <c r="O127">
        <f>+bma_se!O127/data!$K127</f>
        <v>0</v>
      </c>
      <c r="P127">
        <f>+bma_se!P127/data!$K127</f>
        <v>0.3392164507412852</v>
      </c>
      <c r="Q127">
        <f>+bma_se!Q127/data!$K127</f>
        <v>2.5763095942717751</v>
      </c>
      <c r="R127">
        <f>+bma_se!R127/data!$K127</f>
        <v>1.2248827878778201</v>
      </c>
      <c r="S127">
        <f>+bma_se!S127/data!$K127</f>
        <v>0.3392164507412852</v>
      </c>
    </row>
    <row r="128" spans="1:19" x14ac:dyDescent="0.25">
      <c r="A128">
        <f>+bma_se!A128/data!$K128</f>
        <v>0.13619047619047622</v>
      </c>
      <c r="B128">
        <f>+bma_se!B128/data!$K128</f>
        <v>0.33053107819204181</v>
      </c>
      <c r="C128">
        <f>+bma_se!C128/data!$K128</f>
        <v>0.33053107819204181</v>
      </c>
      <c r="D128">
        <f>+bma_se!D128/data!$K128</f>
        <v>0</v>
      </c>
      <c r="E128">
        <f>+bma_se!E128/data!$K128</f>
        <v>0.33053107819204181</v>
      </c>
      <c r="F128">
        <f>+bma_se!F128/data!$K128</f>
        <v>0.33053107819204181</v>
      </c>
      <c r="G128">
        <f>+bma_se!G128/data!$K128</f>
        <v>0</v>
      </c>
      <c r="H128">
        <f>+bma_se!H128/data!$K128</f>
        <v>0</v>
      </c>
      <c r="I128">
        <f>+bma_se!I128/data!$K128</f>
        <v>0</v>
      </c>
      <c r="J128">
        <f>+bma_se!J128/data!$K128</f>
        <v>0.33053107819204181</v>
      </c>
      <c r="K128">
        <f>+bma_se!K128/data!$K128</f>
        <v>0</v>
      </c>
      <c r="L128">
        <f>+bma_se!L128/data!$K128</f>
        <v>0</v>
      </c>
      <c r="M128">
        <f>+bma_se!M128/data!$K128</f>
        <v>0</v>
      </c>
      <c r="N128">
        <f>+bma_se!N128/data!$K128</f>
        <v>0.33053107819204181</v>
      </c>
      <c r="O128">
        <f>+bma_se!O128/data!$K128</f>
        <v>0</v>
      </c>
      <c r="P128">
        <f>+bma_se!P128/data!$K128</f>
        <v>0.33053107819204181</v>
      </c>
      <c r="Q128">
        <f>+bma_se!Q128/data!$K128</f>
        <v>2.5103451972634878</v>
      </c>
      <c r="R128">
        <f>+bma_se!R128/data!$K128</f>
        <v>1.1935206198030512</v>
      </c>
      <c r="S128">
        <f>+bma_se!S128/data!$K128</f>
        <v>0.33053107819204181</v>
      </c>
    </row>
    <row r="129" spans="1:19" x14ac:dyDescent="0.25">
      <c r="A129">
        <f>+bma_se!A129/data!$K129</f>
        <v>7.3809523809523825E-2</v>
      </c>
      <c r="B129">
        <f>+bma_se!B129/data!$K129</f>
        <v>0.30268076625134843</v>
      </c>
      <c r="C129">
        <f>+bma_se!C129/data!$K129</f>
        <v>0.30268076625134843</v>
      </c>
      <c r="D129">
        <f>+bma_se!D129/data!$K129</f>
        <v>0</v>
      </c>
      <c r="E129">
        <f>+bma_se!E129/data!$K129</f>
        <v>0.30268076625134843</v>
      </c>
      <c r="F129">
        <f>+bma_se!F129/data!$K129</f>
        <v>0.30268076625134843</v>
      </c>
      <c r="G129">
        <f>+bma_se!G129/data!$K129</f>
        <v>0</v>
      </c>
      <c r="H129">
        <f>+bma_se!H129/data!$K129</f>
        <v>0</v>
      </c>
      <c r="I129">
        <f>+bma_se!I129/data!$K129</f>
        <v>0</v>
      </c>
      <c r="J129">
        <f>+bma_se!J129/data!$K129</f>
        <v>0.30268076625134843</v>
      </c>
      <c r="K129">
        <f>+bma_se!K129/data!$K129</f>
        <v>0</v>
      </c>
      <c r="L129">
        <f>+bma_se!L129/data!$K129</f>
        <v>0</v>
      </c>
      <c r="M129">
        <f>+bma_se!M129/data!$K129</f>
        <v>0</v>
      </c>
      <c r="N129">
        <f>+bma_se!N129/data!$K129</f>
        <v>0.30268076625134843</v>
      </c>
      <c r="O129">
        <f>+bma_se!O129/data!$K129</f>
        <v>0</v>
      </c>
      <c r="P129">
        <f>+bma_se!P129/data!$K129</f>
        <v>0.30268076625134843</v>
      </c>
      <c r="Q129">
        <f>+bma_se!Q129/data!$K129</f>
        <v>2.2988253087101063</v>
      </c>
      <c r="R129">
        <f>+bma_se!R129/data!$K129</f>
        <v>1.0929554271107864</v>
      </c>
      <c r="S129">
        <f>+bma_se!S129/data!$K129</f>
        <v>0.30268076625134843</v>
      </c>
    </row>
    <row r="130" spans="1:19" x14ac:dyDescent="0.25">
      <c r="A130">
        <f>+bma_se!A130/data!$K130</f>
        <v>-0.18190476190476193</v>
      </c>
      <c r="B130">
        <f>+bma_se!B130/data!$K130</f>
        <v>0.35184128559541322</v>
      </c>
      <c r="C130">
        <f>+bma_se!C130/data!$K130</f>
        <v>0.35184128559541322</v>
      </c>
      <c r="D130">
        <f>+bma_se!D130/data!$K130</f>
        <v>0</v>
      </c>
      <c r="E130">
        <f>+bma_se!E130/data!$K130</f>
        <v>0.35184128559541322</v>
      </c>
      <c r="F130">
        <f>+bma_se!F130/data!$K130</f>
        <v>0.35184128559541322</v>
      </c>
      <c r="G130">
        <f>+bma_se!G130/data!$K130</f>
        <v>0</v>
      </c>
      <c r="H130">
        <f>+bma_se!H130/data!$K130</f>
        <v>0</v>
      </c>
      <c r="I130">
        <f>+bma_se!I130/data!$K130</f>
        <v>0</v>
      </c>
      <c r="J130">
        <f>+bma_se!J130/data!$K130</f>
        <v>0.35184128559541322</v>
      </c>
      <c r="K130">
        <f>+bma_se!K130/data!$K130</f>
        <v>0</v>
      </c>
      <c r="L130">
        <f>+bma_se!L130/data!$K130</f>
        <v>0</v>
      </c>
      <c r="M130">
        <f>+bma_se!M130/data!$K130</f>
        <v>0</v>
      </c>
      <c r="N130">
        <f>+bma_se!N130/data!$K130</f>
        <v>0</v>
      </c>
      <c r="O130">
        <f>+bma_se!O130/data!$K130</f>
        <v>0</v>
      </c>
      <c r="P130">
        <f>+bma_se!P130/data!$K130</f>
        <v>0.35184128559541322</v>
      </c>
      <c r="Q130">
        <f>+bma_se!Q130/data!$K130</f>
        <v>2.6721937505080344</v>
      </c>
      <c r="R130">
        <f>+bma_se!R130/data!$K130</f>
        <v>1.2704700312996182</v>
      </c>
      <c r="S130">
        <f>+bma_se!S130/data!$K130</f>
        <v>0.35184128559541322</v>
      </c>
    </row>
    <row r="131" spans="1:19" x14ac:dyDescent="0.25">
      <c r="A131">
        <f>+bma_se!A131/data!$K131</f>
        <v>-0.1771428571428571</v>
      </c>
      <c r="B131">
        <f>+bma_se!B131/data!$K131</f>
        <v>0.34285185181102545</v>
      </c>
      <c r="C131">
        <f>+bma_se!C131/data!$K131</f>
        <v>0.34285185181102545</v>
      </c>
      <c r="D131">
        <f>+bma_se!D131/data!$K131</f>
        <v>0</v>
      </c>
      <c r="E131">
        <f>+bma_se!E131/data!$K131</f>
        <v>0.34285185181102545</v>
      </c>
      <c r="F131">
        <f>+bma_se!F131/data!$K131</f>
        <v>0.34285185181102545</v>
      </c>
      <c r="G131">
        <f>+bma_se!G131/data!$K131</f>
        <v>0</v>
      </c>
      <c r="H131">
        <f>+bma_se!H131/data!$K131</f>
        <v>0</v>
      </c>
      <c r="I131">
        <f>+bma_se!I131/data!$K131</f>
        <v>0</v>
      </c>
      <c r="J131">
        <f>+bma_se!J131/data!$K131</f>
        <v>0.34285185181102545</v>
      </c>
      <c r="K131">
        <f>+bma_se!K131/data!$K131</f>
        <v>0</v>
      </c>
      <c r="L131">
        <f>+bma_se!L131/data!$K131</f>
        <v>0</v>
      </c>
      <c r="M131">
        <f>+bma_se!M131/data!$K131</f>
        <v>0</v>
      </c>
      <c r="N131">
        <f>+bma_se!N131/data!$K131</f>
        <v>0</v>
      </c>
      <c r="O131">
        <f>+bma_se!O131/data!$K131</f>
        <v>0</v>
      </c>
      <c r="P131">
        <f>+bma_se!P131/data!$K131</f>
        <v>0.34285185181102545</v>
      </c>
      <c r="Q131">
        <f>+bma_se!Q131/data!$K131</f>
        <v>2.6039200436899286</v>
      </c>
      <c r="R131">
        <f>+bma_se!R131/data!$K131</f>
        <v>1.2380099230377644</v>
      </c>
      <c r="S131">
        <f>+bma_se!S131/data!$K131</f>
        <v>0.34285185181102545</v>
      </c>
    </row>
    <row r="132" spans="1:19" x14ac:dyDescent="0.25">
      <c r="A132">
        <f>+bma_se!A132/data!$K132</f>
        <v>0.14809523809523806</v>
      </c>
      <c r="B132">
        <f>+bma_se!B132/data!$K132</f>
        <v>0.33561160199297385</v>
      </c>
      <c r="C132">
        <f>+bma_se!C132/data!$K132</f>
        <v>0.33561160199297385</v>
      </c>
      <c r="D132">
        <f>+bma_se!D132/data!$K132</f>
        <v>0</v>
      </c>
      <c r="E132">
        <f>+bma_se!E132/data!$K132</f>
        <v>0.33561160199297385</v>
      </c>
      <c r="F132">
        <f>+bma_se!F132/data!$K132</f>
        <v>0.33561160199297385</v>
      </c>
      <c r="G132">
        <f>+bma_se!G132/data!$K132</f>
        <v>0</v>
      </c>
      <c r="H132">
        <f>+bma_se!H132/data!$K132</f>
        <v>0</v>
      </c>
      <c r="I132">
        <f>+bma_se!I132/data!$K132</f>
        <v>0</v>
      </c>
      <c r="J132">
        <f>+bma_se!J132/data!$K132</f>
        <v>0.33561160199297385</v>
      </c>
      <c r="K132">
        <f>+bma_se!K132/data!$K132</f>
        <v>0</v>
      </c>
      <c r="L132">
        <f>+bma_se!L132/data!$K132</f>
        <v>0</v>
      </c>
      <c r="M132">
        <f>+bma_se!M132/data!$K132</f>
        <v>0</v>
      </c>
      <c r="N132">
        <f>+bma_se!N132/data!$K132</f>
        <v>0.33561160199297385</v>
      </c>
      <c r="O132">
        <f>+bma_se!O132/data!$K132</f>
        <v>0</v>
      </c>
      <c r="P132">
        <f>+bma_se!P132/data!$K132</f>
        <v>0.33561160199297385</v>
      </c>
      <c r="Q132">
        <f>+bma_se!Q132/data!$K132</f>
        <v>2.5489311861908051</v>
      </c>
      <c r="R132">
        <f>+bma_se!R132/data!$K132</f>
        <v>1.2118659746452649</v>
      </c>
      <c r="S132">
        <f>+bma_se!S132/data!$K132</f>
        <v>0.33561160199297385</v>
      </c>
    </row>
    <row r="133" spans="1:19" x14ac:dyDescent="0.25">
      <c r="A133">
        <f>+bma_se!A133/data!$K133</f>
        <v>9.8095238095238124E-2</v>
      </c>
      <c r="B133">
        <f>+bma_se!B133/data!$K133</f>
        <v>0.30950036541250842</v>
      </c>
      <c r="C133">
        <f>+bma_se!C133/data!$K133</f>
        <v>0.30950036541250842</v>
      </c>
      <c r="D133">
        <f>+bma_se!D133/data!$K133</f>
        <v>0</v>
      </c>
      <c r="E133">
        <f>+bma_se!E133/data!$K133</f>
        <v>0.30950036541250842</v>
      </c>
      <c r="F133">
        <f>+bma_se!F133/data!$K133</f>
        <v>0.30950036541250842</v>
      </c>
      <c r="G133">
        <f>+bma_se!G133/data!$K133</f>
        <v>0</v>
      </c>
      <c r="H133">
        <f>+bma_se!H133/data!$K133</f>
        <v>0</v>
      </c>
      <c r="I133">
        <f>+bma_se!I133/data!$K133</f>
        <v>0</v>
      </c>
      <c r="J133">
        <f>+bma_se!J133/data!$K133</f>
        <v>0.30950036541250842</v>
      </c>
      <c r="K133">
        <f>+bma_se!K133/data!$K133</f>
        <v>0</v>
      </c>
      <c r="L133">
        <f>+bma_se!L133/data!$K133</f>
        <v>0</v>
      </c>
      <c r="M133">
        <f>+bma_se!M133/data!$K133</f>
        <v>0</v>
      </c>
      <c r="N133">
        <f>+bma_se!N133/data!$K133</f>
        <v>0.30950036541250842</v>
      </c>
      <c r="O133">
        <f>+bma_se!O133/data!$K133</f>
        <v>0</v>
      </c>
      <c r="P133">
        <f>+bma_se!P133/data!$K133</f>
        <v>0.30950036541250842</v>
      </c>
      <c r="Q133">
        <f>+bma_se!Q133/data!$K133</f>
        <v>2.3506193732656135</v>
      </c>
      <c r="R133">
        <f>+bma_se!R133/data!$K133</f>
        <v>1.1175804404746039</v>
      </c>
      <c r="S133">
        <f>+bma_se!S133/data!$K133</f>
        <v>0.30950036541250842</v>
      </c>
    </row>
    <row r="134" spans="1:19" x14ac:dyDescent="0.25">
      <c r="A134">
        <f>+bma_se!A134/data!$K134</f>
        <v>2.5714285714285742E-2</v>
      </c>
      <c r="B134">
        <f>+bma_se!B134/data!$K134</f>
        <v>0.27059856386618153</v>
      </c>
      <c r="C134">
        <f>+bma_se!C134/data!$K134</f>
        <v>0.27059856386618153</v>
      </c>
      <c r="D134">
        <f>+bma_se!D134/data!$K134</f>
        <v>0.27059856386618153</v>
      </c>
      <c r="E134">
        <f>+bma_se!E134/data!$K134</f>
        <v>0</v>
      </c>
      <c r="F134">
        <f>+bma_se!F134/data!$K134</f>
        <v>0.27059856386618153</v>
      </c>
      <c r="G134">
        <f>+bma_se!G134/data!$K134</f>
        <v>0</v>
      </c>
      <c r="H134">
        <f>+bma_se!H134/data!$K134</f>
        <v>0</v>
      </c>
      <c r="I134">
        <f>+bma_se!I134/data!$K134</f>
        <v>0</v>
      </c>
      <c r="J134">
        <f>+bma_se!J134/data!$K134</f>
        <v>0.27059856386618153</v>
      </c>
      <c r="K134">
        <f>+bma_se!K134/data!$K134</f>
        <v>0</v>
      </c>
      <c r="L134">
        <f>+bma_se!L134/data!$K134</f>
        <v>0</v>
      </c>
      <c r="M134">
        <f>+bma_se!M134/data!$K134</f>
        <v>0</v>
      </c>
      <c r="N134">
        <f>+bma_se!N134/data!$K134</f>
        <v>0</v>
      </c>
      <c r="O134">
        <f>+bma_se!O134/data!$K134</f>
        <v>0</v>
      </c>
      <c r="P134">
        <f>+bma_se!P134/data!$K134</f>
        <v>0.27059856386618153</v>
      </c>
      <c r="Q134">
        <f>+bma_se!Q134/data!$K134</f>
        <v>2.0551647031302402</v>
      </c>
      <c r="R134">
        <f>+bma_se!R134/data!$K134</f>
        <v>0.97710922503854447</v>
      </c>
      <c r="S134">
        <f>+bma_se!S134/data!$K134</f>
        <v>0.27059856386618153</v>
      </c>
    </row>
    <row r="135" spans="1:19" x14ac:dyDescent="0.25">
      <c r="A135">
        <f>+bma_se!A135/data!$K135</f>
        <v>-3.5714285714285733E-2</v>
      </c>
      <c r="B135">
        <f>+bma_se!B135/data!$K135</f>
        <v>0.27173124310746011</v>
      </c>
      <c r="C135">
        <f>+bma_se!C135/data!$K135</f>
        <v>0.27173124310746011</v>
      </c>
      <c r="D135">
        <f>+bma_se!D135/data!$K135</f>
        <v>0.27173124310746011</v>
      </c>
      <c r="E135">
        <f>+bma_se!E135/data!$K135</f>
        <v>0</v>
      </c>
      <c r="F135">
        <f>+bma_se!F135/data!$K135</f>
        <v>0.27173124310746011</v>
      </c>
      <c r="G135">
        <f>+bma_se!G135/data!$K135</f>
        <v>0</v>
      </c>
      <c r="H135">
        <f>+bma_se!H135/data!$K135</f>
        <v>0</v>
      </c>
      <c r="I135">
        <f>+bma_se!I135/data!$K135</f>
        <v>0</v>
      </c>
      <c r="J135">
        <f>+bma_se!J135/data!$K135</f>
        <v>0.27173124310746011</v>
      </c>
      <c r="K135">
        <f>+bma_se!K135/data!$K135</f>
        <v>0</v>
      </c>
      <c r="L135">
        <f>+bma_se!L135/data!$K135</f>
        <v>0</v>
      </c>
      <c r="M135">
        <f>+bma_se!M135/data!$K135</f>
        <v>0</v>
      </c>
      <c r="N135">
        <f>+bma_se!N135/data!$K135</f>
        <v>0</v>
      </c>
      <c r="O135">
        <f>+bma_se!O135/data!$K135</f>
        <v>0.27173124310746011</v>
      </c>
      <c r="P135">
        <f>+bma_se!P135/data!$K135</f>
        <v>0.27173124310746011</v>
      </c>
      <c r="Q135">
        <f>+bma_se!Q135/data!$K135</f>
        <v>2.0637672705769594</v>
      </c>
      <c r="R135">
        <f>+bma_se!R135/data!$K135</f>
        <v>0.98119923689910371</v>
      </c>
      <c r="S135">
        <f>+bma_se!S135/data!$K135</f>
        <v>0.27173124310746011</v>
      </c>
    </row>
    <row r="136" spans="1:19" x14ac:dyDescent="0.25">
      <c r="A136">
        <f>+bma_se!A136/data!$K136</f>
        <v>7.7142857142857346E-2</v>
      </c>
      <c r="B136">
        <f>+bma_se!B136/data!$K136</f>
        <v>0.28020238879211451</v>
      </c>
      <c r="C136">
        <f>+bma_se!C136/data!$K136</f>
        <v>0.28020238879211451</v>
      </c>
      <c r="D136">
        <f>+bma_se!D136/data!$K136</f>
        <v>0.28020238879211451</v>
      </c>
      <c r="E136">
        <f>+bma_se!E136/data!$K136</f>
        <v>0</v>
      </c>
      <c r="F136">
        <f>+bma_se!F136/data!$K136</f>
        <v>0.28020238879211451</v>
      </c>
      <c r="G136">
        <f>+bma_se!G136/data!$K136</f>
        <v>0</v>
      </c>
      <c r="H136">
        <f>+bma_se!H136/data!$K136</f>
        <v>0</v>
      </c>
      <c r="I136">
        <f>+bma_se!I136/data!$K136</f>
        <v>0</v>
      </c>
      <c r="J136">
        <f>+bma_se!J136/data!$K136</f>
        <v>0.28020238879211451</v>
      </c>
      <c r="K136">
        <f>+bma_se!K136/data!$K136</f>
        <v>0</v>
      </c>
      <c r="L136">
        <f>+bma_se!L136/data!$K136</f>
        <v>0</v>
      </c>
      <c r="M136">
        <f>+bma_se!M136/data!$K136</f>
        <v>0</v>
      </c>
      <c r="N136">
        <f>+bma_se!N136/data!$K136</f>
        <v>0.28020238879211451</v>
      </c>
      <c r="O136">
        <f>+bma_se!O136/data!$K136</f>
        <v>0</v>
      </c>
      <c r="P136">
        <f>+bma_se!P136/data!$K136</f>
        <v>0.28020238879211451</v>
      </c>
      <c r="Q136">
        <f>+bma_se!Q136/data!$K136</f>
        <v>2.1281046393990097</v>
      </c>
      <c r="R136">
        <f>+bma_se!R136/data!$K136</f>
        <v>1.0117878493324444</v>
      </c>
      <c r="S136">
        <f>+bma_se!S136/data!$K136</f>
        <v>0.28020238879211451</v>
      </c>
    </row>
    <row r="137" spans="1:19" x14ac:dyDescent="0.25">
      <c r="A137">
        <f>+bma_se!A137/data!$K137</f>
        <v>9.2857142857142763E-2</v>
      </c>
      <c r="B137">
        <f>+bma_se!B137/data!$K137</f>
        <v>0.3115410456573125</v>
      </c>
      <c r="C137">
        <f>+bma_se!C137/data!$K137</f>
        <v>0.3115410456573125</v>
      </c>
      <c r="D137">
        <f>+bma_se!D137/data!$K137</f>
        <v>0.3115410456573125</v>
      </c>
      <c r="E137">
        <f>+bma_se!E137/data!$K137</f>
        <v>0</v>
      </c>
      <c r="F137">
        <f>+bma_se!F137/data!$K137</f>
        <v>0.3115410456573125</v>
      </c>
      <c r="G137">
        <f>+bma_se!G137/data!$K137</f>
        <v>0</v>
      </c>
      <c r="H137">
        <f>+bma_se!H137/data!$K137</f>
        <v>0</v>
      </c>
      <c r="I137">
        <f>+bma_se!I137/data!$K137</f>
        <v>0</v>
      </c>
      <c r="J137">
        <f>+bma_se!J137/data!$K137</f>
        <v>0.3115410456573125</v>
      </c>
      <c r="K137">
        <f>+bma_se!K137/data!$K137</f>
        <v>0</v>
      </c>
      <c r="L137">
        <f>+bma_se!L137/data!$K137</f>
        <v>0</v>
      </c>
      <c r="M137">
        <f>+bma_se!M137/data!$K137</f>
        <v>0</v>
      </c>
      <c r="N137">
        <f>+bma_se!N137/data!$K137</f>
        <v>0.3115410456573125</v>
      </c>
      <c r="O137">
        <f>+bma_se!O137/data!$K137</f>
        <v>0</v>
      </c>
      <c r="P137">
        <f>+bma_se!P137/data!$K137</f>
        <v>0.3115410456573125</v>
      </c>
      <c r="Q137">
        <f>+bma_se!Q137/data!$K137</f>
        <v>2.3661181030059923</v>
      </c>
      <c r="R137">
        <f>+bma_se!R137/data!$K137</f>
        <v>1.1249491695028115</v>
      </c>
      <c r="S137">
        <f>+bma_se!S137/data!$K137</f>
        <v>0.3115410456573125</v>
      </c>
    </row>
    <row r="138" spans="1:19" x14ac:dyDescent="0.25">
      <c r="A138">
        <f>+bma_se!A138/data!$K138</f>
        <v>4.5238095238095445E-2</v>
      </c>
      <c r="B138">
        <f>+bma_se!B138/data!$K138</f>
        <v>0.29700889837559702</v>
      </c>
      <c r="C138">
        <f>+bma_se!C138/data!$K138</f>
        <v>0.29700889837559702</v>
      </c>
      <c r="D138">
        <f>+bma_se!D138/data!$K138</f>
        <v>0.29700889837559702</v>
      </c>
      <c r="E138">
        <f>+bma_se!E138/data!$K138</f>
        <v>0</v>
      </c>
      <c r="F138">
        <f>+bma_se!F138/data!$K138</f>
        <v>0.29700889837559702</v>
      </c>
      <c r="G138">
        <f>+bma_se!G138/data!$K138</f>
        <v>0</v>
      </c>
      <c r="H138">
        <f>+bma_se!H138/data!$K138</f>
        <v>0</v>
      </c>
      <c r="I138">
        <f>+bma_se!I138/data!$K138</f>
        <v>0</v>
      </c>
      <c r="J138">
        <f>+bma_se!J138/data!$K138</f>
        <v>0.29700889837559702</v>
      </c>
      <c r="K138">
        <f>+bma_se!K138/data!$K138</f>
        <v>0</v>
      </c>
      <c r="L138">
        <f>+bma_se!L138/data!$K138</f>
        <v>0</v>
      </c>
      <c r="M138">
        <f>+bma_se!M138/data!$K138</f>
        <v>0</v>
      </c>
      <c r="N138">
        <f>+bma_se!N138/data!$K138</f>
        <v>0.29700889837559702</v>
      </c>
      <c r="O138">
        <f>+bma_se!O138/data!$K138</f>
        <v>0</v>
      </c>
      <c r="P138">
        <f>+bma_se!P138/data!$K138</f>
        <v>0.29700889837559702</v>
      </c>
      <c r="Q138">
        <f>+bma_se!Q138/data!$K138</f>
        <v>2.2557481301304478</v>
      </c>
      <c r="R138">
        <f>+bma_se!R138/data!$K138</f>
        <v>1.0724747773046139</v>
      </c>
      <c r="S138">
        <f>+bma_se!S138/data!$K138</f>
        <v>0.29700889837559702</v>
      </c>
    </row>
    <row r="139" spans="1:19" x14ac:dyDescent="0.25">
      <c r="A139">
        <f>+bma_se!A139/data!$K139</f>
        <v>3.3333333333333229E-2</v>
      </c>
      <c r="B139">
        <f>+bma_se!B139/data!$K139</f>
        <v>0.29156703837793585</v>
      </c>
      <c r="C139">
        <f>+bma_se!C139/data!$K139</f>
        <v>0.29156703837793585</v>
      </c>
      <c r="D139">
        <f>+bma_se!D139/data!$K139</f>
        <v>0.29156703837793585</v>
      </c>
      <c r="E139">
        <f>+bma_se!E139/data!$K139</f>
        <v>0</v>
      </c>
      <c r="F139">
        <f>+bma_se!F139/data!$K139</f>
        <v>0.29156703837793585</v>
      </c>
      <c r="G139">
        <f>+bma_se!G139/data!$K139</f>
        <v>0</v>
      </c>
      <c r="H139">
        <f>+bma_se!H139/data!$K139</f>
        <v>0</v>
      </c>
      <c r="I139">
        <f>+bma_se!I139/data!$K139</f>
        <v>0</v>
      </c>
      <c r="J139">
        <f>+bma_se!J139/data!$K139</f>
        <v>0.29156703837793585</v>
      </c>
      <c r="K139">
        <f>+bma_se!K139/data!$K139</f>
        <v>0</v>
      </c>
      <c r="L139">
        <f>+bma_se!L139/data!$K139</f>
        <v>0</v>
      </c>
      <c r="M139">
        <f>+bma_se!M139/data!$K139</f>
        <v>0</v>
      </c>
      <c r="N139">
        <f>+bma_se!N139/data!$K139</f>
        <v>0.29156703837793585</v>
      </c>
      <c r="O139">
        <f>+bma_se!O139/data!$K139</f>
        <v>0</v>
      </c>
      <c r="P139">
        <f>+bma_se!P139/data!$K139</f>
        <v>0.29156703837793585</v>
      </c>
      <c r="Q139">
        <f>+bma_se!Q139/data!$K139</f>
        <v>2.2144178347039714</v>
      </c>
      <c r="R139">
        <f>+bma_se!R139/data!$K139</f>
        <v>1.0528246670855794</v>
      </c>
      <c r="S139">
        <f>+bma_se!S139/data!$K139</f>
        <v>0.29156703837793585</v>
      </c>
    </row>
    <row r="140" spans="1:19" x14ac:dyDescent="0.25">
      <c r="A140">
        <f>+bma_se!A140/data!$K140</f>
        <v>-2.9242979242979243E-2</v>
      </c>
      <c r="B140">
        <f>+bma_se!B140/data!$K140</f>
        <v>0.8011572156957143</v>
      </c>
      <c r="C140">
        <f>+bma_se!C140/data!$K140</f>
        <v>0</v>
      </c>
      <c r="D140">
        <f>+bma_se!D140/data!$K140</f>
        <v>0</v>
      </c>
      <c r="E140">
        <f>+bma_se!E140/data!$K140</f>
        <v>0</v>
      </c>
      <c r="F140">
        <f>+bma_se!F140/data!$K140</f>
        <v>0</v>
      </c>
      <c r="G140">
        <f>+bma_se!G140/data!$K140</f>
        <v>0.8011572156957143</v>
      </c>
      <c r="H140">
        <f>+bma_se!H140/data!$K140</f>
        <v>0.8011572156957143</v>
      </c>
      <c r="I140">
        <f>+bma_se!I140/data!$K140</f>
        <v>0.8011572156957143</v>
      </c>
      <c r="J140">
        <f>+bma_se!J140/data!$K140</f>
        <v>0</v>
      </c>
      <c r="K140">
        <f>+bma_se!K140/data!$K140</f>
        <v>0.8011572156957143</v>
      </c>
      <c r="L140">
        <f>+bma_se!L140/data!$K140</f>
        <v>0</v>
      </c>
      <c r="M140">
        <f>+bma_se!M140/data!$K140</f>
        <v>0</v>
      </c>
      <c r="N140">
        <f>+bma_se!N140/data!$K140</f>
        <v>0</v>
      </c>
      <c r="O140">
        <f>+bma_se!O140/data!$K140</f>
        <v>0</v>
      </c>
      <c r="P140">
        <f>+bma_se!P140/data!$K140</f>
        <v>0.8011572156957143</v>
      </c>
      <c r="Q140">
        <f>+bma_se!Q140/data!$K140</f>
        <v>6.0939126315812926</v>
      </c>
      <c r="R140">
        <f>+bma_se!R140/data!$K140</f>
        <v>3.2802140402976692</v>
      </c>
      <c r="S140">
        <f>+bma_se!S140/data!$K140</f>
        <v>0</v>
      </c>
    </row>
    <row r="141" spans="1:19" x14ac:dyDescent="0.25">
      <c r="A141">
        <f>+bma_se!A141/data!$K141</f>
        <v>2.6584867075664627E-3</v>
      </c>
      <c r="B141">
        <f>+bma_se!B141/data!$K141</f>
        <v>0.80062775368948969</v>
      </c>
      <c r="C141">
        <f>+bma_se!C141/data!$K141</f>
        <v>0</v>
      </c>
      <c r="D141">
        <f>+bma_se!D141/data!$K141</f>
        <v>0</v>
      </c>
      <c r="E141">
        <f>+bma_se!E141/data!$K141</f>
        <v>0</v>
      </c>
      <c r="F141">
        <f>+bma_se!F141/data!$K141</f>
        <v>0</v>
      </c>
      <c r="G141">
        <f>+bma_se!G141/data!$K141</f>
        <v>0.80062775368948969</v>
      </c>
      <c r="H141">
        <f>+bma_se!H141/data!$K141</f>
        <v>0.80062775368948969</v>
      </c>
      <c r="I141">
        <f>+bma_se!I141/data!$K141</f>
        <v>0.80062775368948969</v>
      </c>
      <c r="J141">
        <f>+bma_se!J141/data!$K141</f>
        <v>0</v>
      </c>
      <c r="K141">
        <f>+bma_se!K141/data!$K141</f>
        <v>0.80062775368948969</v>
      </c>
      <c r="L141">
        <f>+bma_se!L141/data!$K141</f>
        <v>0</v>
      </c>
      <c r="M141">
        <f>+bma_se!M141/data!$K141</f>
        <v>0</v>
      </c>
      <c r="N141">
        <f>+bma_se!N141/data!$K141</f>
        <v>0.80062775368948969</v>
      </c>
      <c r="O141">
        <f>+bma_se!O141/data!$K141</f>
        <v>0</v>
      </c>
      <c r="P141">
        <f>+bma_se!P141/data!$K141</f>
        <v>0.80062775368948969</v>
      </c>
      <c r="Q141">
        <f>+bma_se!Q141/data!$K141</f>
        <v>6.0898853381306903</v>
      </c>
      <c r="R141">
        <f>+bma_se!R141/data!$K141</f>
        <v>3.2780462401797932</v>
      </c>
      <c r="S141">
        <f>+bma_se!S141/data!$K141</f>
        <v>0</v>
      </c>
    </row>
    <row r="142" spans="1:19" x14ac:dyDescent="0.25">
      <c r="A142">
        <f>+bma_se!A142/data!$K142</f>
        <v>3.1632653061224487E-3</v>
      </c>
      <c r="B142">
        <f>+bma_se!B142/data!$K142</f>
        <v>0.8006295889321734</v>
      </c>
      <c r="C142">
        <f>+bma_se!C142/data!$K142</f>
        <v>0</v>
      </c>
      <c r="D142">
        <f>+bma_se!D142/data!$K142</f>
        <v>0</v>
      </c>
      <c r="E142">
        <f>+bma_se!E142/data!$K142</f>
        <v>0</v>
      </c>
      <c r="F142">
        <f>+bma_se!F142/data!$K142</f>
        <v>0</v>
      </c>
      <c r="G142">
        <f>+bma_se!G142/data!$K142</f>
        <v>0.8006295889321734</v>
      </c>
      <c r="H142">
        <f>+bma_se!H142/data!$K142</f>
        <v>0.8006295889321734</v>
      </c>
      <c r="I142">
        <f>+bma_se!I142/data!$K142</f>
        <v>0.8006295889321734</v>
      </c>
      <c r="J142">
        <f>+bma_se!J142/data!$K142</f>
        <v>0</v>
      </c>
      <c r="K142">
        <f>+bma_se!K142/data!$K142</f>
        <v>0.8006295889321734</v>
      </c>
      <c r="L142">
        <f>+bma_se!L142/data!$K142</f>
        <v>0</v>
      </c>
      <c r="M142">
        <f>+bma_se!M142/data!$K142</f>
        <v>0</v>
      </c>
      <c r="N142">
        <f>+bma_se!N142/data!$K142</f>
        <v>0</v>
      </c>
      <c r="O142">
        <f>+bma_se!O142/data!$K142</f>
        <v>0.8006295889321734</v>
      </c>
      <c r="P142">
        <f>+bma_se!P142/data!$K142</f>
        <v>0.8006295889321734</v>
      </c>
      <c r="Q142">
        <f>+bma_se!Q142/data!$K142</f>
        <v>6.0898992976986168</v>
      </c>
      <c r="R142">
        <f>+bma_se!R142/data!$K142</f>
        <v>3.2780537542964989</v>
      </c>
      <c r="S142">
        <f>+bma_se!S142/data!$K142</f>
        <v>0</v>
      </c>
    </row>
    <row r="143" spans="1:19" x14ac:dyDescent="0.25">
      <c r="A143">
        <f>+bma_se!A143/data!$K143</f>
        <v>-3.059418457648546E-2</v>
      </c>
      <c r="B143">
        <f>+bma_se!B143/data!$K143</f>
        <v>0.80757858420266437</v>
      </c>
      <c r="C143">
        <f>+bma_se!C143/data!$K143</f>
        <v>0</v>
      </c>
      <c r="D143">
        <f>+bma_se!D143/data!$K143</f>
        <v>0</v>
      </c>
      <c r="E143">
        <f>+bma_se!E143/data!$K143</f>
        <v>0</v>
      </c>
      <c r="F143">
        <f>+bma_se!F143/data!$K143</f>
        <v>0</v>
      </c>
      <c r="G143">
        <f>+bma_se!G143/data!$K143</f>
        <v>0.80757858420266437</v>
      </c>
      <c r="H143">
        <f>+bma_se!H143/data!$K143</f>
        <v>0.80757858420266437</v>
      </c>
      <c r="I143">
        <f>+bma_se!I143/data!$K143</f>
        <v>0.80757858420266437</v>
      </c>
      <c r="J143">
        <f>+bma_se!J143/data!$K143</f>
        <v>0</v>
      </c>
      <c r="K143">
        <f>+bma_se!K143/data!$K143</f>
        <v>0.80757858420266437</v>
      </c>
      <c r="L143">
        <f>+bma_se!L143/data!$K143</f>
        <v>0</v>
      </c>
      <c r="M143">
        <f>+bma_se!M143/data!$K143</f>
        <v>0</v>
      </c>
      <c r="N143">
        <f>+bma_se!N143/data!$K143</f>
        <v>0</v>
      </c>
      <c r="O143">
        <f>+bma_se!O143/data!$K143</f>
        <v>0</v>
      </c>
      <c r="P143">
        <f>+bma_se!P143/data!$K143</f>
        <v>0.80757858420266437</v>
      </c>
      <c r="Q143">
        <f>+bma_se!Q143/data!$K143</f>
        <v>6.1427560519361348</v>
      </c>
      <c r="R143">
        <f>+bma_se!R143/data!$K143</f>
        <v>3.3065053383372573</v>
      </c>
      <c r="S143">
        <f>+bma_se!S143/data!$K143</f>
        <v>0</v>
      </c>
    </row>
    <row r="144" spans="1:19" x14ac:dyDescent="0.25">
      <c r="A144">
        <f>+bma_se!A144/data!$K144</f>
        <v>7.3008608477716031E-3</v>
      </c>
      <c r="B144">
        <f>+bma_se!B144/data!$K144</f>
        <v>0.80703188790902081</v>
      </c>
      <c r="C144">
        <f>+bma_se!C144/data!$K144</f>
        <v>0</v>
      </c>
      <c r="D144">
        <f>+bma_se!D144/data!$K144</f>
        <v>0</v>
      </c>
      <c r="E144">
        <f>+bma_se!E144/data!$K144</f>
        <v>0</v>
      </c>
      <c r="F144">
        <f>+bma_se!F144/data!$K144</f>
        <v>0</v>
      </c>
      <c r="G144">
        <f>+bma_se!G144/data!$K144</f>
        <v>0.80703188790902081</v>
      </c>
      <c r="H144">
        <f>+bma_se!H144/data!$K144</f>
        <v>0.80703188790902081</v>
      </c>
      <c r="I144">
        <f>+bma_se!I144/data!$K144</f>
        <v>0.80703188790902081</v>
      </c>
      <c r="J144">
        <f>+bma_se!J144/data!$K144</f>
        <v>0</v>
      </c>
      <c r="K144">
        <f>+bma_se!K144/data!$K144</f>
        <v>0.80703188790902081</v>
      </c>
      <c r="L144">
        <f>+bma_se!L144/data!$K144</f>
        <v>0</v>
      </c>
      <c r="M144">
        <f>+bma_se!M144/data!$K144</f>
        <v>0</v>
      </c>
      <c r="N144">
        <f>+bma_se!N144/data!$K144</f>
        <v>0.80703188790902081</v>
      </c>
      <c r="O144">
        <f>+bma_se!O144/data!$K144</f>
        <v>0</v>
      </c>
      <c r="P144">
        <f>+bma_se!P144/data!$K144</f>
        <v>0.80703188790902081</v>
      </c>
      <c r="Q144">
        <f>+bma_se!Q144/data!$K144</f>
        <v>6.1385976678085212</v>
      </c>
      <c r="R144">
        <f>+bma_se!R144/data!$K144</f>
        <v>3.3042669751008598</v>
      </c>
      <c r="S144">
        <f>+bma_se!S144/data!$K144</f>
        <v>0</v>
      </c>
    </row>
    <row r="145" spans="1:19" x14ac:dyDescent="0.25">
      <c r="A145">
        <f>+bma_se!A145/data!$K145</f>
        <v>5.5694792536897796E-5</v>
      </c>
      <c r="B145">
        <f>+bma_se!B145/data!$K145</f>
        <v>0.80699886532435094</v>
      </c>
      <c r="C145">
        <f>+bma_se!C145/data!$K145</f>
        <v>0</v>
      </c>
      <c r="D145">
        <f>+bma_se!D145/data!$K145</f>
        <v>0</v>
      </c>
      <c r="E145">
        <f>+bma_se!E145/data!$K145</f>
        <v>0</v>
      </c>
      <c r="F145">
        <f>+bma_se!F145/data!$K145</f>
        <v>0</v>
      </c>
      <c r="G145">
        <f>+bma_se!G145/data!$K145</f>
        <v>0.80699886532435094</v>
      </c>
      <c r="H145">
        <f>+bma_se!H145/data!$K145</f>
        <v>0.80699886532435094</v>
      </c>
      <c r="I145">
        <f>+bma_se!I145/data!$K145</f>
        <v>0.80699886532435094</v>
      </c>
      <c r="J145">
        <f>+bma_se!J145/data!$K145</f>
        <v>0</v>
      </c>
      <c r="K145">
        <f>+bma_se!K145/data!$K145</f>
        <v>0.80699886532435094</v>
      </c>
      <c r="L145">
        <f>+bma_se!L145/data!$K145</f>
        <v>0</v>
      </c>
      <c r="M145">
        <f>+bma_se!M145/data!$K145</f>
        <v>0</v>
      </c>
      <c r="N145">
        <f>+bma_se!N145/data!$K145</f>
        <v>0</v>
      </c>
      <c r="O145">
        <f>+bma_se!O145/data!$K145</f>
        <v>0.80699886532435094</v>
      </c>
      <c r="P145">
        <f>+bma_se!P145/data!$K145</f>
        <v>0.80699886532435094</v>
      </c>
      <c r="Q145">
        <f>+bma_se!Q145/data!$K145</f>
        <v>6.1383464852167586</v>
      </c>
      <c r="R145">
        <f>+bma_se!R145/data!$K145</f>
        <v>3.3041317692464292</v>
      </c>
      <c r="S145">
        <f>+bma_se!S145/data!$K145</f>
        <v>0</v>
      </c>
    </row>
    <row r="146" spans="1:19" x14ac:dyDescent="0.25">
      <c r="A146">
        <f>+bma_se!A146/data!$K146</f>
        <v>-1.1331752618059672E-2</v>
      </c>
      <c r="B146">
        <f>+bma_se!B146/data!$K146</f>
        <v>0.58897009960770441</v>
      </c>
      <c r="C146">
        <f>+bma_se!C146/data!$K146</f>
        <v>0.58897009960770441</v>
      </c>
      <c r="D146">
        <f>+bma_se!D146/data!$K146</f>
        <v>0</v>
      </c>
      <c r="E146">
        <f>+bma_se!E146/data!$K146</f>
        <v>0</v>
      </c>
      <c r="F146">
        <f>+bma_se!F146/data!$K146</f>
        <v>0</v>
      </c>
      <c r="G146">
        <f>+bma_se!G146/data!$K146</f>
        <v>0.58897009960770441</v>
      </c>
      <c r="H146">
        <f>+bma_se!H146/data!$K146</f>
        <v>0.58897009960770441</v>
      </c>
      <c r="I146">
        <f>+bma_se!I146/data!$K146</f>
        <v>0.58897009960770441</v>
      </c>
      <c r="J146">
        <f>+bma_se!J146/data!$K146</f>
        <v>0</v>
      </c>
      <c r="K146">
        <f>+bma_se!K146/data!$K146</f>
        <v>0.58897009960770441</v>
      </c>
      <c r="L146">
        <f>+bma_se!L146/data!$K146</f>
        <v>0</v>
      </c>
      <c r="M146">
        <f>+bma_se!M146/data!$K146</f>
        <v>0</v>
      </c>
      <c r="N146">
        <f>+bma_se!N146/data!$K146</f>
        <v>0</v>
      </c>
      <c r="O146">
        <f>+bma_se!O146/data!$K146</f>
        <v>0</v>
      </c>
      <c r="P146">
        <f>+bma_se!P146/data!$K146</f>
        <v>0.58897009960770441</v>
      </c>
      <c r="Q146">
        <f>+bma_se!Q146/data!$K146</f>
        <v>4.479935098014848</v>
      </c>
      <c r="R146">
        <f>+bma_se!R146/data!$K146</f>
        <v>2.4114467824783063</v>
      </c>
      <c r="S146">
        <f>+bma_se!S146/data!$K146</f>
        <v>0</v>
      </c>
    </row>
    <row r="147" spans="1:19" x14ac:dyDescent="0.25">
      <c r="A147">
        <f>+bma_se!A147/data!$K147</f>
        <v>1.1277764117695271E-2</v>
      </c>
      <c r="B147">
        <f>+bma_se!B147/data!$K147</f>
        <v>0.58896906334544163</v>
      </c>
      <c r="C147">
        <f>+bma_se!C147/data!$K147</f>
        <v>0.58896906334544163</v>
      </c>
      <c r="D147">
        <f>+bma_se!D147/data!$K147</f>
        <v>0</v>
      </c>
      <c r="E147">
        <f>+bma_se!E147/data!$K147</f>
        <v>0</v>
      </c>
      <c r="F147">
        <f>+bma_se!F147/data!$K147</f>
        <v>0</v>
      </c>
      <c r="G147">
        <f>+bma_se!G147/data!$K147</f>
        <v>0.58896906334544163</v>
      </c>
      <c r="H147">
        <f>+bma_se!H147/data!$K147</f>
        <v>0.58896906334544163</v>
      </c>
      <c r="I147">
        <f>+bma_se!I147/data!$K147</f>
        <v>0.58896906334544163</v>
      </c>
      <c r="J147">
        <f>+bma_se!J147/data!$K147</f>
        <v>0</v>
      </c>
      <c r="K147">
        <f>+bma_se!K147/data!$K147</f>
        <v>0.58896906334544163</v>
      </c>
      <c r="L147">
        <f>+bma_se!L147/data!$K147</f>
        <v>0</v>
      </c>
      <c r="M147">
        <f>+bma_se!M147/data!$K147</f>
        <v>0</v>
      </c>
      <c r="N147">
        <f>+bma_se!N147/data!$K147</f>
        <v>0.58896906334544163</v>
      </c>
      <c r="O147">
        <f>+bma_se!O147/data!$K147</f>
        <v>0</v>
      </c>
      <c r="P147">
        <f>+bma_se!P147/data!$K147</f>
        <v>0.58896906334544163</v>
      </c>
      <c r="Q147">
        <f>+bma_se!Q147/data!$K147</f>
        <v>4.4799272158020074</v>
      </c>
      <c r="R147">
        <f>+bma_se!R147/data!$K147</f>
        <v>2.4114425396630921</v>
      </c>
      <c r="S147">
        <f>+bma_se!S147/data!$K147</f>
        <v>0</v>
      </c>
    </row>
    <row r="148" spans="1:19" x14ac:dyDescent="0.25">
      <c r="A148">
        <f>+bma_se!A148/data!$K148</f>
        <v>5.5085939701324327E-3</v>
      </c>
      <c r="B148">
        <f>+bma_se!B148/data!$K148</f>
        <v>0.5888868433086617</v>
      </c>
      <c r="C148">
        <f>+bma_se!C148/data!$K148</f>
        <v>0.5888868433086617</v>
      </c>
      <c r="D148">
        <f>+bma_se!D148/data!$K148</f>
        <v>0</v>
      </c>
      <c r="E148">
        <f>+bma_se!E148/data!$K148</f>
        <v>0</v>
      </c>
      <c r="F148">
        <f>+bma_se!F148/data!$K148</f>
        <v>0</v>
      </c>
      <c r="G148">
        <f>+bma_se!G148/data!$K148</f>
        <v>0.5888868433086617</v>
      </c>
      <c r="H148">
        <f>+bma_se!H148/data!$K148</f>
        <v>0.5888868433086617</v>
      </c>
      <c r="I148">
        <f>+bma_se!I148/data!$K148</f>
        <v>0.5888868433086617</v>
      </c>
      <c r="J148">
        <f>+bma_se!J148/data!$K148</f>
        <v>0</v>
      </c>
      <c r="K148">
        <f>+bma_se!K148/data!$K148</f>
        <v>0.5888868433086617</v>
      </c>
      <c r="L148">
        <f>+bma_se!L148/data!$K148</f>
        <v>0</v>
      </c>
      <c r="M148">
        <f>+bma_se!M148/data!$K148</f>
        <v>0</v>
      </c>
      <c r="N148">
        <f>+bma_se!N148/data!$K148</f>
        <v>0</v>
      </c>
      <c r="O148">
        <f>+bma_se!O148/data!$K148</f>
        <v>0.5888868433086617</v>
      </c>
      <c r="P148">
        <f>+bma_se!P148/data!$K148</f>
        <v>0.5888868433086617</v>
      </c>
      <c r="Q148">
        <f>+bma_se!Q148/data!$K148</f>
        <v>4.4793018183008844</v>
      </c>
      <c r="R148">
        <f>+bma_se!R148/data!$K148</f>
        <v>2.4111059024666024</v>
      </c>
      <c r="S148">
        <f>+bma_se!S148/data!$K148</f>
        <v>0</v>
      </c>
    </row>
    <row r="149" spans="1:19" x14ac:dyDescent="0.25">
      <c r="A149">
        <f>+bma_se!A149/data!$K149</f>
        <v>-3.0769230769230771E-2</v>
      </c>
      <c r="B149">
        <f>+bma_se!B149/data!$K149</f>
        <v>0.34933534166511099</v>
      </c>
      <c r="C149">
        <f>+bma_se!C149/data!$K149</f>
        <v>0</v>
      </c>
      <c r="D149">
        <f>+bma_se!D149/data!$K149</f>
        <v>0</v>
      </c>
      <c r="E149">
        <f>+bma_se!E149/data!$K149</f>
        <v>0</v>
      </c>
      <c r="F149">
        <f>+bma_se!F149/data!$K149</f>
        <v>0</v>
      </c>
      <c r="G149">
        <f>+bma_se!G149/data!$K149</f>
        <v>0.34933534166511099</v>
      </c>
      <c r="H149">
        <f>+bma_se!H149/data!$K149</f>
        <v>0.34933534166511099</v>
      </c>
      <c r="I149">
        <f>+bma_se!I149/data!$K149</f>
        <v>0.34933534166511099</v>
      </c>
      <c r="J149">
        <f>+bma_se!J149/data!$K149</f>
        <v>0</v>
      </c>
      <c r="K149">
        <f>+bma_se!K149/data!$K149</f>
        <v>0.34933534166511099</v>
      </c>
      <c r="L149">
        <f>+bma_se!L149/data!$K149</f>
        <v>0</v>
      </c>
      <c r="M149">
        <f>+bma_se!M149/data!$K149</f>
        <v>0</v>
      </c>
      <c r="N149">
        <f>+bma_se!N149/data!$K149</f>
        <v>0</v>
      </c>
      <c r="O149">
        <f>+bma_se!O149/data!$K149</f>
        <v>0</v>
      </c>
      <c r="P149">
        <f>+bma_se!P149/data!$K149</f>
        <v>0.34933534166511099</v>
      </c>
      <c r="Q149">
        <f>+bma_se!Q149/data!$K149</f>
        <v>2.6571801508174002</v>
      </c>
      <c r="R149">
        <f>+bma_se!R149/data!$K149</f>
        <v>1.4302994094698387</v>
      </c>
      <c r="S149">
        <f>+bma_se!S149/data!$K149</f>
        <v>0</v>
      </c>
    </row>
    <row r="150" spans="1:19" x14ac:dyDescent="0.25">
      <c r="A150">
        <f>+bma_se!A150/data!$K150</f>
        <v>2.4525694182686266E-2</v>
      </c>
      <c r="B150">
        <f>+bma_se!B150/data!$K150</f>
        <v>0.34884085920272051</v>
      </c>
      <c r="C150">
        <f>+bma_se!C150/data!$K150</f>
        <v>0</v>
      </c>
      <c r="D150">
        <f>+bma_se!D150/data!$K150</f>
        <v>0</v>
      </c>
      <c r="E150">
        <f>+bma_se!E150/data!$K150</f>
        <v>0</v>
      </c>
      <c r="F150">
        <f>+bma_se!F150/data!$K150</f>
        <v>0</v>
      </c>
      <c r="G150">
        <f>+bma_se!G150/data!$K150</f>
        <v>0.34884085920272051</v>
      </c>
      <c r="H150">
        <f>+bma_se!H150/data!$K150</f>
        <v>0.34884085920272051</v>
      </c>
      <c r="I150">
        <f>+bma_se!I150/data!$K150</f>
        <v>0.34884085920272051</v>
      </c>
      <c r="J150">
        <f>+bma_se!J150/data!$K150</f>
        <v>0</v>
      </c>
      <c r="K150">
        <f>+bma_se!K150/data!$K150</f>
        <v>0.34884085920272051</v>
      </c>
      <c r="L150">
        <f>+bma_se!L150/data!$K150</f>
        <v>0</v>
      </c>
      <c r="M150">
        <f>+bma_se!M150/data!$K150</f>
        <v>0</v>
      </c>
      <c r="N150">
        <f>+bma_se!N150/data!$K150</f>
        <v>0.34884085920272051</v>
      </c>
      <c r="O150">
        <f>+bma_se!O150/data!$K150</f>
        <v>0</v>
      </c>
      <c r="P150">
        <f>+bma_se!P150/data!$K150</f>
        <v>0.34884085920272051</v>
      </c>
      <c r="Q150">
        <f>+bma_se!Q150/data!$K150</f>
        <v>2.6534189253492633</v>
      </c>
      <c r="R150">
        <f>+bma_se!R150/data!$K150</f>
        <v>1.4282748276723629</v>
      </c>
      <c r="S150">
        <f>+bma_se!S150/data!$K150</f>
        <v>0</v>
      </c>
    </row>
    <row r="151" spans="1:19" x14ac:dyDescent="0.25">
      <c r="A151">
        <f>+bma_se!A151/data!$K151</f>
        <v>6.8497377352668932E-3</v>
      </c>
      <c r="B151">
        <f>+bma_se!B151/data!$K151</f>
        <v>0.34804504633910771</v>
      </c>
      <c r="C151">
        <f>+bma_se!C151/data!$K151</f>
        <v>0</v>
      </c>
      <c r="D151">
        <f>+bma_se!D151/data!$K151</f>
        <v>0</v>
      </c>
      <c r="E151">
        <f>+bma_se!E151/data!$K151</f>
        <v>0</v>
      </c>
      <c r="F151">
        <f>+bma_se!F151/data!$K151</f>
        <v>0</v>
      </c>
      <c r="G151">
        <f>+bma_se!G151/data!$K151</f>
        <v>0.34804504633910771</v>
      </c>
      <c r="H151">
        <f>+bma_se!H151/data!$K151</f>
        <v>0.34804504633910771</v>
      </c>
      <c r="I151">
        <f>+bma_se!I151/data!$K151</f>
        <v>0.34804504633910771</v>
      </c>
      <c r="J151">
        <f>+bma_se!J151/data!$K151</f>
        <v>0</v>
      </c>
      <c r="K151">
        <f>+bma_se!K151/data!$K151</f>
        <v>0.34804504633910771</v>
      </c>
      <c r="L151">
        <f>+bma_se!L151/data!$K151</f>
        <v>0</v>
      </c>
      <c r="M151">
        <f>+bma_se!M151/data!$K151</f>
        <v>0</v>
      </c>
      <c r="N151">
        <f>+bma_se!N151/data!$K151</f>
        <v>0</v>
      </c>
      <c r="O151">
        <f>+bma_se!O151/data!$K151</f>
        <v>0.34804504633910771</v>
      </c>
      <c r="P151">
        <f>+bma_se!P151/data!$K151</f>
        <v>0.34804504633910771</v>
      </c>
      <c r="Q151">
        <f>+bma_se!Q151/data!$K151</f>
        <v>2.6473656639332326</v>
      </c>
      <c r="R151">
        <f>+bma_se!R151/data!$K151</f>
        <v>1.4250164952532938</v>
      </c>
      <c r="S151">
        <f>+bma_se!S151/data!$K151</f>
        <v>0</v>
      </c>
    </row>
    <row r="152" spans="1:19" x14ac:dyDescent="0.25">
      <c r="A152">
        <f>+bma_se!A152/data!$K152</f>
        <v>-2.6072167997633837E-2</v>
      </c>
      <c r="B152">
        <f>+bma_se!B152/data!$K152</f>
        <v>0.35089704691822865</v>
      </c>
      <c r="C152">
        <f>+bma_se!C152/data!$K152</f>
        <v>0</v>
      </c>
      <c r="D152">
        <f>+bma_se!D152/data!$K152</f>
        <v>0</v>
      </c>
      <c r="E152">
        <f>+bma_se!E152/data!$K152</f>
        <v>0</v>
      </c>
      <c r="F152">
        <f>+bma_se!F152/data!$K152</f>
        <v>0</v>
      </c>
      <c r="G152">
        <f>+bma_se!G152/data!$K152</f>
        <v>0.35089704691822865</v>
      </c>
      <c r="H152">
        <f>+bma_se!H152/data!$K152</f>
        <v>0.35089704691822865</v>
      </c>
      <c r="I152">
        <f>+bma_se!I152/data!$K152</f>
        <v>0.35089704691822865</v>
      </c>
      <c r="J152">
        <f>+bma_se!J152/data!$K152</f>
        <v>0</v>
      </c>
      <c r="K152">
        <f>+bma_se!K152/data!$K152</f>
        <v>0.35089704691822865</v>
      </c>
      <c r="L152">
        <f>+bma_se!L152/data!$K152</f>
        <v>0</v>
      </c>
      <c r="M152">
        <f>+bma_se!M152/data!$K152</f>
        <v>0</v>
      </c>
      <c r="N152">
        <f>+bma_se!N152/data!$K152</f>
        <v>0</v>
      </c>
      <c r="O152">
        <f>+bma_se!O152/data!$K152</f>
        <v>0</v>
      </c>
      <c r="P152">
        <f>+bma_se!P152/data!$K152</f>
        <v>0.35089704691822865</v>
      </c>
      <c r="Q152">
        <f>+bma_se!Q152/data!$K152</f>
        <v>2.6690590869142512</v>
      </c>
      <c r="R152">
        <f>+bma_se!R152/data!$K152</f>
        <v>1.4366935695644147</v>
      </c>
      <c r="S152">
        <f>+bma_se!S152/data!$K152</f>
        <v>0</v>
      </c>
    </row>
    <row r="153" spans="1:19" x14ac:dyDescent="0.25">
      <c r="A153">
        <f>+bma_se!A153/data!$K153</f>
        <v>3.1888710540395934E-3</v>
      </c>
      <c r="B153">
        <f>+bma_se!B153/data!$K153</f>
        <v>0.34994163583437166</v>
      </c>
      <c r="C153">
        <f>+bma_se!C153/data!$K153</f>
        <v>0</v>
      </c>
      <c r="D153">
        <f>+bma_se!D153/data!$K153</f>
        <v>0</v>
      </c>
      <c r="E153">
        <f>+bma_se!E153/data!$K153</f>
        <v>0</v>
      </c>
      <c r="F153">
        <f>+bma_se!F153/data!$K153</f>
        <v>0</v>
      </c>
      <c r="G153">
        <f>+bma_se!G153/data!$K153</f>
        <v>0.34994163583437166</v>
      </c>
      <c r="H153">
        <f>+bma_se!H153/data!$K153</f>
        <v>0.34994163583437166</v>
      </c>
      <c r="I153">
        <f>+bma_se!I153/data!$K153</f>
        <v>0.34994163583437166</v>
      </c>
      <c r="J153">
        <f>+bma_se!J153/data!$K153</f>
        <v>0</v>
      </c>
      <c r="K153">
        <f>+bma_se!K153/data!$K153</f>
        <v>0.34994163583437166</v>
      </c>
      <c r="L153">
        <f>+bma_se!L153/data!$K153</f>
        <v>0</v>
      </c>
      <c r="M153">
        <f>+bma_se!M153/data!$K153</f>
        <v>0</v>
      </c>
      <c r="N153">
        <f>+bma_se!N153/data!$K153</f>
        <v>0.34994163583437166</v>
      </c>
      <c r="O153">
        <f>+bma_se!O153/data!$K153</f>
        <v>0</v>
      </c>
      <c r="P153">
        <f>+bma_se!P153/data!$K153</f>
        <v>0.34994163583437166</v>
      </c>
      <c r="Q153">
        <f>+bma_se!Q153/data!$K153</f>
        <v>2.6617918595109344</v>
      </c>
      <c r="R153">
        <f>+bma_se!R153/data!$K153</f>
        <v>1.4327817869702801</v>
      </c>
      <c r="S153">
        <f>+bma_se!S153/data!$K153</f>
        <v>0</v>
      </c>
    </row>
    <row r="154" spans="1:19" x14ac:dyDescent="0.25">
      <c r="A154">
        <f>+bma_se!A154/data!$K154</f>
        <v>2.9085749756140819E-3</v>
      </c>
      <c r="B154">
        <f>+bma_se!B154/data!$K154</f>
        <v>0.34993919386119854</v>
      </c>
      <c r="C154">
        <f>+bma_se!C154/data!$K154</f>
        <v>0</v>
      </c>
      <c r="D154">
        <f>+bma_se!D154/data!$K154</f>
        <v>0</v>
      </c>
      <c r="E154">
        <f>+bma_se!E154/data!$K154</f>
        <v>0</v>
      </c>
      <c r="F154">
        <f>+bma_se!F154/data!$K154</f>
        <v>0</v>
      </c>
      <c r="G154">
        <f>+bma_se!G154/data!$K154</f>
        <v>0.34993919386119854</v>
      </c>
      <c r="H154">
        <f>+bma_se!H154/data!$K154</f>
        <v>0.34993919386119854</v>
      </c>
      <c r="I154">
        <f>+bma_se!I154/data!$K154</f>
        <v>0.34993919386119854</v>
      </c>
      <c r="J154">
        <f>+bma_se!J154/data!$K154</f>
        <v>0</v>
      </c>
      <c r="K154">
        <f>+bma_se!K154/data!$K154</f>
        <v>0.34993919386119854</v>
      </c>
      <c r="L154">
        <f>+bma_se!L154/data!$K154</f>
        <v>0</v>
      </c>
      <c r="M154">
        <f>+bma_se!M154/data!$K154</f>
        <v>0</v>
      </c>
      <c r="N154">
        <f>+bma_se!N154/data!$K154</f>
        <v>0</v>
      </c>
      <c r="O154">
        <f>+bma_se!O154/data!$K154</f>
        <v>0.34993919386119854</v>
      </c>
      <c r="P154">
        <f>+bma_se!P154/data!$K154</f>
        <v>0.34993919386119854</v>
      </c>
      <c r="Q154">
        <f>+bma_se!Q154/data!$K154</f>
        <v>2.661773284915494</v>
      </c>
      <c r="R154">
        <f>+bma_se!R154/data!$K154</f>
        <v>1.4327717886896285</v>
      </c>
      <c r="S154">
        <f>+bma_se!S154/data!$K154</f>
        <v>0</v>
      </c>
    </row>
    <row r="155" spans="1:19" x14ac:dyDescent="0.25">
      <c r="A155">
        <f>+bma_se!A155/data!$K155</f>
        <v>-1.3633398564905414E-2</v>
      </c>
      <c r="B155">
        <f>+bma_se!B155/data!$K155</f>
        <v>0.25820753344432973</v>
      </c>
      <c r="C155">
        <f>+bma_se!C155/data!$K155</f>
        <v>0.25820753344432973</v>
      </c>
      <c r="D155">
        <f>+bma_se!D155/data!$K155</f>
        <v>0</v>
      </c>
      <c r="E155">
        <f>+bma_se!E155/data!$K155</f>
        <v>0</v>
      </c>
      <c r="F155">
        <f>+bma_se!F155/data!$K155</f>
        <v>0</v>
      </c>
      <c r="G155">
        <f>+bma_se!G155/data!$K155</f>
        <v>0.25820753344432973</v>
      </c>
      <c r="H155">
        <f>+bma_se!H155/data!$K155</f>
        <v>0.25820753344432973</v>
      </c>
      <c r="I155">
        <f>+bma_se!I155/data!$K155</f>
        <v>0.25820753344432973</v>
      </c>
      <c r="J155">
        <f>+bma_se!J155/data!$K155</f>
        <v>0</v>
      </c>
      <c r="K155">
        <f>+bma_se!K155/data!$K155</f>
        <v>0.25820753344432973</v>
      </c>
      <c r="L155">
        <f>+bma_se!L155/data!$K155</f>
        <v>0</v>
      </c>
      <c r="M155">
        <f>+bma_se!M155/data!$K155</f>
        <v>0</v>
      </c>
      <c r="N155">
        <f>+bma_se!N155/data!$K155</f>
        <v>0</v>
      </c>
      <c r="O155">
        <f>+bma_se!O155/data!$K155</f>
        <v>0</v>
      </c>
      <c r="P155">
        <f>+bma_se!P155/data!$K155</f>
        <v>0.25820753344432973</v>
      </c>
      <c r="Q155">
        <f>+bma_se!Q155/data!$K155</f>
        <v>1.964026683900548</v>
      </c>
      <c r="R155">
        <f>+bma_se!R155/data!$K155</f>
        <v>1.0571907235201241</v>
      </c>
      <c r="S155">
        <f>+bma_se!S155/data!$K155</f>
        <v>0</v>
      </c>
    </row>
    <row r="156" spans="1:19" x14ac:dyDescent="0.25">
      <c r="A156">
        <f>+bma_se!A156/data!$K156</f>
        <v>-2.2330542015581386E-3</v>
      </c>
      <c r="B156">
        <f>+bma_se!B156/data!$K156</f>
        <v>0.25785702880092709</v>
      </c>
      <c r="C156">
        <f>+bma_se!C156/data!$K156</f>
        <v>0.25785702880092709</v>
      </c>
      <c r="D156">
        <f>+bma_se!D156/data!$K156</f>
        <v>0</v>
      </c>
      <c r="E156">
        <f>+bma_se!E156/data!$K156</f>
        <v>0</v>
      </c>
      <c r="F156">
        <f>+bma_se!F156/data!$K156</f>
        <v>0</v>
      </c>
      <c r="G156">
        <f>+bma_se!G156/data!$K156</f>
        <v>0.25785702880092709</v>
      </c>
      <c r="H156">
        <f>+bma_se!H156/data!$K156</f>
        <v>0.25785702880092709</v>
      </c>
      <c r="I156">
        <f>+bma_se!I156/data!$K156</f>
        <v>0.25785702880092709</v>
      </c>
      <c r="J156">
        <f>+bma_se!J156/data!$K156</f>
        <v>0</v>
      </c>
      <c r="K156">
        <f>+bma_se!K156/data!$K156</f>
        <v>0.25785702880092709</v>
      </c>
      <c r="L156">
        <f>+bma_se!L156/data!$K156</f>
        <v>0</v>
      </c>
      <c r="M156">
        <f>+bma_se!M156/data!$K156</f>
        <v>0</v>
      </c>
      <c r="N156">
        <f>+bma_se!N156/data!$K156</f>
        <v>0.25785702880092709</v>
      </c>
      <c r="O156">
        <f>+bma_se!O156/data!$K156</f>
        <v>0</v>
      </c>
      <c r="P156">
        <f>+bma_se!P156/data!$K156</f>
        <v>0.25785702880092709</v>
      </c>
      <c r="Q156">
        <f>+bma_se!Q156/data!$K156</f>
        <v>1.9613606095870264</v>
      </c>
      <c r="R156">
        <f>+bma_se!R156/data!$K156</f>
        <v>1.0557556365859317</v>
      </c>
      <c r="S156">
        <f>+bma_se!S156/data!$K156</f>
        <v>0</v>
      </c>
    </row>
    <row r="157" spans="1:19" x14ac:dyDescent="0.25">
      <c r="A157">
        <f>+bma_se!A157/data!$K157</f>
        <v>-2.7484360578402213E-3</v>
      </c>
      <c r="B157">
        <f>+bma_se!B157/data!$K157</f>
        <v>0.25786200703426454</v>
      </c>
      <c r="C157">
        <f>+bma_se!C157/data!$K157</f>
        <v>0.25786200703426454</v>
      </c>
      <c r="D157">
        <f>+bma_se!D157/data!$K157</f>
        <v>0</v>
      </c>
      <c r="E157">
        <f>+bma_se!E157/data!$K157</f>
        <v>0</v>
      </c>
      <c r="F157">
        <f>+bma_se!F157/data!$K157</f>
        <v>0</v>
      </c>
      <c r="G157">
        <f>+bma_se!G157/data!$K157</f>
        <v>0.25786200703426454</v>
      </c>
      <c r="H157">
        <f>+bma_se!H157/data!$K157</f>
        <v>0.25786200703426454</v>
      </c>
      <c r="I157">
        <f>+bma_se!I157/data!$K157</f>
        <v>0.25786200703426454</v>
      </c>
      <c r="J157">
        <f>+bma_se!J157/data!$K157</f>
        <v>0</v>
      </c>
      <c r="K157">
        <f>+bma_se!K157/data!$K157</f>
        <v>0.25786200703426454</v>
      </c>
      <c r="L157">
        <f>+bma_se!L157/data!$K157</f>
        <v>0</v>
      </c>
      <c r="M157">
        <f>+bma_se!M157/data!$K157</f>
        <v>0</v>
      </c>
      <c r="N157">
        <f>+bma_se!N157/data!$K157</f>
        <v>0</v>
      </c>
      <c r="O157">
        <f>+bma_se!O157/data!$K157</f>
        <v>0.25786200703426454</v>
      </c>
      <c r="P157">
        <f>+bma_se!P157/data!$K157</f>
        <v>0.25786200703426454</v>
      </c>
      <c r="Q157">
        <f>+bma_se!Q157/data!$K157</f>
        <v>1.9613984759613456</v>
      </c>
      <c r="R157">
        <f>+bma_se!R157/data!$K157</f>
        <v>1.0557760191907057</v>
      </c>
      <c r="S157">
        <f>+bma_se!S157/data!$K157</f>
        <v>0</v>
      </c>
    </row>
    <row r="158" spans="1:19" x14ac:dyDescent="0.25">
      <c r="A158">
        <f>+bma_se!A158/data!$K158</f>
        <v>-1.9172566985978065E-2</v>
      </c>
      <c r="B158">
        <f>+bma_se!B158/data!$K158</f>
        <v>0.27405622844550553</v>
      </c>
      <c r="C158">
        <f>+bma_se!C158/data!$K158</f>
        <v>0</v>
      </c>
      <c r="D158">
        <f>+bma_se!D158/data!$K158</f>
        <v>0</v>
      </c>
      <c r="E158">
        <f>+bma_se!E158/data!$K158</f>
        <v>0</v>
      </c>
      <c r="F158">
        <f>+bma_se!F158/data!$K158</f>
        <v>0</v>
      </c>
      <c r="G158">
        <f>+bma_se!G158/data!$K158</f>
        <v>0.27405622844550553</v>
      </c>
      <c r="H158">
        <f>+bma_se!H158/data!$K158</f>
        <v>0.27405622844550553</v>
      </c>
      <c r="I158">
        <f>+bma_se!I158/data!$K158</f>
        <v>0.27405622844550553</v>
      </c>
      <c r="J158">
        <f>+bma_se!J158/data!$K158</f>
        <v>0</v>
      </c>
      <c r="K158">
        <f>+bma_se!K158/data!$K158</f>
        <v>0.27405622844550553</v>
      </c>
      <c r="L158">
        <f>+bma_se!L158/data!$K158</f>
        <v>0</v>
      </c>
      <c r="M158">
        <f>+bma_se!M158/data!$K158</f>
        <v>0</v>
      </c>
      <c r="N158">
        <f>+bma_se!N158/data!$K158</f>
        <v>0</v>
      </c>
      <c r="O158">
        <f>+bma_se!O158/data!$K158</f>
        <v>0</v>
      </c>
      <c r="P158">
        <f>+bma_se!P158/data!$K158</f>
        <v>0.27405622844550553</v>
      </c>
      <c r="Q158">
        <f>+bma_se!Q158/data!$K158</f>
        <v>2.0845780073731519</v>
      </c>
      <c r="R158">
        <f>+bma_se!R158/data!$K158</f>
        <v>1.1220807486547133</v>
      </c>
      <c r="S158">
        <f>+bma_se!S158/data!$K158</f>
        <v>0</v>
      </c>
    </row>
    <row r="159" spans="1:19" x14ac:dyDescent="0.25">
      <c r="A159">
        <f>+bma_se!A159/data!$K159</f>
        <v>-3.2256165754311612E-3</v>
      </c>
      <c r="B159">
        <f>+bma_se!B159/data!$K159</f>
        <v>0.27340379226930084</v>
      </c>
      <c r="C159">
        <f>+bma_se!C159/data!$K159</f>
        <v>0</v>
      </c>
      <c r="D159">
        <f>+bma_se!D159/data!$K159</f>
        <v>0</v>
      </c>
      <c r="E159">
        <f>+bma_se!E159/data!$K159</f>
        <v>0</v>
      </c>
      <c r="F159">
        <f>+bma_se!F159/data!$K159</f>
        <v>0</v>
      </c>
      <c r="G159">
        <f>+bma_se!G159/data!$K159</f>
        <v>0.27340379226930084</v>
      </c>
      <c r="H159">
        <f>+bma_se!H159/data!$K159</f>
        <v>0.27340379226930084</v>
      </c>
      <c r="I159">
        <f>+bma_se!I159/data!$K159</f>
        <v>0.27340379226930084</v>
      </c>
      <c r="J159">
        <f>+bma_se!J159/data!$K159</f>
        <v>0</v>
      </c>
      <c r="K159">
        <f>+bma_se!K159/data!$K159</f>
        <v>0.27340379226930084</v>
      </c>
      <c r="L159">
        <f>+bma_se!L159/data!$K159</f>
        <v>0</v>
      </c>
      <c r="M159">
        <f>+bma_se!M159/data!$K159</f>
        <v>0</v>
      </c>
      <c r="N159">
        <f>+bma_se!N159/data!$K159</f>
        <v>0.27340379226930084</v>
      </c>
      <c r="O159">
        <f>+bma_se!O159/data!$K159</f>
        <v>0</v>
      </c>
      <c r="P159">
        <f>+bma_se!P159/data!$K159</f>
        <v>0.27340379226930084</v>
      </c>
      <c r="Q159">
        <f>+bma_se!Q159/data!$K159</f>
        <v>2.0796153246717028</v>
      </c>
      <c r="R159">
        <f>+bma_se!R159/data!$K159</f>
        <v>1.1194094498588505</v>
      </c>
      <c r="S159">
        <f>+bma_se!S159/data!$K159</f>
        <v>0</v>
      </c>
    </row>
    <row r="160" spans="1:19" x14ac:dyDescent="0.25">
      <c r="A160">
        <f>+bma_se!A160/data!$K160</f>
        <v>-4.7186147186147184E-3</v>
      </c>
      <c r="B160">
        <f>+bma_se!B160/data!$K160</f>
        <v>0.27342548226126628</v>
      </c>
      <c r="C160">
        <f>+bma_se!C160/data!$K160</f>
        <v>0</v>
      </c>
      <c r="D160">
        <f>+bma_se!D160/data!$K160</f>
        <v>0</v>
      </c>
      <c r="E160">
        <f>+bma_se!E160/data!$K160</f>
        <v>0</v>
      </c>
      <c r="F160">
        <f>+bma_se!F160/data!$K160</f>
        <v>0</v>
      </c>
      <c r="G160">
        <f>+bma_se!G160/data!$K160</f>
        <v>0.27342548226126628</v>
      </c>
      <c r="H160">
        <f>+bma_se!H160/data!$K160</f>
        <v>0.27342548226126628</v>
      </c>
      <c r="I160">
        <f>+bma_se!I160/data!$K160</f>
        <v>0.27342548226126628</v>
      </c>
      <c r="J160">
        <f>+bma_se!J160/data!$K160</f>
        <v>0</v>
      </c>
      <c r="K160">
        <f>+bma_se!K160/data!$K160</f>
        <v>0.27342548226126628</v>
      </c>
      <c r="L160">
        <f>+bma_se!L160/data!$K160</f>
        <v>0</v>
      </c>
      <c r="M160">
        <f>+bma_se!M160/data!$K160</f>
        <v>0</v>
      </c>
      <c r="N160">
        <f>+bma_se!N160/data!$K160</f>
        <v>0</v>
      </c>
      <c r="O160">
        <f>+bma_se!O160/data!$K160</f>
        <v>0.27342548226126628</v>
      </c>
      <c r="P160">
        <f>+bma_se!P160/data!$K160</f>
        <v>0.27342548226126628</v>
      </c>
      <c r="Q160">
        <f>+bma_se!Q160/data!$K160</f>
        <v>2.0797803071663088</v>
      </c>
      <c r="R160">
        <f>+bma_se!R160/data!$K160</f>
        <v>1.1194982561690043</v>
      </c>
      <c r="S160">
        <f>+bma_se!S160/data!$K160</f>
        <v>0</v>
      </c>
    </row>
    <row r="161" spans="1:19" x14ac:dyDescent="0.25">
      <c r="A161">
        <f>+bma_se!A161/data!$K161</f>
        <v>-1.7979359043997827E-2</v>
      </c>
      <c r="B161">
        <f>+bma_se!B161/data!$K161</f>
        <v>0.2766111594677792</v>
      </c>
      <c r="C161">
        <f>+bma_se!C161/data!$K161</f>
        <v>0</v>
      </c>
      <c r="D161">
        <f>+bma_se!D161/data!$K161</f>
        <v>0</v>
      </c>
      <c r="E161">
        <f>+bma_se!E161/data!$K161</f>
        <v>0</v>
      </c>
      <c r="F161">
        <f>+bma_se!F161/data!$K161</f>
        <v>0</v>
      </c>
      <c r="G161">
        <f>+bma_se!G161/data!$K161</f>
        <v>0.2766111594677792</v>
      </c>
      <c r="H161">
        <f>+bma_se!H161/data!$K161</f>
        <v>0.2766111594677792</v>
      </c>
      <c r="I161">
        <f>+bma_se!I161/data!$K161</f>
        <v>0.2766111594677792</v>
      </c>
      <c r="J161">
        <f>+bma_se!J161/data!$K161</f>
        <v>0</v>
      </c>
      <c r="K161">
        <f>+bma_se!K161/data!$K161</f>
        <v>0.2766111594677792</v>
      </c>
      <c r="L161">
        <f>+bma_se!L161/data!$K161</f>
        <v>0</v>
      </c>
      <c r="M161">
        <f>+bma_se!M161/data!$K161</f>
        <v>0</v>
      </c>
      <c r="N161">
        <f>+bma_se!N161/data!$K161</f>
        <v>0</v>
      </c>
      <c r="O161">
        <f>+bma_se!O161/data!$K161</f>
        <v>0</v>
      </c>
      <c r="P161">
        <f>+bma_se!P161/data!$K161</f>
        <v>0.2766111594677792</v>
      </c>
      <c r="Q161">
        <f>+bma_se!Q161/data!$K161</f>
        <v>2.1040118040418023</v>
      </c>
      <c r="R161">
        <f>+bma_se!R161/data!$K161</f>
        <v>1.1325415177111045</v>
      </c>
      <c r="S161">
        <f>+bma_se!S161/data!$K161</f>
        <v>0</v>
      </c>
    </row>
    <row r="162" spans="1:19" x14ac:dyDescent="0.25">
      <c r="A162">
        <f>+bma_se!A162/data!$K162</f>
        <v>4.1561359168772816E-3</v>
      </c>
      <c r="B162">
        <f>+bma_se!B162/data!$K162</f>
        <v>0.27605751150120106</v>
      </c>
      <c r="C162">
        <f>+bma_se!C162/data!$K162</f>
        <v>0</v>
      </c>
      <c r="D162">
        <f>+bma_se!D162/data!$K162</f>
        <v>0</v>
      </c>
      <c r="E162">
        <f>+bma_se!E162/data!$K162</f>
        <v>0</v>
      </c>
      <c r="F162">
        <f>+bma_se!F162/data!$K162</f>
        <v>0</v>
      </c>
      <c r="G162">
        <f>+bma_se!G162/data!$K162</f>
        <v>0.27605751150120106</v>
      </c>
      <c r="H162">
        <f>+bma_se!H162/data!$K162</f>
        <v>0.27605751150120106</v>
      </c>
      <c r="I162">
        <f>+bma_se!I162/data!$K162</f>
        <v>0.27605751150120106</v>
      </c>
      <c r="J162">
        <f>+bma_se!J162/data!$K162</f>
        <v>0</v>
      </c>
      <c r="K162">
        <f>+bma_se!K162/data!$K162</f>
        <v>0.27605751150120106</v>
      </c>
      <c r="L162">
        <f>+bma_se!L162/data!$K162</f>
        <v>0</v>
      </c>
      <c r="M162">
        <f>+bma_se!M162/data!$K162</f>
        <v>0</v>
      </c>
      <c r="N162">
        <f>+bma_se!N162/data!$K162</f>
        <v>0.27605751150120106</v>
      </c>
      <c r="O162">
        <f>+bma_se!O162/data!$K162</f>
        <v>0</v>
      </c>
      <c r="P162">
        <f>+bma_se!P162/data!$K162</f>
        <v>0.27605751150120106</v>
      </c>
      <c r="Q162">
        <f>+bma_se!Q162/data!$K162</f>
        <v>2.0998005427925976</v>
      </c>
      <c r="R162">
        <f>+bma_se!R162/data!$K162</f>
        <v>1.1302746919273849</v>
      </c>
      <c r="S162">
        <f>+bma_se!S162/data!$K162</f>
        <v>0</v>
      </c>
    </row>
    <row r="163" spans="1:19" x14ac:dyDescent="0.25">
      <c r="A163">
        <f>+bma_se!A163/data!$K163</f>
        <v>1.5154164480969866E-4</v>
      </c>
      <c r="B163">
        <f>+bma_se!B163/data!$K163</f>
        <v>0.27602626533601166</v>
      </c>
      <c r="C163">
        <f>+bma_se!C163/data!$K163</f>
        <v>0</v>
      </c>
      <c r="D163">
        <f>+bma_se!D163/data!$K163</f>
        <v>0</v>
      </c>
      <c r="E163">
        <f>+bma_se!E163/data!$K163</f>
        <v>0</v>
      </c>
      <c r="F163">
        <f>+bma_se!F163/data!$K163</f>
        <v>0</v>
      </c>
      <c r="G163">
        <f>+bma_se!G163/data!$K163</f>
        <v>0.27602626533601166</v>
      </c>
      <c r="H163">
        <f>+bma_se!H163/data!$K163</f>
        <v>0.27602626533601166</v>
      </c>
      <c r="I163">
        <f>+bma_se!I163/data!$K163</f>
        <v>0.27602626533601166</v>
      </c>
      <c r="J163">
        <f>+bma_se!J163/data!$K163</f>
        <v>0</v>
      </c>
      <c r="K163">
        <f>+bma_se!K163/data!$K163</f>
        <v>0.27602626533601166</v>
      </c>
      <c r="L163">
        <f>+bma_se!L163/data!$K163</f>
        <v>0</v>
      </c>
      <c r="M163">
        <f>+bma_se!M163/data!$K163</f>
        <v>0</v>
      </c>
      <c r="N163">
        <f>+bma_se!N163/data!$K163</f>
        <v>0</v>
      </c>
      <c r="O163">
        <f>+bma_se!O163/data!$K163</f>
        <v>0.27602626533601166</v>
      </c>
      <c r="P163">
        <f>+bma_se!P163/data!$K163</f>
        <v>0.27602626533601166</v>
      </c>
      <c r="Q163">
        <f>+bma_se!Q163/data!$K163</f>
        <v>2.0995628723366551</v>
      </c>
      <c r="R163">
        <f>+bma_se!R163/data!$K163</f>
        <v>1.1301467593471726</v>
      </c>
      <c r="S163">
        <f>+bma_se!S163/data!$K163</f>
        <v>0</v>
      </c>
    </row>
    <row r="164" spans="1:19" x14ac:dyDescent="0.25">
      <c r="A164">
        <f>+bma_se!A164/data!$K164</f>
        <v>-1.8689196108550947E-3</v>
      </c>
      <c r="B164">
        <f>+bma_se!B164/data!$K164</f>
        <v>0.20315839665234883</v>
      </c>
      <c r="C164">
        <f>+bma_se!C164/data!$K164</f>
        <v>0.20315839665234883</v>
      </c>
      <c r="D164">
        <f>+bma_se!D164/data!$K164</f>
        <v>0</v>
      </c>
      <c r="E164">
        <f>+bma_se!E164/data!$K164</f>
        <v>0</v>
      </c>
      <c r="F164">
        <f>+bma_se!F164/data!$K164</f>
        <v>0</v>
      </c>
      <c r="G164">
        <f>+bma_se!G164/data!$K164</f>
        <v>0.20315839665234883</v>
      </c>
      <c r="H164">
        <f>+bma_se!H164/data!$K164</f>
        <v>0.20315839665234883</v>
      </c>
      <c r="I164">
        <f>+bma_se!I164/data!$K164</f>
        <v>0.20315839665234883</v>
      </c>
      <c r="J164">
        <f>+bma_se!J164/data!$K164</f>
        <v>0</v>
      </c>
      <c r="K164">
        <f>+bma_se!K164/data!$K164</f>
        <v>0.20315839665234883</v>
      </c>
      <c r="L164">
        <f>+bma_se!L164/data!$K164</f>
        <v>0</v>
      </c>
      <c r="M164">
        <f>+bma_se!M164/data!$K164</f>
        <v>0</v>
      </c>
      <c r="N164">
        <f>+bma_se!N164/data!$K164</f>
        <v>0</v>
      </c>
      <c r="O164">
        <f>+bma_se!O164/data!$K164</f>
        <v>0</v>
      </c>
      <c r="P164">
        <f>+bma_se!P164/data!$K164</f>
        <v>0.20315839665234883</v>
      </c>
      <c r="Q164">
        <f>+bma_se!Q164/data!$K164</f>
        <v>1.5453015903956664</v>
      </c>
      <c r="R164">
        <f>+bma_se!R164/data!$K164</f>
        <v>0.83180056554156112</v>
      </c>
      <c r="S164">
        <f>+bma_se!S164/data!$K164</f>
        <v>0</v>
      </c>
    </row>
    <row r="165" spans="1:19" x14ac:dyDescent="0.25">
      <c r="A165">
        <f>+bma_se!A165/data!$K165</f>
        <v>2.4531024531024535E-3</v>
      </c>
      <c r="B165">
        <f>+bma_se!B165/data!$K165</f>
        <v>0.20316461055382329</v>
      </c>
      <c r="C165">
        <f>+bma_se!C165/data!$K165</f>
        <v>0.20316461055382329</v>
      </c>
      <c r="D165">
        <f>+bma_se!D165/data!$K165</f>
        <v>0</v>
      </c>
      <c r="E165">
        <f>+bma_se!E165/data!$K165</f>
        <v>0</v>
      </c>
      <c r="F165">
        <f>+bma_se!F165/data!$K165</f>
        <v>0</v>
      </c>
      <c r="G165">
        <f>+bma_se!G165/data!$K165</f>
        <v>0.20316461055382329</v>
      </c>
      <c r="H165">
        <f>+bma_se!H165/data!$K165</f>
        <v>0.20316461055382329</v>
      </c>
      <c r="I165">
        <f>+bma_se!I165/data!$K165</f>
        <v>0.20316461055382329</v>
      </c>
      <c r="J165">
        <f>+bma_se!J165/data!$K165</f>
        <v>0</v>
      </c>
      <c r="K165">
        <f>+bma_se!K165/data!$K165</f>
        <v>0.20316461055382329</v>
      </c>
      <c r="L165">
        <f>+bma_se!L165/data!$K165</f>
        <v>0</v>
      </c>
      <c r="M165">
        <f>+bma_se!M165/data!$K165</f>
        <v>0</v>
      </c>
      <c r="N165">
        <f>+bma_se!N165/data!$K165</f>
        <v>0.20316461055382329</v>
      </c>
      <c r="O165">
        <f>+bma_se!O165/data!$K165</f>
        <v>0</v>
      </c>
      <c r="P165">
        <f>+bma_se!P165/data!$K165</f>
        <v>0.20316461055382329</v>
      </c>
      <c r="Q165">
        <f>+bma_se!Q165/data!$K165</f>
        <v>1.5453488557412747</v>
      </c>
      <c r="R165">
        <f>+bma_se!R165/data!$K165</f>
        <v>0.83182600739799351</v>
      </c>
      <c r="S165">
        <f>+bma_se!S165/data!$K165</f>
        <v>0</v>
      </c>
    </row>
    <row r="166" spans="1:19" x14ac:dyDescent="0.25">
      <c r="A166">
        <f>+bma_se!A166/data!$K166</f>
        <v>-2.1345498577905442E-3</v>
      </c>
      <c r="B166">
        <f>+bma_se!B166/data!$K166</f>
        <v>0.20316101390999369</v>
      </c>
      <c r="C166">
        <f>+bma_se!C166/data!$K166</f>
        <v>0.20316101390999369</v>
      </c>
      <c r="D166">
        <f>+bma_se!D166/data!$K166</f>
        <v>0</v>
      </c>
      <c r="E166">
        <f>+bma_se!E166/data!$K166</f>
        <v>0</v>
      </c>
      <c r="F166">
        <f>+bma_se!F166/data!$K166</f>
        <v>0</v>
      </c>
      <c r="G166">
        <f>+bma_se!G166/data!$K166</f>
        <v>0.20316101390999369</v>
      </c>
      <c r="H166">
        <f>+bma_se!H166/data!$K166</f>
        <v>0.20316101390999369</v>
      </c>
      <c r="I166">
        <f>+bma_se!I166/data!$K166</f>
        <v>0.20316101390999369</v>
      </c>
      <c r="J166">
        <f>+bma_se!J166/data!$K166</f>
        <v>0</v>
      </c>
      <c r="K166">
        <f>+bma_se!K166/data!$K166</f>
        <v>0.20316101390999369</v>
      </c>
      <c r="L166">
        <f>+bma_se!L166/data!$K166</f>
        <v>0</v>
      </c>
      <c r="M166">
        <f>+bma_se!M166/data!$K166</f>
        <v>0</v>
      </c>
      <c r="N166">
        <f>+bma_se!N166/data!$K166</f>
        <v>0</v>
      </c>
      <c r="O166">
        <f>+bma_se!O166/data!$K166</f>
        <v>0.20316101390999369</v>
      </c>
      <c r="P166">
        <f>+bma_se!P166/data!$K166</f>
        <v>0.20316101390999369</v>
      </c>
      <c r="Q166">
        <f>+bma_se!Q166/data!$K166</f>
        <v>1.5453214982728092</v>
      </c>
      <c r="R166">
        <f>+bma_se!R166/data!$K166</f>
        <v>0.8318112814973132</v>
      </c>
      <c r="S166">
        <f>+bma_se!S166/data!$K166</f>
        <v>0</v>
      </c>
    </row>
    <row r="167" spans="1:19" x14ac:dyDescent="0.25">
      <c r="A167">
        <f>+bma_se!A167/data!$K167</f>
        <v>-9.5402016228178024E-3</v>
      </c>
      <c r="B167">
        <f>+bma_se!B167/data!$K167</f>
        <v>0.56544513761780713</v>
      </c>
      <c r="C167">
        <f>+bma_se!C167/data!$K167</f>
        <v>0</v>
      </c>
      <c r="D167">
        <f>+bma_se!D167/data!$K167</f>
        <v>0</v>
      </c>
      <c r="E167">
        <f>+bma_se!E167/data!$K167</f>
        <v>0</v>
      </c>
      <c r="F167">
        <f>+bma_se!F167/data!$K167</f>
        <v>0</v>
      </c>
      <c r="G167">
        <f>+bma_se!G167/data!$K167</f>
        <v>0.56544513761780713</v>
      </c>
      <c r="H167">
        <f>+bma_se!H167/data!$K167</f>
        <v>0.56544513761780713</v>
      </c>
      <c r="I167">
        <f>+bma_se!I167/data!$K167</f>
        <v>0.56544513761780713</v>
      </c>
      <c r="J167">
        <f>+bma_se!J167/data!$K167</f>
        <v>0</v>
      </c>
      <c r="K167">
        <f>+bma_se!K167/data!$K167</f>
        <v>0.56544513761780713</v>
      </c>
      <c r="L167">
        <f>+bma_se!L167/data!$K167</f>
        <v>0</v>
      </c>
      <c r="M167">
        <f>+bma_se!M167/data!$K167</f>
        <v>0</v>
      </c>
      <c r="N167">
        <f>+bma_se!N167/data!$K167</f>
        <v>0</v>
      </c>
      <c r="O167">
        <f>+bma_se!O167/data!$K167</f>
        <v>0</v>
      </c>
      <c r="P167">
        <f>+bma_se!P167/data!$K167</f>
        <v>0.56544513761780713</v>
      </c>
      <c r="Q167">
        <f>+bma_se!Q167/data!$K167</f>
        <v>4.3009951094344361</v>
      </c>
      <c r="R167">
        <f>+bma_se!R167/data!$K167</f>
        <v>2.3151274719797801</v>
      </c>
      <c r="S167">
        <f>+bma_se!S167/data!$K167</f>
        <v>0</v>
      </c>
    </row>
    <row r="168" spans="1:19" x14ac:dyDescent="0.25">
      <c r="A168">
        <f>+bma_se!A168/data!$K168</f>
        <v>6.8027210884353756E-3</v>
      </c>
      <c r="B168">
        <f>+bma_se!B168/data!$K168</f>
        <v>0.56540557586817597</v>
      </c>
      <c r="C168">
        <f>+bma_se!C168/data!$K168</f>
        <v>0</v>
      </c>
      <c r="D168">
        <f>+bma_se!D168/data!$K168</f>
        <v>0</v>
      </c>
      <c r="E168">
        <f>+bma_se!E168/data!$K168</f>
        <v>0</v>
      </c>
      <c r="F168">
        <f>+bma_se!F168/data!$K168</f>
        <v>0</v>
      </c>
      <c r="G168">
        <f>+bma_se!G168/data!$K168</f>
        <v>0.56540557586817597</v>
      </c>
      <c r="H168">
        <f>+bma_se!H168/data!$K168</f>
        <v>0.56540557586817597</v>
      </c>
      <c r="I168">
        <f>+bma_se!I168/data!$K168</f>
        <v>0.56540557586817597</v>
      </c>
      <c r="J168">
        <f>+bma_se!J168/data!$K168</f>
        <v>0</v>
      </c>
      <c r="K168">
        <f>+bma_se!K168/data!$K168</f>
        <v>0.56540557586817597</v>
      </c>
      <c r="L168">
        <f>+bma_se!L168/data!$K168</f>
        <v>0</v>
      </c>
      <c r="M168">
        <f>+bma_se!M168/data!$K168</f>
        <v>0</v>
      </c>
      <c r="N168">
        <f>+bma_se!N168/data!$K168</f>
        <v>0.56540557586817597</v>
      </c>
      <c r="O168">
        <f>+bma_se!O168/data!$K168</f>
        <v>0</v>
      </c>
      <c r="P168">
        <f>+bma_se!P168/data!$K168</f>
        <v>0.56540557586817597</v>
      </c>
      <c r="Q168">
        <f>+bma_se!Q168/data!$K168</f>
        <v>4.3006941874167834</v>
      </c>
      <c r="R168">
        <f>+bma_se!R168/data!$K168</f>
        <v>2.3149654925279868</v>
      </c>
      <c r="S168">
        <f>+bma_se!S168/data!$K168</f>
        <v>0</v>
      </c>
    </row>
    <row r="169" spans="1:19" x14ac:dyDescent="0.25">
      <c r="A169">
        <f>+bma_se!A169/data!$K169</f>
        <v>1.3158500115021855E-2</v>
      </c>
      <c r="B169">
        <f>+bma_se!B169/data!$K169</f>
        <v>0.56551775775292301</v>
      </c>
      <c r="C169">
        <f>+bma_se!C169/data!$K169</f>
        <v>0</v>
      </c>
      <c r="D169">
        <f>+bma_se!D169/data!$K169</f>
        <v>0</v>
      </c>
      <c r="E169">
        <f>+bma_se!E169/data!$K169</f>
        <v>0</v>
      </c>
      <c r="F169">
        <f>+bma_se!F169/data!$K169</f>
        <v>0</v>
      </c>
      <c r="G169">
        <f>+bma_se!G169/data!$K169</f>
        <v>0.56551775775292301</v>
      </c>
      <c r="H169">
        <f>+bma_se!H169/data!$K169</f>
        <v>0.56551775775292301</v>
      </c>
      <c r="I169">
        <f>+bma_se!I169/data!$K169</f>
        <v>0.56551775775292301</v>
      </c>
      <c r="J169">
        <f>+bma_se!J169/data!$K169</f>
        <v>0</v>
      </c>
      <c r="K169">
        <f>+bma_se!K169/data!$K169</f>
        <v>0.56551775775292301</v>
      </c>
      <c r="L169">
        <f>+bma_se!L169/data!$K169</f>
        <v>0</v>
      </c>
      <c r="M169">
        <f>+bma_se!M169/data!$K169</f>
        <v>0</v>
      </c>
      <c r="N169">
        <f>+bma_se!N169/data!$K169</f>
        <v>0</v>
      </c>
      <c r="O169">
        <f>+bma_se!O169/data!$K169</f>
        <v>0.56551775775292301</v>
      </c>
      <c r="P169">
        <f>+bma_se!P169/data!$K169</f>
        <v>0.56551775775292301</v>
      </c>
      <c r="Q169">
        <f>+bma_se!Q169/data!$K169</f>
        <v>4.3015474863587411</v>
      </c>
      <c r="R169">
        <f>+bma_se!R169/data!$K169</f>
        <v>2.3154248038668919</v>
      </c>
      <c r="S169">
        <f>+bma_se!S169/data!$K169</f>
        <v>0</v>
      </c>
    </row>
    <row r="170" spans="1:19" x14ac:dyDescent="0.25">
      <c r="A170">
        <f>+bma_se!A170/data!$K170</f>
        <v>-4.3563166591557767E-3</v>
      </c>
      <c r="B170">
        <f>+bma_se!B170/data!$K170</f>
        <v>0.56937800545484885</v>
      </c>
      <c r="C170">
        <f>+bma_se!C170/data!$K170</f>
        <v>0</v>
      </c>
      <c r="D170">
        <f>+bma_se!D170/data!$K170</f>
        <v>0</v>
      </c>
      <c r="E170">
        <f>+bma_se!E170/data!$K170</f>
        <v>0</v>
      </c>
      <c r="F170">
        <f>+bma_se!F170/data!$K170</f>
        <v>0</v>
      </c>
      <c r="G170">
        <f>+bma_se!G170/data!$K170</f>
        <v>0.56937800545484885</v>
      </c>
      <c r="H170">
        <f>+bma_se!H170/data!$K170</f>
        <v>0.56937800545484885</v>
      </c>
      <c r="I170">
        <f>+bma_se!I170/data!$K170</f>
        <v>0.56937800545484885</v>
      </c>
      <c r="J170">
        <f>+bma_se!J170/data!$K170</f>
        <v>0</v>
      </c>
      <c r="K170">
        <f>+bma_se!K170/data!$K170</f>
        <v>0.56937800545484885</v>
      </c>
      <c r="L170">
        <f>+bma_se!L170/data!$K170</f>
        <v>0</v>
      </c>
      <c r="M170">
        <f>+bma_se!M170/data!$K170</f>
        <v>0</v>
      </c>
      <c r="N170">
        <f>+bma_se!N170/data!$K170</f>
        <v>0</v>
      </c>
      <c r="O170">
        <f>+bma_se!O170/data!$K170</f>
        <v>0</v>
      </c>
      <c r="P170">
        <f>+bma_se!P170/data!$K170</f>
        <v>0.56937800545484885</v>
      </c>
      <c r="Q170">
        <f>+bma_se!Q170/data!$K170</f>
        <v>4.3309100281556967</v>
      </c>
      <c r="R170">
        <f>+bma_se!R170/data!$K170</f>
        <v>2.3312299897440329</v>
      </c>
      <c r="S170">
        <f>+bma_se!S170/data!$K170</f>
        <v>0</v>
      </c>
    </row>
    <row r="171" spans="1:19" x14ac:dyDescent="0.25">
      <c r="A171">
        <f>+bma_se!A171/data!$K171</f>
        <v>1.1356009070294786E-2</v>
      </c>
      <c r="B171">
        <f>+bma_se!B171/data!$K171</f>
        <v>0.56947457760896725</v>
      </c>
      <c r="C171">
        <f>+bma_se!C171/data!$K171</f>
        <v>0</v>
      </c>
      <c r="D171">
        <f>+bma_se!D171/data!$K171</f>
        <v>0</v>
      </c>
      <c r="E171">
        <f>+bma_se!E171/data!$K171</f>
        <v>0</v>
      </c>
      <c r="F171">
        <f>+bma_se!F171/data!$K171</f>
        <v>0</v>
      </c>
      <c r="G171">
        <f>+bma_se!G171/data!$K171</f>
        <v>0.56947457760896725</v>
      </c>
      <c r="H171">
        <f>+bma_se!H171/data!$K171</f>
        <v>0.56947457760896725</v>
      </c>
      <c r="I171">
        <f>+bma_se!I171/data!$K171</f>
        <v>0.56947457760896725</v>
      </c>
      <c r="J171">
        <f>+bma_se!J171/data!$K171</f>
        <v>0</v>
      </c>
      <c r="K171">
        <f>+bma_se!K171/data!$K171</f>
        <v>0.56947457760896725</v>
      </c>
      <c r="L171">
        <f>+bma_se!L171/data!$K171</f>
        <v>0</v>
      </c>
      <c r="M171">
        <f>+bma_se!M171/data!$K171</f>
        <v>0</v>
      </c>
      <c r="N171">
        <f>+bma_se!N171/data!$K171</f>
        <v>0.56947457760896725</v>
      </c>
      <c r="O171">
        <f>+bma_se!O171/data!$K171</f>
        <v>0</v>
      </c>
      <c r="P171">
        <f>+bma_se!P171/data!$K171</f>
        <v>0.56947457760896725</v>
      </c>
      <c r="Q171">
        <f>+bma_se!Q171/data!$K171</f>
        <v>4.3316445934299175</v>
      </c>
      <c r="R171">
        <f>+bma_se!R171/data!$K171</f>
        <v>2.3316253894603869</v>
      </c>
      <c r="S171">
        <f>+bma_se!S171/data!$K171</f>
        <v>0</v>
      </c>
    </row>
    <row r="172" spans="1:19" x14ac:dyDescent="0.25">
      <c r="A172">
        <f>+bma_se!A172/data!$K172</f>
        <v>-3.7752037752037754E-4</v>
      </c>
      <c r="B172">
        <f>+bma_se!B172/data!$K172</f>
        <v>0.56936146525958575</v>
      </c>
      <c r="C172">
        <f>+bma_se!C172/data!$K172</f>
        <v>0</v>
      </c>
      <c r="D172">
        <f>+bma_se!D172/data!$K172</f>
        <v>0</v>
      </c>
      <c r="E172">
        <f>+bma_se!E172/data!$K172</f>
        <v>0</v>
      </c>
      <c r="F172">
        <f>+bma_se!F172/data!$K172</f>
        <v>0</v>
      </c>
      <c r="G172">
        <f>+bma_se!G172/data!$K172</f>
        <v>0.56936146525958575</v>
      </c>
      <c r="H172">
        <f>+bma_se!H172/data!$K172</f>
        <v>0.56936146525958575</v>
      </c>
      <c r="I172">
        <f>+bma_se!I172/data!$K172</f>
        <v>0.56936146525958575</v>
      </c>
      <c r="J172">
        <f>+bma_se!J172/data!$K172</f>
        <v>0</v>
      </c>
      <c r="K172">
        <f>+bma_se!K172/data!$K172</f>
        <v>0.56936146525958575</v>
      </c>
      <c r="L172">
        <f>+bma_se!L172/data!$K172</f>
        <v>0</v>
      </c>
      <c r="M172">
        <f>+bma_se!M172/data!$K172</f>
        <v>0</v>
      </c>
      <c r="N172">
        <f>+bma_se!N172/data!$K172</f>
        <v>0</v>
      </c>
      <c r="O172">
        <f>+bma_se!O172/data!$K172</f>
        <v>0.56936146525958575</v>
      </c>
      <c r="P172">
        <f>+bma_se!P172/data!$K172</f>
        <v>0.56936146525958575</v>
      </c>
      <c r="Q172">
        <f>+bma_se!Q172/data!$K172</f>
        <v>4.3307842170129298</v>
      </c>
      <c r="R172">
        <f>+bma_se!R172/data!$K172</f>
        <v>2.3311622684782582</v>
      </c>
      <c r="S172">
        <f>+bma_se!S172/data!$K172</f>
        <v>0</v>
      </c>
    </row>
    <row r="173" spans="1:19" x14ac:dyDescent="0.25">
      <c r="A173">
        <f>+bma_se!A173/data!$K173</f>
        <v>5.0801094177413053E-3</v>
      </c>
      <c r="B173">
        <f>+bma_se!B173/data!$K173</f>
        <v>0.42177516313472019</v>
      </c>
      <c r="C173">
        <f>+bma_se!C173/data!$K173</f>
        <v>0.42177516313472019</v>
      </c>
      <c r="D173">
        <f>+bma_se!D173/data!$K173</f>
        <v>0</v>
      </c>
      <c r="E173">
        <f>+bma_se!E173/data!$K173</f>
        <v>0</v>
      </c>
      <c r="F173">
        <f>+bma_se!F173/data!$K173</f>
        <v>0</v>
      </c>
      <c r="G173">
        <f>+bma_se!G173/data!$K173</f>
        <v>0.42177516313472019</v>
      </c>
      <c r="H173">
        <f>+bma_se!H173/data!$K173</f>
        <v>0.42177516313472019</v>
      </c>
      <c r="I173">
        <f>+bma_se!I173/data!$K173</f>
        <v>0.42177516313472019</v>
      </c>
      <c r="J173">
        <f>+bma_se!J173/data!$K173</f>
        <v>0</v>
      </c>
      <c r="K173">
        <f>+bma_se!K173/data!$K173</f>
        <v>0.42177516313472019</v>
      </c>
      <c r="L173">
        <f>+bma_se!L173/data!$K173</f>
        <v>0</v>
      </c>
      <c r="M173">
        <f>+bma_se!M173/data!$K173</f>
        <v>0</v>
      </c>
      <c r="N173">
        <f>+bma_se!N173/data!$K173</f>
        <v>0</v>
      </c>
      <c r="O173">
        <f>+bma_se!O173/data!$K173</f>
        <v>0</v>
      </c>
      <c r="P173">
        <f>+bma_se!P173/data!$K173</f>
        <v>0.42177516313472019</v>
      </c>
      <c r="Q173">
        <f>+bma_se!Q173/data!$K173</f>
        <v>3.208185539565978</v>
      </c>
      <c r="R173">
        <f>+bma_se!R173/data!$K173</f>
        <v>1.7268930303048258</v>
      </c>
      <c r="S173">
        <f>+bma_se!S173/data!$K173</f>
        <v>0</v>
      </c>
    </row>
    <row r="174" spans="1:19" x14ac:dyDescent="0.25">
      <c r="A174">
        <f>+bma_se!A174/data!$K174</f>
        <v>1.2260486229322159E-2</v>
      </c>
      <c r="B174">
        <f>+bma_se!B174/data!$K174</f>
        <v>0.42192274203721586</v>
      </c>
      <c r="C174">
        <f>+bma_se!C174/data!$K174</f>
        <v>0.42192274203721586</v>
      </c>
      <c r="D174">
        <f>+bma_se!D174/data!$K174</f>
        <v>0</v>
      </c>
      <c r="E174">
        <f>+bma_se!E174/data!$K174</f>
        <v>0</v>
      </c>
      <c r="F174">
        <f>+bma_se!F174/data!$K174</f>
        <v>0</v>
      </c>
      <c r="G174">
        <f>+bma_se!G174/data!$K174</f>
        <v>0.42192274203721586</v>
      </c>
      <c r="H174">
        <f>+bma_se!H174/data!$K174</f>
        <v>0.42192274203721586</v>
      </c>
      <c r="I174">
        <f>+bma_se!I174/data!$K174</f>
        <v>0.42192274203721586</v>
      </c>
      <c r="J174">
        <f>+bma_se!J174/data!$K174</f>
        <v>0</v>
      </c>
      <c r="K174">
        <f>+bma_se!K174/data!$K174</f>
        <v>0.42192274203721586</v>
      </c>
      <c r="L174">
        <f>+bma_se!L174/data!$K174</f>
        <v>0</v>
      </c>
      <c r="M174">
        <f>+bma_se!M174/data!$K174</f>
        <v>0</v>
      </c>
      <c r="N174">
        <f>+bma_se!N174/data!$K174</f>
        <v>0.42192274203721586</v>
      </c>
      <c r="O174">
        <f>+bma_se!O174/data!$K174</f>
        <v>0</v>
      </c>
      <c r="P174">
        <f>+bma_se!P174/data!$K174</f>
        <v>0.42192274203721586</v>
      </c>
      <c r="Q174">
        <f>+bma_se!Q174/data!$K174</f>
        <v>3.2093080819589739</v>
      </c>
      <c r="R174">
        <f>+bma_se!R174/data!$K174</f>
        <v>1.7274972692463646</v>
      </c>
      <c r="S174">
        <f>+bma_se!S174/data!$K174</f>
        <v>0</v>
      </c>
    </row>
    <row r="175" spans="1:19" x14ac:dyDescent="0.25">
      <c r="A175">
        <f>+bma_se!A175/data!$K175</f>
        <v>5.1558927963422339E-3</v>
      </c>
      <c r="B175">
        <f>+bma_se!B175/data!$K175</f>
        <v>0.42177608272180506</v>
      </c>
      <c r="C175">
        <f>+bma_se!C175/data!$K175</f>
        <v>0.42177608272180506</v>
      </c>
      <c r="D175">
        <f>+bma_se!D175/data!$K175</f>
        <v>0</v>
      </c>
      <c r="E175">
        <f>+bma_se!E175/data!$K175</f>
        <v>0</v>
      </c>
      <c r="F175">
        <f>+bma_se!F175/data!$K175</f>
        <v>0</v>
      </c>
      <c r="G175">
        <f>+bma_se!G175/data!$K175</f>
        <v>0.42177608272180506</v>
      </c>
      <c r="H175">
        <f>+bma_se!H175/data!$K175</f>
        <v>0.42177608272180506</v>
      </c>
      <c r="I175">
        <f>+bma_se!I175/data!$K175</f>
        <v>0.42177608272180506</v>
      </c>
      <c r="J175">
        <f>+bma_se!J175/data!$K175</f>
        <v>0</v>
      </c>
      <c r="K175">
        <f>+bma_se!K175/data!$K175</f>
        <v>0.42177608272180506</v>
      </c>
      <c r="L175">
        <f>+bma_se!L175/data!$K175</f>
        <v>0</v>
      </c>
      <c r="M175">
        <f>+bma_se!M175/data!$K175</f>
        <v>0</v>
      </c>
      <c r="N175">
        <f>+bma_se!N175/data!$K175</f>
        <v>0</v>
      </c>
      <c r="O175">
        <f>+bma_se!O175/data!$K175</f>
        <v>0.42177608272180506</v>
      </c>
      <c r="P175">
        <f>+bma_se!P175/data!$K175</f>
        <v>0.42177608272180506</v>
      </c>
      <c r="Q175">
        <f>+bma_se!Q175/data!$K175</f>
        <v>3.2081925343021451</v>
      </c>
      <c r="R175">
        <f>+bma_se!R175/data!$K175</f>
        <v>1.726896795411609</v>
      </c>
      <c r="S175">
        <f>+bma_se!S175/data!$K175</f>
        <v>0</v>
      </c>
    </row>
    <row r="176" spans="1:19" x14ac:dyDescent="0.25">
      <c r="A176">
        <f>+bma_se!A176/data!$K176</f>
        <v>-1.843626116444572E-3</v>
      </c>
      <c r="B176">
        <f>+bma_se!B176/data!$K176</f>
        <v>0.27832304327449192</v>
      </c>
      <c r="C176">
        <f>+bma_se!C176/data!$K176</f>
        <v>0</v>
      </c>
      <c r="D176">
        <f>+bma_se!D176/data!$K176</f>
        <v>0</v>
      </c>
      <c r="E176">
        <f>+bma_se!E176/data!$K176</f>
        <v>0</v>
      </c>
      <c r="F176">
        <f>+bma_se!F176/data!$K176</f>
        <v>0</v>
      </c>
      <c r="G176">
        <f>+bma_se!G176/data!$K176</f>
        <v>0.27832304327449192</v>
      </c>
      <c r="H176">
        <f>+bma_se!H176/data!$K176</f>
        <v>0.27832304327449192</v>
      </c>
      <c r="I176">
        <f>+bma_se!I176/data!$K176</f>
        <v>0.27832304327449192</v>
      </c>
      <c r="J176">
        <f>+bma_se!J176/data!$K176</f>
        <v>0</v>
      </c>
      <c r="K176">
        <f>+bma_se!K176/data!$K176</f>
        <v>0.27832304327449192</v>
      </c>
      <c r="L176">
        <f>+bma_se!L176/data!$K176</f>
        <v>0</v>
      </c>
      <c r="M176">
        <f>+bma_se!M176/data!$K176</f>
        <v>0</v>
      </c>
      <c r="N176">
        <f>+bma_se!N176/data!$K176</f>
        <v>0</v>
      </c>
      <c r="O176">
        <f>+bma_se!O176/data!$K176</f>
        <v>0</v>
      </c>
      <c r="P176">
        <f>+bma_se!P176/data!$K176</f>
        <v>0.27832304327449192</v>
      </c>
      <c r="Q176">
        <f>+bma_se!Q176/data!$K176</f>
        <v>2.117033056486576</v>
      </c>
      <c r="R176">
        <f>+bma_se!R176/data!$K176</f>
        <v>1.1395505606156995</v>
      </c>
      <c r="S176">
        <f>+bma_se!S176/data!$K176</f>
        <v>0</v>
      </c>
    </row>
    <row r="177" spans="1:19" x14ac:dyDescent="0.25">
      <c r="A177">
        <f>+bma_se!A177/data!$K177</f>
        <v>-1.3618677042801556E-3</v>
      </c>
      <c r="B177">
        <f>+bma_se!B177/data!$K177</f>
        <v>0.27832026901388524</v>
      </c>
      <c r="C177">
        <f>+bma_se!C177/data!$K177</f>
        <v>0</v>
      </c>
      <c r="D177">
        <f>+bma_se!D177/data!$K177</f>
        <v>0</v>
      </c>
      <c r="E177">
        <f>+bma_se!E177/data!$K177</f>
        <v>0</v>
      </c>
      <c r="F177">
        <f>+bma_se!F177/data!$K177</f>
        <v>0</v>
      </c>
      <c r="G177">
        <f>+bma_se!G177/data!$K177</f>
        <v>0.27832026901388524</v>
      </c>
      <c r="H177">
        <f>+bma_se!H177/data!$K177</f>
        <v>0.27832026901388524</v>
      </c>
      <c r="I177">
        <f>+bma_se!I177/data!$K177</f>
        <v>0.27832026901388524</v>
      </c>
      <c r="J177">
        <f>+bma_se!J177/data!$K177</f>
        <v>0</v>
      </c>
      <c r="K177">
        <f>+bma_se!K177/data!$K177</f>
        <v>0.27832026901388524</v>
      </c>
      <c r="L177">
        <f>+bma_se!L177/data!$K177</f>
        <v>0</v>
      </c>
      <c r="M177">
        <f>+bma_se!M177/data!$K177</f>
        <v>0</v>
      </c>
      <c r="N177">
        <f>+bma_se!N177/data!$K177</f>
        <v>0.27832026901388524</v>
      </c>
      <c r="O177">
        <f>+bma_se!O177/data!$K177</f>
        <v>0</v>
      </c>
      <c r="P177">
        <f>+bma_se!P177/data!$K177</f>
        <v>0.27832026901388524</v>
      </c>
      <c r="Q177">
        <f>+bma_se!Q177/data!$K177</f>
        <v>2.1170119543839885</v>
      </c>
      <c r="R177">
        <f>+bma_se!R177/data!$K177</f>
        <v>1.1395392018356558</v>
      </c>
      <c r="S177">
        <f>+bma_se!S177/data!$K177</f>
        <v>0</v>
      </c>
    </row>
    <row r="178" spans="1:19" x14ac:dyDescent="0.25">
      <c r="A178">
        <f>+bma_se!A178/data!$K178</f>
        <v>-1.0272747596691259E-2</v>
      </c>
      <c r="B178">
        <f>+bma_se!B178/data!$K178</f>
        <v>0.27850645738205571</v>
      </c>
      <c r="C178">
        <f>+bma_se!C178/data!$K178</f>
        <v>0</v>
      </c>
      <c r="D178">
        <f>+bma_se!D178/data!$K178</f>
        <v>0</v>
      </c>
      <c r="E178">
        <f>+bma_se!E178/data!$K178</f>
        <v>0</v>
      </c>
      <c r="F178">
        <f>+bma_se!F178/data!$K178</f>
        <v>0</v>
      </c>
      <c r="G178">
        <f>+bma_se!G178/data!$K178</f>
        <v>0.27850645738205571</v>
      </c>
      <c r="H178">
        <f>+bma_se!H178/data!$K178</f>
        <v>0.27850645738205571</v>
      </c>
      <c r="I178">
        <f>+bma_se!I178/data!$K178</f>
        <v>0.27850645738205571</v>
      </c>
      <c r="J178">
        <f>+bma_se!J178/data!$K178</f>
        <v>0</v>
      </c>
      <c r="K178">
        <f>+bma_se!K178/data!$K178</f>
        <v>0.27850645738205571</v>
      </c>
      <c r="L178">
        <f>+bma_se!L178/data!$K178</f>
        <v>0</v>
      </c>
      <c r="M178">
        <f>+bma_se!M178/data!$K178</f>
        <v>0</v>
      </c>
      <c r="N178">
        <f>+bma_se!N178/data!$K178</f>
        <v>0</v>
      </c>
      <c r="O178">
        <f>+bma_se!O178/data!$K178</f>
        <v>0.27850645738205571</v>
      </c>
      <c r="P178">
        <f>+bma_se!P178/data!$K178</f>
        <v>0.27850645738205571</v>
      </c>
      <c r="Q178">
        <f>+bma_se!Q178/data!$K178</f>
        <v>2.11842817535338</v>
      </c>
      <c r="R178">
        <f>+bma_se!R178/data!$K178</f>
        <v>1.1403015212499328</v>
      </c>
      <c r="S178">
        <f>+bma_se!S178/data!$K178</f>
        <v>0</v>
      </c>
    </row>
    <row r="179" spans="1:19" x14ac:dyDescent="0.25">
      <c r="A179">
        <f>+bma_se!A179/data!$K179</f>
        <v>-1.4054744704899505E-3</v>
      </c>
      <c r="B179">
        <f>+bma_se!B179/data!$K179</f>
        <v>0.28236477562711287</v>
      </c>
      <c r="C179">
        <f>+bma_se!C179/data!$K179</f>
        <v>0</v>
      </c>
      <c r="D179">
        <f>+bma_se!D179/data!$K179</f>
        <v>0</v>
      </c>
      <c r="E179">
        <f>+bma_se!E179/data!$K179</f>
        <v>0</v>
      </c>
      <c r="F179">
        <f>+bma_se!F179/data!$K179</f>
        <v>0</v>
      </c>
      <c r="G179">
        <f>+bma_se!G179/data!$K179</f>
        <v>0.28236477562711287</v>
      </c>
      <c r="H179">
        <f>+bma_se!H179/data!$K179</f>
        <v>0.28236477562711287</v>
      </c>
      <c r="I179">
        <f>+bma_se!I179/data!$K179</f>
        <v>0.28236477562711287</v>
      </c>
      <c r="J179">
        <f>+bma_se!J179/data!$K179</f>
        <v>0</v>
      </c>
      <c r="K179">
        <f>+bma_se!K179/data!$K179</f>
        <v>0.28236477562711287</v>
      </c>
      <c r="L179">
        <f>+bma_se!L179/data!$K179</f>
        <v>0</v>
      </c>
      <c r="M179">
        <f>+bma_se!M179/data!$K179</f>
        <v>0</v>
      </c>
      <c r="N179">
        <f>+bma_se!N179/data!$K179</f>
        <v>0</v>
      </c>
      <c r="O179">
        <f>+bma_se!O179/data!$K179</f>
        <v>0</v>
      </c>
      <c r="P179">
        <f>+bma_se!P179/data!$K179</f>
        <v>0.28236477562711287</v>
      </c>
      <c r="Q179">
        <f>+bma_se!Q179/data!$K179</f>
        <v>2.1477760409527638</v>
      </c>
      <c r="R179">
        <f>+bma_se!R179/data!$K179</f>
        <v>1.1560988072649911</v>
      </c>
      <c r="S179">
        <f>+bma_se!S179/data!$K179</f>
        <v>0</v>
      </c>
    </row>
    <row r="180" spans="1:19" x14ac:dyDescent="0.25">
      <c r="A180">
        <f>+bma_se!A180/data!$K180</f>
        <v>1.3101102509969506E-2</v>
      </c>
      <c r="B180">
        <f>+bma_se!B180/data!$K180</f>
        <v>0.28266504920743085</v>
      </c>
      <c r="C180">
        <f>+bma_se!C180/data!$K180</f>
        <v>0</v>
      </c>
      <c r="D180">
        <f>+bma_se!D180/data!$K180</f>
        <v>0</v>
      </c>
      <c r="E180">
        <f>+bma_se!E180/data!$K180</f>
        <v>0</v>
      </c>
      <c r="F180">
        <f>+bma_se!F180/data!$K180</f>
        <v>0</v>
      </c>
      <c r="G180">
        <f>+bma_se!G180/data!$K180</f>
        <v>0.28266504920743085</v>
      </c>
      <c r="H180">
        <f>+bma_se!H180/data!$K180</f>
        <v>0.28266504920743085</v>
      </c>
      <c r="I180">
        <f>+bma_se!I180/data!$K180</f>
        <v>0.28266504920743085</v>
      </c>
      <c r="J180">
        <f>+bma_se!J180/data!$K180</f>
        <v>0</v>
      </c>
      <c r="K180">
        <f>+bma_se!K180/data!$K180</f>
        <v>0.28266504920743085</v>
      </c>
      <c r="L180">
        <f>+bma_se!L180/data!$K180</f>
        <v>0</v>
      </c>
      <c r="M180">
        <f>+bma_se!M180/data!$K180</f>
        <v>0</v>
      </c>
      <c r="N180">
        <f>+bma_se!N180/data!$K180</f>
        <v>0.28266504920743085</v>
      </c>
      <c r="O180">
        <f>+bma_se!O180/data!$K180</f>
        <v>0</v>
      </c>
      <c r="P180">
        <f>+bma_se!P180/data!$K180</f>
        <v>0.28266504920743085</v>
      </c>
      <c r="Q180">
        <f>+bma_se!Q180/data!$K180</f>
        <v>2.1500600383108117</v>
      </c>
      <c r="R180">
        <f>+bma_se!R180/data!$K180</f>
        <v>1.1573282308971984</v>
      </c>
      <c r="S180">
        <f>+bma_se!S180/data!$K180</f>
        <v>0</v>
      </c>
    </row>
    <row r="181" spans="1:19" x14ac:dyDescent="0.25">
      <c r="A181">
        <f>+bma_se!A181/data!$K181</f>
        <v>-1.1652809271856891E-2</v>
      </c>
      <c r="B181">
        <f>+bma_se!B181/data!$K181</f>
        <v>0.28260162618143025</v>
      </c>
      <c r="C181">
        <f>+bma_se!C181/data!$K181</f>
        <v>0</v>
      </c>
      <c r="D181">
        <f>+bma_se!D181/data!$K181</f>
        <v>0</v>
      </c>
      <c r="E181">
        <f>+bma_se!E181/data!$K181</f>
        <v>0</v>
      </c>
      <c r="F181">
        <f>+bma_se!F181/data!$K181</f>
        <v>0</v>
      </c>
      <c r="G181">
        <f>+bma_se!G181/data!$K181</f>
        <v>0.28260162618143025</v>
      </c>
      <c r="H181">
        <f>+bma_se!H181/data!$K181</f>
        <v>0.28260162618143025</v>
      </c>
      <c r="I181">
        <f>+bma_se!I181/data!$K181</f>
        <v>0.28260162618143025</v>
      </c>
      <c r="J181">
        <f>+bma_se!J181/data!$K181</f>
        <v>0</v>
      </c>
      <c r="K181">
        <f>+bma_se!K181/data!$K181</f>
        <v>0.28260162618143025</v>
      </c>
      <c r="L181">
        <f>+bma_se!L181/data!$K181</f>
        <v>0</v>
      </c>
      <c r="M181">
        <f>+bma_se!M181/data!$K181</f>
        <v>0</v>
      </c>
      <c r="N181">
        <f>+bma_se!N181/data!$K181</f>
        <v>0</v>
      </c>
      <c r="O181">
        <f>+bma_se!O181/data!$K181</f>
        <v>0.28260162618143025</v>
      </c>
      <c r="P181">
        <f>+bma_se!P181/data!$K181</f>
        <v>0.28260162618143025</v>
      </c>
      <c r="Q181">
        <f>+bma_se!Q181/data!$K181</f>
        <v>2.1495776181669171</v>
      </c>
      <c r="R181">
        <f>+bma_se!R181/data!$K181</f>
        <v>1.1570685551478079</v>
      </c>
      <c r="S181">
        <f>+bma_se!S181/data!$K181</f>
        <v>0</v>
      </c>
    </row>
    <row r="182" spans="1:19" x14ac:dyDescent="0.25">
      <c r="A182">
        <f>+bma_se!A182/data!$K182</f>
        <v>5.1594889070988499E-4</v>
      </c>
      <c r="B182">
        <f>+bma_se!B182/data!$K182</f>
        <v>0.20404146457149913</v>
      </c>
      <c r="C182">
        <f>+bma_se!C182/data!$K182</f>
        <v>0.20404146457149913</v>
      </c>
      <c r="D182">
        <f>+bma_se!D182/data!$K182</f>
        <v>0</v>
      </c>
      <c r="E182">
        <f>+bma_se!E182/data!$K182</f>
        <v>0</v>
      </c>
      <c r="F182">
        <f>+bma_se!F182/data!$K182</f>
        <v>0</v>
      </c>
      <c r="G182">
        <f>+bma_se!G182/data!$K182</f>
        <v>0.20404146457149913</v>
      </c>
      <c r="H182">
        <f>+bma_se!H182/data!$K182</f>
        <v>0.20404146457149913</v>
      </c>
      <c r="I182">
        <f>+bma_se!I182/data!$K182</f>
        <v>0.20404146457149913</v>
      </c>
      <c r="J182">
        <f>+bma_se!J182/data!$K182</f>
        <v>0</v>
      </c>
      <c r="K182">
        <f>+bma_se!K182/data!$K182</f>
        <v>0.20404146457149913</v>
      </c>
      <c r="L182">
        <f>+bma_se!L182/data!$K182</f>
        <v>0</v>
      </c>
      <c r="M182">
        <f>+bma_se!M182/data!$K182</f>
        <v>0</v>
      </c>
      <c r="N182">
        <f>+bma_se!N182/data!$K182</f>
        <v>0</v>
      </c>
      <c r="O182">
        <f>+bma_se!O182/data!$K182</f>
        <v>0</v>
      </c>
      <c r="P182">
        <f>+bma_se!P182/data!$K182</f>
        <v>0.20404146457149913</v>
      </c>
      <c r="Q182">
        <f>+bma_se!Q182/data!$K182</f>
        <v>1.5520185476190758</v>
      </c>
      <c r="R182">
        <f>+bma_se!R182/data!$K182</f>
        <v>0.83541615026099447</v>
      </c>
      <c r="S182">
        <f>+bma_se!S182/data!$K182</f>
        <v>0</v>
      </c>
    </row>
    <row r="183" spans="1:19" x14ac:dyDescent="0.25">
      <c r="A183">
        <f>+bma_se!A183/data!$K183</f>
        <v>6.0921248142644865E-3</v>
      </c>
      <c r="B183">
        <f>+bma_se!B183/data!$K183</f>
        <v>0.20413173943798418</v>
      </c>
      <c r="C183">
        <f>+bma_se!C183/data!$K183</f>
        <v>0.20413173943798418</v>
      </c>
      <c r="D183">
        <f>+bma_se!D183/data!$K183</f>
        <v>0</v>
      </c>
      <c r="E183">
        <f>+bma_se!E183/data!$K183</f>
        <v>0</v>
      </c>
      <c r="F183">
        <f>+bma_se!F183/data!$K183</f>
        <v>0</v>
      </c>
      <c r="G183">
        <f>+bma_se!G183/data!$K183</f>
        <v>0.20413173943798418</v>
      </c>
      <c r="H183">
        <f>+bma_se!H183/data!$K183</f>
        <v>0.20413173943798418</v>
      </c>
      <c r="I183">
        <f>+bma_se!I183/data!$K183</f>
        <v>0.20413173943798418</v>
      </c>
      <c r="J183">
        <f>+bma_se!J183/data!$K183</f>
        <v>0</v>
      </c>
      <c r="K183">
        <f>+bma_se!K183/data!$K183</f>
        <v>0.20413173943798418</v>
      </c>
      <c r="L183">
        <f>+bma_se!L183/data!$K183</f>
        <v>0</v>
      </c>
      <c r="M183">
        <f>+bma_se!M183/data!$K183</f>
        <v>0</v>
      </c>
      <c r="N183">
        <f>+bma_se!N183/data!$K183</f>
        <v>0.20413173943798418</v>
      </c>
      <c r="O183">
        <f>+bma_se!O183/data!$K183</f>
        <v>0</v>
      </c>
      <c r="P183">
        <f>+bma_se!P183/data!$K183</f>
        <v>0.20413173943798418</v>
      </c>
      <c r="Q183">
        <f>+bma_se!Q183/data!$K183</f>
        <v>1.5527052132802095</v>
      </c>
      <c r="R183">
        <f>+bma_se!R183/data!$K183</f>
        <v>0.83578576670921323</v>
      </c>
      <c r="S183">
        <f>+bma_se!S183/data!$K183</f>
        <v>0</v>
      </c>
    </row>
    <row r="184" spans="1:19" x14ac:dyDescent="0.25">
      <c r="A184">
        <f>+bma_se!A184/data!$K184</f>
        <v>1.0063942174033919E-2</v>
      </c>
      <c r="B184">
        <f>+bma_se!B184/data!$K184</f>
        <v>0.20428885430514016</v>
      </c>
      <c r="C184">
        <f>+bma_se!C184/data!$K184</f>
        <v>0.20428885430514016</v>
      </c>
      <c r="D184">
        <f>+bma_se!D184/data!$K184</f>
        <v>0</v>
      </c>
      <c r="E184">
        <f>+bma_se!E184/data!$K184</f>
        <v>0</v>
      </c>
      <c r="F184">
        <f>+bma_se!F184/data!$K184</f>
        <v>0</v>
      </c>
      <c r="G184">
        <f>+bma_se!G184/data!$K184</f>
        <v>0.20428885430514016</v>
      </c>
      <c r="H184">
        <f>+bma_se!H184/data!$K184</f>
        <v>0.20428885430514016</v>
      </c>
      <c r="I184">
        <f>+bma_se!I184/data!$K184</f>
        <v>0.20428885430514016</v>
      </c>
      <c r="J184">
        <f>+bma_se!J184/data!$K184</f>
        <v>0</v>
      </c>
      <c r="K184">
        <f>+bma_se!K184/data!$K184</f>
        <v>0.20428885430514016</v>
      </c>
      <c r="L184">
        <f>+bma_se!L184/data!$K184</f>
        <v>0</v>
      </c>
      <c r="M184">
        <f>+bma_se!M184/data!$K184</f>
        <v>0</v>
      </c>
      <c r="N184">
        <f>+bma_se!N184/data!$K184</f>
        <v>0</v>
      </c>
      <c r="O184">
        <f>+bma_se!O184/data!$K184</f>
        <v>0.20428885430514016</v>
      </c>
      <c r="P184">
        <f>+bma_se!P184/data!$K184</f>
        <v>0.20428885430514016</v>
      </c>
      <c r="Q184">
        <f>+bma_se!Q184/data!$K184</f>
        <v>1.5539002899203664</v>
      </c>
      <c r="R184">
        <f>+bma_se!R184/data!$K184</f>
        <v>0.83642904917997907</v>
      </c>
      <c r="S184">
        <f>+bma_se!S184/data!$K184</f>
        <v>0</v>
      </c>
    </row>
    <row r="185" spans="1:19" x14ac:dyDescent="0.25">
      <c r="A185">
        <f>+bma_se!A185/data!$K185</f>
        <v>-3.4425891568748708E-2</v>
      </c>
      <c r="B185">
        <f>+bma_se!B185/data!$K185</f>
        <v>0.26480064647412604</v>
      </c>
      <c r="C185">
        <f>+bma_se!C185/data!$K185</f>
        <v>0</v>
      </c>
      <c r="D185">
        <f>+bma_se!D185/data!$K185</f>
        <v>0</v>
      </c>
      <c r="E185">
        <f>+bma_se!E185/data!$K185</f>
        <v>0</v>
      </c>
      <c r="F185">
        <f>+bma_se!F185/data!$K185</f>
        <v>0</v>
      </c>
      <c r="G185">
        <f>+bma_se!G185/data!$K185</f>
        <v>0.26480064647412604</v>
      </c>
      <c r="H185">
        <f>+bma_se!H185/data!$K185</f>
        <v>0.26480064647412604</v>
      </c>
      <c r="I185">
        <f>+bma_se!I185/data!$K185</f>
        <v>0.26480064647412604</v>
      </c>
      <c r="J185">
        <f>+bma_se!J185/data!$K185</f>
        <v>0</v>
      </c>
      <c r="K185">
        <f>+bma_se!K185/data!$K185</f>
        <v>0.26480064647412604</v>
      </c>
      <c r="L185">
        <f>+bma_se!L185/data!$K185</f>
        <v>0</v>
      </c>
      <c r="M185">
        <f>+bma_se!M185/data!$K185</f>
        <v>0</v>
      </c>
      <c r="N185">
        <f>+bma_se!N185/data!$K185</f>
        <v>0</v>
      </c>
      <c r="O185">
        <f>+bma_se!O185/data!$K185</f>
        <v>0</v>
      </c>
      <c r="P185">
        <f>+bma_se!P185/data!$K185</f>
        <v>0.26480064647412604</v>
      </c>
      <c r="Q185">
        <f>+bma_se!Q185/data!$K185</f>
        <v>2.0141764597330343</v>
      </c>
      <c r="R185">
        <f>+bma_se!R185/data!$K185</f>
        <v>1.0841852028881054</v>
      </c>
      <c r="S185">
        <f>+bma_se!S185/data!$K185</f>
        <v>0</v>
      </c>
    </row>
    <row r="186" spans="1:19" x14ac:dyDescent="0.25">
      <c r="A186">
        <f>+bma_se!A186/data!$K186</f>
        <v>1.7678617678617677E-2</v>
      </c>
      <c r="B186">
        <f>+bma_se!B186/data!$K186</f>
        <v>0.26314781755857009</v>
      </c>
      <c r="C186">
        <f>+bma_se!C186/data!$K186</f>
        <v>0</v>
      </c>
      <c r="D186">
        <f>+bma_se!D186/data!$K186</f>
        <v>0</v>
      </c>
      <c r="E186">
        <f>+bma_se!E186/data!$K186</f>
        <v>0</v>
      </c>
      <c r="F186">
        <f>+bma_se!F186/data!$K186</f>
        <v>0</v>
      </c>
      <c r="G186">
        <f>+bma_se!G186/data!$K186</f>
        <v>0.26314781755857009</v>
      </c>
      <c r="H186">
        <f>+bma_se!H186/data!$K186</f>
        <v>0.26314781755857009</v>
      </c>
      <c r="I186">
        <f>+bma_se!I186/data!$K186</f>
        <v>0.26314781755857009</v>
      </c>
      <c r="J186">
        <f>+bma_se!J186/data!$K186</f>
        <v>0</v>
      </c>
      <c r="K186">
        <f>+bma_se!K186/data!$K186</f>
        <v>0.26314781755857009</v>
      </c>
      <c r="L186">
        <f>+bma_se!L186/data!$K186</f>
        <v>0</v>
      </c>
      <c r="M186">
        <f>+bma_se!M186/data!$K186</f>
        <v>0</v>
      </c>
      <c r="N186">
        <f>+bma_se!N186/data!$K186</f>
        <v>0.26314781755857009</v>
      </c>
      <c r="O186">
        <f>+bma_se!O186/data!$K186</f>
        <v>0</v>
      </c>
      <c r="P186">
        <f>+bma_se!P186/data!$K186</f>
        <v>0.26314781755857009</v>
      </c>
      <c r="Q186">
        <f>+bma_se!Q186/data!$K186</f>
        <v>2.0016044017036969</v>
      </c>
      <c r="R186">
        <f>+bma_se!R186/data!$K186</f>
        <v>1.0774179510818436</v>
      </c>
      <c r="S186">
        <f>+bma_se!S186/data!$K186</f>
        <v>0</v>
      </c>
    </row>
    <row r="187" spans="1:19" x14ac:dyDescent="0.25">
      <c r="A187">
        <f>+bma_se!A187/data!$K187</f>
        <v>1.2213740458015267E-2</v>
      </c>
      <c r="B187">
        <f>+bma_se!B187/data!$K187</f>
        <v>0.26283724206966474</v>
      </c>
      <c r="C187">
        <f>+bma_se!C187/data!$K187</f>
        <v>0</v>
      </c>
      <c r="D187">
        <f>+bma_se!D187/data!$K187</f>
        <v>0</v>
      </c>
      <c r="E187">
        <f>+bma_se!E187/data!$K187</f>
        <v>0</v>
      </c>
      <c r="F187">
        <f>+bma_se!F187/data!$K187</f>
        <v>0</v>
      </c>
      <c r="G187">
        <f>+bma_se!G187/data!$K187</f>
        <v>0.26283724206966474</v>
      </c>
      <c r="H187">
        <f>+bma_se!H187/data!$K187</f>
        <v>0.26283724206966474</v>
      </c>
      <c r="I187">
        <f>+bma_se!I187/data!$K187</f>
        <v>0.26283724206966474</v>
      </c>
      <c r="J187">
        <f>+bma_se!J187/data!$K187</f>
        <v>0</v>
      </c>
      <c r="K187">
        <f>+bma_se!K187/data!$K187</f>
        <v>0.26283724206966474</v>
      </c>
      <c r="L187">
        <f>+bma_se!L187/data!$K187</f>
        <v>0</v>
      </c>
      <c r="M187">
        <f>+bma_se!M187/data!$K187</f>
        <v>0</v>
      </c>
      <c r="N187">
        <f>+bma_se!N187/data!$K187</f>
        <v>0</v>
      </c>
      <c r="O187">
        <f>+bma_se!O187/data!$K187</f>
        <v>0.26283724206966474</v>
      </c>
      <c r="P187">
        <f>+bma_se!P187/data!$K187</f>
        <v>0.26283724206966474</v>
      </c>
      <c r="Q187">
        <f>+bma_se!Q187/data!$K187</f>
        <v>1.9992420440317931</v>
      </c>
      <c r="R187">
        <f>+bma_se!R187/data!$K187</f>
        <v>1.0761463478817215</v>
      </c>
      <c r="S187">
        <f>+bma_se!S187/data!$K187</f>
        <v>0</v>
      </c>
    </row>
    <row r="188" spans="1:19" x14ac:dyDescent="0.25">
      <c r="A188">
        <f>+bma_se!A188/data!$K188</f>
        <v>-3.2178452776459414E-2</v>
      </c>
      <c r="B188">
        <f>+bma_se!B188/data!$K188</f>
        <v>0.26605642205462898</v>
      </c>
      <c r="C188">
        <f>+bma_se!C188/data!$K188</f>
        <v>0</v>
      </c>
      <c r="D188">
        <f>+bma_se!D188/data!$K188</f>
        <v>0</v>
      </c>
      <c r="E188">
        <f>+bma_se!E188/data!$K188</f>
        <v>0</v>
      </c>
      <c r="F188">
        <f>+bma_se!F188/data!$K188</f>
        <v>0</v>
      </c>
      <c r="G188">
        <f>+bma_se!G188/data!$K188</f>
        <v>0.26605642205462898</v>
      </c>
      <c r="H188">
        <f>+bma_se!H188/data!$K188</f>
        <v>0.26605642205462898</v>
      </c>
      <c r="I188">
        <f>+bma_se!I188/data!$K188</f>
        <v>0.26605642205462898</v>
      </c>
      <c r="J188">
        <f>+bma_se!J188/data!$K188</f>
        <v>0</v>
      </c>
      <c r="K188">
        <f>+bma_se!K188/data!$K188</f>
        <v>0.26605642205462898</v>
      </c>
      <c r="L188">
        <f>+bma_se!L188/data!$K188</f>
        <v>0</v>
      </c>
      <c r="M188">
        <f>+bma_se!M188/data!$K188</f>
        <v>0</v>
      </c>
      <c r="N188">
        <f>+bma_se!N188/data!$K188</f>
        <v>0</v>
      </c>
      <c r="O188">
        <f>+bma_se!O188/data!$K188</f>
        <v>0</v>
      </c>
      <c r="P188">
        <f>+bma_se!P188/data!$K188</f>
        <v>0.26605642205462898</v>
      </c>
      <c r="Q188">
        <f>+bma_se!Q188/data!$K188</f>
        <v>2.0237283760392653</v>
      </c>
      <c r="R188">
        <f>+bma_se!R188/data!$K188</f>
        <v>1.0893267813572598</v>
      </c>
      <c r="S188">
        <f>+bma_se!S188/data!$K188</f>
        <v>0</v>
      </c>
    </row>
    <row r="189" spans="1:19" x14ac:dyDescent="0.25">
      <c r="A189">
        <f>+bma_se!A189/data!$K189</f>
        <v>2.2467269648535908E-3</v>
      </c>
      <c r="B189">
        <f>+bma_se!B189/data!$K189</f>
        <v>0.264112882448923</v>
      </c>
      <c r="C189">
        <f>+bma_se!C189/data!$K189</f>
        <v>0</v>
      </c>
      <c r="D189">
        <f>+bma_se!D189/data!$K189</f>
        <v>0</v>
      </c>
      <c r="E189">
        <f>+bma_se!E189/data!$K189</f>
        <v>0</v>
      </c>
      <c r="F189">
        <f>+bma_se!F189/data!$K189</f>
        <v>0</v>
      </c>
      <c r="G189">
        <f>+bma_se!G189/data!$K189</f>
        <v>0.264112882448923</v>
      </c>
      <c r="H189">
        <f>+bma_se!H189/data!$K189</f>
        <v>0.264112882448923</v>
      </c>
      <c r="I189">
        <f>+bma_se!I189/data!$K189</f>
        <v>0.264112882448923</v>
      </c>
      <c r="J189">
        <f>+bma_se!J189/data!$K189</f>
        <v>0</v>
      </c>
      <c r="K189">
        <f>+bma_se!K189/data!$K189</f>
        <v>0.264112882448923</v>
      </c>
      <c r="L189">
        <f>+bma_se!L189/data!$K189</f>
        <v>0</v>
      </c>
      <c r="M189">
        <f>+bma_se!M189/data!$K189</f>
        <v>0</v>
      </c>
      <c r="N189">
        <f>+bma_se!N189/data!$K189</f>
        <v>0.264112882448923</v>
      </c>
      <c r="O189">
        <f>+bma_se!O189/data!$K189</f>
        <v>0</v>
      </c>
      <c r="P189">
        <f>+bma_se!P189/data!$K189</f>
        <v>0.264112882448923</v>
      </c>
      <c r="Q189">
        <f>+bma_se!Q189/data!$K189</f>
        <v>2.0089450597048986</v>
      </c>
      <c r="R189">
        <f>+bma_se!R189/data!$K189</f>
        <v>1.0813692596903357</v>
      </c>
      <c r="S189">
        <f>+bma_se!S189/data!$K189</f>
        <v>0</v>
      </c>
    </row>
    <row r="190" spans="1:19" x14ac:dyDescent="0.25">
      <c r="A190">
        <f>+bma_se!A190/data!$K190</f>
        <v>6.9882498453927022E-3</v>
      </c>
      <c r="B190">
        <f>+bma_se!B190/data!$K190</f>
        <v>0.26419576554011165</v>
      </c>
      <c r="C190">
        <f>+bma_se!C190/data!$K190</f>
        <v>0</v>
      </c>
      <c r="D190">
        <f>+bma_se!D190/data!$K190</f>
        <v>0</v>
      </c>
      <c r="E190">
        <f>+bma_se!E190/data!$K190</f>
        <v>0</v>
      </c>
      <c r="F190">
        <f>+bma_se!F190/data!$K190</f>
        <v>0</v>
      </c>
      <c r="G190">
        <f>+bma_se!G190/data!$K190</f>
        <v>0.26419576554011165</v>
      </c>
      <c r="H190">
        <f>+bma_se!H190/data!$K190</f>
        <v>0.26419576554011165</v>
      </c>
      <c r="I190">
        <f>+bma_se!I190/data!$K190</f>
        <v>0.26419576554011165</v>
      </c>
      <c r="J190">
        <f>+bma_se!J190/data!$K190</f>
        <v>0</v>
      </c>
      <c r="K190">
        <f>+bma_se!K190/data!$K190</f>
        <v>0.26419576554011165</v>
      </c>
      <c r="L190">
        <f>+bma_se!L190/data!$K190</f>
        <v>0</v>
      </c>
      <c r="M190">
        <f>+bma_se!M190/data!$K190</f>
        <v>0</v>
      </c>
      <c r="N190">
        <f>+bma_se!N190/data!$K190</f>
        <v>0</v>
      </c>
      <c r="O190">
        <f>+bma_se!O190/data!$K190</f>
        <v>0.26419576554011165</v>
      </c>
      <c r="P190">
        <f>+bma_se!P190/data!$K190</f>
        <v>0.26419576554011165</v>
      </c>
      <c r="Q190">
        <f>+bma_se!Q190/data!$K190</f>
        <v>2.009575500655119</v>
      </c>
      <c r="R190">
        <f>+bma_se!R190/data!$K190</f>
        <v>1.0817086116603285</v>
      </c>
      <c r="S190">
        <f>+bma_se!S190/data!$K190</f>
        <v>0</v>
      </c>
    </row>
    <row r="191" spans="1:19" x14ac:dyDescent="0.25">
      <c r="A191">
        <f>+bma_se!A191/data!$K191</f>
        <v>-3.3858061130788403E-2</v>
      </c>
      <c r="B191">
        <f>+bma_se!B191/data!$K191</f>
        <v>0.1955604100334995</v>
      </c>
      <c r="C191">
        <f>+bma_se!C191/data!$K191</f>
        <v>0.1955604100334995</v>
      </c>
      <c r="D191">
        <f>+bma_se!D191/data!$K191</f>
        <v>0</v>
      </c>
      <c r="E191">
        <f>+bma_se!E191/data!$K191</f>
        <v>0</v>
      </c>
      <c r="F191">
        <f>+bma_se!F191/data!$K191</f>
        <v>0</v>
      </c>
      <c r="G191">
        <f>+bma_se!G191/data!$K191</f>
        <v>0.1955604100334995</v>
      </c>
      <c r="H191">
        <f>+bma_se!H191/data!$K191</f>
        <v>0.1955604100334995</v>
      </c>
      <c r="I191">
        <f>+bma_se!I191/data!$K191</f>
        <v>0.1955604100334995</v>
      </c>
      <c r="J191">
        <f>+bma_se!J191/data!$K191</f>
        <v>0</v>
      </c>
      <c r="K191">
        <f>+bma_se!K191/data!$K191</f>
        <v>0.1955604100334995</v>
      </c>
      <c r="L191">
        <f>+bma_se!L191/data!$K191</f>
        <v>0</v>
      </c>
      <c r="M191">
        <f>+bma_se!M191/data!$K191</f>
        <v>0</v>
      </c>
      <c r="N191">
        <f>+bma_se!N191/data!$K191</f>
        <v>0</v>
      </c>
      <c r="O191">
        <f>+bma_se!O191/data!$K191</f>
        <v>0</v>
      </c>
      <c r="P191">
        <f>+bma_se!P191/data!$K191</f>
        <v>0.1955604100334995</v>
      </c>
      <c r="Q191">
        <f>+bma_se!Q191/data!$K191</f>
        <v>1.4875083561538902</v>
      </c>
      <c r="R191">
        <f>+bma_se!R191/data!$K191</f>
        <v>0.80069178701860844</v>
      </c>
      <c r="S191">
        <f>+bma_se!S191/data!$K191</f>
        <v>0</v>
      </c>
    </row>
    <row r="192" spans="1:19" x14ac:dyDescent="0.25">
      <c r="A192">
        <f>+bma_se!A192/data!$K192</f>
        <v>1.4802065404475043E-2</v>
      </c>
      <c r="B192">
        <f>+bma_se!B192/data!$K192</f>
        <v>0.19317506777317978</v>
      </c>
      <c r="C192">
        <f>+bma_se!C192/data!$K192</f>
        <v>0.19317506777317978</v>
      </c>
      <c r="D192">
        <f>+bma_se!D192/data!$K192</f>
        <v>0</v>
      </c>
      <c r="E192">
        <f>+bma_se!E192/data!$K192</f>
        <v>0</v>
      </c>
      <c r="F192">
        <f>+bma_se!F192/data!$K192</f>
        <v>0</v>
      </c>
      <c r="G192">
        <f>+bma_se!G192/data!$K192</f>
        <v>0.19317506777317978</v>
      </c>
      <c r="H192">
        <f>+bma_se!H192/data!$K192</f>
        <v>0.19317506777317978</v>
      </c>
      <c r="I192">
        <f>+bma_se!I192/data!$K192</f>
        <v>0.19317506777317978</v>
      </c>
      <c r="J192">
        <f>+bma_se!J192/data!$K192</f>
        <v>0</v>
      </c>
      <c r="K192">
        <f>+bma_se!K192/data!$K192</f>
        <v>0.19317506777317978</v>
      </c>
      <c r="L192">
        <f>+bma_se!L192/data!$K192</f>
        <v>0</v>
      </c>
      <c r="M192">
        <f>+bma_se!M192/data!$K192</f>
        <v>0</v>
      </c>
      <c r="N192">
        <f>+bma_se!N192/data!$K192</f>
        <v>0.19317506777317978</v>
      </c>
      <c r="O192">
        <f>+bma_se!O192/data!$K192</f>
        <v>0</v>
      </c>
      <c r="P192">
        <f>+bma_se!P192/data!$K192</f>
        <v>0.19317506777317978</v>
      </c>
      <c r="Q192">
        <f>+bma_se!Q192/data!$K192</f>
        <v>1.4693645174091012</v>
      </c>
      <c r="R192">
        <f>+bma_se!R192/data!$K192</f>
        <v>0.79092537286177966</v>
      </c>
      <c r="S192">
        <f>+bma_se!S192/data!$K192</f>
        <v>0</v>
      </c>
    </row>
    <row r="193" spans="1:19" x14ac:dyDescent="0.25">
      <c r="A193">
        <f>+bma_se!A193/data!$K193</f>
        <v>1.9304203456342917E-2</v>
      </c>
      <c r="B193">
        <f>+bma_se!B193/data!$K193</f>
        <v>0.1935721001074745</v>
      </c>
      <c r="C193">
        <f>+bma_se!C193/data!$K193</f>
        <v>0.1935721001074745</v>
      </c>
      <c r="D193">
        <f>+bma_se!D193/data!$K193</f>
        <v>0</v>
      </c>
      <c r="E193">
        <f>+bma_se!E193/data!$K193</f>
        <v>0</v>
      </c>
      <c r="F193">
        <f>+bma_se!F193/data!$K193</f>
        <v>0</v>
      </c>
      <c r="G193">
        <f>+bma_se!G193/data!$K193</f>
        <v>0.1935721001074745</v>
      </c>
      <c r="H193">
        <f>+bma_se!H193/data!$K193</f>
        <v>0.1935721001074745</v>
      </c>
      <c r="I193">
        <f>+bma_se!I193/data!$K193</f>
        <v>0.1935721001074745</v>
      </c>
      <c r="J193">
        <f>+bma_se!J193/data!$K193</f>
        <v>0</v>
      </c>
      <c r="K193">
        <f>+bma_se!K193/data!$K193</f>
        <v>0.1935721001074745</v>
      </c>
      <c r="L193">
        <f>+bma_se!L193/data!$K193</f>
        <v>0</v>
      </c>
      <c r="M193">
        <f>+bma_se!M193/data!$K193</f>
        <v>0</v>
      </c>
      <c r="N193">
        <f>+bma_se!N193/data!$K193</f>
        <v>0</v>
      </c>
      <c r="O193">
        <f>+bma_se!O193/data!$K193</f>
        <v>0.1935721001074745</v>
      </c>
      <c r="P193">
        <f>+bma_se!P193/data!$K193</f>
        <v>0.1935721001074745</v>
      </c>
      <c r="Q193">
        <f>+bma_se!Q193/data!$K193</f>
        <v>1.4723844993922925</v>
      </c>
      <c r="R193">
        <f>+bma_se!R193/data!$K193</f>
        <v>0.79255096021453753</v>
      </c>
      <c r="S193">
        <f>+bma_se!S193/data!$K193</f>
        <v>0</v>
      </c>
    </row>
    <row r="194" spans="1:19" x14ac:dyDescent="0.25">
      <c r="A194">
        <f>+bma_se!A194/data!$K194</f>
        <v>-2.2088353413654619E-2</v>
      </c>
      <c r="B194">
        <f>+bma_se!B194/data!$K194</f>
        <v>0.75619161846535432</v>
      </c>
      <c r="C194">
        <f>+bma_se!C194/data!$K194</f>
        <v>0</v>
      </c>
      <c r="D194">
        <f>+bma_se!D194/data!$K194</f>
        <v>0</v>
      </c>
      <c r="E194">
        <f>+bma_se!E194/data!$K194</f>
        <v>0</v>
      </c>
      <c r="F194">
        <f>+bma_se!F194/data!$K194</f>
        <v>0</v>
      </c>
      <c r="G194">
        <f>+bma_se!G194/data!$K194</f>
        <v>0.75619161846535432</v>
      </c>
      <c r="H194">
        <f>+bma_se!H194/data!$K194</f>
        <v>0.75619161846535432</v>
      </c>
      <c r="I194">
        <f>+bma_se!I194/data!$K194</f>
        <v>0.75619161846535432</v>
      </c>
      <c r="J194">
        <f>+bma_se!J194/data!$K194</f>
        <v>0</v>
      </c>
      <c r="K194">
        <f>+bma_se!K194/data!$K194</f>
        <v>0.75619161846535432</v>
      </c>
      <c r="L194">
        <f>+bma_se!L194/data!$K194</f>
        <v>0</v>
      </c>
      <c r="M194">
        <f>+bma_se!M194/data!$K194</f>
        <v>0</v>
      </c>
      <c r="N194">
        <f>+bma_se!N194/data!$K194</f>
        <v>0</v>
      </c>
      <c r="O194">
        <f>+bma_se!O194/data!$K194</f>
        <v>0</v>
      </c>
      <c r="P194">
        <f>+bma_se!P194/data!$K194</f>
        <v>0.75619161846535432</v>
      </c>
      <c r="Q194">
        <f>+bma_se!Q194/data!$K194</f>
        <v>5.7518868523954501</v>
      </c>
      <c r="R194">
        <f>+bma_se!R194/data!$K194</f>
        <v>3.0961093721055315</v>
      </c>
      <c r="S194">
        <f>+bma_se!S194/data!$K194</f>
        <v>0</v>
      </c>
    </row>
    <row r="195" spans="1:19" x14ac:dyDescent="0.25">
      <c r="A195">
        <f>+bma_se!A195/data!$K195</f>
        <v>2.8093833403567922E-5</v>
      </c>
      <c r="B195">
        <f>+bma_se!B195/data!$K195</f>
        <v>0.7558689497988319</v>
      </c>
      <c r="C195">
        <f>+bma_se!C195/data!$K195</f>
        <v>0</v>
      </c>
      <c r="D195">
        <f>+bma_se!D195/data!$K195</f>
        <v>0</v>
      </c>
      <c r="E195">
        <f>+bma_se!E195/data!$K195</f>
        <v>0</v>
      </c>
      <c r="F195">
        <f>+bma_se!F195/data!$K195</f>
        <v>0</v>
      </c>
      <c r="G195">
        <f>+bma_se!G195/data!$K195</f>
        <v>0.7558689497988319</v>
      </c>
      <c r="H195">
        <f>+bma_se!H195/data!$K195</f>
        <v>0.7558689497988319</v>
      </c>
      <c r="I195">
        <f>+bma_se!I195/data!$K195</f>
        <v>0.7558689497988319</v>
      </c>
      <c r="J195">
        <f>+bma_se!J195/data!$K195</f>
        <v>0</v>
      </c>
      <c r="K195">
        <f>+bma_se!K195/data!$K195</f>
        <v>0.7558689497988319</v>
      </c>
      <c r="L195">
        <f>+bma_se!L195/data!$K195</f>
        <v>0</v>
      </c>
      <c r="M195">
        <f>+bma_se!M195/data!$K195</f>
        <v>0</v>
      </c>
      <c r="N195">
        <f>+bma_se!N195/data!$K195</f>
        <v>0.7558689497988319</v>
      </c>
      <c r="O195">
        <f>+bma_se!O195/data!$K195</f>
        <v>0</v>
      </c>
      <c r="P195">
        <f>+bma_se!P195/data!$K195</f>
        <v>0.7558689497988319</v>
      </c>
      <c r="Q195">
        <f>+bma_se!Q195/data!$K195</f>
        <v>5.7494325093224363</v>
      </c>
      <c r="R195">
        <f>+bma_se!R195/data!$K195</f>
        <v>3.0947882552640982</v>
      </c>
      <c r="S195">
        <f>+bma_se!S195/data!$K195</f>
        <v>0</v>
      </c>
    </row>
    <row r="196" spans="1:19" x14ac:dyDescent="0.25">
      <c r="A196">
        <f>+bma_se!A196/data!$K196</f>
        <v>8.3217753120665746E-4</v>
      </c>
      <c r="B196">
        <f>+bma_se!B196/data!$K196</f>
        <v>0.75586940737151753</v>
      </c>
      <c r="C196">
        <f>+bma_se!C196/data!$K196</f>
        <v>0</v>
      </c>
      <c r="D196">
        <f>+bma_se!D196/data!$K196</f>
        <v>0</v>
      </c>
      <c r="E196">
        <f>+bma_se!E196/data!$K196</f>
        <v>0</v>
      </c>
      <c r="F196">
        <f>+bma_se!F196/data!$K196</f>
        <v>0</v>
      </c>
      <c r="G196">
        <f>+bma_se!G196/data!$K196</f>
        <v>0.75586940737151753</v>
      </c>
      <c r="H196">
        <f>+bma_se!H196/data!$K196</f>
        <v>0.75586940737151753</v>
      </c>
      <c r="I196">
        <f>+bma_se!I196/data!$K196</f>
        <v>0.75586940737151753</v>
      </c>
      <c r="J196">
        <f>+bma_se!J196/data!$K196</f>
        <v>0</v>
      </c>
      <c r="K196">
        <f>+bma_se!K196/data!$K196</f>
        <v>0.75586940737151753</v>
      </c>
      <c r="L196">
        <f>+bma_se!L196/data!$K196</f>
        <v>0</v>
      </c>
      <c r="M196">
        <f>+bma_se!M196/data!$K196</f>
        <v>0</v>
      </c>
      <c r="N196">
        <f>+bma_se!N196/data!$K196</f>
        <v>0</v>
      </c>
      <c r="O196">
        <f>+bma_se!O196/data!$K196</f>
        <v>0.75586940737151753</v>
      </c>
      <c r="P196">
        <f>+bma_se!P196/data!$K196</f>
        <v>0.75586940737151753</v>
      </c>
      <c r="Q196">
        <f>+bma_se!Q196/data!$K196</f>
        <v>5.7494359897978224</v>
      </c>
      <c r="R196">
        <f>+bma_se!R196/data!$K196</f>
        <v>3.0947901287245356</v>
      </c>
      <c r="S196">
        <f>+bma_se!S196/data!$K196</f>
        <v>0</v>
      </c>
    </row>
    <row r="197" spans="1:19" x14ac:dyDescent="0.25">
      <c r="A197">
        <f>+bma_se!A197/data!$K197</f>
        <v>-2.184265010351967E-2</v>
      </c>
      <c r="B197">
        <f>+bma_se!B197/data!$K197</f>
        <v>0.76239627256449394</v>
      </c>
      <c r="C197">
        <f>+bma_se!C197/data!$K197</f>
        <v>0</v>
      </c>
      <c r="D197">
        <f>+bma_se!D197/data!$K197</f>
        <v>0</v>
      </c>
      <c r="E197">
        <f>+bma_se!E197/data!$K197</f>
        <v>0</v>
      </c>
      <c r="F197">
        <f>+bma_se!F197/data!$K197</f>
        <v>0</v>
      </c>
      <c r="G197">
        <f>+bma_se!G197/data!$K197</f>
        <v>0.76239627256449394</v>
      </c>
      <c r="H197">
        <f>+bma_se!H197/data!$K197</f>
        <v>0.76239627256449394</v>
      </c>
      <c r="I197">
        <f>+bma_se!I197/data!$K197</f>
        <v>0.76239627256449394</v>
      </c>
      <c r="J197">
        <f>+bma_se!J197/data!$K197</f>
        <v>0</v>
      </c>
      <c r="K197">
        <f>+bma_se!K197/data!$K197</f>
        <v>0.76239627256449394</v>
      </c>
      <c r="L197">
        <f>+bma_se!L197/data!$K197</f>
        <v>0</v>
      </c>
      <c r="M197">
        <f>+bma_se!M197/data!$K197</f>
        <v>0</v>
      </c>
      <c r="N197">
        <f>+bma_se!N197/data!$K197</f>
        <v>0</v>
      </c>
      <c r="O197">
        <f>+bma_se!O197/data!$K197</f>
        <v>0</v>
      </c>
      <c r="P197">
        <f>+bma_se!P197/data!$K197</f>
        <v>0.76239627256449394</v>
      </c>
      <c r="Q197">
        <f>+bma_se!Q197/data!$K197</f>
        <v>5.7990818588792958</v>
      </c>
      <c r="R197">
        <f>+bma_se!R197/data!$K197</f>
        <v>3.1215133665930725</v>
      </c>
      <c r="S197">
        <f>+bma_se!S197/data!$K197</f>
        <v>0</v>
      </c>
    </row>
    <row r="198" spans="1:19" x14ac:dyDescent="0.25">
      <c r="A198">
        <f>+bma_se!A198/data!$K198</f>
        <v>7.3505912432086937E-3</v>
      </c>
      <c r="B198">
        <f>+bma_se!B198/data!$K198</f>
        <v>0.76211876124939615</v>
      </c>
      <c r="C198">
        <f>+bma_se!C198/data!$K198</f>
        <v>0</v>
      </c>
      <c r="D198">
        <f>+bma_se!D198/data!$K198</f>
        <v>0</v>
      </c>
      <c r="E198">
        <f>+bma_se!E198/data!$K198</f>
        <v>0</v>
      </c>
      <c r="F198">
        <f>+bma_se!F198/data!$K198</f>
        <v>0</v>
      </c>
      <c r="G198">
        <f>+bma_se!G198/data!$K198</f>
        <v>0.76211876124939615</v>
      </c>
      <c r="H198">
        <f>+bma_se!H198/data!$K198</f>
        <v>0.76211876124939615</v>
      </c>
      <c r="I198">
        <f>+bma_se!I198/data!$K198</f>
        <v>0.76211876124939615</v>
      </c>
      <c r="J198">
        <f>+bma_se!J198/data!$K198</f>
        <v>0</v>
      </c>
      <c r="K198">
        <f>+bma_se!K198/data!$K198</f>
        <v>0.76211876124939615</v>
      </c>
      <c r="L198">
        <f>+bma_se!L198/data!$K198</f>
        <v>0</v>
      </c>
      <c r="M198">
        <f>+bma_se!M198/data!$K198</f>
        <v>0</v>
      </c>
      <c r="N198">
        <f>+bma_se!N198/data!$K198</f>
        <v>0.76211876124939615</v>
      </c>
      <c r="O198">
        <f>+bma_se!O198/data!$K198</f>
        <v>0</v>
      </c>
      <c r="P198">
        <f>+bma_se!P198/data!$K198</f>
        <v>0.76211876124939615</v>
      </c>
      <c r="Q198">
        <f>+bma_se!Q198/data!$K198</f>
        <v>5.7969710001422721</v>
      </c>
      <c r="R198">
        <f>+bma_se!R198/data!$K198</f>
        <v>3.1203771395276583</v>
      </c>
      <c r="S198">
        <f>+bma_se!S198/data!$K198</f>
        <v>0</v>
      </c>
    </row>
    <row r="199" spans="1:19" x14ac:dyDescent="0.25">
      <c r="A199">
        <f>+bma_se!A199/data!$K199</f>
        <v>-1.9400352733686069E-3</v>
      </c>
      <c r="B199">
        <f>+bma_se!B199/data!$K199</f>
        <v>0.76208578178152031</v>
      </c>
      <c r="C199">
        <f>+bma_se!C199/data!$K199</f>
        <v>0</v>
      </c>
      <c r="D199">
        <f>+bma_se!D199/data!$K199</f>
        <v>0</v>
      </c>
      <c r="E199">
        <f>+bma_se!E199/data!$K199</f>
        <v>0</v>
      </c>
      <c r="F199">
        <f>+bma_se!F199/data!$K199</f>
        <v>0</v>
      </c>
      <c r="G199">
        <f>+bma_se!G199/data!$K199</f>
        <v>0.76208578178152031</v>
      </c>
      <c r="H199">
        <f>+bma_se!H199/data!$K199</f>
        <v>0.76208578178152031</v>
      </c>
      <c r="I199">
        <f>+bma_se!I199/data!$K199</f>
        <v>0.76208578178152031</v>
      </c>
      <c r="J199">
        <f>+bma_se!J199/data!$K199</f>
        <v>0</v>
      </c>
      <c r="K199">
        <f>+bma_se!K199/data!$K199</f>
        <v>0.76208578178152031</v>
      </c>
      <c r="L199">
        <f>+bma_se!L199/data!$K199</f>
        <v>0</v>
      </c>
      <c r="M199">
        <f>+bma_se!M199/data!$K199</f>
        <v>0</v>
      </c>
      <c r="N199">
        <f>+bma_se!N199/data!$K199</f>
        <v>0</v>
      </c>
      <c r="O199">
        <f>+bma_se!O199/data!$K199</f>
        <v>0.76208578178152031</v>
      </c>
      <c r="P199">
        <f>+bma_se!P199/data!$K199</f>
        <v>0.76208578178152031</v>
      </c>
      <c r="Q199">
        <f>+bma_se!Q199/data!$K199</f>
        <v>5.796720145513576</v>
      </c>
      <c r="R199">
        <f>+bma_se!R199/data!$K199</f>
        <v>3.1202421102082587</v>
      </c>
      <c r="S199">
        <f>+bma_se!S199/data!$K199</f>
        <v>0</v>
      </c>
    </row>
    <row r="200" spans="1:19" x14ac:dyDescent="0.25">
      <c r="A200">
        <f>+bma_se!A200/data!$K200</f>
        <v>-6.9264069264069255E-3</v>
      </c>
      <c r="B200">
        <f>+bma_se!B200/data!$K200</f>
        <v>0.55586168736091357</v>
      </c>
      <c r="C200">
        <f>+bma_se!C200/data!$K200</f>
        <v>0.55586168736091357</v>
      </c>
      <c r="D200">
        <f>+bma_se!D200/data!$K200</f>
        <v>0</v>
      </c>
      <c r="E200">
        <f>+bma_se!E200/data!$K200</f>
        <v>0</v>
      </c>
      <c r="F200">
        <f>+bma_se!F200/data!$K200</f>
        <v>0</v>
      </c>
      <c r="G200">
        <f>+bma_se!G200/data!$K200</f>
        <v>0.55586168736091357</v>
      </c>
      <c r="H200">
        <f>+bma_se!H200/data!$K200</f>
        <v>0.55586168736091357</v>
      </c>
      <c r="I200">
        <f>+bma_se!I200/data!$K200</f>
        <v>0.55586168736091357</v>
      </c>
      <c r="J200">
        <f>+bma_se!J200/data!$K200</f>
        <v>0</v>
      </c>
      <c r="K200">
        <f>+bma_se!K200/data!$K200</f>
        <v>0.55586168736091357</v>
      </c>
      <c r="L200">
        <f>+bma_se!L200/data!$K200</f>
        <v>0</v>
      </c>
      <c r="M200">
        <f>+bma_se!M200/data!$K200</f>
        <v>0</v>
      </c>
      <c r="N200">
        <f>+bma_se!N200/data!$K200</f>
        <v>0</v>
      </c>
      <c r="O200">
        <f>+bma_se!O200/data!$K200</f>
        <v>0</v>
      </c>
      <c r="P200">
        <f>+bma_se!P200/data!$K200</f>
        <v>0.55586168736091357</v>
      </c>
      <c r="Q200">
        <f>+bma_se!Q200/data!$K200</f>
        <v>4.2280996684018044</v>
      </c>
      <c r="R200">
        <f>+bma_se!R200/data!$K200</f>
        <v>2.2758895203377194</v>
      </c>
      <c r="S200">
        <f>+bma_se!S200/data!$K200</f>
        <v>0</v>
      </c>
    </row>
    <row r="201" spans="1:19" x14ac:dyDescent="0.25">
      <c r="A201">
        <f>+bma_se!A201/data!$K201</f>
        <v>1.0354421192693843E-2</v>
      </c>
      <c r="B201">
        <f>+bma_se!B201/data!$K201</f>
        <v>0.55591497047754301</v>
      </c>
      <c r="C201">
        <f>+bma_se!C201/data!$K201</f>
        <v>0.55591497047754301</v>
      </c>
      <c r="D201">
        <f>+bma_se!D201/data!$K201</f>
        <v>0</v>
      </c>
      <c r="E201">
        <f>+bma_se!E201/data!$K201</f>
        <v>0</v>
      </c>
      <c r="F201">
        <f>+bma_se!F201/data!$K201</f>
        <v>0</v>
      </c>
      <c r="G201">
        <f>+bma_se!G201/data!$K201</f>
        <v>0.55591497047754301</v>
      </c>
      <c r="H201">
        <f>+bma_se!H201/data!$K201</f>
        <v>0.55591497047754301</v>
      </c>
      <c r="I201">
        <f>+bma_se!I201/data!$K201</f>
        <v>0.55591497047754301</v>
      </c>
      <c r="J201">
        <f>+bma_se!J201/data!$K201</f>
        <v>0</v>
      </c>
      <c r="K201">
        <f>+bma_se!K201/data!$K201</f>
        <v>0.55591497047754301</v>
      </c>
      <c r="L201">
        <f>+bma_se!L201/data!$K201</f>
        <v>0</v>
      </c>
      <c r="M201">
        <f>+bma_se!M201/data!$K201</f>
        <v>0</v>
      </c>
      <c r="N201">
        <f>+bma_se!N201/data!$K201</f>
        <v>0.55591497047754301</v>
      </c>
      <c r="O201">
        <f>+bma_se!O201/data!$K201</f>
        <v>0</v>
      </c>
      <c r="P201">
        <f>+bma_se!P201/data!$K201</f>
        <v>0.55591497047754301</v>
      </c>
      <c r="Q201">
        <f>+bma_se!Q201/data!$K201</f>
        <v>4.2285049604607376</v>
      </c>
      <c r="R201">
        <f>+bma_se!R201/data!$K201</f>
        <v>2.2761076797998756</v>
      </c>
      <c r="S201">
        <f>+bma_se!S201/data!$K201</f>
        <v>0</v>
      </c>
    </row>
    <row r="202" spans="1:19" x14ac:dyDescent="0.25">
      <c r="A202">
        <f>+bma_se!A202/data!$K202</f>
        <v>3.4030784030784026E-3</v>
      </c>
      <c r="B202">
        <f>+bma_se!B202/data!$K202</f>
        <v>0.55582894968275021</v>
      </c>
      <c r="C202">
        <f>+bma_se!C202/data!$K202</f>
        <v>0.55582894968275021</v>
      </c>
      <c r="D202">
        <f>+bma_se!D202/data!$K202</f>
        <v>0</v>
      </c>
      <c r="E202">
        <f>+bma_se!E202/data!$K202</f>
        <v>0</v>
      </c>
      <c r="F202">
        <f>+bma_se!F202/data!$K202</f>
        <v>0</v>
      </c>
      <c r="G202">
        <f>+bma_se!G202/data!$K202</f>
        <v>0.55582894968275021</v>
      </c>
      <c r="H202">
        <f>+bma_se!H202/data!$K202</f>
        <v>0.55582894968275021</v>
      </c>
      <c r="I202">
        <f>+bma_se!I202/data!$K202</f>
        <v>0.55582894968275021</v>
      </c>
      <c r="J202">
        <f>+bma_se!J202/data!$K202</f>
        <v>0</v>
      </c>
      <c r="K202">
        <f>+bma_se!K202/data!$K202</f>
        <v>0.55582894968275021</v>
      </c>
      <c r="L202">
        <f>+bma_se!L202/data!$K202</f>
        <v>0</v>
      </c>
      <c r="M202">
        <f>+bma_se!M202/data!$K202</f>
        <v>0</v>
      </c>
      <c r="N202">
        <f>+bma_se!N202/data!$K202</f>
        <v>0</v>
      </c>
      <c r="O202">
        <f>+bma_se!O202/data!$K202</f>
        <v>0.55582894968275021</v>
      </c>
      <c r="P202">
        <f>+bma_se!P202/data!$K202</f>
        <v>0.55582894968275021</v>
      </c>
      <c r="Q202">
        <f>+bma_se!Q202/data!$K202</f>
        <v>4.227850652919475</v>
      </c>
      <c r="R202">
        <f>+bma_se!R202/data!$K202</f>
        <v>2.2757554809888196</v>
      </c>
      <c r="S202">
        <f>+bma_se!S202/data!$K202</f>
        <v>0</v>
      </c>
    </row>
    <row r="203" spans="1:19" x14ac:dyDescent="0.25">
      <c r="A203">
        <f>+bma_se!A203/data!$K203</f>
        <v>-2.5000000000000001E-2</v>
      </c>
      <c r="B203">
        <f>+bma_se!B203/data!$K203</f>
        <v>0.76154102180457528</v>
      </c>
      <c r="C203">
        <f>+bma_se!C203/data!$K203</f>
        <v>0</v>
      </c>
      <c r="D203">
        <f>+bma_se!D203/data!$K203</f>
        <v>0</v>
      </c>
      <c r="E203">
        <f>+bma_se!E203/data!$K203</f>
        <v>0</v>
      </c>
      <c r="F203">
        <f>+bma_se!F203/data!$K203</f>
        <v>0</v>
      </c>
      <c r="G203">
        <f>+bma_se!G203/data!$K203</f>
        <v>0.76154102180457528</v>
      </c>
      <c r="H203">
        <f>+bma_se!H203/data!$K203</f>
        <v>0.76154102180457528</v>
      </c>
      <c r="I203">
        <f>+bma_se!I203/data!$K203</f>
        <v>0.76154102180457528</v>
      </c>
      <c r="J203">
        <f>+bma_se!J203/data!$K203</f>
        <v>0</v>
      </c>
      <c r="K203">
        <f>+bma_se!K203/data!$K203</f>
        <v>0.76154102180457528</v>
      </c>
      <c r="L203">
        <f>+bma_se!L203/data!$K203</f>
        <v>0</v>
      </c>
      <c r="M203">
        <f>+bma_se!M203/data!$K203</f>
        <v>0</v>
      </c>
      <c r="N203">
        <f>+bma_se!N203/data!$K203</f>
        <v>0</v>
      </c>
      <c r="O203">
        <f>+bma_se!O203/data!$K203</f>
        <v>0</v>
      </c>
      <c r="P203">
        <f>+bma_se!P203/data!$K203</f>
        <v>0.76154102180457528</v>
      </c>
      <c r="Q203">
        <f>+bma_se!Q203/data!$K203</f>
        <v>5.7925764897620597</v>
      </c>
      <c r="R203">
        <f>+bma_se!R203/data!$K203</f>
        <v>3.1180116749204538</v>
      </c>
      <c r="S203">
        <f>+bma_se!S203/data!$K203</f>
        <v>0</v>
      </c>
    </row>
    <row r="204" spans="1:19" x14ac:dyDescent="0.25">
      <c r="A204">
        <f>+bma_se!A204/data!$K204</f>
        <v>7.3788073788073789E-3</v>
      </c>
      <c r="B204">
        <f>+bma_se!B204/data!$K204</f>
        <v>0.76116632524665073</v>
      </c>
      <c r="C204">
        <f>+bma_se!C204/data!$K204</f>
        <v>0</v>
      </c>
      <c r="D204">
        <f>+bma_se!D204/data!$K204</f>
        <v>0</v>
      </c>
      <c r="E204">
        <f>+bma_se!E204/data!$K204</f>
        <v>0</v>
      </c>
      <c r="F204">
        <f>+bma_se!F204/data!$K204</f>
        <v>0</v>
      </c>
      <c r="G204">
        <f>+bma_se!G204/data!$K204</f>
        <v>0.76116632524665073</v>
      </c>
      <c r="H204">
        <f>+bma_se!H204/data!$K204</f>
        <v>0.76116632524665073</v>
      </c>
      <c r="I204">
        <f>+bma_se!I204/data!$K204</f>
        <v>0.76116632524665073</v>
      </c>
      <c r="J204">
        <f>+bma_se!J204/data!$K204</f>
        <v>0</v>
      </c>
      <c r="K204">
        <f>+bma_se!K204/data!$K204</f>
        <v>0.76116632524665073</v>
      </c>
      <c r="L204">
        <f>+bma_se!L204/data!$K204</f>
        <v>0</v>
      </c>
      <c r="M204">
        <f>+bma_se!M204/data!$K204</f>
        <v>0</v>
      </c>
      <c r="N204">
        <f>+bma_se!N204/data!$K204</f>
        <v>0.76116632524665073</v>
      </c>
      <c r="O204">
        <f>+bma_se!O204/data!$K204</f>
        <v>0</v>
      </c>
      <c r="P204">
        <f>+bma_se!P204/data!$K204</f>
        <v>0.76116632524665073</v>
      </c>
      <c r="Q204">
        <f>+bma_se!Q204/data!$K204</f>
        <v>5.7897264023602206</v>
      </c>
      <c r="R204">
        <f>+bma_se!R204/data!$K204</f>
        <v>3.1164775379419973</v>
      </c>
      <c r="S204">
        <f>+bma_se!S204/data!$K204</f>
        <v>0</v>
      </c>
    </row>
    <row r="205" spans="1:19" x14ac:dyDescent="0.25">
      <c r="A205">
        <f>+bma_se!A205/data!$K205</f>
        <v>2.0973010142685236E-3</v>
      </c>
      <c r="B205">
        <f>+bma_se!B205/data!$K205</f>
        <v>0.76113344859012788</v>
      </c>
      <c r="C205">
        <f>+bma_se!C205/data!$K205</f>
        <v>0</v>
      </c>
      <c r="D205">
        <f>+bma_se!D205/data!$K205</f>
        <v>0</v>
      </c>
      <c r="E205">
        <f>+bma_se!E205/data!$K205</f>
        <v>0</v>
      </c>
      <c r="F205">
        <f>+bma_se!F205/data!$K205</f>
        <v>0</v>
      </c>
      <c r="G205">
        <f>+bma_se!G205/data!$K205</f>
        <v>0.76113344859012788</v>
      </c>
      <c r="H205">
        <f>+bma_se!H205/data!$K205</f>
        <v>0.76113344859012788</v>
      </c>
      <c r="I205">
        <f>+bma_se!I205/data!$K205</f>
        <v>0.76113344859012788</v>
      </c>
      <c r="J205">
        <f>+bma_se!J205/data!$K205</f>
        <v>0</v>
      </c>
      <c r="K205">
        <f>+bma_se!K205/data!$K205</f>
        <v>0.76113344859012788</v>
      </c>
      <c r="L205">
        <f>+bma_se!L205/data!$K205</f>
        <v>0</v>
      </c>
      <c r="M205">
        <f>+bma_se!M205/data!$K205</f>
        <v>0</v>
      </c>
      <c r="N205">
        <f>+bma_se!N205/data!$K205</f>
        <v>0</v>
      </c>
      <c r="O205">
        <f>+bma_se!O205/data!$K205</f>
        <v>0.76113344859012788</v>
      </c>
      <c r="P205">
        <f>+bma_se!P205/data!$K205</f>
        <v>0.76113344859012788</v>
      </c>
      <c r="Q205">
        <f>+bma_se!Q205/data!$K205</f>
        <v>5.7894763297545655</v>
      </c>
      <c r="R205">
        <f>+bma_se!R205/data!$K205</f>
        <v>3.1163429295677467</v>
      </c>
      <c r="S205">
        <f>+bma_se!S205/data!$K205</f>
        <v>0</v>
      </c>
    </row>
    <row r="206" spans="1:19" x14ac:dyDescent="0.25">
      <c r="A206">
        <f>+bma_se!A206/data!$K206</f>
        <v>-1.518095238095238E-2</v>
      </c>
      <c r="B206">
        <f>+bma_se!B206/data!$K206</f>
        <v>0.76780695065191207</v>
      </c>
      <c r="C206">
        <f>+bma_se!C206/data!$K206</f>
        <v>0</v>
      </c>
      <c r="D206">
        <f>+bma_se!D206/data!$K206</f>
        <v>0</v>
      </c>
      <c r="E206">
        <f>+bma_se!E206/data!$K206</f>
        <v>0</v>
      </c>
      <c r="F206">
        <f>+bma_se!F206/data!$K206</f>
        <v>0</v>
      </c>
      <c r="G206">
        <f>+bma_se!G206/data!$K206</f>
        <v>0.76780695065191207</v>
      </c>
      <c r="H206">
        <f>+bma_se!H206/data!$K206</f>
        <v>0.76780695065191207</v>
      </c>
      <c r="I206">
        <f>+bma_se!I206/data!$K206</f>
        <v>0.76780695065191207</v>
      </c>
      <c r="J206">
        <f>+bma_se!J206/data!$K206</f>
        <v>0</v>
      </c>
      <c r="K206">
        <f>+bma_se!K206/data!$K206</f>
        <v>0.76780695065191207</v>
      </c>
      <c r="L206">
        <f>+bma_se!L206/data!$K206</f>
        <v>0</v>
      </c>
      <c r="M206">
        <f>+bma_se!M206/data!$K206</f>
        <v>0</v>
      </c>
      <c r="N206">
        <f>+bma_se!N206/data!$K206</f>
        <v>0</v>
      </c>
      <c r="O206">
        <f>+bma_se!O206/data!$K206</f>
        <v>0</v>
      </c>
      <c r="P206">
        <f>+bma_se!P206/data!$K206</f>
        <v>0.76780695065191207</v>
      </c>
      <c r="Q206">
        <f>+bma_se!Q206/data!$K206</f>
        <v>5.840237575755296</v>
      </c>
      <c r="R206">
        <f>+bma_se!R206/data!$K206</f>
        <v>3.1436665493669027</v>
      </c>
      <c r="S206">
        <f>+bma_se!S206/data!$K206</f>
        <v>0</v>
      </c>
    </row>
    <row r="207" spans="1:19" x14ac:dyDescent="0.25">
      <c r="A207">
        <f>+bma_se!A207/data!$K207</f>
        <v>1.1107811107811108E-2</v>
      </c>
      <c r="B207">
        <f>+bma_se!B207/data!$K207</f>
        <v>0.76773721781726967</v>
      </c>
      <c r="C207">
        <f>+bma_se!C207/data!$K207</f>
        <v>0</v>
      </c>
      <c r="D207">
        <f>+bma_se!D207/data!$K207</f>
        <v>0</v>
      </c>
      <c r="E207">
        <f>+bma_se!E207/data!$K207</f>
        <v>0</v>
      </c>
      <c r="F207">
        <f>+bma_se!F207/data!$K207</f>
        <v>0</v>
      </c>
      <c r="G207">
        <f>+bma_se!G207/data!$K207</f>
        <v>0.76773721781726967</v>
      </c>
      <c r="H207">
        <f>+bma_se!H207/data!$K207</f>
        <v>0.76773721781726967</v>
      </c>
      <c r="I207">
        <f>+bma_se!I207/data!$K207</f>
        <v>0.76773721781726967</v>
      </c>
      <c r="J207">
        <f>+bma_se!J207/data!$K207</f>
        <v>0</v>
      </c>
      <c r="K207">
        <f>+bma_se!K207/data!$K207</f>
        <v>0.76773721781726967</v>
      </c>
      <c r="L207">
        <f>+bma_se!L207/data!$K207</f>
        <v>0</v>
      </c>
      <c r="M207">
        <f>+bma_se!M207/data!$K207</f>
        <v>0</v>
      </c>
      <c r="N207">
        <f>+bma_se!N207/data!$K207</f>
        <v>0.76773721781726967</v>
      </c>
      <c r="O207">
        <f>+bma_se!O207/data!$K207</f>
        <v>0</v>
      </c>
      <c r="P207">
        <f>+bma_se!P207/data!$K207</f>
        <v>0.76773721781726967</v>
      </c>
      <c r="Q207">
        <f>+bma_se!Q207/data!$K207</f>
        <v>5.8397071607586666</v>
      </c>
      <c r="R207">
        <f>+bma_se!R207/data!$K207</f>
        <v>3.1433810390840486</v>
      </c>
      <c r="S207">
        <f>+bma_se!S207/data!$K207</f>
        <v>0</v>
      </c>
    </row>
    <row r="208" spans="1:19" x14ac:dyDescent="0.25">
      <c r="A208">
        <f>+bma_se!A208/data!$K208</f>
        <v>-2.4798839203271339E-3</v>
      </c>
      <c r="B208">
        <f>+bma_se!B208/data!$K208</f>
        <v>0.76766086390961297</v>
      </c>
      <c r="C208">
        <f>+bma_se!C208/data!$K208</f>
        <v>0</v>
      </c>
      <c r="D208">
        <f>+bma_se!D208/data!$K208</f>
        <v>0</v>
      </c>
      <c r="E208">
        <f>+bma_se!E208/data!$K208</f>
        <v>0</v>
      </c>
      <c r="F208">
        <f>+bma_se!F208/data!$K208</f>
        <v>0</v>
      </c>
      <c r="G208">
        <f>+bma_se!G208/data!$K208</f>
        <v>0.76766086390961297</v>
      </c>
      <c r="H208">
        <f>+bma_se!H208/data!$K208</f>
        <v>0.76766086390961297</v>
      </c>
      <c r="I208">
        <f>+bma_se!I208/data!$K208</f>
        <v>0.76766086390961297</v>
      </c>
      <c r="J208">
        <f>+bma_se!J208/data!$K208</f>
        <v>0</v>
      </c>
      <c r="K208">
        <f>+bma_se!K208/data!$K208</f>
        <v>0.76766086390961297</v>
      </c>
      <c r="L208">
        <f>+bma_se!L208/data!$K208</f>
        <v>0</v>
      </c>
      <c r="M208">
        <f>+bma_se!M208/data!$K208</f>
        <v>0</v>
      </c>
      <c r="N208">
        <f>+bma_se!N208/data!$K208</f>
        <v>0</v>
      </c>
      <c r="O208">
        <f>+bma_se!O208/data!$K208</f>
        <v>0.76766086390961297</v>
      </c>
      <c r="P208">
        <f>+bma_se!P208/data!$K208</f>
        <v>0.76766086390961297</v>
      </c>
      <c r="Q208">
        <f>+bma_se!Q208/data!$K208</f>
        <v>5.8391263833117133</v>
      </c>
      <c r="R208">
        <f>+bma_se!R208/data!$K208</f>
        <v>3.1430684198440044</v>
      </c>
      <c r="S208">
        <f>+bma_se!S208/data!$K208</f>
        <v>0</v>
      </c>
    </row>
    <row r="209" spans="1:19" x14ac:dyDescent="0.25">
      <c r="A209">
        <f>+bma_se!A209/data!$K209</f>
        <v>-2.9388236284788008E-3</v>
      </c>
      <c r="B209">
        <f>+bma_se!B209/data!$K209</f>
        <v>0.1814767388740125</v>
      </c>
      <c r="C209">
        <f>+bma_se!C209/data!$K209</f>
        <v>0.1814767388740125</v>
      </c>
      <c r="D209">
        <f>+bma_se!D209/data!$K209</f>
        <v>0</v>
      </c>
      <c r="E209">
        <f>+bma_se!E209/data!$K209</f>
        <v>0</v>
      </c>
      <c r="F209">
        <f>+bma_se!F209/data!$K209</f>
        <v>0</v>
      </c>
      <c r="G209">
        <f>+bma_se!G209/data!$K209</f>
        <v>0.1814767388740125</v>
      </c>
      <c r="H209">
        <f>+bma_se!H209/data!$K209</f>
        <v>0.1814767388740125</v>
      </c>
      <c r="I209">
        <f>+bma_se!I209/data!$K209</f>
        <v>0.1814767388740125</v>
      </c>
      <c r="J209">
        <f>+bma_se!J209/data!$K209</f>
        <v>0</v>
      </c>
      <c r="K209">
        <f>+bma_se!K209/data!$K209</f>
        <v>0.1814767388740125</v>
      </c>
      <c r="L209">
        <f>+bma_se!L209/data!$K209</f>
        <v>0</v>
      </c>
      <c r="M209">
        <f>+bma_se!M209/data!$K209</f>
        <v>0</v>
      </c>
      <c r="N209">
        <f>+bma_se!N209/data!$K209</f>
        <v>0</v>
      </c>
      <c r="O209">
        <f>+bma_se!O209/data!$K209</f>
        <v>0</v>
      </c>
      <c r="P209">
        <f>+bma_se!P209/data!$K209</f>
        <v>0.1814767388740125</v>
      </c>
      <c r="Q209">
        <f>+bma_se!Q209/data!$K209</f>
        <v>1.3803824888504219</v>
      </c>
      <c r="R209">
        <f>+bma_se!R209/data!$K209</f>
        <v>0.7430283784251186</v>
      </c>
      <c r="S209">
        <f>+bma_se!S209/data!$K209</f>
        <v>0</v>
      </c>
    </row>
    <row r="210" spans="1:19" x14ac:dyDescent="0.25">
      <c r="A210">
        <f>+bma_se!A210/data!$K210</f>
        <v>1.2712037604741466E-2</v>
      </c>
      <c r="B210">
        <f>+bma_se!B210/data!$K210</f>
        <v>0.18189767994147582</v>
      </c>
      <c r="C210">
        <f>+bma_se!C210/data!$K210</f>
        <v>0.18189767994147582</v>
      </c>
      <c r="D210">
        <f>+bma_se!D210/data!$K210</f>
        <v>0</v>
      </c>
      <c r="E210">
        <f>+bma_se!E210/data!$K210</f>
        <v>0</v>
      </c>
      <c r="F210">
        <f>+bma_se!F210/data!$K210</f>
        <v>0</v>
      </c>
      <c r="G210">
        <f>+bma_se!G210/data!$K210</f>
        <v>0.18189767994147582</v>
      </c>
      <c r="H210">
        <f>+bma_se!H210/data!$K210</f>
        <v>0.18189767994147582</v>
      </c>
      <c r="I210">
        <f>+bma_se!I210/data!$K210</f>
        <v>0.18189767994147582</v>
      </c>
      <c r="J210">
        <f>+bma_se!J210/data!$K210</f>
        <v>0</v>
      </c>
      <c r="K210">
        <f>+bma_se!K210/data!$K210</f>
        <v>0.18189767994147582</v>
      </c>
      <c r="L210">
        <f>+bma_se!L210/data!$K210</f>
        <v>0</v>
      </c>
      <c r="M210">
        <f>+bma_se!M210/data!$K210</f>
        <v>0</v>
      </c>
      <c r="N210">
        <f>+bma_se!N210/data!$K210</f>
        <v>0.18189767994147582</v>
      </c>
      <c r="O210">
        <f>+bma_se!O210/data!$K210</f>
        <v>0</v>
      </c>
      <c r="P210">
        <f>+bma_se!P210/data!$K210</f>
        <v>0.18189767994147582</v>
      </c>
      <c r="Q210">
        <f>+bma_se!Q210/data!$K210</f>
        <v>1.3835843299346824</v>
      </c>
      <c r="R210">
        <f>+bma_se!R210/data!$K210</f>
        <v>0.74475185637998176</v>
      </c>
      <c r="S210">
        <f>+bma_se!S210/data!$K210</f>
        <v>0</v>
      </c>
    </row>
    <row r="211" spans="1:19" x14ac:dyDescent="0.25">
      <c r="A211">
        <f>+bma_se!A211/data!$K211</f>
        <v>7.0721357850070717E-3</v>
      </c>
      <c r="B211">
        <f>+bma_se!B211/data!$K211</f>
        <v>0.18159070783657619</v>
      </c>
      <c r="C211">
        <f>+bma_se!C211/data!$K211</f>
        <v>0.18159070783657619</v>
      </c>
      <c r="D211">
        <f>+bma_se!D211/data!$K211</f>
        <v>0</v>
      </c>
      <c r="E211">
        <f>+bma_se!E211/data!$K211</f>
        <v>0</v>
      </c>
      <c r="F211">
        <f>+bma_se!F211/data!$K211</f>
        <v>0</v>
      </c>
      <c r="G211">
        <f>+bma_se!G211/data!$K211</f>
        <v>0.18159070783657619</v>
      </c>
      <c r="H211">
        <f>+bma_se!H211/data!$K211</f>
        <v>0.18159070783657619</v>
      </c>
      <c r="I211">
        <f>+bma_se!I211/data!$K211</f>
        <v>0.18159070783657619</v>
      </c>
      <c r="J211">
        <f>+bma_se!J211/data!$K211</f>
        <v>0</v>
      </c>
      <c r="K211">
        <f>+bma_se!K211/data!$K211</f>
        <v>0.18159070783657619</v>
      </c>
      <c r="L211">
        <f>+bma_se!L211/data!$K211</f>
        <v>0</v>
      </c>
      <c r="M211">
        <f>+bma_se!M211/data!$K211</f>
        <v>0</v>
      </c>
      <c r="N211">
        <f>+bma_se!N211/data!$K211</f>
        <v>0</v>
      </c>
      <c r="O211">
        <f>+bma_se!O211/data!$K211</f>
        <v>0.18159070783657619</v>
      </c>
      <c r="P211">
        <f>+bma_se!P211/data!$K211</f>
        <v>0.18159070783657619</v>
      </c>
      <c r="Q211">
        <f>+bma_se!Q211/data!$K211</f>
        <v>1.3812493809996391</v>
      </c>
      <c r="R211">
        <f>+bma_se!R211/data!$K211</f>
        <v>0.74349500667714652</v>
      </c>
      <c r="S211">
        <f>+bma_se!S211/data!$K211</f>
        <v>0</v>
      </c>
    </row>
    <row r="212" spans="1:19" x14ac:dyDescent="0.25">
      <c r="A212">
        <f>+bma_se!A212/data!$K212</f>
        <v>-2.3655913978494623E-2</v>
      </c>
      <c r="B212">
        <f>+bma_se!B212/data!$K212</f>
        <v>0.76149808283233011</v>
      </c>
      <c r="C212">
        <f>+bma_se!C212/data!$K212</f>
        <v>0</v>
      </c>
      <c r="D212">
        <f>+bma_se!D212/data!$K212</f>
        <v>0</v>
      </c>
      <c r="E212">
        <f>+bma_se!E212/data!$K212</f>
        <v>0</v>
      </c>
      <c r="F212">
        <f>+bma_se!F212/data!$K212</f>
        <v>0</v>
      </c>
      <c r="G212">
        <f>+bma_se!G212/data!$K212</f>
        <v>0.76149808283233011</v>
      </c>
      <c r="H212">
        <f>+bma_se!H212/data!$K212</f>
        <v>0.76149808283233011</v>
      </c>
      <c r="I212">
        <f>+bma_se!I212/data!$K212</f>
        <v>0.76149808283233011</v>
      </c>
      <c r="J212">
        <f>+bma_se!J212/data!$K212</f>
        <v>0</v>
      </c>
      <c r="K212">
        <f>+bma_se!K212/data!$K212</f>
        <v>0.76149808283233011</v>
      </c>
      <c r="L212">
        <f>+bma_se!L212/data!$K212</f>
        <v>0</v>
      </c>
      <c r="M212">
        <f>+bma_se!M212/data!$K212</f>
        <v>0</v>
      </c>
      <c r="N212">
        <f>+bma_se!N212/data!$K212</f>
        <v>0</v>
      </c>
      <c r="O212">
        <f>+bma_se!O212/data!$K212</f>
        <v>0</v>
      </c>
      <c r="P212">
        <f>+bma_se!P212/data!$K212</f>
        <v>0.76149808283233011</v>
      </c>
      <c r="Q212">
        <f>+bma_se!Q212/data!$K212</f>
        <v>5.7922498792788417</v>
      </c>
      <c r="R212">
        <f>+bma_se!R212/data!$K212</f>
        <v>3.1178358679541365</v>
      </c>
      <c r="S212">
        <f>+bma_se!S212/data!$K212</f>
        <v>0</v>
      </c>
    </row>
    <row r="213" spans="1:19" x14ac:dyDescent="0.25">
      <c r="A213">
        <f>+bma_se!A213/data!$K213</f>
        <v>7.4200426439232411E-3</v>
      </c>
      <c r="B213">
        <f>+bma_se!B213/data!$K213</f>
        <v>0.7611667261014462</v>
      </c>
      <c r="C213">
        <f>+bma_se!C213/data!$K213</f>
        <v>0</v>
      </c>
      <c r="D213">
        <f>+bma_se!D213/data!$K213</f>
        <v>0</v>
      </c>
      <c r="E213">
        <f>+bma_se!E213/data!$K213</f>
        <v>0</v>
      </c>
      <c r="F213">
        <f>+bma_se!F213/data!$K213</f>
        <v>0</v>
      </c>
      <c r="G213">
        <f>+bma_se!G213/data!$K213</f>
        <v>0.7611667261014462</v>
      </c>
      <c r="H213">
        <f>+bma_se!H213/data!$K213</f>
        <v>0.7611667261014462</v>
      </c>
      <c r="I213">
        <f>+bma_se!I213/data!$K213</f>
        <v>0.7611667261014462</v>
      </c>
      <c r="J213">
        <f>+bma_se!J213/data!$K213</f>
        <v>0</v>
      </c>
      <c r="K213">
        <f>+bma_se!K213/data!$K213</f>
        <v>0.7611667261014462</v>
      </c>
      <c r="L213">
        <f>+bma_se!L213/data!$K213</f>
        <v>0</v>
      </c>
      <c r="M213">
        <f>+bma_se!M213/data!$K213</f>
        <v>0</v>
      </c>
      <c r="N213">
        <f>+bma_se!N213/data!$K213</f>
        <v>0.7611667261014462</v>
      </c>
      <c r="O213">
        <f>+bma_se!O213/data!$K213</f>
        <v>0</v>
      </c>
      <c r="P213">
        <f>+bma_se!P213/data!$K213</f>
        <v>0.7611667261014462</v>
      </c>
      <c r="Q213">
        <f>+bma_se!Q213/data!$K213</f>
        <v>5.789729451417327</v>
      </c>
      <c r="R213">
        <f>+bma_se!R213/data!$K213</f>
        <v>3.1164791791798256</v>
      </c>
      <c r="S213">
        <f>+bma_se!S213/data!$K213</f>
        <v>0</v>
      </c>
    </row>
    <row r="214" spans="1:19" x14ac:dyDescent="0.25">
      <c r="A214">
        <f>+bma_se!A214/data!$K214</f>
        <v>2.8849496002780676E-3</v>
      </c>
      <c r="B214">
        <f>+bma_se!B214/data!$K214</f>
        <v>0.76113602649286849</v>
      </c>
      <c r="C214">
        <f>+bma_se!C214/data!$K214</f>
        <v>0</v>
      </c>
      <c r="D214">
        <f>+bma_se!D214/data!$K214</f>
        <v>0</v>
      </c>
      <c r="E214">
        <f>+bma_se!E214/data!$K214</f>
        <v>0</v>
      </c>
      <c r="F214">
        <f>+bma_se!F214/data!$K214</f>
        <v>0</v>
      </c>
      <c r="G214">
        <f>+bma_se!G214/data!$K214</f>
        <v>0.76113602649286849</v>
      </c>
      <c r="H214">
        <f>+bma_se!H214/data!$K214</f>
        <v>0.76113602649286849</v>
      </c>
      <c r="I214">
        <f>+bma_se!I214/data!$K214</f>
        <v>0.76113602649286849</v>
      </c>
      <c r="J214">
        <f>+bma_se!J214/data!$K214</f>
        <v>0</v>
      </c>
      <c r="K214">
        <f>+bma_se!K214/data!$K214</f>
        <v>0.76113602649286849</v>
      </c>
      <c r="L214">
        <f>+bma_se!L214/data!$K214</f>
        <v>0</v>
      </c>
      <c r="M214">
        <f>+bma_se!M214/data!$K214</f>
        <v>0</v>
      </c>
      <c r="N214">
        <f>+bma_se!N214/data!$K214</f>
        <v>0</v>
      </c>
      <c r="O214">
        <f>+bma_se!O214/data!$K214</f>
        <v>0.76113602649286849</v>
      </c>
      <c r="P214">
        <f>+bma_se!P214/data!$K214</f>
        <v>0.76113602649286849</v>
      </c>
      <c r="Q214">
        <f>+bma_se!Q214/data!$K214</f>
        <v>5.7894959382830358</v>
      </c>
      <c r="R214">
        <f>+bma_se!R214/data!$K214</f>
        <v>3.1163534843909431</v>
      </c>
      <c r="S214">
        <f>+bma_se!S214/data!$K214</f>
        <v>0</v>
      </c>
    </row>
    <row r="215" spans="1:19" x14ac:dyDescent="0.25">
      <c r="A215">
        <f>+bma_se!A215/data!$K215</f>
        <v>-1.5899090642417131E-2</v>
      </c>
      <c r="B215">
        <f>+bma_se!B215/data!$K215</f>
        <v>0.76782148526688854</v>
      </c>
      <c r="C215">
        <f>+bma_se!C215/data!$K215</f>
        <v>0</v>
      </c>
      <c r="D215">
        <f>+bma_se!D215/data!$K215</f>
        <v>0</v>
      </c>
      <c r="E215">
        <f>+bma_se!E215/data!$K215</f>
        <v>0</v>
      </c>
      <c r="F215">
        <f>+bma_se!F215/data!$K215</f>
        <v>0</v>
      </c>
      <c r="G215">
        <f>+bma_se!G215/data!$K215</f>
        <v>0.76782148526688854</v>
      </c>
      <c r="H215">
        <f>+bma_se!H215/data!$K215</f>
        <v>0.76782148526688854</v>
      </c>
      <c r="I215">
        <f>+bma_se!I215/data!$K215</f>
        <v>0.76782148526688854</v>
      </c>
      <c r="J215">
        <f>+bma_se!J215/data!$K215</f>
        <v>0</v>
      </c>
      <c r="K215">
        <f>+bma_se!K215/data!$K215</f>
        <v>0.76782148526688854</v>
      </c>
      <c r="L215">
        <f>+bma_se!L215/data!$K215</f>
        <v>0</v>
      </c>
      <c r="M215">
        <f>+bma_se!M215/data!$K215</f>
        <v>0</v>
      </c>
      <c r="N215">
        <f>+bma_se!N215/data!$K215</f>
        <v>0</v>
      </c>
      <c r="O215">
        <f>+bma_se!O215/data!$K215</f>
        <v>0</v>
      </c>
      <c r="P215">
        <f>+bma_se!P215/data!$K215</f>
        <v>0.76782148526688854</v>
      </c>
      <c r="Q215">
        <f>+bma_se!Q215/data!$K215</f>
        <v>5.8403481316762376</v>
      </c>
      <c r="R215">
        <f>+bma_se!R215/data!$K215</f>
        <v>3.1437260590950582</v>
      </c>
      <c r="S215">
        <f>+bma_se!S215/data!$K215</f>
        <v>0</v>
      </c>
    </row>
    <row r="216" spans="1:19" x14ac:dyDescent="0.25">
      <c r="A216">
        <f>+bma_se!A216/data!$K216</f>
        <v>1.1091269841269841E-2</v>
      </c>
      <c r="B216">
        <f>+bma_se!B216/data!$K216</f>
        <v>0.76773697867230994</v>
      </c>
      <c r="C216">
        <f>+bma_se!C216/data!$K216</f>
        <v>0</v>
      </c>
      <c r="D216">
        <f>+bma_se!D216/data!$K216</f>
        <v>0</v>
      </c>
      <c r="E216">
        <f>+bma_se!E216/data!$K216</f>
        <v>0</v>
      </c>
      <c r="F216">
        <f>+bma_se!F216/data!$K216</f>
        <v>0</v>
      </c>
      <c r="G216">
        <f>+bma_se!G216/data!$K216</f>
        <v>0.76773697867230994</v>
      </c>
      <c r="H216">
        <f>+bma_se!H216/data!$K216</f>
        <v>0.76773697867230994</v>
      </c>
      <c r="I216">
        <f>+bma_se!I216/data!$K216</f>
        <v>0.76773697867230994</v>
      </c>
      <c r="J216">
        <f>+bma_se!J216/data!$K216</f>
        <v>0</v>
      </c>
      <c r="K216">
        <f>+bma_se!K216/data!$K216</f>
        <v>0.76773697867230994</v>
      </c>
      <c r="L216">
        <f>+bma_se!L216/data!$K216</f>
        <v>0</v>
      </c>
      <c r="M216">
        <f>+bma_se!M216/data!$K216</f>
        <v>0</v>
      </c>
      <c r="N216">
        <f>+bma_se!N216/data!$K216</f>
        <v>0.76773697867230994</v>
      </c>
      <c r="O216">
        <f>+bma_se!O216/data!$K216</f>
        <v>0</v>
      </c>
      <c r="P216">
        <f>+bma_se!P216/data!$K216</f>
        <v>0.76773697867230994</v>
      </c>
      <c r="Q216">
        <f>+bma_se!Q216/data!$K216</f>
        <v>5.8397053417293137</v>
      </c>
      <c r="R216">
        <f>+bma_se!R216/data!$K216</f>
        <v>3.1433800599420785</v>
      </c>
      <c r="S216">
        <f>+bma_se!S216/data!$K216</f>
        <v>0</v>
      </c>
    </row>
    <row r="217" spans="1:19" x14ac:dyDescent="0.25">
      <c r="A217">
        <f>+bma_se!A217/data!$K217</f>
        <v>-2.0984665052461663E-3</v>
      </c>
      <c r="B217">
        <f>+bma_se!B217/data!$K217</f>
        <v>0.76765972651681325</v>
      </c>
      <c r="C217">
        <f>+bma_se!C217/data!$K217</f>
        <v>0</v>
      </c>
      <c r="D217">
        <f>+bma_se!D217/data!$K217</f>
        <v>0</v>
      </c>
      <c r="E217">
        <f>+bma_se!E217/data!$K217</f>
        <v>0</v>
      </c>
      <c r="F217">
        <f>+bma_se!F217/data!$K217</f>
        <v>0</v>
      </c>
      <c r="G217">
        <f>+bma_se!G217/data!$K217</f>
        <v>0.76765972651681325</v>
      </c>
      <c r="H217">
        <f>+bma_se!H217/data!$K217</f>
        <v>0.76765972651681325</v>
      </c>
      <c r="I217">
        <f>+bma_se!I217/data!$K217</f>
        <v>0.76765972651681325</v>
      </c>
      <c r="J217">
        <f>+bma_se!J217/data!$K217</f>
        <v>0</v>
      </c>
      <c r="K217">
        <f>+bma_se!K217/data!$K217</f>
        <v>0.76765972651681325</v>
      </c>
      <c r="L217">
        <f>+bma_se!L217/data!$K217</f>
        <v>0</v>
      </c>
      <c r="M217">
        <f>+bma_se!M217/data!$K217</f>
        <v>0</v>
      </c>
      <c r="N217">
        <f>+bma_se!N217/data!$K217</f>
        <v>0</v>
      </c>
      <c r="O217">
        <f>+bma_se!O217/data!$K217</f>
        <v>0.76765972651681325</v>
      </c>
      <c r="P217">
        <f>+bma_se!P217/data!$K217</f>
        <v>0.76765972651681325</v>
      </c>
      <c r="Q217">
        <f>+bma_se!Q217/data!$K217</f>
        <v>5.8391177318607701</v>
      </c>
      <c r="R217">
        <f>+bma_se!R217/data!$K217</f>
        <v>3.1430637629654821</v>
      </c>
      <c r="S217">
        <f>+bma_se!S217/data!$K217</f>
        <v>0</v>
      </c>
    </row>
    <row r="218" spans="1:19" x14ac:dyDescent="0.25">
      <c r="A218">
        <f>+bma_se!A218/data!$K218</f>
        <v>-9.3213625561130182E-3</v>
      </c>
      <c r="B218">
        <f>+bma_se!B218/data!$K218</f>
        <v>0.58204097369183405</v>
      </c>
      <c r="C218">
        <f>+bma_se!C218/data!$K218</f>
        <v>0.58204097369183405</v>
      </c>
      <c r="D218">
        <f>+bma_se!D218/data!$K218</f>
        <v>0</v>
      </c>
      <c r="E218">
        <f>+bma_se!E218/data!$K218</f>
        <v>0</v>
      </c>
      <c r="F218">
        <f>+bma_se!F218/data!$K218</f>
        <v>0</v>
      </c>
      <c r="G218">
        <f>+bma_se!G218/data!$K218</f>
        <v>0.58204097369183405</v>
      </c>
      <c r="H218">
        <f>+bma_se!H218/data!$K218</f>
        <v>0.58204097369183405</v>
      </c>
      <c r="I218">
        <f>+bma_se!I218/data!$K218</f>
        <v>0.58204097369183405</v>
      </c>
      <c r="J218">
        <f>+bma_se!J218/data!$K218</f>
        <v>0</v>
      </c>
      <c r="K218">
        <f>+bma_se!K218/data!$K218</f>
        <v>0.58204097369183405</v>
      </c>
      <c r="L218">
        <f>+bma_se!L218/data!$K218</f>
        <v>0</v>
      </c>
      <c r="M218">
        <f>+bma_se!M218/data!$K218</f>
        <v>0</v>
      </c>
      <c r="N218">
        <f>+bma_se!N218/data!$K218</f>
        <v>0</v>
      </c>
      <c r="O218">
        <f>+bma_se!O218/data!$K218</f>
        <v>0</v>
      </c>
      <c r="P218">
        <f>+bma_se!P218/data!$K218</f>
        <v>0.58204097369183405</v>
      </c>
      <c r="Q218">
        <f>+bma_se!Q218/data!$K218</f>
        <v>4.4272294777978818</v>
      </c>
      <c r="R218">
        <f>+bma_se!R218/data!$K218</f>
        <v>2.383076550430292</v>
      </c>
      <c r="S218">
        <f>+bma_se!S218/data!$K218</f>
        <v>0</v>
      </c>
    </row>
    <row r="219" spans="1:19" x14ac:dyDescent="0.25">
      <c r="A219">
        <f>+bma_se!A219/data!$K219</f>
        <v>1.2641286163137063E-2</v>
      </c>
      <c r="B219">
        <f>+bma_se!B219/data!$K219</f>
        <v>0.58210360707703412</v>
      </c>
      <c r="C219">
        <f>+bma_se!C219/data!$K219</f>
        <v>0.58210360707703412</v>
      </c>
      <c r="D219">
        <f>+bma_se!D219/data!$K219</f>
        <v>0</v>
      </c>
      <c r="E219">
        <f>+bma_se!E219/data!$K219</f>
        <v>0</v>
      </c>
      <c r="F219">
        <f>+bma_se!F219/data!$K219</f>
        <v>0</v>
      </c>
      <c r="G219">
        <f>+bma_se!G219/data!$K219</f>
        <v>0.58210360707703412</v>
      </c>
      <c r="H219">
        <f>+bma_se!H219/data!$K219</f>
        <v>0.58210360707703412</v>
      </c>
      <c r="I219">
        <f>+bma_se!I219/data!$K219</f>
        <v>0.58210360707703412</v>
      </c>
      <c r="J219">
        <f>+bma_se!J219/data!$K219</f>
        <v>0</v>
      </c>
      <c r="K219">
        <f>+bma_se!K219/data!$K219</f>
        <v>0.58210360707703412</v>
      </c>
      <c r="L219">
        <f>+bma_se!L219/data!$K219</f>
        <v>0</v>
      </c>
      <c r="M219">
        <f>+bma_se!M219/data!$K219</f>
        <v>0</v>
      </c>
      <c r="N219">
        <f>+bma_se!N219/data!$K219</f>
        <v>0.58210360707703412</v>
      </c>
      <c r="O219">
        <f>+bma_se!O219/data!$K219</f>
        <v>0</v>
      </c>
      <c r="P219">
        <f>+bma_se!P219/data!$K219</f>
        <v>0.58210360707703412</v>
      </c>
      <c r="Q219">
        <f>+bma_se!Q219/data!$K219</f>
        <v>4.4277058916274674</v>
      </c>
      <c r="R219">
        <f>+bma_se!R219/data!$K219</f>
        <v>2.3833329931178189</v>
      </c>
      <c r="S219">
        <f>+bma_se!S219/data!$K219</f>
        <v>0</v>
      </c>
    </row>
    <row r="220" spans="1:19" x14ac:dyDescent="0.25">
      <c r="A220">
        <f>+bma_se!A220/data!$K220</f>
        <v>5.4203923199556388E-3</v>
      </c>
      <c r="B220">
        <f>+bma_se!B220/data!$K220</f>
        <v>0.58199157030762738</v>
      </c>
      <c r="C220">
        <f>+bma_se!C220/data!$K220</f>
        <v>0.58199157030762738</v>
      </c>
      <c r="D220">
        <f>+bma_se!D220/data!$K220</f>
        <v>0</v>
      </c>
      <c r="E220">
        <f>+bma_se!E220/data!$K220</f>
        <v>0</v>
      </c>
      <c r="F220">
        <f>+bma_se!F220/data!$K220</f>
        <v>0</v>
      </c>
      <c r="G220">
        <f>+bma_se!G220/data!$K220</f>
        <v>0.58199157030762738</v>
      </c>
      <c r="H220">
        <f>+bma_se!H220/data!$K220</f>
        <v>0.58199157030762738</v>
      </c>
      <c r="I220">
        <f>+bma_se!I220/data!$K220</f>
        <v>0.58199157030762738</v>
      </c>
      <c r="J220">
        <f>+bma_se!J220/data!$K220</f>
        <v>0</v>
      </c>
      <c r="K220">
        <f>+bma_se!K220/data!$K220</f>
        <v>0.58199157030762738</v>
      </c>
      <c r="L220">
        <f>+bma_se!L220/data!$K220</f>
        <v>0</v>
      </c>
      <c r="M220">
        <f>+bma_se!M220/data!$K220</f>
        <v>0</v>
      </c>
      <c r="N220">
        <f>+bma_se!N220/data!$K220</f>
        <v>0</v>
      </c>
      <c r="O220">
        <f>+bma_se!O220/data!$K220</f>
        <v>0.58199157030762738</v>
      </c>
      <c r="P220">
        <f>+bma_se!P220/data!$K220</f>
        <v>0.58199157030762738</v>
      </c>
      <c r="Q220">
        <f>+bma_se!Q220/data!$K220</f>
        <v>4.4268536964890934</v>
      </c>
      <c r="R220">
        <f>+bma_se!R220/data!$K220</f>
        <v>2.3828742759311825</v>
      </c>
      <c r="S220">
        <f>+bma_se!S220/data!$K220</f>
        <v>0</v>
      </c>
    </row>
    <row r="221" spans="1:19" x14ac:dyDescent="0.25">
      <c r="A221">
        <f>+bma_se!A221/data!$K221</f>
        <v>-2.2239162473954362E-2</v>
      </c>
      <c r="B221">
        <f>+bma_se!B221/data!$K221</f>
        <v>0.25845393249634718</v>
      </c>
      <c r="C221">
        <f>+bma_se!C221/data!$K221</f>
        <v>0.25845393249634718</v>
      </c>
      <c r="D221">
        <f>+bma_se!D221/data!$K221</f>
        <v>0</v>
      </c>
      <c r="E221">
        <f>+bma_se!E221/data!$K221</f>
        <v>0</v>
      </c>
      <c r="F221">
        <f>+bma_se!F221/data!$K221</f>
        <v>0</v>
      </c>
      <c r="G221">
        <f>+bma_se!G221/data!$K221</f>
        <v>0.25845393249634718</v>
      </c>
      <c r="H221">
        <f>+bma_se!H221/data!$K221</f>
        <v>0.25845393249634718</v>
      </c>
      <c r="I221">
        <f>+bma_se!I221/data!$K221</f>
        <v>0.25845393249634718</v>
      </c>
      <c r="J221">
        <f>+bma_se!J221/data!$K221</f>
        <v>0</v>
      </c>
      <c r="K221">
        <f>+bma_se!K221/data!$K221</f>
        <v>0.25845393249634718</v>
      </c>
      <c r="L221">
        <f>+bma_se!L221/data!$K221</f>
        <v>0</v>
      </c>
      <c r="M221">
        <f>+bma_se!M221/data!$K221</f>
        <v>0</v>
      </c>
      <c r="N221">
        <f>+bma_se!N221/data!$K221</f>
        <v>0</v>
      </c>
      <c r="O221">
        <f>+bma_se!O221/data!$K221</f>
        <v>0</v>
      </c>
      <c r="P221">
        <f>+bma_se!P221/data!$K221</f>
        <v>0.25845393249634718</v>
      </c>
      <c r="Q221">
        <f>+bma_se!Q221/data!$K221</f>
        <v>1.9659008906930253</v>
      </c>
      <c r="R221">
        <f>+bma_se!R221/data!$K221</f>
        <v>1.0581995662467565</v>
      </c>
      <c r="S221">
        <f>+bma_se!S221/data!$K221</f>
        <v>0</v>
      </c>
    </row>
    <row r="222" spans="1:19" x14ac:dyDescent="0.25">
      <c r="A222">
        <f>+bma_se!A222/data!$K222</f>
        <v>4.2727487034417725E-3</v>
      </c>
      <c r="B222">
        <f>+bma_se!B222/data!$K222</f>
        <v>0.25753079671520107</v>
      </c>
      <c r="C222">
        <f>+bma_se!C222/data!$K222</f>
        <v>0.25753079671520107</v>
      </c>
      <c r="D222">
        <f>+bma_se!D222/data!$K222</f>
        <v>0</v>
      </c>
      <c r="E222">
        <f>+bma_se!E222/data!$K222</f>
        <v>0</v>
      </c>
      <c r="F222">
        <f>+bma_se!F222/data!$K222</f>
        <v>0</v>
      </c>
      <c r="G222">
        <f>+bma_se!G222/data!$K222</f>
        <v>0.25753079671520107</v>
      </c>
      <c r="H222">
        <f>+bma_se!H222/data!$K222</f>
        <v>0.25753079671520107</v>
      </c>
      <c r="I222">
        <f>+bma_se!I222/data!$K222</f>
        <v>0.25753079671520107</v>
      </c>
      <c r="J222">
        <f>+bma_se!J222/data!$K222</f>
        <v>0</v>
      </c>
      <c r="K222">
        <f>+bma_se!K222/data!$K222</f>
        <v>0.25753079671520107</v>
      </c>
      <c r="L222">
        <f>+bma_se!L222/data!$K222</f>
        <v>0</v>
      </c>
      <c r="M222">
        <f>+bma_se!M222/data!$K222</f>
        <v>0</v>
      </c>
      <c r="N222">
        <f>+bma_se!N222/data!$K222</f>
        <v>0.25753079671520107</v>
      </c>
      <c r="O222">
        <f>+bma_se!O222/data!$K222</f>
        <v>0</v>
      </c>
      <c r="P222">
        <f>+bma_se!P222/data!$K222</f>
        <v>0.25753079671520107</v>
      </c>
      <c r="Q222">
        <f>+bma_se!Q222/data!$K222</f>
        <v>1.9588791617649446</v>
      </c>
      <c r="R222">
        <f>+bma_se!R222/data!$K222</f>
        <v>1.0544199298768997</v>
      </c>
      <c r="S222">
        <f>+bma_se!S222/data!$K222</f>
        <v>0</v>
      </c>
    </row>
    <row r="223" spans="1:19" x14ac:dyDescent="0.25">
      <c r="A223">
        <f>+bma_se!A223/data!$K223</f>
        <v>-4.4083262047333897E-3</v>
      </c>
      <c r="B223">
        <f>+bma_se!B223/data!$K223</f>
        <v>0.25753308178797296</v>
      </c>
      <c r="C223">
        <f>+bma_se!C223/data!$K223</f>
        <v>0.25753308178797296</v>
      </c>
      <c r="D223">
        <f>+bma_se!D223/data!$K223</f>
        <v>0</v>
      </c>
      <c r="E223">
        <f>+bma_se!E223/data!$K223</f>
        <v>0</v>
      </c>
      <c r="F223">
        <f>+bma_se!F223/data!$K223</f>
        <v>0</v>
      </c>
      <c r="G223">
        <f>+bma_se!G223/data!$K223</f>
        <v>0.25753308178797296</v>
      </c>
      <c r="H223">
        <f>+bma_se!H223/data!$K223</f>
        <v>0.25753308178797296</v>
      </c>
      <c r="I223">
        <f>+bma_se!I223/data!$K223</f>
        <v>0.25753308178797296</v>
      </c>
      <c r="J223">
        <f>+bma_se!J223/data!$K223</f>
        <v>0</v>
      </c>
      <c r="K223">
        <f>+bma_se!K223/data!$K223</f>
        <v>0.25753308178797296</v>
      </c>
      <c r="L223">
        <f>+bma_se!L223/data!$K223</f>
        <v>0</v>
      </c>
      <c r="M223">
        <f>+bma_se!M223/data!$K223</f>
        <v>0</v>
      </c>
      <c r="N223">
        <f>+bma_se!N223/data!$K223</f>
        <v>0</v>
      </c>
      <c r="O223">
        <f>+bma_se!O223/data!$K223</f>
        <v>0.25753308178797296</v>
      </c>
      <c r="P223">
        <f>+bma_se!P223/data!$K223</f>
        <v>0.25753308178797296</v>
      </c>
      <c r="Q223">
        <f>+bma_se!Q223/data!$K223</f>
        <v>1.9588965429150562</v>
      </c>
      <c r="R223">
        <f>+bma_se!R223/data!$K223</f>
        <v>1.0544292857531781</v>
      </c>
      <c r="S223">
        <f>+bma_se!S223/data!$K223</f>
        <v>0</v>
      </c>
    </row>
    <row r="224" spans="1:19" x14ac:dyDescent="0.25">
      <c r="A224">
        <f>+bma_se!A224/data!$K224</f>
        <v>-2.3536815607300192E-2</v>
      </c>
      <c r="B224">
        <f>+bma_se!B224/data!$K224</f>
        <v>0.25874415841147269</v>
      </c>
      <c r="C224">
        <f>+bma_se!C224/data!$K224</f>
        <v>0.25874415841147269</v>
      </c>
      <c r="D224">
        <f>+bma_se!D224/data!$K224</f>
        <v>0</v>
      </c>
      <c r="E224">
        <f>+bma_se!E224/data!$K224</f>
        <v>0</v>
      </c>
      <c r="F224">
        <f>+bma_se!F224/data!$K224</f>
        <v>0</v>
      </c>
      <c r="G224">
        <f>+bma_se!G224/data!$K224</f>
        <v>0.25874415841147269</v>
      </c>
      <c r="H224">
        <f>+bma_se!H224/data!$K224</f>
        <v>0.25874415841147269</v>
      </c>
      <c r="I224">
        <f>+bma_se!I224/data!$K224</f>
        <v>0.25874415841147269</v>
      </c>
      <c r="J224">
        <f>+bma_se!J224/data!$K224</f>
        <v>0</v>
      </c>
      <c r="K224">
        <f>+bma_se!K224/data!$K224</f>
        <v>0.25874415841147269</v>
      </c>
      <c r="L224">
        <f>+bma_se!L224/data!$K224</f>
        <v>0</v>
      </c>
      <c r="M224">
        <f>+bma_se!M224/data!$K224</f>
        <v>0</v>
      </c>
      <c r="N224">
        <f>+bma_se!N224/data!$K224</f>
        <v>0</v>
      </c>
      <c r="O224">
        <f>+bma_se!O224/data!$K224</f>
        <v>0</v>
      </c>
      <c r="P224">
        <f>+bma_se!P224/data!$K224</f>
        <v>0.25874415841147269</v>
      </c>
      <c r="Q224">
        <f>+bma_se!Q224/data!$K224</f>
        <v>1.9681084616111251</v>
      </c>
      <c r="R224">
        <f>+bma_se!R224/data!$K224</f>
        <v>1.0593878512712211</v>
      </c>
      <c r="S224">
        <f>+bma_se!S224/data!$K224</f>
        <v>0</v>
      </c>
    </row>
    <row r="225" spans="1:19" x14ac:dyDescent="0.25">
      <c r="A225">
        <f>+bma_se!A225/data!$K225</f>
        <v>6.9578090303478897E-3</v>
      </c>
      <c r="B225">
        <f>+bma_se!B225/data!$K225</f>
        <v>0.25776533694356973</v>
      </c>
      <c r="C225">
        <f>+bma_se!C225/data!$K225</f>
        <v>0.25776533694356973</v>
      </c>
      <c r="D225">
        <f>+bma_se!D225/data!$K225</f>
        <v>0</v>
      </c>
      <c r="E225">
        <f>+bma_se!E225/data!$K225</f>
        <v>0</v>
      </c>
      <c r="F225">
        <f>+bma_se!F225/data!$K225</f>
        <v>0</v>
      </c>
      <c r="G225">
        <f>+bma_se!G225/data!$K225</f>
        <v>0.25776533694356973</v>
      </c>
      <c r="H225">
        <f>+bma_se!H225/data!$K225</f>
        <v>0.25776533694356973</v>
      </c>
      <c r="I225">
        <f>+bma_se!I225/data!$K225</f>
        <v>0.25776533694356973</v>
      </c>
      <c r="J225">
        <f>+bma_se!J225/data!$K225</f>
        <v>0</v>
      </c>
      <c r="K225">
        <f>+bma_se!K225/data!$K225</f>
        <v>0.25776533694356973</v>
      </c>
      <c r="L225">
        <f>+bma_se!L225/data!$K225</f>
        <v>0</v>
      </c>
      <c r="M225">
        <f>+bma_se!M225/data!$K225</f>
        <v>0</v>
      </c>
      <c r="N225">
        <f>+bma_se!N225/data!$K225</f>
        <v>0.25776533694356973</v>
      </c>
      <c r="O225">
        <f>+bma_se!O225/data!$K225</f>
        <v>0</v>
      </c>
      <c r="P225">
        <f>+bma_se!P225/data!$K225</f>
        <v>0.25776533694356973</v>
      </c>
      <c r="Q225">
        <f>+bma_se!Q225/data!$K225</f>
        <v>1.9606631657435254</v>
      </c>
      <c r="R225">
        <f>+bma_se!R225/data!$K225</f>
        <v>1.0553802184882199</v>
      </c>
      <c r="S225">
        <f>+bma_se!S225/data!$K225</f>
        <v>0</v>
      </c>
    </row>
    <row r="226" spans="1:19" x14ac:dyDescent="0.25">
      <c r="A226">
        <f>+bma_se!A226/data!$K226</f>
        <v>3.4020374318881781E-3</v>
      </c>
      <c r="B226">
        <f>+bma_se!B226/data!$K226</f>
        <v>0.25769387203000621</v>
      </c>
      <c r="C226">
        <f>+bma_se!C226/data!$K226</f>
        <v>0.25769387203000621</v>
      </c>
      <c r="D226">
        <f>+bma_se!D226/data!$K226</f>
        <v>0</v>
      </c>
      <c r="E226">
        <f>+bma_se!E226/data!$K226</f>
        <v>0</v>
      </c>
      <c r="F226">
        <f>+bma_se!F226/data!$K226</f>
        <v>0</v>
      </c>
      <c r="G226">
        <f>+bma_se!G226/data!$K226</f>
        <v>0.25769387203000621</v>
      </c>
      <c r="H226">
        <f>+bma_se!H226/data!$K226</f>
        <v>0.25769387203000621</v>
      </c>
      <c r="I226">
        <f>+bma_se!I226/data!$K226</f>
        <v>0.25769387203000621</v>
      </c>
      <c r="J226">
        <f>+bma_se!J226/data!$K226</f>
        <v>0</v>
      </c>
      <c r="K226">
        <f>+bma_se!K226/data!$K226</f>
        <v>0.25769387203000621</v>
      </c>
      <c r="L226">
        <f>+bma_se!L226/data!$K226</f>
        <v>0</v>
      </c>
      <c r="M226">
        <f>+bma_se!M226/data!$K226</f>
        <v>0</v>
      </c>
      <c r="N226">
        <f>+bma_se!N226/data!$K226</f>
        <v>0</v>
      </c>
      <c r="O226">
        <f>+bma_se!O226/data!$K226</f>
        <v>0.25769387203000621</v>
      </c>
      <c r="P226">
        <f>+bma_se!P226/data!$K226</f>
        <v>0.25769387203000621</v>
      </c>
      <c r="Q226">
        <f>+bma_se!Q226/data!$K226</f>
        <v>1.9601195758825749</v>
      </c>
      <c r="R226">
        <f>+bma_se!R226/data!$K226</f>
        <v>1.0550876164766956</v>
      </c>
      <c r="S226">
        <f>+bma_se!S226/data!$K226</f>
        <v>0</v>
      </c>
    </row>
    <row r="227" spans="1:19" x14ac:dyDescent="0.25">
      <c r="A227">
        <f>+bma_se!A227/data!$K227</f>
        <v>-4.7731850777536057E-3</v>
      </c>
      <c r="B227">
        <f>+bma_se!B227/data!$K227</f>
        <v>0.20320586744882088</v>
      </c>
      <c r="C227">
        <f>+bma_se!C227/data!$K227</f>
        <v>0.20320586744882088</v>
      </c>
      <c r="D227">
        <f>+bma_se!D227/data!$K227</f>
        <v>0</v>
      </c>
      <c r="E227">
        <f>+bma_se!E227/data!$K227</f>
        <v>0</v>
      </c>
      <c r="F227">
        <f>+bma_se!F227/data!$K227</f>
        <v>0</v>
      </c>
      <c r="G227">
        <f>+bma_se!G227/data!$K227</f>
        <v>0.20320586744882088</v>
      </c>
      <c r="H227">
        <f>+bma_se!H227/data!$K227</f>
        <v>0.20320586744882088</v>
      </c>
      <c r="I227">
        <f>+bma_se!I227/data!$K227</f>
        <v>0.20320586744882088</v>
      </c>
      <c r="J227">
        <f>+bma_se!J227/data!$K227</f>
        <v>0</v>
      </c>
      <c r="K227">
        <f>+bma_se!K227/data!$K227</f>
        <v>0.20320586744882088</v>
      </c>
      <c r="L227">
        <f>+bma_se!L227/data!$K227</f>
        <v>0</v>
      </c>
      <c r="M227">
        <f>+bma_se!M227/data!$K227</f>
        <v>0</v>
      </c>
      <c r="N227">
        <f>+bma_se!N227/data!$K227</f>
        <v>0</v>
      </c>
      <c r="O227">
        <f>+bma_se!O227/data!$K227</f>
        <v>0</v>
      </c>
      <c r="P227">
        <f>+bma_se!P227/data!$K227</f>
        <v>0.20320586744882088</v>
      </c>
      <c r="Q227">
        <f>+bma_se!Q227/data!$K227</f>
        <v>1.5456626716923016</v>
      </c>
      <c r="R227">
        <f>+bma_se!R227/data!$K227</f>
        <v>0.83199492735974245</v>
      </c>
      <c r="S227">
        <f>+bma_se!S227/data!$K227</f>
        <v>0</v>
      </c>
    </row>
    <row r="228" spans="1:19" x14ac:dyDescent="0.25">
      <c r="A228">
        <f>+bma_se!A228/data!$K228</f>
        <v>5.2787858792477732E-5</v>
      </c>
      <c r="B228">
        <f>+bma_se!B228/data!$K228</f>
        <v>0.20314980693173032</v>
      </c>
      <c r="C228">
        <f>+bma_se!C228/data!$K228</f>
        <v>0.20314980693173032</v>
      </c>
      <c r="D228">
        <f>+bma_se!D228/data!$K228</f>
        <v>0</v>
      </c>
      <c r="E228">
        <f>+bma_se!E228/data!$K228</f>
        <v>0</v>
      </c>
      <c r="F228">
        <f>+bma_se!F228/data!$K228</f>
        <v>0</v>
      </c>
      <c r="G228">
        <f>+bma_se!G228/data!$K228</f>
        <v>0.20314980693173032</v>
      </c>
      <c r="H228">
        <f>+bma_se!H228/data!$K228</f>
        <v>0.20314980693173032</v>
      </c>
      <c r="I228">
        <f>+bma_se!I228/data!$K228</f>
        <v>0.20314980693173032</v>
      </c>
      <c r="J228">
        <f>+bma_se!J228/data!$K228</f>
        <v>0</v>
      </c>
      <c r="K228">
        <f>+bma_se!K228/data!$K228</f>
        <v>0.20314980693173032</v>
      </c>
      <c r="L228">
        <f>+bma_se!L228/data!$K228</f>
        <v>0</v>
      </c>
      <c r="M228">
        <f>+bma_se!M228/data!$K228</f>
        <v>0</v>
      </c>
      <c r="N228">
        <f>+bma_se!N228/data!$K228</f>
        <v>0.20314980693173032</v>
      </c>
      <c r="O228">
        <f>+bma_se!O228/data!$K228</f>
        <v>0</v>
      </c>
      <c r="P228">
        <f>+bma_se!P228/data!$K228</f>
        <v>0.20314980693173032</v>
      </c>
      <c r="Q228">
        <f>+bma_se!Q228/data!$K228</f>
        <v>1.5452362536478303</v>
      </c>
      <c r="R228">
        <f>+bma_se!R228/data!$K228</f>
        <v>0.83176539626189538</v>
      </c>
      <c r="S228">
        <f>+bma_se!S228/data!$K228</f>
        <v>0</v>
      </c>
    </row>
    <row r="229" spans="1:19" x14ac:dyDescent="0.25">
      <c r="A229">
        <f>+bma_se!A229/data!$K229</f>
        <v>-1.9931896382663883E-3</v>
      </c>
      <c r="B229">
        <f>+bma_se!B229/data!$K229</f>
        <v>0.20315957785636238</v>
      </c>
      <c r="C229">
        <f>+bma_se!C229/data!$K229</f>
        <v>0.20315957785636238</v>
      </c>
      <c r="D229">
        <f>+bma_se!D229/data!$K229</f>
        <v>0</v>
      </c>
      <c r="E229">
        <f>+bma_se!E229/data!$K229</f>
        <v>0</v>
      </c>
      <c r="F229">
        <f>+bma_se!F229/data!$K229</f>
        <v>0</v>
      </c>
      <c r="G229">
        <f>+bma_se!G229/data!$K229</f>
        <v>0.20315957785636238</v>
      </c>
      <c r="H229">
        <f>+bma_se!H229/data!$K229</f>
        <v>0.20315957785636238</v>
      </c>
      <c r="I229">
        <f>+bma_se!I229/data!$K229</f>
        <v>0.20315957785636238</v>
      </c>
      <c r="J229">
        <f>+bma_se!J229/data!$K229</f>
        <v>0</v>
      </c>
      <c r="K229">
        <f>+bma_se!K229/data!$K229</f>
        <v>0.20315957785636238</v>
      </c>
      <c r="L229">
        <f>+bma_se!L229/data!$K229</f>
        <v>0</v>
      </c>
      <c r="M229">
        <f>+bma_se!M229/data!$K229</f>
        <v>0</v>
      </c>
      <c r="N229">
        <f>+bma_se!N229/data!$K229</f>
        <v>0</v>
      </c>
      <c r="O229">
        <f>+bma_se!O229/data!$K229</f>
        <v>0.20315957785636238</v>
      </c>
      <c r="P229">
        <f>+bma_se!P229/data!$K229</f>
        <v>0.20315957785636238</v>
      </c>
      <c r="Q229">
        <f>+bma_se!Q229/data!$K229</f>
        <v>1.5453105750917004</v>
      </c>
      <c r="R229">
        <f>+bma_se!R229/data!$K229</f>
        <v>0.83180540179830809</v>
      </c>
      <c r="S229">
        <f>+bma_se!S229/data!$K229</f>
        <v>0</v>
      </c>
    </row>
    <row r="230" spans="1:19" x14ac:dyDescent="0.25">
      <c r="A230">
        <f>+bma_se!A230/data!$K230</f>
        <v>-5.2407155958931844E-4</v>
      </c>
      <c r="B230">
        <f>+bma_se!B230/data!$K230</f>
        <v>0.20292711246404468</v>
      </c>
      <c r="C230">
        <f>+bma_se!C230/data!$K230</f>
        <v>0.20292711246404468</v>
      </c>
      <c r="D230">
        <f>+bma_se!D230/data!$K230</f>
        <v>0</v>
      </c>
      <c r="E230">
        <f>+bma_se!E230/data!$K230</f>
        <v>0</v>
      </c>
      <c r="F230">
        <f>+bma_se!F230/data!$K230</f>
        <v>0</v>
      </c>
      <c r="G230">
        <f>+bma_se!G230/data!$K230</f>
        <v>0.20292711246404468</v>
      </c>
      <c r="H230">
        <f>+bma_se!H230/data!$K230</f>
        <v>0.20292711246404468</v>
      </c>
      <c r="I230">
        <f>+bma_se!I230/data!$K230</f>
        <v>0.20292711246404468</v>
      </c>
      <c r="J230">
        <f>+bma_se!J230/data!$K230</f>
        <v>0</v>
      </c>
      <c r="K230">
        <f>+bma_se!K230/data!$K230</f>
        <v>0.20292711246404468</v>
      </c>
      <c r="L230">
        <f>+bma_se!L230/data!$K230</f>
        <v>0</v>
      </c>
      <c r="M230">
        <f>+bma_se!M230/data!$K230</f>
        <v>0</v>
      </c>
      <c r="N230">
        <f>+bma_se!N230/data!$K230</f>
        <v>0</v>
      </c>
      <c r="O230">
        <f>+bma_se!O230/data!$K230</f>
        <v>0</v>
      </c>
      <c r="P230">
        <f>+bma_se!P230/data!$K230</f>
        <v>0.20292711246404468</v>
      </c>
      <c r="Q230">
        <f>+bma_se!Q230/data!$K230</f>
        <v>1.5435423531211601</v>
      </c>
      <c r="R230">
        <f>+bma_se!R230/data!$K230</f>
        <v>0.83085360828159904</v>
      </c>
      <c r="S230">
        <f>+bma_se!S230/data!$K230</f>
        <v>0</v>
      </c>
    </row>
    <row r="231" spans="1:19" x14ac:dyDescent="0.25">
      <c r="A231">
        <f>+bma_se!A231/data!$K231</f>
        <v>7.4746396155899624E-4</v>
      </c>
      <c r="B231">
        <f>+bma_se!B231/data!$K231</f>
        <v>0.20292781234805959</v>
      </c>
      <c r="C231">
        <f>+bma_se!C231/data!$K231</f>
        <v>0.20292781234805959</v>
      </c>
      <c r="D231">
        <f>+bma_se!D231/data!$K231</f>
        <v>0</v>
      </c>
      <c r="E231">
        <f>+bma_se!E231/data!$K231</f>
        <v>0</v>
      </c>
      <c r="F231">
        <f>+bma_se!F231/data!$K231</f>
        <v>0</v>
      </c>
      <c r="G231">
        <f>+bma_se!G231/data!$K231</f>
        <v>0.20292781234805959</v>
      </c>
      <c r="H231">
        <f>+bma_se!H231/data!$K231</f>
        <v>0.20292781234805959</v>
      </c>
      <c r="I231">
        <f>+bma_se!I231/data!$K231</f>
        <v>0.20292781234805959</v>
      </c>
      <c r="J231">
        <f>+bma_se!J231/data!$K231</f>
        <v>0</v>
      </c>
      <c r="K231">
        <f>+bma_se!K231/data!$K231</f>
        <v>0.20292781234805959</v>
      </c>
      <c r="L231">
        <f>+bma_se!L231/data!$K231</f>
        <v>0</v>
      </c>
      <c r="M231">
        <f>+bma_se!M231/data!$K231</f>
        <v>0</v>
      </c>
      <c r="N231">
        <f>+bma_se!N231/data!$K231</f>
        <v>0.20292781234805959</v>
      </c>
      <c r="O231">
        <f>+bma_se!O231/data!$K231</f>
        <v>0</v>
      </c>
      <c r="P231">
        <f>+bma_se!P231/data!$K231</f>
        <v>0.20292781234805959</v>
      </c>
      <c r="Q231">
        <f>+bma_se!Q231/data!$K231</f>
        <v>1.5435476767105323</v>
      </c>
      <c r="R231">
        <f>+bma_se!R231/data!$K231</f>
        <v>0.83085647384821593</v>
      </c>
      <c r="S231">
        <f>+bma_se!S231/data!$K231</f>
        <v>0</v>
      </c>
    </row>
    <row r="232" spans="1:19" x14ac:dyDescent="0.25">
      <c r="A232">
        <f>+bma_se!A232/data!$K232</f>
        <v>2.5484039769754054E-3</v>
      </c>
      <c r="B232">
        <f>+bma_se!B232/data!$K232</f>
        <v>0.2029424368751527</v>
      </c>
      <c r="C232">
        <f>+bma_se!C232/data!$K232</f>
        <v>0.2029424368751527</v>
      </c>
      <c r="D232">
        <f>+bma_se!D232/data!$K232</f>
        <v>0</v>
      </c>
      <c r="E232">
        <f>+bma_se!E232/data!$K232</f>
        <v>0</v>
      </c>
      <c r="F232">
        <f>+bma_se!F232/data!$K232</f>
        <v>0</v>
      </c>
      <c r="G232">
        <f>+bma_se!G232/data!$K232</f>
        <v>0.2029424368751527</v>
      </c>
      <c r="H232">
        <f>+bma_se!H232/data!$K232</f>
        <v>0.2029424368751527</v>
      </c>
      <c r="I232">
        <f>+bma_se!I232/data!$K232</f>
        <v>0.2029424368751527</v>
      </c>
      <c r="J232">
        <f>+bma_se!J232/data!$K232</f>
        <v>0</v>
      </c>
      <c r="K232">
        <f>+bma_se!K232/data!$K232</f>
        <v>0.2029424368751527</v>
      </c>
      <c r="L232">
        <f>+bma_se!L232/data!$K232</f>
        <v>0</v>
      </c>
      <c r="M232">
        <f>+bma_se!M232/data!$K232</f>
        <v>0</v>
      </c>
      <c r="N232">
        <f>+bma_se!N232/data!$K232</f>
        <v>0</v>
      </c>
      <c r="O232">
        <f>+bma_se!O232/data!$K232</f>
        <v>0.2029424368751527</v>
      </c>
      <c r="P232">
        <f>+bma_se!P232/data!$K232</f>
        <v>0.2029424368751527</v>
      </c>
      <c r="Q232">
        <f>+bma_se!Q232/data!$K232</f>
        <v>1.5436589165379191</v>
      </c>
      <c r="R232">
        <f>+bma_se!R232/data!$K232</f>
        <v>0.83091635170759703</v>
      </c>
      <c r="S232">
        <f>+bma_se!S232/data!$K232</f>
        <v>0</v>
      </c>
    </row>
    <row r="233" spans="1:19" x14ac:dyDescent="0.25">
      <c r="A233">
        <f>+bma_se!A233/data!$K233</f>
        <v>-1.3053911374180131E-2</v>
      </c>
      <c r="B233">
        <f>+bma_se!B233/data!$K233</f>
        <v>0.42033122785501137</v>
      </c>
      <c r="C233">
        <f>+bma_se!C233/data!$K233</f>
        <v>0.42033122785501137</v>
      </c>
      <c r="D233">
        <f>+bma_se!D233/data!$K233</f>
        <v>0</v>
      </c>
      <c r="E233">
        <f>+bma_se!E233/data!$K233</f>
        <v>0</v>
      </c>
      <c r="F233">
        <f>+bma_se!F233/data!$K233</f>
        <v>0</v>
      </c>
      <c r="G233">
        <f>+bma_se!G233/data!$K233</f>
        <v>0.42033122785501137</v>
      </c>
      <c r="H233">
        <f>+bma_se!H233/data!$K233</f>
        <v>0.42033122785501137</v>
      </c>
      <c r="I233">
        <f>+bma_se!I233/data!$K233</f>
        <v>0.42033122785501137</v>
      </c>
      <c r="J233">
        <f>+bma_se!J233/data!$K233</f>
        <v>0</v>
      </c>
      <c r="K233">
        <f>+bma_se!K233/data!$K233</f>
        <v>0.42033122785501137</v>
      </c>
      <c r="L233">
        <f>+bma_se!L233/data!$K233</f>
        <v>0</v>
      </c>
      <c r="M233">
        <f>+bma_se!M233/data!$K233</f>
        <v>0</v>
      </c>
      <c r="N233">
        <f>+bma_se!N233/data!$K233</f>
        <v>0</v>
      </c>
      <c r="O233">
        <f>+bma_se!O233/data!$K233</f>
        <v>0</v>
      </c>
      <c r="P233">
        <f>+bma_se!P233/data!$K233</f>
        <v>0.42033122785501137</v>
      </c>
      <c r="Q233">
        <f>+bma_se!Q233/data!$K233</f>
        <v>3.1972024075816243</v>
      </c>
      <c r="R233">
        <f>+bma_se!R233/data!$K233</f>
        <v>1.7209810611120264</v>
      </c>
      <c r="S233">
        <f>+bma_se!S233/data!$K233</f>
        <v>0</v>
      </c>
    </row>
    <row r="234" spans="1:19" x14ac:dyDescent="0.25">
      <c r="A234">
        <f>+bma_se!A234/data!$K234</f>
        <v>1.1975835110163468E-2</v>
      </c>
      <c r="B234">
        <f>+bma_se!B234/data!$K234</f>
        <v>0.42029912816293391</v>
      </c>
      <c r="C234">
        <f>+bma_se!C234/data!$K234</f>
        <v>0.42029912816293391</v>
      </c>
      <c r="D234">
        <f>+bma_se!D234/data!$K234</f>
        <v>0</v>
      </c>
      <c r="E234">
        <f>+bma_se!E234/data!$K234</f>
        <v>0</v>
      </c>
      <c r="F234">
        <f>+bma_se!F234/data!$K234</f>
        <v>0</v>
      </c>
      <c r="G234">
        <f>+bma_se!G234/data!$K234</f>
        <v>0.42029912816293391</v>
      </c>
      <c r="H234">
        <f>+bma_se!H234/data!$K234</f>
        <v>0.42029912816293391</v>
      </c>
      <c r="I234">
        <f>+bma_se!I234/data!$K234</f>
        <v>0.42029912816293391</v>
      </c>
      <c r="J234">
        <f>+bma_se!J234/data!$K234</f>
        <v>0</v>
      </c>
      <c r="K234">
        <f>+bma_se!K234/data!$K234</f>
        <v>0.42029912816293391</v>
      </c>
      <c r="L234">
        <f>+bma_se!L234/data!$K234</f>
        <v>0</v>
      </c>
      <c r="M234">
        <f>+bma_se!M234/data!$K234</f>
        <v>0</v>
      </c>
      <c r="N234">
        <f>+bma_se!N234/data!$K234</f>
        <v>0.42029912816293391</v>
      </c>
      <c r="O234">
        <f>+bma_se!O234/data!$K234</f>
        <v>0</v>
      </c>
      <c r="P234">
        <f>+bma_se!P234/data!$K234</f>
        <v>0.42029912816293391</v>
      </c>
      <c r="Q234">
        <f>+bma_se!Q234/data!$K234</f>
        <v>3.1969582448690024</v>
      </c>
      <c r="R234">
        <f>+bma_se!R234/data!$K234</f>
        <v>1.7208496338982673</v>
      </c>
      <c r="S234">
        <f>+bma_se!S234/data!$K234</f>
        <v>0</v>
      </c>
    </row>
    <row r="235" spans="1:19" x14ac:dyDescent="0.25">
      <c r="A235">
        <f>+bma_se!A235/data!$K235</f>
        <v>-2.3696835055861424E-3</v>
      </c>
      <c r="B235">
        <f>+bma_se!B235/data!$K235</f>
        <v>0.42013515909508592</v>
      </c>
      <c r="C235">
        <f>+bma_se!C235/data!$K235</f>
        <v>0.42013515909508592</v>
      </c>
      <c r="D235">
        <f>+bma_se!D235/data!$K235</f>
        <v>0</v>
      </c>
      <c r="E235">
        <f>+bma_se!E235/data!$K235</f>
        <v>0</v>
      </c>
      <c r="F235">
        <f>+bma_se!F235/data!$K235</f>
        <v>0</v>
      </c>
      <c r="G235">
        <f>+bma_se!G235/data!$K235</f>
        <v>0.42013515909508592</v>
      </c>
      <c r="H235">
        <f>+bma_se!H235/data!$K235</f>
        <v>0.42013515909508592</v>
      </c>
      <c r="I235">
        <f>+bma_se!I235/data!$K235</f>
        <v>0.42013515909508592</v>
      </c>
      <c r="J235">
        <f>+bma_se!J235/data!$K235</f>
        <v>0</v>
      </c>
      <c r="K235">
        <f>+bma_se!K235/data!$K235</f>
        <v>0.42013515909508592</v>
      </c>
      <c r="L235">
        <f>+bma_se!L235/data!$K235</f>
        <v>0</v>
      </c>
      <c r="M235">
        <f>+bma_se!M235/data!$K235</f>
        <v>0</v>
      </c>
      <c r="N235">
        <f>+bma_se!N235/data!$K235</f>
        <v>0</v>
      </c>
      <c r="O235">
        <f>+bma_se!O235/data!$K235</f>
        <v>0.42013515909508592</v>
      </c>
      <c r="P235">
        <f>+bma_se!P235/data!$K235</f>
        <v>0.42013515909508592</v>
      </c>
      <c r="Q235">
        <f>+bma_se!Q235/data!$K235</f>
        <v>3.1957110325189526</v>
      </c>
      <c r="R235">
        <f>+bma_se!R235/data!$K235</f>
        <v>1.7201782879651695</v>
      </c>
      <c r="S235">
        <f>+bma_se!S235/data!$K235</f>
        <v>0</v>
      </c>
    </row>
    <row r="236" spans="1:19" x14ac:dyDescent="0.25">
      <c r="A236">
        <f>+bma_se!A236/data!$K236</f>
        <v>-1.2924256951102589E-2</v>
      </c>
      <c r="B236">
        <f>+bma_se!B236/data!$K236</f>
        <v>0.42086635368594588</v>
      </c>
      <c r="C236">
        <f>+bma_se!C236/data!$K236</f>
        <v>0.42086635368594588</v>
      </c>
      <c r="D236">
        <f>+bma_se!D236/data!$K236</f>
        <v>0</v>
      </c>
      <c r="E236">
        <f>+bma_se!E236/data!$K236</f>
        <v>0</v>
      </c>
      <c r="F236">
        <f>+bma_se!F236/data!$K236</f>
        <v>0</v>
      </c>
      <c r="G236">
        <f>+bma_se!G236/data!$K236</f>
        <v>0.42086635368594588</v>
      </c>
      <c r="H236">
        <f>+bma_se!H236/data!$K236</f>
        <v>0.42086635368594588</v>
      </c>
      <c r="I236">
        <f>+bma_se!I236/data!$K236</f>
        <v>0.42086635368594588</v>
      </c>
      <c r="J236">
        <f>+bma_se!J236/data!$K236</f>
        <v>0</v>
      </c>
      <c r="K236">
        <f>+bma_se!K236/data!$K236</f>
        <v>0.42086635368594588</v>
      </c>
      <c r="L236">
        <f>+bma_se!L236/data!$K236</f>
        <v>0</v>
      </c>
      <c r="M236">
        <f>+bma_se!M236/data!$K236</f>
        <v>0</v>
      </c>
      <c r="N236">
        <f>+bma_se!N236/data!$K236</f>
        <v>0</v>
      </c>
      <c r="O236">
        <f>+bma_se!O236/data!$K236</f>
        <v>0</v>
      </c>
      <c r="P236">
        <f>+bma_se!P236/data!$K236</f>
        <v>0.42086635368594588</v>
      </c>
      <c r="Q236">
        <f>+bma_se!Q236/data!$K236</f>
        <v>3.2012727822805345</v>
      </c>
      <c r="R236">
        <f>+bma_se!R236/data!$K236</f>
        <v>1.7231720508822836</v>
      </c>
      <c r="S236">
        <f>+bma_se!S236/data!$K236</f>
        <v>0</v>
      </c>
    </row>
    <row r="237" spans="1:19" x14ac:dyDescent="0.25">
      <c r="A237">
        <f>+bma_se!A237/data!$K237</f>
        <v>1.4831000610248231E-2</v>
      </c>
      <c r="B237">
        <f>+bma_se!B237/data!$K237</f>
        <v>0.42092922187259313</v>
      </c>
      <c r="C237">
        <f>+bma_se!C237/data!$K237</f>
        <v>0.42092922187259313</v>
      </c>
      <c r="D237">
        <f>+bma_se!D237/data!$K237</f>
        <v>0</v>
      </c>
      <c r="E237">
        <f>+bma_se!E237/data!$K237</f>
        <v>0</v>
      </c>
      <c r="F237">
        <f>+bma_se!F237/data!$K237</f>
        <v>0</v>
      </c>
      <c r="G237">
        <f>+bma_se!G237/data!$K237</f>
        <v>0.42092922187259313</v>
      </c>
      <c r="H237">
        <f>+bma_se!H237/data!$K237</f>
        <v>0.42092922187259313</v>
      </c>
      <c r="I237">
        <f>+bma_se!I237/data!$K237</f>
        <v>0.42092922187259313</v>
      </c>
      <c r="J237">
        <f>+bma_se!J237/data!$K237</f>
        <v>0</v>
      </c>
      <c r="K237">
        <f>+bma_se!K237/data!$K237</f>
        <v>0.42092922187259313</v>
      </c>
      <c r="L237">
        <f>+bma_se!L237/data!$K237</f>
        <v>0</v>
      </c>
      <c r="M237">
        <f>+bma_se!M237/data!$K237</f>
        <v>0</v>
      </c>
      <c r="N237">
        <f>+bma_se!N237/data!$K237</f>
        <v>0.42092922187259313</v>
      </c>
      <c r="O237">
        <f>+bma_se!O237/data!$K237</f>
        <v>0</v>
      </c>
      <c r="P237">
        <f>+bma_se!P237/data!$K237</f>
        <v>0.42092922187259313</v>
      </c>
      <c r="Q237">
        <f>+bma_se!Q237/data!$K237</f>
        <v>3.2017509821010299</v>
      </c>
      <c r="R237">
        <f>+bma_se!R237/data!$K237</f>
        <v>1.7234294549279423</v>
      </c>
      <c r="S237">
        <f>+bma_se!S237/data!$K237</f>
        <v>0</v>
      </c>
    </row>
    <row r="238" spans="1:19" x14ac:dyDescent="0.25">
      <c r="A238">
        <f>+bma_se!A238/data!$K238</f>
        <v>1.9168046565306838E-3</v>
      </c>
      <c r="B238">
        <f>+bma_se!B238/data!$K238</f>
        <v>0.42067223034954043</v>
      </c>
      <c r="C238">
        <f>+bma_se!C238/data!$K238</f>
        <v>0.42067223034954043</v>
      </c>
      <c r="D238">
        <f>+bma_se!D238/data!$K238</f>
        <v>0</v>
      </c>
      <c r="E238">
        <f>+bma_se!E238/data!$K238</f>
        <v>0</v>
      </c>
      <c r="F238">
        <f>+bma_se!F238/data!$K238</f>
        <v>0</v>
      </c>
      <c r="G238">
        <f>+bma_se!G238/data!$K238</f>
        <v>0.42067223034954043</v>
      </c>
      <c r="H238">
        <f>+bma_se!H238/data!$K238</f>
        <v>0.42067223034954043</v>
      </c>
      <c r="I238">
        <f>+bma_se!I238/data!$K238</f>
        <v>0.42067223034954043</v>
      </c>
      <c r="J238">
        <f>+bma_se!J238/data!$K238</f>
        <v>0</v>
      </c>
      <c r="K238">
        <f>+bma_se!K238/data!$K238</f>
        <v>0.42067223034954043</v>
      </c>
      <c r="L238">
        <f>+bma_se!L238/data!$K238</f>
        <v>0</v>
      </c>
      <c r="M238">
        <f>+bma_se!M238/data!$K238</f>
        <v>0</v>
      </c>
      <c r="N238">
        <f>+bma_se!N238/data!$K238</f>
        <v>0</v>
      </c>
      <c r="O238">
        <f>+bma_se!O238/data!$K238</f>
        <v>0.42067223034954043</v>
      </c>
      <c r="P238">
        <f>+bma_se!P238/data!$K238</f>
        <v>0.42067223034954043</v>
      </c>
      <c r="Q238">
        <f>+bma_se!Q238/data!$K238</f>
        <v>3.1997962048639801</v>
      </c>
      <c r="R238">
        <f>+bma_se!R238/data!$K238</f>
        <v>1.7223772429704891</v>
      </c>
      <c r="S238">
        <f>+bma_se!S238/data!$K238</f>
        <v>0</v>
      </c>
    </row>
    <row r="239" spans="1:19" x14ac:dyDescent="0.25">
      <c r="A239">
        <f>+bma_se!A239/data!$K239</f>
        <v>-4.3708752569512066E-3</v>
      </c>
      <c r="B239">
        <f>+bma_se!B239/data!$K239</f>
        <v>0.20230208607172065</v>
      </c>
      <c r="C239">
        <f>+bma_se!C239/data!$K239</f>
        <v>0.20230208607172065</v>
      </c>
      <c r="D239">
        <f>+bma_se!D239/data!$K239</f>
        <v>0</v>
      </c>
      <c r="E239">
        <f>+bma_se!E239/data!$K239</f>
        <v>0</v>
      </c>
      <c r="F239">
        <f>+bma_se!F239/data!$K239</f>
        <v>0</v>
      </c>
      <c r="G239">
        <f>+bma_se!G239/data!$K239</f>
        <v>0.20230208607172065</v>
      </c>
      <c r="H239">
        <f>+bma_se!H239/data!$K239</f>
        <v>0.20230208607172065</v>
      </c>
      <c r="I239">
        <f>+bma_se!I239/data!$K239</f>
        <v>0.20230208607172065</v>
      </c>
      <c r="J239">
        <f>+bma_se!J239/data!$K239</f>
        <v>0</v>
      </c>
      <c r="K239">
        <f>+bma_se!K239/data!$K239</f>
        <v>0.20230208607172065</v>
      </c>
      <c r="L239">
        <f>+bma_se!L239/data!$K239</f>
        <v>0</v>
      </c>
      <c r="M239">
        <f>+bma_se!M239/data!$K239</f>
        <v>0</v>
      </c>
      <c r="N239">
        <f>+bma_se!N239/data!$K239</f>
        <v>0</v>
      </c>
      <c r="O239">
        <f>+bma_se!O239/data!$K239</f>
        <v>0</v>
      </c>
      <c r="P239">
        <f>+bma_se!P239/data!$K239</f>
        <v>0.20230208607172065</v>
      </c>
      <c r="Q239">
        <f>+bma_se!Q239/data!$K239</f>
        <v>1.5387881598709032</v>
      </c>
      <c r="R239">
        <f>+bma_se!R239/data!$K239</f>
        <v>0.82829453459731905</v>
      </c>
      <c r="S239">
        <f>+bma_se!S239/data!$K239</f>
        <v>0</v>
      </c>
    </row>
    <row r="240" spans="1:19" x14ac:dyDescent="0.25">
      <c r="A240">
        <f>+bma_se!A240/data!$K240</f>
        <v>7.2398929541786679E-3</v>
      </c>
      <c r="B240">
        <f>+bma_se!B240/data!$K240</f>
        <v>0.2023844004078526</v>
      </c>
      <c r="C240">
        <f>+bma_se!C240/data!$K240</f>
        <v>0.2023844004078526</v>
      </c>
      <c r="D240">
        <f>+bma_se!D240/data!$K240</f>
        <v>0</v>
      </c>
      <c r="E240">
        <f>+bma_se!E240/data!$K240</f>
        <v>0</v>
      </c>
      <c r="F240">
        <f>+bma_se!F240/data!$K240</f>
        <v>0</v>
      </c>
      <c r="G240">
        <f>+bma_se!G240/data!$K240</f>
        <v>0.2023844004078526</v>
      </c>
      <c r="H240">
        <f>+bma_se!H240/data!$K240</f>
        <v>0.2023844004078526</v>
      </c>
      <c r="I240">
        <f>+bma_se!I240/data!$K240</f>
        <v>0.2023844004078526</v>
      </c>
      <c r="J240">
        <f>+bma_se!J240/data!$K240</f>
        <v>0</v>
      </c>
      <c r="K240">
        <f>+bma_se!K240/data!$K240</f>
        <v>0.2023844004078526</v>
      </c>
      <c r="L240">
        <f>+bma_se!L240/data!$K240</f>
        <v>0</v>
      </c>
      <c r="M240">
        <f>+bma_se!M240/data!$K240</f>
        <v>0</v>
      </c>
      <c r="N240">
        <f>+bma_se!N240/data!$K240</f>
        <v>0.2023844004078526</v>
      </c>
      <c r="O240">
        <f>+bma_se!O240/data!$K240</f>
        <v>0</v>
      </c>
      <c r="P240">
        <f>+bma_se!P240/data!$K240</f>
        <v>0.2023844004078526</v>
      </c>
      <c r="Q240">
        <f>+bma_se!Q240/data!$K240</f>
        <v>1.5394142746494852</v>
      </c>
      <c r="R240">
        <f>+bma_se!R240/data!$K240</f>
        <v>0.82863155788788923</v>
      </c>
      <c r="S240">
        <f>+bma_se!S240/data!$K240</f>
        <v>0</v>
      </c>
    </row>
    <row r="241" spans="1:19" x14ac:dyDescent="0.25">
      <c r="A241">
        <f>+bma_se!A241/data!$K241</f>
        <v>9.9659126123334361E-3</v>
      </c>
      <c r="B241">
        <f>+bma_se!B241/data!$K241</f>
        <v>0.20250024417924714</v>
      </c>
      <c r="C241">
        <f>+bma_se!C241/data!$K241</f>
        <v>0.20250024417924714</v>
      </c>
      <c r="D241">
        <f>+bma_se!D241/data!$K241</f>
        <v>0</v>
      </c>
      <c r="E241">
        <f>+bma_se!E241/data!$K241</f>
        <v>0</v>
      </c>
      <c r="F241">
        <f>+bma_se!F241/data!$K241</f>
        <v>0</v>
      </c>
      <c r="G241">
        <f>+bma_se!G241/data!$K241</f>
        <v>0.20250024417924714</v>
      </c>
      <c r="H241">
        <f>+bma_se!H241/data!$K241</f>
        <v>0.20250024417924714</v>
      </c>
      <c r="I241">
        <f>+bma_se!I241/data!$K241</f>
        <v>0.20250024417924714</v>
      </c>
      <c r="J241">
        <f>+bma_se!J241/data!$K241</f>
        <v>0</v>
      </c>
      <c r="K241">
        <f>+bma_se!K241/data!$K241</f>
        <v>0.20250024417924714</v>
      </c>
      <c r="L241">
        <f>+bma_se!L241/data!$K241</f>
        <v>0</v>
      </c>
      <c r="M241">
        <f>+bma_se!M241/data!$K241</f>
        <v>0</v>
      </c>
      <c r="N241">
        <f>+bma_se!N241/data!$K241</f>
        <v>0</v>
      </c>
      <c r="O241">
        <f>+bma_se!O241/data!$K241</f>
        <v>0.20250024417924714</v>
      </c>
      <c r="P241">
        <f>+bma_se!P241/data!$K241</f>
        <v>0.20250024417924714</v>
      </c>
      <c r="Q241">
        <f>+bma_se!Q241/data!$K241</f>
        <v>1.5402954273220952</v>
      </c>
      <c r="R241">
        <f>+bma_se!R241/data!$K241</f>
        <v>0.82910586225407945</v>
      </c>
      <c r="S241">
        <f>+bma_se!S241/data!$K241</f>
        <v>0</v>
      </c>
    </row>
    <row r="242" spans="1:19" x14ac:dyDescent="0.25">
      <c r="A242">
        <f>+bma_se!A242/data!$K242</f>
        <v>-1.4999999999999999E-2</v>
      </c>
      <c r="B242">
        <f>+bma_se!B242/data!$K242</f>
        <v>0.20414761121681754</v>
      </c>
      <c r="C242">
        <f>+bma_se!C242/data!$K242</f>
        <v>0.20414761121681754</v>
      </c>
      <c r="D242">
        <f>+bma_se!D242/data!$K242</f>
        <v>0</v>
      </c>
      <c r="E242">
        <f>+bma_se!E242/data!$K242</f>
        <v>0</v>
      </c>
      <c r="F242">
        <f>+bma_se!F242/data!$K242</f>
        <v>0</v>
      </c>
      <c r="G242">
        <f>+bma_se!G242/data!$K242</f>
        <v>0.20414761121681754</v>
      </c>
      <c r="H242">
        <f>+bma_se!H242/data!$K242</f>
        <v>0.20414761121681754</v>
      </c>
      <c r="I242">
        <f>+bma_se!I242/data!$K242</f>
        <v>0.20414761121681754</v>
      </c>
      <c r="J242">
        <f>+bma_se!J242/data!$K242</f>
        <v>0</v>
      </c>
      <c r="K242">
        <f>+bma_se!K242/data!$K242</f>
        <v>0.20414761121681754</v>
      </c>
      <c r="L242">
        <f>+bma_se!L242/data!$K242</f>
        <v>0</v>
      </c>
      <c r="M242">
        <f>+bma_se!M242/data!$K242</f>
        <v>0</v>
      </c>
      <c r="N242">
        <f>+bma_se!N242/data!$K242</f>
        <v>0</v>
      </c>
      <c r="O242">
        <f>+bma_se!O242/data!$K242</f>
        <v>0</v>
      </c>
      <c r="P242">
        <f>+bma_se!P242/data!$K242</f>
        <v>0.20414761121681754</v>
      </c>
      <c r="Q242">
        <f>+bma_se!Q242/data!$K242</f>
        <v>1.5528259401882663</v>
      </c>
      <c r="R242">
        <f>+bma_se!R242/data!$K242</f>
        <v>0.83585075124752062</v>
      </c>
      <c r="S242">
        <f>+bma_se!S242/data!$K242</f>
        <v>0</v>
      </c>
    </row>
    <row r="243" spans="1:19" x14ac:dyDescent="0.25">
      <c r="A243">
        <f>+bma_se!A243/data!$K243</f>
        <v>2.598669314104574E-3</v>
      </c>
      <c r="B243">
        <f>+bma_se!B243/data!$K243</f>
        <v>0.2036123774423769</v>
      </c>
      <c r="C243">
        <f>+bma_se!C243/data!$K243</f>
        <v>0.2036123774423769</v>
      </c>
      <c r="D243">
        <f>+bma_se!D243/data!$K243</f>
        <v>0</v>
      </c>
      <c r="E243">
        <f>+bma_se!E243/data!$K243</f>
        <v>0</v>
      </c>
      <c r="F243">
        <f>+bma_se!F243/data!$K243</f>
        <v>0</v>
      </c>
      <c r="G243">
        <f>+bma_se!G243/data!$K243</f>
        <v>0.2036123774423769</v>
      </c>
      <c r="H243">
        <f>+bma_se!H243/data!$K243</f>
        <v>0.2036123774423769</v>
      </c>
      <c r="I243">
        <f>+bma_se!I243/data!$K243</f>
        <v>0.2036123774423769</v>
      </c>
      <c r="J243">
        <f>+bma_se!J243/data!$K243</f>
        <v>0</v>
      </c>
      <c r="K243">
        <f>+bma_se!K243/data!$K243</f>
        <v>0.2036123774423769</v>
      </c>
      <c r="L243">
        <f>+bma_se!L243/data!$K243</f>
        <v>0</v>
      </c>
      <c r="M243">
        <f>+bma_se!M243/data!$K243</f>
        <v>0</v>
      </c>
      <c r="N243">
        <f>+bma_se!N243/data!$K243</f>
        <v>0.2036123774423769</v>
      </c>
      <c r="O243">
        <f>+bma_se!O243/data!$K243</f>
        <v>0</v>
      </c>
      <c r="P243">
        <f>+bma_se!P243/data!$K243</f>
        <v>0.2036123774423769</v>
      </c>
      <c r="Q243">
        <f>+bma_se!Q243/data!$K243</f>
        <v>1.5487547444291663</v>
      </c>
      <c r="R243">
        <f>+bma_se!R243/data!$K243</f>
        <v>0.83365931951930861</v>
      </c>
      <c r="S243">
        <f>+bma_se!S243/data!$K243</f>
        <v>0</v>
      </c>
    </row>
    <row r="244" spans="1:19" x14ac:dyDescent="0.25">
      <c r="A244">
        <f>+bma_se!A244/data!$K244</f>
        <v>1.1726778158371951E-2</v>
      </c>
      <c r="B244">
        <f>+bma_se!B244/data!$K244</f>
        <v>0.20393323537743563</v>
      </c>
      <c r="C244">
        <f>+bma_se!C244/data!$K244</f>
        <v>0.20393323537743563</v>
      </c>
      <c r="D244">
        <f>+bma_se!D244/data!$K244</f>
        <v>0</v>
      </c>
      <c r="E244">
        <f>+bma_se!E244/data!$K244</f>
        <v>0</v>
      </c>
      <c r="F244">
        <f>+bma_se!F244/data!$K244</f>
        <v>0</v>
      </c>
      <c r="G244">
        <f>+bma_se!G244/data!$K244</f>
        <v>0.20393323537743563</v>
      </c>
      <c r="H244">
        <f>+bma_se!H244/data!$K244</f>
        <v>0.20393323537743563</v>
      </c>
      <c r="I244">
        <f>+bma_se!I244/data!$K244</f>
        <v>0.20393323537743563</v>
      </c>
      <c r="J244">
        <f>+bma_se!J244/data!$K244</f>
        <v>0</v>
      </c>
      <c r="K244">
        <f>+bma_se!K244/data!$K244</f>
        <v>0.20393323537743563</v>
      </c>
      <c r="L244">
        <f>+bma_se!L244/data!$K244</f>
        <v>0</v>
      </c>
      <c r="M244">
        <f>+bma_se!M244/data!$K244</f>
        <v>0</v>
      </c>
      <c r="N244">
        <f>+bma_se!N244/data!$K244</f>
        <v>0</v>
      </c>
      <c r="O244">
        <f>+bma_se!O244/data!$K244</f>
        <v>0.20393323537743563</v>
      </c>
      <c r="P244">
        <f>+bma_se!P244/data!$K244</f>
        <v>0.20393323537743563</v>
      </c>
      <c r="Q244">
        <f>+bma_se!Q244/data!$K244</f>
        <v>1.5511953143761017</v>
      </c>
      <c r="R244">
        <f>+bma_se!R244/data!$K244</f>
        <v>0.83497302260142658</v>
      </c>
      <c r="S244">
        <f>+bma_se!S244/data!$K244</f>
        <v>0</v>
      </c>
    </row>
    <row r="245" spans="1:19" x14ac:dyDescent="0.25">
      <c r="A245">
        <f>+bma_se!A245/data!$K245</f>
        <v>-2.0033707865168537</v>
      </c>
      <c r="B245">
        <f>+bma_se!B245/data!$K245</f>
        <v>2.91778931869132</v>
      </c>
      <c r="C245">
        <f>+bma_se!C245/data!$K245</f>
        <v>0</v>
      </c>
      <c r="D245">
        <f>+bma_se!D245/data!$K245</f>
        <v>2.91778931869132</v>
      </c>
      <c r="E245">
        <f>+bma_se!E245/data!$K245</f>
        <v>0</v>
      </c>
      <c r="F245">
        <f>+bma_se!F245/data!$K245</f>
        <v>0</v>
      </c>
      <c r="G245">
        <f>+bma_se!G245/data!$K245</f>
        <v>2.91778931869132</v>
      </c>
      <c r="H245">
        <f>+bma_se!H245/data!$K245</f>
        <v>0</v>
      </c>
      <c r="I245">
        <f>+bma_se!I245/data!$K245</f>
        <v>2.91778931869132</v>
      </c>
      <c r="J245">
        <f>+bma_se!J245/data!$K245</f>
        <v>0</v>
      </c>
      <c r="K245">
        <f>+bma_se!K245/data!$K245</f>
        <v>0</v>
      </c>
      <c r="L245">
        <f>+bma_se!L245/data!$K245</f>
        <v>0</v>
      </c>
      <c r="M245">
        <f>+bma_se!M245/data!$K245</f>
        <v>0</v>
      </c>
      <c r="N245">
        <f>+bma_se!N245/data!$K245</f>
        <v>2.91778931869132</v>
      </c>
      <c r="O245">
        <f>+bma_se!O245/data!$K245</f>
        <v>0</v>
      </c>
      <c r="P245">
        <f>+bma_se!P245/data!$K245</f>
        <v>2.91778931869132</v>
      </c>
      <c r="Q245">
        <f>+bma_se!Q245/data!$K245</f>
        <v>22.141130713968991</v>
      </c>
      <c r="R245">
        <f>+bma_se!R245/data!$K245</f>
        <v>11.847517214554941</v>
      </c>
      <c r="S245">
        <f>+bma_se!S245/data!$K245</f>
        <v>2.91778931869132</v>
      </c>
    </row>
    <row r="246" spans="1:19" x14ac:dyDescent="0.25">
      <c r="A246">
        <f>+bma_se!A246/data!$K246</f>
        <v>-0.66233766233766223</v>
      </c>
      <c r="B246">
        <f>+bma_se!B246/data!$K246</f>
        <v>2.2223166243699208</v>
      </c>
      <c r="C246">
        <f>+bma_se!C246/data!$K246</f>
        <v>0</v>
      </c>
      <c r="D246">
        <f>+bma_se!D246/data!$K246</f>
        <v>2.2223166243699208</v>
      </c>
      <c r="E246">
        <f>+bma_se!E246/data!$K246</f>
        <v>0</v>
      </c>
      <c r="F246">
        <f>+bma_se!F246/data!$K246</f>
        <v>0</v>
      </c>
      <c r="G246">
        <f>+bma_se!G246/data!$K246</f>
        <v>2.2223166243699208</v>
      </c>
      <c r="H246">
        <f>+bma_se!H246/data!$K246</f>
        <v>0</v>
      </c>
      <c r="I246">
        <f>+bma_se!I246/data!$K246</f>
        <v>2.2223166243699208</v>
      </c>
      <c r="J246">
        <f>+bma_se!J246/data!$K246</f>
        <v>0</v>
      </c>
      <c r="K246">
        <f>+bma_se!K246/data!$K246</f>
        <v>0</v>
      </c>
      <c r="L246">
        <f>+bma_se!L246/data!$K246</f>
        <v>0</v>
      </c>
      <c r="M246">
        <f>+bma_se!M246/data!$K246</f>
        <v>0</v>
      </c>
      <c r="N246">
        <f>+bma_se!N246/data!$K246</f>
        <v>0</v>
      </c>
      <c r="O246">
        <f>+bma_se!O246/data!$K246</f>
        <v>2.2223166243699208</v>
      </c>
      <c r="P246">
        <f>+bma_se!P246/data!$K246</f>
        <v>2.2223166243699208</v>
      </c>
      <c r="Q246">
        <f>+bma_se!Q246/data!$K246</f>
        <v>16.863658576305255</v>
      </c>
      <c r="R246">
        <f>+bma_se!R246/data!$K246</f>
        <v>9.0235899812064755</v>
      </c>
      <c r="S246">
        <f>+bma_se!S246/data!$K246</f>
        <v>2.2223166243699208</v>
      </c>
    </row>
    <row r="247" spans="1:19" x14ac:dyDescent="0.25">
      <c r="A247">
        <f>+bma_se!A247/data!$K247</f>
        <v>1.3400415460225323</v>
      </c>
      <c r="B247">
        <f>+bma_se!B247/data!$K247</f>
        <v>2.1643937335788395</v>
      </c>
      <c r="C247">
        <f>+bma_se!C247/data!$K247</f>
        <v>0</v>
      </c>
      <c r="D247">
        <f>+bma_se!D247/data!$K247</f>
        <v>0</v>
      </c>
      <c r="E247">
        <f>+bma_se!E247/data!$K247</f>
        <v>2.1643937335788395</v>
      </c>
      <c r="F247">
        <f>+bma_se!F247/data!$K247</f>
        <v>0</v>
      </c>
      <c r="G247">
        <f>+bma_se!G247/data!$K247</f>
        <v>2.1643937335788395</v>
      </c>
      <c r="H247">
        <f>+bma_se!H247/data!$K247</f>
        <v>2.1643937335788395</v>
      </c>
      <c r="I247">
        <f>+bma_se!I247/data!$K247</f>
        <v>0</v>
      </c>
      <c r="J247">
        <f>+bma_se!J247/data!$K247</f>
        <v>0</v>
      </c>
      <c r="K247">
        <f>+bma_se!K247/data!$K247</f>
        <v>0</v>
      </c>
      <c r="L247">
        <f>+bma_se!L247/data!$K247</f>
        <v>0</v>
      </c>
      <c r="M247">
        <f>+bma_se!M247/data!$K247</f>
        <v>0</v>
      </c>
      <c r="N247">
        <f>+bma_se!N247/data!$K247</f>
        <v>0</v>
      </c>
      <c r="O247">
        <f>+bma_se!O247/data!$K247</f>
        <v>2.1643937335788395</v>
      </c>
      <c r="P247">
        <f>+bma_se!P247/data!$K247</f>
        <v>2.1643937335788395</v>
      </c>
      <c r="Q247">
        <f>+bma_se!Q247/data!$K247</f>
        <v>16.440496716954168</v>
      </c>
      <c r="R247">
        <f>+bma_se!R247/data!$K247</f>
        <v>9.5113178781317966</v>
      </c>
      <c r="S247">
        <f>+bma_se!S247/data!$K247</f>
        <v>2.1643937335788395</v>
      </c>
    </row>
    <row r="248" spans="1:19" x14ac:dyDescent="0.25">
      <c r="A248">
        <f>+bma_se!A248/data!$K248</f>
        <v>0.80692899933839068</v>
      </c>
      <c r="B248">
        <f>+bma_se!B248/data!$K248</f>
        <v>1.8814949638152489</v>
      </c>
      <c r="C248">
        <f>+bma_se!C248/data!$K248</f>
        <v>0</v>
      </c>
      <c r="D248">
        <f>+bma_se!D248/data!$K248</f>
        <v>0</v>
      </c>
      <c r="E248">
        <f>+bma_se!E248/data!$K248</f>
        <v>1.8814949638152489</v>
      </c>
      <c r="F248">
        <f>+bma_se!F248/data!$K248</f>
        <v>0</v>
      </c>
      <c r="G248">
        <f>+bma_se!G248/data!$K248</f>
        <v>1.8814949638152489</v>
      </c>
      <c r="H248">
        <f>+bma_se!H248/data!$K248</f>
        <v>1.8814949638152489</v>
      </c>
      <c r="I248">
        <f>+bma_se!I248/data!$K248</f>
        <v>0</v>
      </c>
      <c r="J248">
        <f>+bma_se!J248/data!$K248</f>
        <v>0</v>
      </c>
      <c r="K248">
        <f>+bma_se!K248/data!$K248</f>
        <v>0</v>
      </c>
      <c r="L248">
        <f>+bma_se!L248/data!$K248</f>
        <v>0</v>
      </c>
      <c r="M248">
        <f>+bma_se!M248/data!$K248</f>
        <v>0</v>
      </c>
      <c r="N248">
        <f>+bma_se!N248/data!$K248</f>
        <v>0</v>
      </c>
      <c r="O248">
        <f>+bma_se!O248/data!$K248</f>
        <v>1.8814949638152489</v>
      </c>
      <c r="P248">
        <f>+bma_se!P248/data!$K248</f>
        <v>1.8814949638152489</v>
      </c>
      <c r="Q248">
        <f>+bma_se!Q248/data!$K248</f>
        <v>14.291628780694611</v>
      </c>
      <c r="R248">
        <f>+bma_se!R248/data!$K248</f>
        <v>8.268133662242958</v>
      </c>
      <c r="S248">
        <f>+bma_se!S248/data!$K248</f>
        <v>1.8814949638152489</v>
      </c>
    </row>
    <row r="249" spans="1:19" x14ac:dyDescent="0.25">
      <c r="A249">
        <f>+bma_se!A249/data!$K249</f>
        <v>0.85106476767302752</v>
      </c>
      <c r="B249">
        <f>+bma_se!B249/data!$K249</f>
        <v>1.9008419523104052</v>
      </c>
      <c r="C249">
        <f>+bma_se!C249/data!$K249</f>
        <v>0</v>
      </c>
      <c r="D249">
        <f>+bma_se!D249/data!$K249</f>
        <v>0</v>
      </c>
      <c r="E249">
        <f>+bma_se!E249/data!$K249</f>
        <v>1.9008419523104052</v>
      </c>
      <c r="F249">
        <f>+bma_se!F249/data!$K249</f>
        <v>0</v>
      </c>
      <c r="G249">
        <f>+bma_se!G249/data!$K249</f>
        <v>1.9008419523104052</v>
      </c>
      <c r="H249">
        <f>+bma_se!H249/data!$K249</f>
        <v>1.9008419523104052</v>
      </c>
      <c r="I249">
        <f>+bma_se!I249/data!$K249</f>
        <v>0</v>
      </c>
      <c r="J249">
        <f>+bma_se!J249/data!$K249</f>
        <v>0</v>
      </c>
      <c r="K249">
        <f>+bma_se!K249/data!$K249</f>
        <v>0</v>
      </c>
      <c r="L249">
        <f>+bma_se!L249/data!$K249</f>
        <v>0</v>
      </c>
      <c r="M249">
        <f>+bma_se!M249/data!$K249</f>
        <v>0</v>
      </c>
      <c r="N249">
        <f>+bma_se!N249/data!$K249</f>
        <v>0</v>
      </c>
      <c r="O249">
        <f>+bma_se!O249/data!$K249</f>
        <v>1.9008419523104052</v>
      </c>
      <c r="P249">
        <f>+bma_se!P249/data!$K249</f>
        <v>1.9008419523104052</v>
      </c>
      <c r="Q249">
        <f>+bma_se!Q249/data!$K249</f>
        <v>14.438586377135081</v>
      </c>
      <c r="R249">
        <f>+bma_se!R249/data!$K249</f>
        <v>8.3531530164885073</v>
      </c>
      <c r="S249">
        <f>+bma_se!S249/data!$K249</f>
        <v>1.9008419523104052</v>
      </c>
    </row>
    <row r="250" spans="1:19" x14ac:dyDescent="0.25">
      <c r="A250">
        <f>+bma_se!A250/data!$K250</f>
        <v>-0.41249999999999998</v>
      </c>
      <c r="B250">
        <f>+bma_se!B250/data!$K250</f>
        <v>1.243043140844275</v>
      </c>
      <c r="C250">
        <f>+bma_se!C250/data!$K250</f>
        <v>0</v>
      </c>
      <c r="D250">
        <f>+bma_se!D250/data!$K250</f>
        <v>1.243043140844275</v>
      </c>
      <c r="E250">
        <f>+bma_se!E250/data!$K250</f>
        <v>0</v>
      </c>
      <c r="F250">
        <f>+bma_se!F250/data!$K250</f>
        <v>0</v>
      </c>
      <c r="G250">
        <f>+bma_se!G250/data!$K250</f>
        <v>0</v>
      </c>
      <c r="H250">
        <f>+bma_se!H250/data!$K250</f>
        <v>0</v>
      </c>
      <c r="I250">
        <f>+bma_se!I250/data!$K250</f>
        <v>1.243043140844275</v>
      </c>
      <c r="J250">
        <f>+bma_se!J250/data!$K250</f>
        <v>0</v>
      </c>
      <c r="K250">
        <f>+bma_se!K250/data!$K250</f>
        <v>0</v>
      </c>
      <c r="L250">
        <f>+bma_se!L250/data!$K250</f>
        <v>0</v>
      </c>
      <c r="M250">
        <f>+bma_se!M250/data!$K250</f>
        <v>0</v>
      </c>
      <c r="N250">
        <f>+bma_se!N250/data!$K250</f>
        <v>0</v>
      </c>
      <c r="O250">
        <f>+bma_se!O250/data!$K250</f>
        <v>1.243043140844275</v>
      </c>
      <c r="P250">
        <f>+bma_se!P250/data!$K250</f>
        <v>1.243043140844275</v>
      </c>
      <c r="Q250">
        <f>+bma_se!Q250/data!$K250</f>
        <v>9.4313536529591762</v>
      </c>
      <c r="R250">
        <f>+bma_se!R250/data!$K250</f>
        <v>1.7232232478935732</v>
      </c>
      <c r="S250">
        <f>+bma_se!S250/data!$K250</f>
        <v>1.243043140844275</v>
      </c>
    </row>
    <row r="251" spans="1:19" x14ac:dyDescent="0.25">
      <c r="A251">
        <f>+bma_se!A251/data!$K251</f>
        <v>-0.63249999999999995</v>
      </c>
      <c r="B251">
        <f>+bma_se!B251/data!$K251</f>
        <v>1.0428596501926806</v>
      </c>
      <c r="C251">
        <f>+bma_se!C251/data!$K251</f>
        <v>0</v>
      </c>
      <c r="D251">
        <f>+bma_se!D251/data!$K251</f>
        <v>1.0428596501926806</v>
      </c>
      <c r="E251">
        <f>+bma_se!E251/data!$K251</f>
        <v>0</v>
      </c>
      <c r="F251">
        <f>+bma_se!F251/data!$K251</f>
        <v>0</v>
      </c>
      <c r="G251">
        <f>+bma_se!G251/data!$K251</f>
        <v>0</v>
      </c>
      <c r="H251">
        <f>+bma_se!H251/data!$K251</f>
        <v>0</v>
      </c>
      <c r="I251">
        <f>+bma_se!I251/data!$K251</f>
        <v>1.0428596501926806</v>
      </c>
      <c r="J251">
        <f>+bma_se!J251/data!$K251</f>
        <v>0</v>
      </c>
      <c r="K251">
        <f>+bma_se!K251/data!$K251</f>
        <v>0</v>
      </c>
      <c r="L251">
        <f>+bma_se!L251/data!$K251</f>
        <v>0</v>
      </c>
      <c r="M251">
        <f>+bma_se!M251/data!$K251</f>
        <v>0</v>
      </c>
      <c r="N251">
        <f>+bma_se!N251/data!$K251</f>
        <v>0</v>
      </c>
      <c r="O251">
        <f>+bma_se!O251/data!$K251</f>
        <v>1.0428596501926806</v>
      </c>
      <c r="P251">
        <f>+bma_se!P251/data!$K251</f>
        <v>1.0428596501926806</v>
      </c>
      <c r="Q251">
        <f>+bma_se!Q251/data!$K251</f>
        <v>7.912499452503428</v>
      </c>
      <c r="R251">
        <f>+bma_se!R251/data!$K251</f>
        <v>1.4457100759042119</v>
      </c>
      <c r="S251">
        <f>+bma_se!S251/data!$K251</f>
        <v>1.0428596501926806</v>
      </c>
    </row>
    <row r="252" spans="1:19" x14ac:dyDescent="0.25">
      <c r="A252">
        <f>+bma_se!A252/data!$K252</f>
        <v>-0.1075</v>
      </c>
      <c r="B252">
        <f>+bma_se!B252/data!$K252</f>
        <v>0.79784475306916702</v>
      </c>
      <c r="C252">
        <f>+bma_se!C252/data!$K252</f>
        <v>0</v>
      </c>
      <c r="D252">
        <f>+bma_se!D252/data!$K252</f>
        <v>0.79784475306916702</v>
      </c>
      <c r="E252">
        <f>+bma_se!E252/data!$K252</f>
        <v>0</v>
      </c>
      <c r="F252">
        <f>+bma_se!F252/data!$K252</f>
        <v>0</v>
      </c>
      <c r="G252">
        <f>+bma_se!G252/data!$K252</f>
        <v>0</v>
      </c>
      <c r="H252">
        <f>+bma_se!H252/data!$K252</f>
        <v>0</v>
      </c>
      <c r="I252">
        <f>+bma_se!I252/data!$K252</f>
        <v>0.79784475306916702</v>
      </c>
      <c r="J252">
        <f>+bma_se!J252/data!$K252</f>
        <v>0</v>
      </c>
      <c r="K252">
        <f>+bma_se!K252/data!$K252</f>
        <v>0</v>
      </c>
      <c r="L252">
        <f>+bma_se!L252/data!$K252</f>
        <v>0</v>
      </c>
      <c r="M252">
        <f>+bma_se!M252/data!$K252</f>
        <v>0</v>
      </c>
      <c r="N252">
        <f>+bma_se!N252/data!$K252</f>
        <v>0</v>
      </c>
      <c r="O252">
        <f>+bma_se!O252/data!$K252</f>
        <v>0.79784475306916702</v>
      </c>
      <c r="P252">
        <f>+bma_se!P252/data!$K252</f>
        <v>0.79784475306916702</v>
      </c>
      <c r="Q252">
        <f>+bma_se!Q252/data!$K252</f>
        <v>6.0534954734092219</v>
      </c>
      <c r="R252">
        <f>+bma_se!R252/data!$K252</f>
        <v>1.1060473941112678</v>
      </c>
      <c r="S252">
        <f>+bma_se!S252/data!$K252</f>
        <v>0.79784475306916702</v>
      </c>
    </row>
    <row r="253" spans="1:19" x14ac:dyDescent="0.25">
      <c r="A253">
        <f>+bma_se!A253/data!$K253</f>
        <v>-0.2475</v>
      </c>
      <c r="B253">
        <f>+bma_se!B253/data!$K253</f>
        <v>0.74917037448099888</v>
      </c>
      <c r="C253">
        <f>+bma_se!C253/data!$K253</f>
        <v>0</v>
      </c>
      <c r="D253">
        <f>+bma_se!D253/data!$K253</f>
        <v>0.74917037448099888</v>
      </c>
      <c r="E253">
        <f>+bma_se!E253/data!$K253</f>
        <v>0</v>
      </c>
      <c r="F253">
        <f>+bma_se!F253/data!$K253</f>
        <v>0</v>
      </c>
      <c r="G253">
        <f>+bma_se!G253/data!$K253</f>
        <v>0</v>
      </c>
      <c r="H253">
        <f>+bma_se!H253/data!$K253</f>
        <v>0</v>
      </c>
      <c r="I253">
        <f>+bma_se!I253/data!$K253</f>
        <v>0.74917037448099888</v>
      </c>
      <c r="J253">
        <f>+bma_se!J253/data!$K253</f>
        <v>0</v>
      </c>
      <c r="K253">
        <f>+bma_se!K253/data!$K253</f>
        <v>0</v>
      </c>
      <c r="L253">
        <f>+bma_se!L253/data!$K253</f>
        <v>0</v>
      </c>
      <c r="M253">
        <f>+bma_se!M253/data!$K253</f>
        <v>0</v>
      </c>
      <c r="N253">
        <f>+bma_se!N253/data!$K253</f>
        <v>0</v>
      </c>
      <c r="O253">
        <f>+bma_se!O253/data!$K253</f>
        <v>0.74917037448099888</v>
      </c>
      <c r="P253">
        <f>+bma_se!P253/data!$K253</f>
        <v>0.74917037448099888</v>
      </c>
      <c r="Q253">
        <f>+bma_se!Q253/data!$K253</f>
        <v>5.6841878740034275</v>
      </c>
      <c r="R253">
        <f>+bma_se!R253/data!$K253</f>
        <v>1.0385703951207619</v>
      </c>
      <c r="S253">
        <f>+bma_se!S253/data!$K253</f>
        <v>0.74917037448099888</v>
      </c>
    </row>
    <row r="254" spans="1:19" x14ac:dyDescent="0.25">
      <c r="A254">
        <f>+bma_se!A254/data!$K254</f>
        <v>-0.61966666666666992</v>
      </c>
      <c r="B254">
        <f>+bma_se!B254/data!$K254</f>
        <v>1.7145093564438012</v>
      </c>
      <c r="C254">
        <f>+bma_se!C254/data!$K254</f>
        <v>0</v>
      </c>
      <c r="D254">
        <f>+bma_se!D254/data!$K254</f>
        <v>1.7145093564438012</v>
      </c>
      <c r="E254">
        <f>+bma_se!E254/data!$K254</f>
        <v>0</v>
      </c>
      <c r="F254">
        <f>+bma_se!F254/data!$K254</f>
        <v>0</v>
      </c>
      <c r="G254">
        <f>+bma_se!G254/data!$K254</f>
        <v>1.7145093564438012</v>
      </c>
      <c r="H254">
        <f>+bma_se!H254/data!$K254</f>
        <v>1.7145093564438012</v>
      </c>
      <c r="I254">
        <f>+bma_se!I254/data!$K254</f>
        <v>1.7145093564438012</v>
      </c>
      <c r="J254">
        <f>+bma_se!J254/data!$K254</f>
        <v>0</v>
      </c>
      <c r="K254">
        <f>+bma_se!K254/data!$K254</f>
        <v>0</v>
      </c>
      <c r="L254">
        <f>+bma_se!L254/data!$K254</f>
        <v>0</v>
      </c>
      <c r="M254">
        <f>+bma_se!M254/data!$K254</f>
        <v>0</v>
      </c>
      <c r="N254">
        <f>+bma_se!N254/data!$K254</f>
        <v>1.7145093564438012</v>
      </c>
      <c r="O254">
        <f>+bma_se!O254/data!$K254</f>
        <v>0</v>
      </c>
      <c r="P254">
        <f>+bma_se!P254/data!$K254</f>
        <v>1.7145093564438012</v>
      </c>
      <c r="Q254">
        <f>+bma_se!Q254/data!$K254</f>
        <v>13.028385148680803</v>
      </c>
      <c r="R254">
        <f>+bma_se!R254/data!$K254</f>
        <v>5.7130966500888176</v>
      </c>
      <c r="S254">
        <f>+bma_se!S254/data!$K254</f>
        <v>1.7145093564438012</v>
      </c>
    </row>
    <row r="255" spans="1:19" x14ac:dyDescent="0.25">
      <c r="A255">
        <f>+bma_se!A255/data!$K255</f>
        <v>-0.68000000000000327</v>
      </c>
      <c r="B255">
        <f>+bma_se!B255/data!$K255</f>
        <v>1.7372263973229165</v>
      </c>
      <c r="C255">
        <f>+bma_se!C255/data!$K255</f>
        <v>0</v>
      </c>
      <c r="D255">
        <f>+bma_se!D255/data!$K255</f>
        <v>1.7372263973229165</v>
      </c>
      <c r="E255">
        <f>+bma_se!E255/data!$K255</f>
        <v>0</v>
      </c>
      <c r="F255">
        <f>+bma_se!F255/data!$K255</f>
        <v>1.7372263973229165</v>
      </c>
      <c r="G255">
        <f>+bma_se!G255/data!$K255</f>
        <v>0</v>
      </c>
      <c r="H255">
        <f>+bma_se!H255/data!$K255</f>
        <v>1.7372263973229165</v>
      </c>
      <c r="I255">
        <f>+bma_se!I255/data!$K255</f>
        <v>1.7372263973229165</v>
      </c>
      <c r="J255">
        <f>+bma_se!J255/data!$K255</f>
        <v>0</v>
      </c>
      <c r="K255">
        <f>+bma_se!K255/data!$K255</f>
        <v>0</v>
      </c>
      <c r="L255">
        <f>+bma_se!L255/data!$K255</f>
        <v>0</v>
      </c>
      <c r="M255">
        <f>+bma_se!M255/data!$K255</f>
        <v>0</v>
      </c>
      <c r="N255">
        <f>+bma_se!N255/data!$K255</f>
        <v>1.7372263973229165</v>
      </c>
      <c r="O255">
        <f>+bma_se!O255/data!$K255</f>
        <v>0</v>
      </c>
      <c r="P255">
        <f>+bma_se!P255/data!$K255</f>
        <v>1.7372263973229165</v>
      </c>
      <c r="Q255">
        <f>+bma_se!Q255/data!$K255</f>
        <v>13.201009670617111</v>
      </c>
      <c r="R255">
        <f>+bma_se!R255/data!$K255</f>
        <v>5.7887944872914092</v>
      </c>
      <c r="S255">
        <f>+bma_se!S255/data!$K255</f>
        <v>1.7372263973229165</v>
      </c>
    </row>
    <row r="256" spans="1:19" x14ac:dyDescent="0.25">
      <c r="A256">
        <f>+bma_se!A256/data!$K256</f>
        <v>-0.89833333333333387</v>
      </c>
      <c r="B256">
        <f>+bma_se!B256/data!$K256</f>
        <v>1.8337279878251664</v>
      </c>
      <c r="C256">
        <f>+bma_se!C256/data!$K256</f>
        <v>0</v>
      </c>
      <c r="D256">
        <f>+bma_se!D256/data!$K256</f>
        <v>1.8337279878251664</v>
      </c>
      <c r="E256">
        <f>+bma_se!E256/data!$K256</f>
        <v>0</v>
      </c>
      <c r="F256">
        <f>+bma_se!F256/data!$K256</f>
        <v>0</v>
      </c>
      <c r="G256">
        <f>+bma_se!G256/data!$K256</f>
        <v>0</v>
      </c>
      <c r="H256">
        <f>+bma_se!H256/data!$K256</f>
        <v>1.8337279878251664</v>
      </c>
      <c r="I256">
        <f>+bma_se!I256/data!$K256</f>
        <v>1.8337279878251664</v>
      </c>
      <c r="J256">
        <f>+bma_se!J256/data!$K256</f>
        <v>0</v>
      </c>
      <c r="K256">
        <f>+bma_se!K256/data!$K256</f>
        <v>0</v>
      </c>
      <c r="L256">
        <f>+bma_se!L256/data!$K256</f>
        <v>0</v>
      </c>
      <c r="M256">
        <f>+bma_se!M256/data!$K256</f>
        <v>0</v>
      </c>
      <c r="N256">
        <f>+bma_se!N256/data!$K256</f>
        <v>1.8337279878251664</v>
      </c>
      <c r="O256">
        <f>+bma_se!O256/data!$K256</f>
        <v>0</v>
      </c>
      <c r="P256">
        <f>+bma_se!P256/data!$K256</f>
        <v>1.8337279878251664</v>
      </c>
      <c r="Q256">
        <f>+bma_se!Q256/data!$K256</f>
        <v>13.934315606684658</v>
      </c>
      <c r="R256">
        <f>+bma_se!R256/data!$K256</f>
        <v>6.1103575696709589</v>
      </c>
      <c r="S256">
        <f>+bma_se!S256/data!$K256</f>
        <v>1.8337279878251664</v>
      </c>
    </row>
    <row r="257" spans="1:19" x14ac:dyDescent="0.25">
      <c r="A257">
        <f>+bma_se!A257/data!$K257</f>
        <v>-1.8333333333333333E-2</v>
      </c>
      <c r="B257">
        <f>+bma_se!B257/data!$K257</f>
        <v>0.83353497560423673</v>
      </c>
      <c r="C257">
        <f>+bma_se!C257/data!$K257</f>
        <v>0.83353497560423673</v>
      </c>
      <c r="D257">
        <f>+bma_se!D257/data!$K257</f>
        <v>0</v>
      </c>
      <c r="E257">
        <f>+bma_se!E257/data!$K257</f>
        <v>0</v>
      </c>
      <c r="F257">
        <f>+bma_se!F257/data!$K257</f>
        <v>0</v>
      </c>
      <c r="G257">
        <f>+bma_se!G257/data!$K257</f>
        <v>0.83353497560423673</v>
      </c>
      <c r="H257">
        <f>+bma_se!H257/data!$K257</f>
        <v>0</v>
      </c>
      <c r="I257">
        <f>+bma_se!I257/data!$K257</f>
        <v>0.83353497560423673</v>
      </c>
      <c r="J257">
        <f>+bma_se!J257/data!$K257</f>
        <v>0</v>
      </c>
      <c r="K257">
        <f>+bma_se!K257/data!$K257</f>
        <v>0</v>
      </c>
      <c r="L257">
        <f>+bma_se!L257/data!$K257</f>
        <v>0.83353497560423673</v>
      </c>
      <c r="M257">
        <f>+bma_se!M257/data!$K257</f>
        <v>0</v>
      </c>
      <c r="N257">
        <f>+bma_se!N257/data!$K257</f>
        <v>0</v>
      </c>
      <c r="O257">
        <f>+bma_se!O257/data!$K257</f>
        <v>0</v>
      </c>
      <c r="P257">
        <f>+bma_se!P257/data!$K257</f>
        <v>0</v>
      </c>
      <c r="Q257">
        <f>+bma_se!Q257/data!$K257</f>
        <v>6.3297629134715505</v>
      </c>
      <c r="R257">
        <f>+bma_se!R257/data!$K257</f>
        <v>2.6830457281330631</v>
      </c>
      <c r="S257">
        <f>+bma_se!S257/data!$K257</f>
        <v>0.83353497560423673</v>
      </c>
    </row>
    <row r="258" spans="1:19" x14ac:dyDescent="0.25">
      <c r="A258">
        <f>+bma_se!A258/data!$K258</f>
        <v>-2.6666666666666668E-2</v>
      </c>
      <c r="B258">
        <f>+bma_se!B258/data!$K258</f>
        <v>0.83375989082922153</v>
      </c>
      <c r="C258">
        <f>+bma_se!C258/data!$K258</f>
        <v>0.83375989082922153</v>
      </c>
      <c r="D258">
        <f>+bma_se!D258/data!$K258</f>
        <v>0</v>
      </c>
      <c r="E258">
        <f>+bma_se!E258/data!$K258</f>
        <v>0</v>
      </c>
      <c r="F258">
        <f>+bma_se!F258/data!$K258</f>
        <v>0.83375989082922153</v>
      </c>
      <c r="G258">
        <f>+bma_se!G258/data!$K258</f>
        <v>0</v>
      </c>
      <c r="H258">
        <f>+bma_se!H258/data!$K258</f>
        <v>0</v>
      </c>
      <c r="I258">
        <f>+bma_se!I258/data!$K258</f>
        <v>0.83375989082922153</v>
      </c>
      <c r="J258">
        <f>+bma_se!J258/data!$K258</f>
        <v>0</v>
      </c>
      <c r="K258">
        <f>+bma_se!K258/data!$K258</f>
        <v>0</v>
      </c>
      <c r="L258">
        <f>+bma_se!L258/data!$K258</f>
        <v>0.83375989082922153</v>
      </c>
      <c r="M258">
        <f>+bma_se!M258/data!$K258</f>
        <v>0</v>
      </c>
      <c r="N258">
        <f>+bma_se!N258/data!$K258</f>
        <v>0</v>
      </c>
      <c r="O258">
        <f>+bma_se!O258/data!$K258</f>
        <v>0</v>
      </c>
      <c r="P258">
        <f>+bma_se!P258/data!$K258</f>
        <v>0</v>
      </c>
      <c r="Q258">
        <f>+bma_se!Q258/data!$K258</f>
        <v>6.3314708922504268</v>
      </c>
      <c r="R258">
        <f>+bma_se!R258/data!$K258</f>
        <v>2.6837697023528011</v>
      </c>
      <c r="S258">
        <f>+bma_se!S258/data!$K258</f>
        <v>0.83375989082922153</v>
      </c>
    </row>
    <row r="259" spans="1:19" x14ac:dyDescent="0.25">
      <c r="A259">
        <f>+bma_se!A259/data!$K259</f>
        <v>-4.1666666666666664E-2</v>
      </c>
      <c r="B259">
        <f>+bma_se!B259/data!$K259</f>
        <v>0.83437434977086611</v>
      </c>
      <c r="C259">
        <f>+bma_se!C259/data!$K259</f>
        <v>0.83437434977086611</v>
      </c>
      <c r="D259">
        <f>+bma_se!D259/data!$K259</f>
        <v>0</v>
      </c>
      <c r="E259">
        <f>+bma_se!E259/data!$K259</f>
        <v>0</v>
      </c>
      <c r="F259">
        <f>+bma_se!F259/data!$K259</f>
        <v>0</v>
      </c>
      <c r="G259">
        <f>+bma_se!G259/data!$K259</f>
        <v>0</v>
      </c>
      <c r="H259">
        <f>+bma_se!H259/data!$K259</f>
        <v>0</v>
      </c>
      <c r="I259">
        <f>+bma_se!I259/data!$K259</f>
        <v>0.83437434977086611</v>
      </c>
      <c r="J259">
        <f>+bma_se!J259/data!$K259</f>
        <v>0</v>
      </c>
      <c r="K259">
        <f>+bma_se!K259/data!$K259</f>
        <v>0</v>
      </c>
      <c r="L259">
        <f>+bma_se!L259/data!$K259</f>
        <v>0.83437434977086611</v>
      </c>
      <c r="M259">
        <f>+bma_se!M259/data!$K259</f>
        <v>0</v>
      </c>
      <c r="N259">
        <f>+bma_se!N259/data!$K259</f>
        <v>0</v>
      </c>
      <c r="O259">
        <f>+bma_se!O259/data!$K259</f>
        <v>0</v>
      </c>
      <c r="P259">
        <f>+bma_se!P259/data!$K259</f>
        <v>0</v>
      </c>
      <c r="Q259">
        <f>+bma_se!Q259/data!$K259</f>
        <v>6.3361370184892856</v>
      </c>
      <c r="R259">
        <f>+bma_se!R259/data!$K259</f>
        <v>2.6857475694930462</v>
      </c>
      <c r="S259">
        <f>+bma_se!S259/data!$K259</f>
        <v>0.83437434977086611</v>
      </c>
    </row>
    <row r="260" spans="1:19" x14ac:dyDescent="0.25">
      <c r="A260">
        <f>+bma_se!A260/data!$K260</f>
        <v>0.01</v>
      </c>
      <c r="B260">
        <f>+bma_se!B260/data!$K260</f>
        <v>0.83339333117348879</v>
      </c>
      <c r="C260">
        <f>+bma_se!C260/data!$K260</f>
        <v>0.83339333117348879</v>
      </c>
      <c r="D260">
        <f>+bma_se!D260/data!$K260</f>
        <v>0</v>
      </c>
      <c r="E260">
        <f>+bma_se!E260/data!$K260</f>
        <v>0</v>
      </c>
      <c r="F260">
        <f>+bma_se!F260/data!$K260</f>
        <v>0</v>
      </c>
      <c r="G260">
        <f>+bma_se!G260/data!$K260</f>
        <v>0.83339333117348879</v>
      </c>
      <c r="H260">
        <f>+bma_se!H260/data!$K260</f>
        <v>0</v>
      </c>
      <c r="I260">
        <f>+bma_se!I260/data!$K260</f>
        <v>0.83339333117348879</v>
      </c>
      <c r="J260">
        <f>+bma_se!J260/data!$K260</f>
        <v>0</v>
      </c>
      <c r="K260">
        <f>+bma_se!K260/data!$K260</f>
        <v>0</v>
      </c>
      <c r="L260">
        <f>+bma_se!L260/data!$K260</f>
        <v>0</v>
      </c>
      <c r="M260">
        <f>+bma_se!M260/data!$K260</f>
        <v>0.83339333117348879</v>
      </c>
      <c r="N260">
        <f>+bma_se!N260/data!$K260</f>
        <v>0</v>
      </c>
      <c r="O260">
        <f>+bma_se!O260/data!$K260</f>
        <v>0</v>
      </c>
      <c r="P260">
        <f>+bma_se!P260/data!$K260</f>
        <v>0</v>
      </c>
      <c r="Q260">
        <f>+bma_se!Q260/data!$K260</f>
        <v>6.3286872829450713</v>
      </c>
      <c r="R260">
        <f>+bma_se!R260/data!$K260</f>
        <v>2.6825897922743951</v>
      </c>
      <c r="S260">
        <f>+bma_se!S260/data!$K260</f>
        <v>0.83339333117348879</v>
      </c>
    </row>
    <row r="261" spans="1:19" x14ac:dyDescent="0.25">
      <c r="A261">
        <f>+bma_se!A261/data!$K261</f>
        <v>4.1666666666666664E-2</v>
      </c>
      <c r="B261">
        <f>+bma_se!B261/data!$K261</f>
        <v>0.83437434977086611</v>
      </c>
      <c r="C261">
        <f>+bma_se!C261/data!$K261</f>
        <v>0.83437434977086611</v>
      </c>
      <c r="D261">
        <f>+bma_se!D261/data!$K261</f>
        <v>0</v>
      </c>
      <c r="E261">
        <f>+bma_se!E261/data!$K261</f>
        <v>0</v>
      </c>
      <c r="F261">
        <f>+bma_se!F261/data!$K261</f>
        <v>0.83437434977086611</v>
      </c>
      <c r="G261">
        <f>+bma_se!G261/data!$K261</f>
        <v>0</v>
      </c>
      <c r="H261">
        <f>+bma_se!H261/data!$K261</f>
        <v>0</v>
      </c>
      <c r="I261">
        <f>+bma_se!I261/data!$K261</f>
        <v>0.83437434977086611</v>
      </c>
      <c r="J261">
        <f>+bma_se!J261/data!$K261</f>
        <v>0</v>
      </c>
      <c r="K261">
        <f>+bma_se!K261/data!$K261</f>
        <v>0</v>
      </c>
      <c r="L261">
        <f>+bma_se!L261/data!$K261</f>
        <v>0</v>
      </c>
      <c r="M261">
        <f>+bma_se!M261/data!$K261</f>
        <v>0.83437434977086611</v>
      </c>
      <c r="N261">
        <f>+bma_se!N261/data!$K261</f>
        <v>0</v>
      </c>
      <c r="O261">
        <f>+bma_se!O261/data!$K261</f>
        <v>0</v>
      </c>
      <c r="P261">
        <f>+bma_se!P261/data!$K261</f>
        <v>0</v>
      </c>
      <c r="Q261">
        <f>+bma_se!Q261/data!$K261</f>
        <v>6.3361370184892856</v>
      </c>
      <c r="R261">
        <f>+bma_se!R261/data!$K261</f>
        <v>2.6857475694930462</v>
      </c>
      <c r="S261">
        <f>+bma_se!S261/data!$K261</f>
        <v>0.83437434977086611</v>
      </c>
    </row>
    <row r="262" spans="1:19" x14ac:dyDescent="0.25">
      <c r="A262">
        <f>+bma_se!A262/data!$K262</f>
        <v>-0.03</v>
      </c>
      <c r="B262">
        <f>+bma_se!B262/data!$K262</f>
        <v>0.83387315848661547</v>
      </c>
      <c r="C262">
        <f>+bma_se!C262/data!$K262</f>
        <v>0.83387315848661547</v>
      </c>
      <c r="D262">
        <f>+bma_se!D262/data!$K262</f>
        <v>0</v>
      </c>
      <c r="E262">
        <f>+bma_se!E262/data!$K262</f>
        <v>0</v>
      </c>
      <c r="F262">
        <f>+bma_se!F262/data!$K262</f>
        <v>0</v>
      </c>
      <c r="G262">
        <f>+bma_se!G262/data!$K262</f>
        <v>0</v>
      </c>
      <c r="H262">
        <f>+bma_se!H262/data!$K262</f>
        <v>0</v>
      </c>
      <c r="I262">
        <f>+bma_se!I262/data!$K262</f>
        <v>0.83387315848661547</v>
      </c>
      <c r="J262">
        <f>+bma_se!J262/data!$K262</f>
        <v>0</v>
      </c>
      <c r="K262">
        <f>+bma_se!K262/data!$K262</f>
        <v>0</v>
      </c>
      <c r="L262">
        <f>+bma_se!L262/data!$K262</f>
        <v>0</v>
      </c>
      <c r="M262">
        <f>+bma_se!M262/data!$K262</f>
        <v>0.83387315848661547</v>
      </c>
      <c r="N262">
        <f>+bma_se!N262/data!$K262</f>
        <v>0</v>
      </c>
      <c r="O262">
        <f>+bma_se!O262/data!$K262</f>
        <v>0</v>
      </c>
      <c r="P262">
        <f>+bma_se!P262/data!$K262</f>
        <v>0</v>
      </c>
      <c r="Q262">
        <f>+bma_se!Q262/data!$K262</f>
        <v>6.3323310330220233</v>
      </c>
      <c r="R262">
        <f>+bma_se!R262/data!$K262</f>
        <v>2.684134296896763</v>
      </c>
      <c r="S262">
        <f>+bma_se!S262/data!$K262</f>
        <v>0.83387315848661547</v>
      </c>
    </row>
    <row r="263" spans="1:19" x14ac:dyDescent="0.25">
      <c r="A263">
        <f>+bma_se!A263/data!$K263</f>
        <v>-6.5104166666666671E-2</v>
      </c>
      <c r="B263">
        <f>+bma_se!B263/data!$K263</f>
        <v>0.76753833502127944</v>
      </c>
      <c r="C263">
        <f>+bma_se!C263/data!$K263</f>
        <v>0.76753833502127944</v>
      </c>
      <c r="D263">
        <f>+bma_se!D263/data!$K263</f>
        <v>0</v>
      </c>
      <c r="E263">
        <f>+bma_se!E263/data!$K263</f>
        <v>0</v>
      </c>
      <c r="F263">
        <f>+bma_se!F263/data!$K263</f>
        <v>0</v>
      </c>
      <c r="G263">
        <f>+bma_se!G263/data!$K263</f>
        <v>0</v>
      </c>
      <c r="H263">
        <f>+bma_se!H263/data!$K263</f>
        <v>0</v>
      </c>
      <c r="I263">
        <f>+bma_se!I263/data!$K263</f>
        <v>0</v>
      </c>
      <c r="J263">
        <f>+bma_se!J263/data!$K263</f>
        <v>0</v>
      </c>
      <c r="K263">
        <f>+bma_se!K263/data!$K263</f>
        <v>0.76753833502127944</v>
      </c>
      <c r="L263">
        <f>+bma_se!L263/data!$K263</f>
        <v>0</v>
      </c>
      <c r="M263">
        <f>+bma_se!M263/data!$K263</f>
        <v>0</v>
      </c>
      <c r="N263">
        <f>+bma_se!N263/data!$K263</f>
        <v>0.76753833502127944</v>
      </c>
      <c r="O263">
        <f>+bma_se!O263/data!$K263</f>
        <v>0</v>
      </c>
      <c r="P263">
        <f>+bma_se!P263/data!$K263</f>
        <v>0.76753833502127944</v>
      </c>
      <c r="Q263">
        <f>+bma_se!Q263/data!$K263</f>
        <v>5.8366654446824775</v>
      </c>
      <c r="R263">
        <f>+bma_se!R263/data!$K263</f>
        <v>3.6007894329254082</v>
      </c>
      <c r="S263">
        <f>+bma_se!S263/data!$K263</f>
        <v>0.76753833502127944</v>
      </c>
    </row>
    <row r="264" spans="1:19" x14ac:dyDescent="0.25">
      <c r="A264">
        <f>+bma_se!A264/data!$K264</f>
        <v>-8.0246913580246909E-2</v>
      </c>
      <c r="B264">
        <f>+bma_se!B264/data!$K264</f>
        <v>0.78731537077913172</v>
      </c>
      <c r="C264">
        <f>+bma_se!C264/data!$K264</f>
        <v>0.78731537077913172</v>
      </c>
      <c r="D264">
        <f>+bma_se!D264/data!$K264</f>
        <v>0</v>
      </c>
      <c r="E264">
        <f>+bma_se!E264/data!$K264</f>
        <v>0</v>
      </c>
      <c r="F264">
        <f>+bma_se!F264/data!$K264</f>
        <v>0</v>
      </c>
      <c r="G264">
        <f>+bma_se!G264/data!$K264</f>
        <v>0</v>
      </c>
      <c r="H264">
        <f>+bma_se!H264/data!$K264</f>
        <v>0</v>
      </c>
      <c r="I264">
        <f>+bma_se!I264/data!$K264</f>
        <v>0</v>
      </c>
      <c r="J264">
        <f>+bma_se!J264/data!$K264</f>
        <v>0</v>
      </c>
      <c r="K264">
        <f>+bma_se!K264/data!$K264</f>
        <v>0.78731537077913172</v>
      </c>
      <c r="L264">
        <f>+bma_se!L264/data!$K264</f>
        <v>0</v>
      </c>
      <c r="M264">
        <f>+bma_se!M264/data!$K264</f>
        <v>0</v>
      </c>
      <c r="N264">
        <f>+bma_se!N264/data!$K264</f>
        <v>0</v>
      </c>
      <c r="O264">
        <f>+bma_se!O264/data!$K264</f>
        <v>0</v>
      </c>
      <c r="P264">
        <f>+bma_se!P264/data!$K264</f>
        <v>0.78731537077913172</v>
      </c>
      <c r="Q264">
        <f>+bma_se!Q264/data!$K264</f>
        <v>5.9870578562913463</v>
      </c>
      <c r="R264">
        <f>+bma_se!R264/data!$K264</f>
        <v>3.6935703900739378</v>
      </c>
      <c r="S264">
        <f>+bma_se!S264/data!$K264</f>
        <v>0.78731537077913172</v>
      </c>
    </row>
    <row r="265" spans="1:19" x14ac:dyDescent="0.25">
      <c r="A265">
        <f>+bma_se!A265/data!$K265</f>
        <v>-0.125</v>
      </c>
      <c r="B265">
        <f>+bma_se!B265/data!$K265</f>
        <v>0.96194969838459954</v>
      </c>
      <c r="C265">
        <f>+bma_se!C265/data!$K265</f>
        <v>0.96194969838459954</v>
      </c>
      <c r="D265">
        <f>+bma_se!D265/data!$K265</f>
        <v>0</v>
      </c>
      <c r="E265">
        <f>+bma_se!E265/data!$K265</f>
        <v>0</v>
      </c>
      <c r="F265">
        <f>+bma_se!F265/data!$K265</f>
        <v>0</v>
      </c>
      <c r="G265">
        <f>+bma_se!G265/data!$K265</f>
        <v>0</v>
      </c>
      <c r="H265">
        <f>+bma_se!H265/data!$K265</f>
        <v>0</v>
      </c>
      <c r="I265">
        <f>+bma_se!I265/data!$K265</f>
        <v>0</v>
      </c>
      <c r="J265">
        <f>+bma_se!J265/data!$K265</f>
        <v>0</v>
      </c>
      <c r="K265">
        <f>+bma_se!K265/data!$K265</f>
        <v>0.96194969838459954</v>
      </c>
      <c r="L265">
        <f>+bma_se!L265/data!$K265</f>
        <v>0</v>
      </c>
      <c r="M265">
        <f>+bma_se!M265/data!$K265</f>
        <v>0</v>
      </c>
      <c r="N265">
        <f>+bma_se!N265/data!$K265</f>
        <v>0</v>
      </c>
      <c r="O265">
        <f>+bma_se!O265/data!$K265</f>
        <v>0</v>
      </c>
      <c r="P265">
        <f>+bma_se!P265/data!$K265</f>
        <v>0.96194969838459954</v>
      </c>
      <c r="Q265">
        <f>+bma_se!Q265/data!$K265</f>
        <v>7.3150464385970553</v>
      </c>
      <c r="R265">
        <f>+bma_se!R265/data!$K265</f>
        <v>4.5128407936171939</v>
      </c>
      <c r="S265">
        <f>+bma_se!S265/data!$K265</f>
        <v>0.96194969838459954</v>
      </c>
    </row>
    <row r="266" spans="1:19" x14ac:dyDescent="0.25">
      <c r="A266">
        <f>+bma_se!A266/data!$K266</f>
        <v>-4.2592592592592599E-2</v>
      </c>
      <c r="B266">
        <f>+bma_se!B266/data!$K266</f>
        <v>0.26981805585384055</v>
      </c>
      <c r="C266">
        <f>+bma_se!C266/data!$K266</f>
        <v>0.26981805585384055</v>
      </c>
      <c r="D266">
        <f>+bma_se!D266/data!$K266</f>
        <v>0</v>
      </c>
      <c r="E266">
        <f>+bma_se!E266/data!$K266</f>
        <v>0</v>
      </c>
      <c r="F266">
        <f>+bma_se!F266/data!$K266</f>
        <v>0</v>
      </c>
      <c r="G266">
        <f>+bma_se!G266/data!$K266</f>
        <v>0</v>
      </c>
      <c r="H266">
        <f>+bma_se!H266/data!$K266</f>
        <v>0</v>
      </c>
      <c r="I266">
        <f>+bma_se!I266/data!$K266</f>
        <v>0</v>
      </c>
      <c r="J266">
        <f>+bma_se!J266/data!$K266</f>
        <v>0</v>
      </c>
      <c r="K266">
        <f>+bma_se!K266/data!$K266</f>
        <v>0.26981805585384055</v>
      </c>
      <c r="L266">
        <f>+bma_se!L266/data!$K266</f>
        <v>0</v>
      </c>
      <c r="M266">
        <f>+bma_se!M266/data!$K266</f>
        <v>0</v>
      </c>
      <c r="N266">
        <f>+bma_se!N266/data!$K266</f>
        <v>0.26981805585384055</v>
      </c>
      <c r="O266">
        <f>+bma_se!O266/data!$K266</f>
        <v>0</v>
      </c>
      <c r="P266">
        <f>+bma_se!P266/data!$K266</f>
        <v>0.26981805585384055</v>
      </c>
      <c r="Q266">
        <f>+bma_se!Q266/data!$K266</f>
        <v>2.0518033446627215</v>
      </c>
      <c r="R266">
        <f>+bma_se!R266/data!$K266</f>
        <v>1.265810396693803</v>
      </c>
      <c r="S266">
        <f>+bma_se!S266/data!$K266</f>
        <v>0.26981805585384055</v>
      </c>
    </row>
    <row r="267" spans="1:19" x14ac:dyDescent="0.25">
      <c r="A267">
        <f>+bma_se!A267/data!$K267</f>
        <v>-9.7222222222222224E-2</v>
      </c>
      <c r="B267">
        <f>+bma_se!B267/data!$K267</f>
        <v>0.28767104412788869</v>
      </c>
      <c r="C267">
        <f>+bma_se!C267/data!$K267</f>
        <v>0.28767104412788869</v>
      </c>
      <c r="D267">
        <f>+bma_se!D267/data!$K267</f>
        <v>0</v>
      </c>
      <c r="E267">
        <f>+bma_se!E267/data!$K267</f>
        <v>0</v>
      </c>
      <c r="F267">
        <f>+bma_se!F267/data!$K267</f>
        <v>0</v>
      </c>
      <c r="G267">
        <f>+bma_se!G267/data!$K267</f>
        <v>0</v>
      </c>
      <c r="H267">
        <f>+bma_se!H267/data!$K267</f>
        <v>0</v>
      </c>
      <c r="I267">
        <f>+bma_se!I267/data!$K267</f>
        <v>0</v>
      </c>
      <c r="J267">
        <f>+bma_se!J267/data!$K267</f>
        <v>0</v>
      </c>
      <c r="K267">
        <f>+bma_se!K267/data!$K267</f>
        <v>0.28767104412788869</v>
      </c>
      <c r="L267">
        <f>+bma_se!L267/data!$K267</f>
        <v>0</v>
      </c>
      <c r="M267">
        <f>+bma_se!M267/data!$K267</f>
        <v>0</v>
      </c>
      <c r="N267">
        <f>+bma_se!N267/data!$K267</f>
        <v>0</v>
      </c>
      <c r="O267">
        <f>+bma_se!O267/data!$K267</f>
        <v>0</v>
      </c>
      <c r="P267">
        <f>+bma_se!P267/data!$K267</f>
        <v>0.28767104412788869</v>
      </c>
      <c r="Q267">
        <f>+bma_se!Q267/data!$K267</f>
        <v>2.1875645372819399</v>
      </c>
      <c r="R267">
        <f>+bma_se!R267/data!$K267</f>
        <v>1.349564977527282</v>
      </c>
      <c r="S267">
        <f>+bma_se!S267/data!$K267</f>
        <v>0.28767104412788869</v>
      </c>
    </row>
    <row r="268" spans="1:19" x14ac:dyDescent="0.25">
      <c r="A268">
        <f>+bma_se!A268/data!$K268</f>
        <v>-8.564814814814814E-2</v>
      </c>
      <c r="B268">
        <f>+bma_se!B268/data!$K268</f>
        <v>0.34416088736565958</v>
      </c>
      <c r="C268">
        <f>+bma_se!C268/data!$K268</f>
        <v>0.34416088736565958</v>
      </c>
      <c r="D268">
        <f>+bma_se!D268/data!$K268</f>
        <v>0</v>
      </c>
      <c r="E268">
        <f>+bma_se!E268/data!$K268</f>
        <v>0</v>
      </c>
      <c r="F268">
        <f>+bma_se!F268/data!$K268</f>
        <v>0</v>
      </c>
      <c r="G268">
        <f>+bma_se!G268/data!$K268</f>
        <v>0</v>
      </c>
      <c r="H268">
        <f>+bma_se!H268/data!$K268</f>
        <v>0</v>
      </c>
      <c r="I268">
        <f>+bma_se!I268/data!$K268</f>
        <v>0</v>
      </c>
      <c r="J268">
        <f>+bma_se!J268/data!$K268</f>
        <v>0</v>
      </c>
      <c r="K268">
        <f>+bma_se!K268/data!$K268</f>
        <v>0.34416088736565958</v>
      </c>
      <c r="L268">
        <f>+bma_se!L268/data!$K268</f>
        <v>0</v>
      </c>
      <c r="M268">
        <f>+bma_se!M268/data!$K268</f>
        <v>0</v>
      </c>
      <c r="N268">
        <f>+bma_se!N268/data!$K268</f>
        <v>0</v>
      </c>
      <c r="O268">
        <f>+bma_se!O268/data!$K268</f>
        <v>0</v>
      </c>
      <c r="P268">
        <f>+bma_se!P268/data!$K268</f>
        <v>0.34416088736565958</v>
      </c>
      <c r="Q268">
        <f>+bma_se!Q268/data!$K268</f>
        <v>2.6171356752398727</v>
      </c>
      <c r="R268">
        <f>+bma_se!R268/data!$K268</f>
        <v>1.6145784906211123</v>
      </c>
      <c r="S268">
        <f>+bma_se!S268/data!$K268</f>
        <v>0.34416088736565958</v>
      </c>
    </row>
    <row r="269" spans="1:19" x14ac:dyDescent="0.25">
      <c r="A269">
        <f>+bma_se!A269/data!$K269</f>
        <v>-8.2465277777777776E-2</v>
      </c>
      <c r="B269">
        <f>+bma_se!B269/data!$K269</f>
        <v>0.70262595887737367</v>
      </c>
      <c r="C269">
        <f>+bma_se!C269/data!$K269</f>
        <v>0.70262595887737367</v>
      </c>
      <c r="D269">
        <f>+bma_se!D269/data!$K269</f>
        <v>0</v>
      </c>
      <c r="E269">
        <f>+bma_se!E269/data!$K269</f>
        <v>0</v>
      </c>
      <c r="F269">
        <f>+bma_se!F269/data!$K269</f>
        <v>0</v>
      </c>
      <c r="G269">
        <f>+bma_se!G269/data!$K269</f>
        <v>0</v>
      </c>
      <c r="H269">
        <f>+bma_se!H269/data!$K269</f>
        <v>0</v>
      </c>
      <c r="I269">
        <f>+bma_se!I269/data!$K269</f>
        <v>0</v>
      </c>
      <c r="J269">
        <f>+bma_se!J269/data!$K269</f>
        <v>0</v>
      </c>
      <c r="K269">
        <f>+bma_se!K269/data!$K269</f>
        <v>0.70262595887737367</v>
      </c>
      <c r="L269">
        <f>+bma_se!L269/data!$K269</f>
        <v>0</v>
      </c>
      <c r="M269">
        <f>+bma_se!M269/data!$K269</f>
        <v>0</v>
      </c>
      <c r="N269">
        <f>+bma_se!N269/data!$K269</f>
        <v>0.70262595887737367</v>
      </c>
      <c r="O269">
        <f>+bma_se!O269/data!$K269</f>
        <v>0</v>
      </c>
      <c r="P269">
        <f>+bma_se!P269/data!$K269</f>
        <v>0.70262595887737367</v>
      </c>
      <c r="Q269">
        <f>+bma_se!Q269/data!$K269</f>
        <v>5.343046031183265</v>
      </c>
      <c r="R269">
        <f>+bma_se!R269/data!$K269</f>
        <v>3.2962628869274488</v>
      </c>
      <c r="S269">
        <f>+bma_se!S269/data!$K269</f>
        <v>0.70262595887737367</v>
      </c>
    </row>
    <row r="270" spans="1:19" x14ac:dyDescent="0.25">
      <c r="A270">
        <f>+bma_se!A270/data!$K270</f>
        <v>-8.611111111111111E-2</v>
      </c>
      <c r="B270">
        <f>+bma_se!B270/data!$K270</f>
        <v>0.71557302428642444</v>
      </c>
      <c r="C270">
        <f>+bma_se!C270/data!$K270</f>
        <v>0.71557302428642444</v>
      </c>
      <c r="D270">
        <f>+bma_se!D270/data!$K270</f>
        <v>0</v>
      </c>
      <c r="E270">
        <f>+bma_se!E270/data!$K270</f>
        <v>0</v>
      </c>
      <c r="F270">
        <f>+bma_se!F270/data!$K270</f>
        <v>0</v>
      </c>
      <c r="G270">
        <f>+bma_se!G270/data!$K270</f>
        <v>0</v>
      </c>
      <c r="H270">
        <f>+bma_se!H270/data!$K270</f>
        <v>0</v>
      </c>
      <c r="I270">
        <f>+bma_se!I270/data!$K270</f>
        <v>0</v>
      </c>
      <c r="J270">
        <f>+bma_se!J270/data!$K270</f>
        <v>0</v>
      </c>
      <c r="K270">
        <f>+bma_se!K270/data!$K270</f>
        <v>0.71557302428642444</v>
      </c>
      <c r="L270">
        <f>+bma_se!L270/data!$K270</f>
        <v>0</v>
      </c>
      <c r="M270">
        <f>+bma_se!M270/data!$K270</f>
        <v>0</v>
      </c>
      <c r="N270">
        <f>+bma_se!N270/data!$K270</f>
        <v>0</v>
      </c>
      <c r="O270">
        <f>+bma_se!O270/data!$K270</f>
        <v>0</v>
      </c>
      <c r="P270">
        <f>+bma_se!P270/data!$K270</f>
        <v>0.71557302428642444</v>
      </c>
      <c r="Q270">
        <f>+bma_se!Q270/data!$K270</f>
        <v>5.4415006435915894</v>
      </c>
      <c r="R270">
        <f>+bma_se!R270/data!$K270</f>
        <v>3.3570020763400681</v>
      </c>
      <c r="S270">
        <f>+bma_se!S270/data!$K270</f>
        <v>0.71557302428642444</v>
      </c>
    </row>
    <row r="271" spans="1:19" x14ac:dyDescent="0.25">
      <c r="A271">
        <f>+bma_se!A271/data!$K271</f>
        <v>-0.125</v>
      </c>
      <c r="B271">
        <f>+bma_se!B271/data!$K271</f>
        <v>0.86924917935104729</v>
      </c>
      <c r="C271">
        <f>+bma_se!C271/data!$K271</f>
        <v>0.86924917935104729</v>
      </c>
      <c r="D271">
        <f>+bma_se!D271/data!$K271</f>
        <v>0</v>
      </c>
      <c r="E271">
        <f>+bma_se!E271/data!$K271</f>
        <v>0</v>
      </c>
      <c r="F271">
        <f>+bma_se!F271/data!$K271</f>
        <v>0</v>
      </c>
      <c r="G271">
        <f>+bma_se!G271/data!$K271</f>
        <v>0</v>
      </c>
      <c r="H271">
        <f>+bma_se!H271/data!$K271</f>
        <v>0</v>
      </c>
      <c r="I271">
        <f>+bma_se!I271/data!$K271</f>
        <v>0</v>
      </c>
      <c r="J271">
        <f>+bma_se!J271/data!$K271</f>
        <v>0</v>
      </c>
      <c r="K271">
        <f>+bma_se!K271/data!$K271</f>
        <v>0.86924917935104729</v>
      </c>
      <c r="L271">
        <f>+bma_se!L271/data!$K271</f>
        <v>0</v>
      </c>
      <c r="M271">
        <f>+bma_se!M271/data!$K271</f>
        <v>0</v>
      </c>
      <c r="N271">
        <f>+bma_se!N271/data!$K271</f>
        <v>0</v>
      </c>
      <c r="O271">
        <f>+bma_se!O271/data!$K271</f>
        <v>0</v>
      </c>
      <c r="P271">
        <f>+bma_se!P271/data!$K271</f>
        <v>0.86924917935104729</v>
      </c>
      <c r="Q271">
        <f>+bma_se!Q271/data!$K271</f>
        <v>6.6101149824603862</v>
      </c>
      <c r="R271">
        <f>+bma_se!R271/data!$K271</f>
        <v>4.0779503990501764</v>
      </c>
      <c r="S271">
        <f>+bma_se!S271/data!$K271</f>
        <v>0.86924917935104729</v>
      </c>
    </row>
    <row r="272" spans="1:19" x14ac:dyDescent="0.25">
      <c r="A272">
        <f>+bma_se!A272/data!$K272</f>
        <v>-3.4153005464480878E-2</v>
      </c>
      <c r="B272">
        <f>+bma_se!B272/data!$K272</f>
        <v>0.24297489202102185</v>
      </c>
      <c r="C272">
        <f>+bma_se!C272/data!$K272</f>
        <v>0.24297489202102185</v>
      </c>
      <c r="D272">
        <f>+bma_se!D272/data!$K272</f>
        <v>0</v>
      </c>
      <c r="E272">
        <f>+bma_se!E272/data!$K272</f>
        <v>0</v>
      </c>
      <c r="F272">
        <f>+bma_se!F272/data!$K272</f>
        <v>0</v>
      </c>
      <c r="G272">
        <f>+bma_se!G272/data!$K272</f>
        <v>0</v>
      </c>
      <c r="H272">
        <f>+bma_se!H272/data!$K272</f>
        <v>0</v>
      </c>
      <c r="I272">
        <f>+bma_se!I272/data!$K272</f>
        <v>0</v>
      </c>
      <c r="J272">
        <f>+bma_se!J272/data!$K272</f>
        <v>0</v>
      </c>
      <c r="K272">
        <f>+bma_se!K272/data!$K272</f>
        <v>0.24297489202102185</v>
      </c>
      <c r="L272">
        <f>+bma_se!L272/data!$K272</f>
        <v>0</v>
      </c>
      <c r="M272">
        <f>+bma_se!M272/data!$K272</f>
        <v>0</v>
      </c>
      <c r="N272">
        <f>+bma_se!N272/data!$K272</f>
        <v>0.24297489202102185</v>
      </c>
      <c r="O272">
        <f>+bma_se!O272/data!$K272</f>
        <v>0</v>
      </c>
      <c r="P272">
        <f>+bma_se!P272/data!$K272</f>
        <v>0.24297489202102185</v>
      </c>
      <c r="Q272">
        <f>+bma_se!Q272/data!$K272</f>
        <v>1.8476772969850908</v>
      </c>
      <c r="R272">
        <f>+bma_se!R272/data!$K272</f>
        <v>1.1398797737330366</v>
      </c>
      <c r="S272">
        <f>+bma_se!S272/data!$K272</f>
        <v>0.24297489202102185</v>
      </c>
    </row>
    <row r="273" spans="1:19" x14ac:dyDescent="0.25">
      <c r="A273">
        <f>+bma_se!A273/data!$K273</f>
        <v>-5.9523809523809521E-2</v>
      </c>
      <c r="B273">
        <f>+bma_se!B273/data!$K273</f>
        <v>0.25548283496539476</v>
      </c>
      <c r="C273">
        <f>+bma_se!C273/data!$K273</f>
        <v>0.25548283496539476</v>
      </c>
      <c r="D273">
        <f>+bma_se!D273/data!$K273</f>
        <v>0</v>
      </c>
      <c r="E273">
        <f>+bma_se!E273/data!$K273</f>
        <v>0</v>
      </c>
      <c r="F273">
        <f>+bma_se!F273/data!$K273</f>
        <v>0</v>
      </c>
      <c r="G273">
        <f>+bma_se!G273/data!$K273</f>
        <v>0</v>
      </c>
      <c r="H273">
        <f>+bma_se!H273/data!$K273</f>
        <v>0</v>
      </c>
      <c r="I273">
        <f>+bma_se!I273/data!$K273</f>
        <v>0</v>
      </c>
      <c r="J273">
        <f>+bma_se!J273/data!$K273</f>
        <v>0</v>
      </c>
      <c r="K273">
        <f>+bma_se!K273/data!$K273</f>
        <v>0.25548283496539476</v>
      </c>
      <c r="L273">
        <f>+bma_se!L273/data!$K273</f>
        <v>0</v>
      </c>
      <c r="M273">
        <f>+bma_se!M273/data!$K273</f>
        <v>0</v>
      </c>
      <c r="N273">
        <f>+bma_se!N273/data!$K273</f>
        <v>0</v>
      </c>
      <c r="O273">
        <f>+bma_se!O273/data!$K273</f>
        <v>0</v>
      </c>
      <c r="P273">
        <f>+bma_se!P273/data!$K273</f>
        <v>0.25548283496539476</v>
      </c>
      <c r="Q273">
        <f>+bma_se!Q273/data!$K273</f>
        <v>1.9427926482795081</v>
      </c>
      <c r="R273">
        <f>+bma_se!R273/data!$K273</f>
        <v>1.1985588868492347</v>
      </c>
      <c r="S273">
        <f>+bma_se!S273/data!$K273</f>
        <v>0.25548283496539476</v>
      </c>
    </row>
    <row r="274" spans="1:19" x14ac:dyDescent="0.25">
      <c r="A274">
        <f>+bma_se!A274/data!$K274</f>
        <v>-6.3492063492063489E-2</v>
      </c>
      <c r="B274">
        <f>+bma_se!B274/data!$K274</f>
        <v>0.3070977367292993</v>
      </c>
      <c r="C274">
        <f>+bma_se!C274/data!$K274</f>
        <v>0.3070977367292993</v>
      </c>
      <c r="D274">
        <f>+bma_se!D274/data!$K274</f>
        <v>0</v>
      </c>
      <c r="E274">
        <f>+bma_se!E274/data!$K274</f>
        <v>0</v>
      </c>
      <c r="F274">
        <f>+bma_se!F274/data!$K274</f>
        <v>0</v>
      </c>
      <c r="G274">
        <f>+bma_se!G274/data!$K274</f>
        <v>0</v>
      </c>
      <c r="H274">
        <f>+bma_se!H274/data!$K274</f>
        <v>0</v>
      </c>
      <c r="I274">
        <f>+bma_se!I274/data!$K274</f>
        <v>0</v>
      </c>
      <c r="J274">
        <f>+bma_se!J274/data!$K274</f>
        <v>0</v>
      </c>
      <c r="K274">
        <f>+bma_se!K274/data!$K274</f>
        <v>0.3070977367292993</v>
      </c>
      <c r="L274">
        <f>+bma_se!L274/data!$K274</f>
        <v>0</v>
      </c>
      <c r="M274">
        <f>+bma_se!M274/data!$K274</f>
        <v>0</v>
      </c>
      <c r="N274">
        <f>+bma_se!N274/data!$K274</f>
        <v>0</v>
      </c>
      <c r="O274">
        <f>+bma_se!O274/data!$K274</f>
        <v>0</v>
      </c>
      <c r="P274">
        <f>+bma_se!P274/data!$K274</f>
        <v>0.3070977367292993</v>
      </c>
      <c r="Q274">
        <f>+bma_se!Q274/data!$K274</f>
        <v>2.3352928007933365</v>
      </c>
      <c r="R274">
        <f>+bma_se!R274/data!$K274</f>
        <v>1.4407023530095246</v>
      </c>
      <c r="S274">
        <f>+bma_se!S274/data!$K274</f>
        <v>0.3070977367292993</v>
      </c>
    </row>
    <row r="275" spans="1:19" x14ac:dyDescent="0.25">
      <c r="A275">
        <f>+bma_se!A275/data!$K275</f>
        <v>-8.59375E-2</v>
      </c>
      <c r="B275">
        <f>+bma_se!B275/data!$K275</f>
        <v>0.50885013882556152</v>
      </c>
      <c r="C275">
        <f>+bma_se!C275/data!$K275</f>
        <v>0.50885013882556152</v>
      </c>
      <c r="D275">
        <f>+bma_se!D275/data!$K275</f>
        <v>0</v>
      </c>
      <c r="E275">
        <f>+bma_se!E275/data!$K275</f>
        <v>0</v>
      </c>
      <c r="F275">
        <f>+bma_se!F275/data!$K275</f>
        <v>0</v>
      </c>
      <c r="G275">
        <f>+bma_se!G275/data!$K275</f>
        <v>0</v>
      </c>
      <c r="H275">
        <f>+bma_se!H275/data!$K275</f>
        <v>0</v>
      </c>
      <c r="I275">
        <f>+bma_se!I275/data!$K275</f>
        <v>0</v>
      </c>
      <c r="J275">
        <f>+bma_se!J275/data!$K275</f>
        <v>0</v>
      </c>
      <c r="K275">
        <f>+bma_se!K275/data!$K275</f>
        <v>0.50885013882556152</v>
      </c>
      <c r="L275">
        <f>+bma_se!L275/data!$K275</f>
        <v>0</v>
      </c>
      <c r="M275">
        <f>+bma_se!M275/data!$K275</f>
        <v>0</v>
      </c>
      <c r="N275">
        <f>+bma_se!N275/data!$K275</f>
        <v>0.50885013882556152</v>
      </c>
      <c r="O275">
        <f>+bma_se!O275/data!$K275</f>
        <v>0</v>
      </c>
      <c r="P275">
        <f>+bma_se!P275/data!$K275</f>
        <v>0.50885013882556152</v>
      </c>
      <c r="Q275">
        <f>+bma_se!Q275/data!$K275</f>
        <v>3.8694979602845447</v>
      </c>
      <c r="R275">
        <f>+bma_se!R275/data!$K275</f>
        <v>2.3871930810790203</v>
      </c>
      <c r="S275">
        <f>+bma_se!S275/data!$K275</f>
        <v>0.50885013882556152</v>
      </c>
    </row>
    <row r="276" spans="1:19" x14ac:dyDescent="0.25">
      <c r="A276">
        <f>+bma_se!A276/data!$K276</f>
        <v>-8.4362139917695478E-2</v>
      </c>
      <c r="B276">
        <f>+bma_se!B276/data!$K276</f>
        <v>0.51311773518137693</v>
      </c>
      <c r="C276">
        <f>+bma_se!C276/data!$K276</f>
        <v>0.51311773518137693</v>
      </c>
      <c r="D276">
        <f>+bma_se!D276/data!$K276</f>
        <v>0</v>
      </c>
      <c r="E276">
        <f>+bma_se!E276/data!$K276</f>
        <v>0</v>
      </c>
      <c r="F276">
        <f>+bma_se!F276/data!$K276</f>
        <v>0</v>
      </c>
      <c r="G276">
        <f>+bma_se!G276/data!$K276</f>
        <v>0</v>
      </c>
      <c r="H276">
        <f>+bma_se!H276/data!$K276</f>
        <v>0</v>
      </c>
      <c r="I276">
        <f>+bma_se!I276/data!$K276</f>
        <v>0</v>
      </c>
      <c r="J276">
        <f>+bma_se!J276/data!$K276</f>
        <v>0</v>
      </c>
      <c r="K276">
        <f>+bma_se!K276/data!$K276</f>
        <v>0.51311773518137693</v>
      </c>
      <c r="L276">
        <f>+bma_se!L276/data!$K276</f>
        <v>0</v>
      </c>
      <c r="M276">
        <f>+bma_se!M276/data!$K276</f>
        <v>0</v>
      </c>
      <c r="N276">
        <f>+bma_se!N276/data!$K276</f>
        <v>0</v>
      </c>
      <c r="O276">
        <f>+bma_se!O276/data!$K276</f>
        <v>0</v>
      </c>
      <c r="P276">
        <f>+bma_se!P276/data!$K276</f>
        <v>0.51311773518137693</v>
      </c>
      <c r="Q276">
        <f>+bma_se!Q276/data!$K276</f>
        <v>3.9019504529423221</v>
      </c>
      <c r="R276">
        <f>+bma_se!R276/data!$K276</f>
        <v>2.4072138607076825</v>
      </c>
      <c r="S276">
        <f>+bma_se!S276/data!$K276</f>
        <v>0.51311773518137693</v>
      </c>
    </row>
    <row r="277" spans="1:19" x14ac:dyDescent="0.25">
      <c r="A277">
        <f>+bma_se!A277/data!$K277</f>
        <v>-0.12037037037037039</v>
      </c>
      <c r="B277">
        <f>+bma_se!B277/data!$K277</f>
        <v>0.62778870306236767</v>
      </c>
      <c r="C277">
        <f>+bma_se!C277/data!$K277</f>
        <v>0.62778870306236767</v>
      </c>
      <c r="D277">
        <f>+bma_se!D277/data!$K277</f>
        <v>0</v>
      </c>
      <c r="E277">
        <f>+bma_se!E277/data!$K277</f>
        <v>0</v>
      </c>
      <c r="F277">
        <f>+bma_se!F277/data!$K277</f>
        <v>0</v>
      </c>
      <c r="G277">
        <f>+bma_se!G277/data!$K277</f>
        <v>0</v>
      </c>
      <c r="H277">
        <f>+bma_se!H277/data!$K277</f>
        <v>0</v>
      </c>
      <c r="I277">
        <f>+bma_se!I277/data!$K277</f>
        <v>0</v>
      </c>
      <c r="J277">
        <f>+bma_se!J277/data!$K277</f>
        <v>0</v>
      </c>
      <c r="K277">
        <f>+bma_se!K277/data!$K277</f>
        <v>0.62778870306236767</v>
      </c>
      <c r="L277">
        <f>+bma_se!L277/data!$K277</f>
        <v>0</v>
      </c>
      <c r="M277">
        <f>+bma_se!M277/data!$K277</f>
        <v>0</v>
      </c>
      <c r="N277">
        <f>+bma_se!N277/data!$K277</f>
        <v>0</v>
      </c>
      <c r="O277">
        <f>+bma_se!O277/data!$K277</f>
        <v>0</v>
      </c>
      <c r="P277">
        <f>+bma_se!P277/data!$K277</f>
        <v>0.62778870306236767</v>
      </c>
      <c r="Q277">
        <f>+bma_se!Q277/data!$K277</f>
        <v>4.7739539024126572</v>
      </c>
      <c r="R277">
        <f>+bma_se!R277/data!$K277</f>
        <v>2.9451752765342323</v>
      </c>
      <c r="S277">
        <f>+bma_se!S277/data!$K277</f>
        <v>0.62778870306236767</v>
      </c>
    </row>
    <row r="278" spans="1:19" x14ac:dyDescent="0.25">
      <c r="A278">
        <f>+bma_se!A278/data!$K278</f>
        <v>-8.0729166666666671E-2</v>
      </c>
      <c r="B278">
        <f>+bma_se!B278/data!$K278</f>
        <v>0.68574905486768922</v>
      </c>
      <c r="C278">
        <f>+bma_se!C278/data!$K278</f>
        <v>0.68574905486768922</v>
      </c>
      <c r="D278">
        <f>+bma_se!D278/data!$K278</f>
        <v>0</v>
      </c>
      <c r="E278">
        <f>+bma_se!E278/data!$K278</f>
        <v>0</v>
      </c>
      <c r="F278">
        <f>+bma_se!F278/data!$K278</f>
        <v>0</v>
      </c>
      <c r="G278">
        <f>+bma_se!G278/data!$K278</f>
        <v>0</v>
      </c>
      <c r="H278">
        <f>+bma_se!H278/data!$K278</f>
        <v>0</v>
      </c>
      <c r="I278">
        <f>+bma_se!I278/data!$K278</f>
        <v>0</v>
      </c>
      <c r="J278">
        <f>+bma_se!J278/data!$K278</f>
        <v>0</v>
      </c>
      <c r="K278">
        <f>+bma_se!K278/data!$K278</f>
        <v>0.68574905486768922</v>
      </c>
      <c r="L278">
        <f>+bma_se!L278/data!$K278</f>
        <v>0</v>
      </c>
      <c r="M278">
        <f>+bma_se!M278/data!$K278</f>
        <v>0</v>
      </c>
      <c r="N278">
        <f>+bma_se!N278/data!$K278</f>
        <v>0.68574905486768922</v>
      </c>
      <c r="O278">
        <f>+bma_se!O278/data!$K278</f>
        <v>0</v>
      </c>
      <c r="P278">
        <f>+bma_se!P278/data!$K278</f>
        <v>0.68574905486768922</v>
      </c>
      <c r="Q278">
        <f>+bma_se!Q278/data!$K278</f>
        <v>5.2147073698396369</v>
      </c>
      <c r="R278">
        <f>+bma_se!R278/data!$K278</f>
        <v>3.217087457055424</v>
      </c>
      <c r="S278">
        <f>+bma_se!S278/data!$K278</f>
        <v>0.68574905486768922</v>
      </c>
    </row>
    <row r="279" spans="1:19" x14ac:dyDescent="0.25">
      <c r="A279">
        <f>+bma_se!A279/data!$K279</f>
        <v>-9.0643274853801165E-2</v>
      </c>
      <c r="B279">
        <f>+bma_se!B279/data!$K279</f>
        <v>0.69868052418910331</v>
      </c>
      <c r="C279">
        <f>+bma_se!C279/data!$K279</f>
        <v>0.69868052418910331</v>
      </c>
      <c r="D279">
        <f>+bma_se!D279/data!$K279</f>
        <v>0</v>
      </c>
      <c r="E279">
        <f>+bma_se!E279/data!$K279</f>
        <v>0</v>
      </c>
      <c r="F279">
        <f>+bma_se!F279/data!$K279</f>
        <v>0</v>
      </c>
      <c r="G279">
        <f>+bma_se!G279/data!$K279</f>
        <v>0</v>
      </c>
      <c r="H279">
        <f>+bma_se!H279/data!$K279</f>
        <v>0</v>
      </c>
      <c r="I279">
        <f>+bma_se!I279/data!$K279</f>
        <v>0</v>
      </c>
      <c r="J279">
        <f>+bma_se!J279/data!$K279</f>
        <v>0</v>
      </c>
      <c r="K279">
        <f>+bma_se!K279/data!$K279</f>
        <v>0.69868052418910331</v>
      </c>
      <c r="L279">
        <f>+bma_se!L279/data!$K279</f>
        <v>0</v>
      </c>
      <c r="M279">
        <f>+bma_se!M279/data!$K279</f>
        <v>0</v>
      </c>
      <c r="N279">
        <f>+bma_se!N279/data!$K279</f>
        <v>0</v>
      </c>
      <c r="O279">
        <f>+bma_se!O279/data!$K279</f>
        <v>0</v>
      </c>
      <c r="P279">
        <f>+bma_se!P279/data!$K279</f>
        <v>0.69868052418910331</v>
      </c>
      <c r="Q279">
        <f>+bma_se!Q279/data!$K279</f>
        <v>5.3130433834215198</v>
      </c>
      <c r="R279">
        <f>+bma_se!R279/data!$K279</f>
        <v>3.2777534797935011</v>
      </c>
      <c r="S279">
        <f>+bma_se!S279/data!$K279</f>
        <v>0.69868052418910331</v>
      </c>
    </row>
    <row r="280" spans="1:19" x14ac:dyDescent="0.25">
      <c r="A280">
        <f>+bma_se!A280/data!$K280</f>
        <v>-0.12301587301587302</v>
      </c>
      <c r="B280">
        <f>+bma_se!B280/data!$K280</f>
        <v>0.85011448253098165</v>
      </c>
      <c r="C280">
        <f>+bma_se!C280/data!$K280</f>
        <v>0.85011448253098165</v>
      </c>
      <c r="D280">
        <f>+bma_se!D280/data!$K280</f>
        <v>0</v>
      </c>
      <c r="E280">
        <f>+bma_se!E280/data!$K280</f>
        <v>0</v>
      </c>
      <c r="F280">
        <f>+bma_se!F280/data!$K280</f>
        <v>0</v>
      </c>
      <c r="G280">
        <f>+bma_se!G280/data!$K280</f>
        <v>0</v>
      </c>
      <c r="H280">
        <f>+bma_se!H280/data!$K280</f>
        <v>0</v>
      </c>
      <c r="I280">
        <f>+bma_se!I280/data!$K280</f>
        <v>0</v>
      </c>
      <c r="J280">
        <f>+bma_se!J280/data!$K280</f>
        <v>0</v>
      </c>
      <c r="K280">
        <f>+bma_se!K280/data!$K280</f>
        <v>0.85011448253098165</v>
      </c>
      <c r="L280">
        <f>+bma_se!L280/data!$K280</f>
        <v>0</v>
      </c>
      <c r="M280">
        <f>+bma_se!M280/data!$K280</f>
        <v>0</v>
      </c>
      <c r="N280">
        <f>+bma_se!N280/data!$K280</f>
        <v>0</v>
      </c>
      <c r="O280">
        <f>+bma_se!O280/data!$K280</f>
        <v>0</v>
      </c>
      <c r="P280">
        <f>+bma_se!P280/data!$K280</f>
        <v>0.85011448253098165</v>
      </c>
      <c r="Q280">
        <f>+bma_se!Q280/data!$K280</f>
        <v>6.4646071705006669</v>
      </c>
      <c r="R280">
        <f>+bma_se!R280/data!$K280</f>
        <v>3.9881828773927555</v>
      </c>
      <c r="S280">
        <f>+bma_se!S280/data!$K280</f>
        <v>0.85011448253098165</v>
      </c>
    </row>
    <row r="281" spans="1:19" x14ac:dyDescent="0.25">
      <c r="A281">
        <f>+bma_se!A281/data!$K281</f>
        <v>-7.9301075268817189E-2</v>
      </c>
      <c r="B281">
        <f>+bma_se!B281/data!$K281</f>
        <v>0.26665234923698949</v>
      </c>
      <c r="C281">
        <f>+bma_se!C281/data!$K281</f>
        <v>0.26665234923698949</v>
      </c>
      <c r="D281">
        <f>+bma_se!D281/data!$K281</f>
        <v>0</v>
      </c>
      <c r="E281">
        <f>+bma_se!E281/data!$K281</f>
        <v>0</v>
      </c>
      <c r="F281">
        <f>+bma_se!F281/data!$K281</f>
        <v>0</v>
      </c>
      <c r="G281">
        <f>+bma_se!G281/data!$K281</f>
        <v>0</v>
      </c>
      <c r="H281">
        <f>+bma_se!H281/data!$K281</f>
        <v>0</v>
      </c>
      <c r="I281">
        <f>+bma_se!I281/data!$K281</f>
        <v>0</v>
      </c>
      <c r="J281">
        <f>+bma_se!J281/data!$K281</f>
        <v>0</v>
      </c>
      <c r="K281">
        <f>+bma_se!K281/data!$K281</f>
        <v>0.26665234923698949</v>
      </c>
      <c r="L281">
        <f>+bma_se!L281/data!$K281</f>
        <v>0</v>
      </c>
      <c r="M281">
        <f>+bma_se!M281/data!$K281</f>
        <v>0</v>
      </c>
      <c r="N281">
        <f>+bma_se!N281/data!$K281</f>
        <v>0.26665234923698949</v>
      </c>
      <c r="O281">
        <f>+bma_se!O281/data!$K281</f>
        <v>0</v>
      </c>
      <c r="P281">
        <f>+bma_se!P281/data!$K281</f>
        <v>0.26665234923698949</v>
      </c>
      <c r="Q281">
        <f>+bma_se!Q281/data!$K281</f>
        <v>2.0277300579283661</v>
      </c>
      <c r="R281">
        <f>+bma_se!R281/data!$K281</f>
        <v>1.2509589652882522</v>
      </c>
      <c r="S281">
        <f>+bma_se!S281/data!$K281</f>
        <v>0.26665234923698949</v>
      </c>
    </row>
    <row r="282" spans="1:19" x14ac:dyDescent="0.25">
      <c r="A282">
        <f>+bma_se!A282/data!$K282</f>
        <v>-5.9322033898305086E-2</v>
      </c>
      <c r="B282">
        <f>+bma_se!B282/data!$K282</f>
        <v>0.26434282361582973</v>
      </c>
      <c r="C282">
        <f>+bma_se!C282/data!$K282</f>
        <v>0.26434282361582973</v>
      </c>
      <c r="D282">
        <f>+bma_se!D282/data!$K282</f>
        <v>0</v>
      </c>
      <c r="E282">
        <f>+bma_se!E282/data!$K282</f>
        <v>0</v>
      </c>
      <c r="F282">
        <f>+bma_se!F282/data!$K282</f>
        <v>0</v>
      </c>
      <c r="G282">
        <f>+bma_se!G282/data!$K282</f>
        <v>0</v>
      </c>
      <c r="H282">
        <f>+bma_se!H282/data!$K282</f>
        <v>0</v>
      </c>
      <c r="I282">
        <f>+bma_se!I282/data!$K282</f>
        <v>0</v>
      </c>
      <c r="J282">
        <f>+bma_se!J282/data!$K282</f>
        <v>0</v>
      </c>
      <c r="K282">
        <f>+bma_se!K282/data!$K282</f>
        <v>0.26434282361582973</v>
      </c>
      <c r="L282">
        <f>+bma_se!L282/data!$K282</f>
        <v>0</v>
      </c>
      <c r="M282">
        <f>+bma_se!M282/data!$K282</f>
        <v>0</v>
      </c>
      <c r="N282">
        <f>+bma_se!N282/data!$K282</f>
        <v>0</v>
      </c>
      <c r="O282">
        <f>+bma_se!O282/data!$K282</f>
        <v>0</v>
      </c>
      <c r="P282">
        <f>+bma_se!P282/data!$K282</f>
        <v>0.26434282361582973</v>
      </c>
      <c r="Q282">
        <f>+bma_se!Q282/data!$K282</f>
        <v>2.0101675105329213</v>
      </c>
      <c r="R282">
        <f>+bma_se!R282/data!$K282</f>
        <v>1.2401241768844755</v>
      </c>
      <c r="S282">
        <f>+bma_se!S282/data!$K282</f>
        <v>0.26434282361582973</v>
      </c>
    </row>
    <row r="283" spans="1:19" x14ac:dyDescent="0.25">
      <c r="A283">
        <f>+bma_se!A283/data!$K283</f>
        <v>-9.0108401084010845E-2</v>
      </c>
      <c r="B283">
        <f>+bma_se!B283/data!$K283</f>
        <v>0.32811059261010456</v>
      </c>
      <c r="C283">
        <f>+bma_se!C283/data!$K283</f>
        <v>0.32811059261010456</v>
      </c>
      <c r="D283">
        <f>+bma_se!D283/data!$K283</f>
        <v>0</v>
      </c>
      <c r="E283">
        <f>+bma_se!E283/data!$K283</f>
        <v>0</v>
      </c>
      <c r="F283">
        <f>+bma_se!F283/data!$K283</f>
        <v>0</v>
      </c>
      <c r="G283">
        <f>+bma_se!G283/data!$K283</f>
        <v>0</v>
      </c>
      <c r="H283">
        <f>+bma_se!H283/data!$K283</f>
        <v>0</v>
      </c>
      <c r="I283">
        <f>+bma_se!I283/data!$K283</f>
        <v>0</v>
      </c>
      <c r="J283">
        <f>+bma_se!J283/data!$K283</f>
        <v>0</v>
      </c>
      <c r="K283">
        <f>+bma_se!K283/data!$K283</f>
        <v>0.32811059261010456</v>
      </c>
      <c r="L283">
        <f>+bma_se!L283/data!$K283</f>
        <v>0</v>
      </c>
      <c r="M283">
        <f>+bma_se!M283/data!$K283</f>
        <v>0</v>
      </c>
      <c r="N283">
        <f>+bma_se!N283/data!$K283</f>
        <v>0</v>
      </c>
      <c r="O283">
        <f>+bma_se!O283/data!$K283</f>
        <v>0</v>
      </c>
      <c r="P283">
        <f>+bma_se!P283/data!$K283</f>
        <v>0.32811059261010456</v>
      </c>
      <c r="Q283">
        <f>+bma_se!Q283/data!$K283</f>
        <v>2.4950828780019085</v>
      </c>
      <c r="R283">
        <f>+bma_se!R283/data!$K283</f>
        <v>1.5392809724202285</v>
      </c>
      <c r="S283">
        <f>+bma_se!S283/data!$K283</f>
        <v>0.32811059261010456</v>
      </c>
    </row>
    <row r="284" spans="1:19" x14ac:dyDescent="0.25">
      <c r="A284">
        <f>+bma_se!A284/data!$K284</f>
        <v>-9.9715099715099717E-2</v>
      </c>
      <c r="B284">
        <f>+bma_se!B284/data!$K284</f>
        <v>0.50068337485074632</v>
      </c>
      <c r="C284">
        <f>+bma_se!C284/data!$K284</f>
        <v>0.50068337485074632</v>
      </c>
      <c r="D284">
        <f>+bma_se!D284/data!$K284</f>
        <v>0</v>
      </c>
      <c r="E284">
        <f>+bma_se!E284/data!$K284</f>
        <v>0</v>
      </c>
      <c r="F284">
        <f>+bma_se!F284/data!$K284</f>
        <v>0</v>
      </c>
      <c r="G284">
        <f>+bma_se!G284/data!$K284</f>
        <v>0</v>
      </c>
      <c r="H284">
        <f>+bma_se!H284/data!$K284</f>
        <v>0</v>
      </c>
      <c r="I284">
        <f>+bma_se!I284/data!$K284</f>
        <v>0</v>
      </c>
      <c r="J284">
        <f>+bma_se!J284/data!$K284</f>
        <v>0</v>
      </c>
      <c r="K284">
        <f>+bma_se!K284/data!$K284</f>
        <v>0.50068337485074632</v>
      </c>
      <c r="L284">
        <f>+bma_se!L284/data!$K284</f>
        <v>0</v>
      </c>
      <c r="M284">
        <f>+bma_se!M284/data!$K284</f>
        <v>0</v>
      </c>
      <c r="N284">
        <f>+bma_se!N284/data!$K284</f>
        <v>0.50068337485074632</v>
      </c>
      <c r="O284">
        <f>+bma_se!O284/data!$K284</f>
        <v>0</v>
      </c>
      <c r="P284">
        <f>+bma_se!P284/data!$K284</f>
        <v>0.50068337485074632</v>
      </c>
      <c r="Q284">
        <f>+bma_se!Q284/data!$K284</f>
        <v>3.8073946529815164</v>
      </c>
      <c r="R284">
        <f>+bma_se!R284/data!$K284</f>
        <v>2.3488799492392989</v>
      </c>
      <c r="S284">
        <f>+bma_se!S284/data!$K284</f>
        <v>0.50068337485074632</v>
      </c>
    </row>
    <row r="285" spans="1:19" x14ac:dyDescent="0.25">
      <c r="A285">
        <f>+bma_se!A285/data!$K285</f>
        <v>-6.1728395061728399E-2</v>
      </c>
      <c r="B285">
        <f>+bma_se!B285/data!$K285</f>
        <v>0.50149334984831251</v>
      </c>
      <c r="C285">
        <f>+bma_se!C285/data!$K285</f>
        <v>0.50149334984831251</v>
      </c>
      <c r="D285">
        <f>+bma_se!D285/data!$K285</f>
        <v>0</v>
      </c>
      <c r="E285">
        <f>+bma_se!E285/data!$K285</f>
        <v>0</v>
      </c>
      <c r="F285">
        <f>+bma_se!F285/data!$K285</f>
        <v>0</v>
      </c>
      <c r="G285">
        <f>+bma_se!G285/data!$K285</f>
        <v>0</v>
      </c>
      <c r="H285">
        <f>+bma_se!H285/data!$K285</f>
        <v>0</v>
      </c>
      <c r="I285">
        <f>+bma_se!I285/data!$K285</f>
        <v>0</v>
      </c>
      <c r="J285">
        <f>+bma_se!J285/data!$K285</f>
        <v>0</v>
      </c>
      <c r="K285">
        <f>+bma_se!K285/data!$K285</f>
        <v>0.50149334984831251</v>
      </c>
      <c r="L285">
        <f>+bma_se!L285/data!$K285</f>
        <v>0</v>
      </c>
      <c r="M285">
        <f>+bma_se!M285/data!$K285</f>
        <v>0</v>
      </c>
      <c r="N285">
        <f>+bma_se!N285/data!$K285</f>
        <v>0</v>
      </c>
      <c r="O285">
        <f>+bma_se!O285/data!$K285</f>
        <v>0</v>
      </c>
      <c r="P285">
        <f>+bma_se!P285/data!$K285</f>
        <v>0.50149334984831251</v>
      </c>
      <c r="Q285">
        <f>+bma_se!Q285/data!$K285</f>
        <v>3.8135540236131096</v>
      </c>
      <c r="R285">
        <f>+bma_se!R285/data!$K285</f>
        <v>2.3526798238241815</v>
      </c>
      <c r="S285">
        <f>+bma_se!S285/data!$K285</f>
        <v>0.50149334984831251</v>
      </c>
    </row>
    <row r="286" spans="1:19" x14ac:dyDescent="0.25">
      <c r="A286">
        <f>+bma_se!A286/data!$K286</f>
        <v>-0.13055555555555556</v>
      </c>
      <c r="B286">
        <f>+bma_se!B286/data!$K286</f>
        <v>0.6161972687979671</v>
      </c>
      <c r="C286">
        <f>+bma_se!C286/data!$K286</f>
        <v>0.6161972687979671</v>
      </c>
      <c r="D286">
        <f>+bma_se!D286/data!$K286</f>
        <v>0</v>
      </c>
      <c r="E286">
        <f>+bma_se!E286/data!$K286</f>
        <v>0</v>
      </c>
      <c r="F286">
        <f>+bma_se!F286/data!$K286</f>
        <v>0</v>
      </c>
      <c r="G286">
        <f>+bma_se!G286/data!$K286</f>
        <v>0</v>
      </c>
      <c r="H286">
        <f>+bma_se!H286/data!$K286</f>
        <v>0</v>
      </c>
      <c r="I286">
        <f>+bma_se!I286/data!$K286</f>
        <v>0</v>
      </c>
      <c r="J286">
        <f>+bma_se!J286/data!$K286</f>
        <v>0</v>
      </c>
      <c r="K286">
        <f>+bma_se!K286/data!$K286</f>
        <v>0.6161972687979671</v>
      </c>
      <c r="L286">
        <f>+bma_se!L286/data!$K286</f>
        <v>0</v>
      </c>
      <c r="M286">
        <f>+bma_se!M286/data!$K286</f>
        <v>0</v>
      </c>
      <c r="N286">
        <f>+bma_se!N286/data!$K286</f>
        <v>0</v>
      </c>
      <c r="O286">
        <f>+bma_se!O286/data!$K286</f>
        <v>0</v>
      </c>
      <c r="P286">
        <f>+bma_se!P286/data!$K286</f>
        <v>0.6161972687979671</v>
      </c>
      <c r="Q286">
        <f>+bma_se!Q286/data!$K286</f>
        <v>4.6858080460581863</v>
      </c>
      <c r="R286">
        <f>+bma_se!R286/data!$K286</f>
        <v>2.8907958245808048</v>
      </c>
      <c r="S286">
        <f>+bma_se!S286/data!$K286</f>
        <v>0.6161972687979671</v>
      </c>
    </row>
    <row r="287" spans="1:19" x14ac:dyDescent="0.25">
      <c r="A287">
        <f>+bma_se!A287/data!$K287</f>
        <v>1.8444444444444444E-2</v>
      </c>
      <c r="B287">
        <f>+bma_se!B287/data!$K287</f>
        <v>0.48467318758667882</v>
      </c>
      <c r="C287">
        <f>+bma_se!C287/data!$K287</f>
        <v>0.48467318758667882</v>
      </c>
      <c r="D287">
        <f>+bma_se!D287/data!$K287</f>
        <v>0</v>
      </c>
      <c r="E287">
        <f>+bma_se!E287/data!$K287</f>
        <v>0</v>
      </c>
      <c r="F287">
        <f>+bma_se!F287/data!$K287</f>
        <v>0</v>
      </c>
      <c r="G287">
        <f>+bma_se!G287/data!$K287</f>
        <v>0</v>
      </c>
      <c r="H287">
        <f>+bma_se!H287/data!$K287</f>
        <v>0</v>
      </c>
      <c r="I287">
        <f>+bma_se!I287/data!$K287</f>
        <v>0</v>
      </c>
      <c r="J287">
        <f>+bma_se!J287/data!$K287</f>
        <v>0</v>
      </c>
      <c r="K287">
        <f>+bma_se!K287/data!$K287</f>
        <v>0.48467318758667882</v>
      </c>
      <c r="L287">
        <f>+bma_se!L287/data!$K287</f>
        <v>0</v>
      </c>
      <c r="M287">
        <f>+bma_se!M287/data!$K287</f>
        <v>0</v>
      </c>
      <c r="N287">
        <f>+bma_se!N287/data!$K287</f>
        <v>0.48467318758667882</v>
      </c>
      <c r="O287">
        <f>+bma_se!O287/data!$K287</f>
        <v>0</v>
      </c>
      <c r="P287">
        <f>+bma_se!P287/data!$K287</f>
        <v>0.48467318758667882</v>
      </c>
      <c r="Q287">
        <f>+bma_se!Q287/data!$K287</f>
        <v>3.6856468489913912</v>
      </c>
      <c r="R287">
        <f>+bma_se!R287/data!$K287</f>
        <v>2.2737705892383904</v>
      </c>
      <c r="S287">
        <f>+bma_se!S287/data!$K287</f>
        <v>0.48467318758667882</v>
      </c>
    </row>
    <row r="288" spans="1:19" x14ac:dyDescent="0.25">
      <c r="A288">
        <f>+bma_se!A288/data!$K288</f>
        <v>-5.2469135802469133E-2</v>
      </c>
      <c r="B288">
        <f>+bma_se!B288/data!$K288</f>
        <v>0.5004380035499334</v>
      </c>
      <c r="C288">
        <f>+bma_se!C288/data!$K288</f>
        <v>0.5004380035499334</v>
      </c>
      <c r="D288">
        <f>+bma_se!D288/data!$K288</f>
        <v>0</v>
      </c>
      <c r="E288">
        <f>+bma_se!E288/data!$K288</f>
        <v>0</v>
      </c>
      <c r="F288">
        <f>+bma_se!F288/data!$K288</f>
        <v>0</v>
      </c>
      <c r="G288">
        <f>+bma_se!G288/data!$K288</f>
        <v>0</v>
      </c>
      <c r="H288">
        <f>+bma_se!H288/data!$K288</f>
        <v>0</v>
      </c>
      <c r="I288">
        <f>+bma_se!I288/data!$K288</f>
        <v>0</v>
      </c>
      <c r="J288">
        <f>+bma_se!J288/data!$K288</f>
        <v>0</v>
      </c>
      <c r="K288">
        <f>+bma_se!K288/data!$K288</f>
        <v>0.5004380035499334</v>
      </c>
      <c r="L288">
        <f>+bma_se!L288/data!$K288</f>
        <v>0</v>
      </c>
      <c r="M288">
        <f>+bma_se!M288/data!$K288</f>
        <v>0</v>
      </c>
      <c r="N288">
        <f>+bma_se!N288/data!$K288</f>
        <v>0</v>
      </c>
      <c r="O288">
        <f>+bma_se!O288/data!$K288</f>
        <v>0</v>
      </c>
      <c r="P288">
        <f>+bma_se!P288/data!$K288</f>
        <v>0.5004380035499334</v>
      </c>
      <c r="Q288">
        <f>+bma_se!Q288/data!$K288</f>
        <v>3.8055287524430992</v>
      </c>
      <c r="R288">
        <f>+bma_se!R288/data!$K288</f>
        <v>2.3477288270779728</v>
      </c>
      <c r="S288">
        <f>+bma_se!S288/data!$K288</f>
        <v>0.5004380035499334</v>
      </c>
    </row>
    <row r="289" spans="1:19" x14ac:dyDescent="0.25">
      <c r="A289">
        <f>+bma_se!A289/data!$K289</f>
        <v>-5.8333333333333334E-2</v>
      </c>
      <c r="B289">
        <f>+bma_se!B289/data!$K289</f>
        <v>0.60247047978498136</v>
      </c>
      <c r="C289">
        <f>+bma_se!C289/data!$K289</f>
        <v>0.60247047978498136</v>
      </c>
      <c r="D289">
        <f>+bma_se!D289/data!$K289</f>
        <v>0</v>
      </c>
      <c r="E289">
        <f>+bma_se!E289/data!$K289</f>
        <v>0</v>
      </c>
      <c r="F289">
        <f>+bma_se!F289/data!$K289</f>
        <v>0</v>
      </c>
      <c r="G289">
        <f>+bma_se!G289/data!$K289</f>
        <v>0</v>
      </c>
      <c r="H289">
        <f>+bma_se!H289/data!$K289</f>
        <v>0</v>
      </c>
      <c r="I289">
        <f>+bma_se!I289/data!$K289</f>
        <v>0</v>
      </c>
      <c r="J289">
        <f>+bma_se!J289/data!$K289</f>
        <v>0</v>
      </c>
      <c r="K289">
        <f>+bma_se!K289/data!$K289</f>
        <v>0.60247047978498136</v>
      </c>
      <c r="L289">
        <f>+bma_se!L289/data!$K289</f>
        <v>0</v>
      </c>
      <c r="M289">
        <f>+bma_se!M289/data!$K289</f>
        <v>0</v>
      </c>
      <c r="N289">
        <f>+bma_se!N289/data!$K289</f>
        <v>0</v>
      </c>
      <c r="O289">
        <f>+bma_se!O289/data!$K289</f>
        <v>0</v>
      </c>
      <c r="P289">
        <f>+bma_se!P289/data!$K289</f>
        <v>0.60247047978498136</v>
      </c>
      <c r="Q289">
        <f>+bma_se!Q289/data!$K289</f>
        <v>4.5814241065949934</v>
      </c>
      <c r="R289">
        <f>+bma_se!R289/data!$K289</f>
        <v>2.826398680398313</v>
      </c>
      <c r="S289">
        <f>+bma_se!S289/data!$K289</f>
        <v>0.60247047978498136</v>
      </c>
    </row>
    <row r="290" spans="1:19" x14ac:dyDescent="0.25">
      <c r="A290">
        <f>+bma_se!A290/data!$K290</f>
        <v>9.1680350301039954E-3</v>
      </c>
      <c r="B290">
        <f>+bma_se!B290/data!$K290</f>
        <v>0.14986859603062194</v>
      </c>
      <c r="C290">
        <f>+bma_se!C290/data!$K290</f>
        <v>0.14986859603062194</v>
      </c>
      <c r="D290">
        <f>+bma_se!D290/data!$K290</f>
        <v>0</v>
      </c>
      <c r="E290">
        <f>+bma_se!E290/data!$K290</f>
        <v>0</v>
      </c>
      <c r="F290">
        <f>+bma_se!F290/data!$K290</f>
        <v>0</v>
      </c>
      <c r="G290">
        <f>+bma_se!G290/data!$K290</f>
        <v>0</v>
      </c>
      <c r="H290">
        <f>+bma_se!H290/data!$K290</f>
        <v>0</v>
      </c>
      <c r="I290">
        <f>+bma_se!I290/data!$K290</f>
        <v>0</v>
      </c>
      <c r="J290">
        <f>+bma_se!J290/data!$K290</f>
        <v>0</v>
      </c>
      <c r="K290">
        <f>+bma_se!K290/data!$K290</f>
        <v>0.14986859603062194</v>
      </c>
      <c r="L290">
        <f>+bma_se!L290/data!$K290</f>
        <v>0</v>
      </c>
      <c r="M290">
        <f>+bma_se!M290/data!$K290</f>
        <v>0</v>
      </c>
      <c r="N290">
        <f>+bma_se!N290/data!$K290</f>
        <v>0.14986859603062194</v>
      </c>
      <c r="O290">
        <f>+bma_se!O290/data!$K290</f>
        <v>0</v>
      </c>
      <c r="P290">
        <f>+bma_se!P290/data!$K290</f>
        <v>0.14986859603062194</v>
      </c>
      <c r="Q290">
        <f>+bma_se!Q290/data!$K290</f>
        <v>1.1396601521808776</v>
      </c>
      <c r="R290">
        <f>+bma_se!R290/data!$K290</f>
        <v>0.70308573825106613</v>
      </c>
      <c r="S290">
        <f>+bma_se!S290/data!$K290</f>
        <v>0.14986859603062194</v>
      </c>
    </row>
    <row r="291" spans="1:19" x14ac:dyDescent="0.25">
      <c r="A291">
        <f>+bma_se!A291/data!$K291</f>
        <v>-1.3020833333333333E-3</v>
      </c>
      <c r="B291">
        <f>+bma_se!B291/data!$K291</f>
        <v>0.15466560221143777</v>
      </c>
      <c r="C291">
        <f>+bma_se!C291/data!$K291</f>
        <v>0.15466560221143777</v>
      </c>
      <c r="D291">
        <f>+bma_se!D291/data!$K291</f>
        <v>0</v>
      </c>
      <c r="E291">
        <f>+bma_se!E291/data!$K291</f>
        <v>0</v>
      </c>
      <c r="F291">
        <f>+bma_se!F291/data!$K291</f>
        <v>0</v>
      </c>
      <c r="G291">
        <f>+bma_se!G291/data!$K291</f>
        <v>0</v>
      </c>
      <c r="H291">
        <f>+bma_se!H291/data!$K291</f>
        <v>0</v>
      </c>
      <c r="I291">
        <f>+bma_se!I291/data!$K291</f>
        <v>0</v>
      </c>
      <c r="J291">
        <f>+bma_se!J291/data!$K291</f>
        <v>0</v>
      </c>
      <c r="K291">
        <f>+bma_se!K291/data!$K291</f>
        <v>0.15466560221143777</v>
      </c>
      <c r="L291">
        <f>+bma_se!L291/data!$K291</f>
        <v>0</v>
      </c>
      <c r="M291">
        <f>+bma_se!M291/data!$K291</f>
        <v>0</v>
      </c>
      <c r="N291">
        <f>+bma_se!N291/data!$K291</f>
        <v>0</v>
      </c>
      <c r="O291">
        <f>+bma_se!O291/data!$K291</f>
        <v>0</v>
      </c>
      <c r="P291">
        <f>+bma_se!P291/data!$K291</f>
        <v>0.15466560221143777</v>
      </c>
      <c r="Q291">
        <f>+bma_se!Q291/data!$K291</f>
        <v>1.1761384867942484</v>
      </c>
      <c r="R291">
        <f>+bma_se!R291/data!$K291</f>
        <v>0.7255901636034241</v>
      </c>
      <c r="S291">
        <f>+bma_se!S291/data!$K291</f>
        <v>0.15466560221143777</v>
      </c>
    </row>
    <row r="292" spans="1:19" x14ac:dyDescent="0.25">
      <c r="A292">
        <f>+bma_se!A292/data!$K292</f>
        <v>-7.0921985815602835E-3</v>
      </c>
      <c r="B292">
        <f>+bma_se!B292/data!$K292</f>
        <v>0.17800590369382724</v>
      </c>
      <c r="C292">
        <f>+bma_se!C292/data!$K292</f>
        <v>0.17800590369382724</v>
      </c>
      <c r="D292">
        <f>+bma_se!D292/data!$K292</f>
        <v>0</v>
      </c>
      <c r="E292">
        <f>+bma_se!E292/data!$K292</f>
        <v>0</v>
      </c>
      <c r="F292">
        <f>+bma_se!F292/data!$K292</f>
        <v>0</v>
      </c>
      <c r="G292">
        <f>+bma_se!G292/data!$K292</f>
        <v>0</v>
      </c>
      <c r="H292">
        <f>+bma_se!H292/data!$K292</f>
        <v>0</v>
      </c>
      <c r="I292">
        <f>+bma_se!I292/data!$K292</f>
        <v>0</v>
      </c>
      <c r="J292">
        <f>+bma_se!J292/data!$K292</f>
        <v>0</v>
      </c>
      <c r="K292">
        <f>+bma_se!K292/data!$K292</f>
        <v>0.17800590369382724</v>
      </c>
      <c r="L292">
        <f>+bma_se!L292/data!$K292</f>
        <v>0</v>
      </c>
      <c r="M292">
        <f>+bma_se!M292/data!$K292</f>
        <v>0</v>
      </c>
      <c r="N292">
        <f>+bma_se!N292/data!$K292</f>
        <v>0</v>
      </c>
      <c r="O292">
        <f>+bma_se!O292/data!$K292</f>
        <v>0</v>
      </c>
      <c r="P292">
        <f>+bma_se!P292/data!$K292</f>
        <v>0.17800590369382724</v>
      </c>
      <c r="Q292">
        <f>+bma_se!Q292/data!$K292</f>
        <v>1.3536273820257252</v>
      </c>
      <c r="R292">
        <f>+bma_se!R292/data!$K292</f>
        <v>0.83508764028222904</v>
      </c>
      <c r="S292">
        <f>+bma_se!S292/data!$K292</f>
        <v>0.17800590369382724</v>
      </c>
    </row>
    <row r="293" spans="1:19" x14ac:dyDescent="0.25">
      <c r="A293">
        <f>+bma_se!A293/data!$K293</f>
        <v>-6.0672514619883051E-2</v>
      </c>
      <c r="B293">
        <f>+bma_se!B293/data!$K293</f>
        <v>0.65190294548084082</v>
      </c>
      <c r="C293">
        <f>+bma_se!C293/data!$K293</f>
        <v>0.65190294548084082</v>
      </c>
      <c r="D293">
        <f>+bma_se!D293/data!$K293</f>
        <v>0</v>
      </c>
      <c r="E293">
        <f>+bma_se!E293/data!$K293</f>
        <v>0</v>
      </c>
      <c r="F293">
        <f>+bma_se!F293/data!$K293</f>
        <v>0</v>
      </c>
      <c r="G293">
        <f>+bma_se!G293/data!$K293</f>
        <v>0</v>
      </c>
      <c r="H293">
        <f>+bma_se!H293/data!$K293</f>
        <v>0</v>
      </c>
      <c r="I293">
        <f>+bma_se!I293/data!$K293</f>
        <v>0</v>
      </c>
      <c r="J293">
        <f>+bma_se!J293/data!$K293</f>
        <v>0</v>
      </c>
      <c r="K293">
        <f>+bma_se!K293/data!$K293</f>
        <v>0.65190294548084082</v>
      </c>
      <c r="L293">
        <f>+bma_se!L293/data!$K293</f>
        <v>0</v>
      </c>
      <c r="M293">
        <f>+bma_se!M293/data!$K293</f>
        <v>0</v>
      </c>
      <c r="N293">
        <f>+bma_se!N293/data!$K293</f>
        <v>0.65190294548084082</v>
      </c>
      <c r="O293">
        <f>+bma_se!O293/data!$K293</f>
        <v>0</v>
      </c>
      <c r="P293">
        <f>+bma_se!P293/data!$K293</f>
        <v>0.65190294548084082</v>
      </c>
      <c r="Q293">
        <f>+bma_se!Q293/data!$K293</f>
        <v>4.9573281510027245</v>
      </c>
      <c r="R293">
        <f>+bma_se!R293/data!$K293</f>
        <v>3.0583035794756515</v>
      </c>
      <c r="S293">
        <f>+bma_se!S293/data!$K293</f>
        <v>0.65190294548084082</v>
      </c>
    </row>
    <row r="294" spans="1:19" x14ac:dyDescent="0.25">
      <c r="A294">
        <f>+bma_se!A294/data!$K294</f>
        <v>-6.5656565656565663E-2</v>
      </c>
      <c r="B294">
        <f>+bma_se!B294/data!$K294</f>
        <v>0.66410780726892771</v>
      </c>
      <c r="C294">
        <f>+bma_se!C294/data!$K294</f>
        <v>0.66410780726892771</v>
      </c>
      <c r="D294">
        <f>+bma_se!D294/data!$K294</f>
        <v>0</v>
      </c>
      <c r="E294">
        <f>+bma_se!E294/data!$K294</f>
        <v>0</v>
      </c>
      <c r="F294">
        <f>+bma_se!F294/data!$K294</f>
        <v>0</v>
      </c>
      <c r="G294">
        <f>+bma_se!G294/data!$K294</f>
        <v>0</v>
      </c>
      <c r="H294">
        <f>+bma_se!H294/data!$K294</f>
        <v>0</v>
      </c>
      <c r="I294">
        <f>+bma_se!I294/data!$K294</f>
        <v>0</v>
      </c>
      <c r="J294">
        <f>+bma_se!J294/data!$K294</f>
        <v>0</v>
      </c>
      <c r="K294">
        <f>+bma_se!K294/data!$K294</f>
        <v>0.66410780726892771</v>
      </c>
      <c r="L294">
        <f>+bma_se!L294/data!$K294</f>
        <v>0</v>
      </c>
      <c r="M294">
        <f>+bma_se!M294/data!$K294</f>
        <v>0</v>
      </c>
      <c r="N294">
        <f>+bma_se!N294/data!$K294</f>
        <v>0</v>
      </c>
      <c r="O294">
        <f>+bma_se!O294/data!$K294</f>
        <v>0</v>
      </c>
      <c r="P294">
        <f>+bma_se!P294/data!$K294</f>
        <v>0.66410780726892771</v>
      </c>
      <c r="Q294">
        <f>+bma_se!Q294/data!$K294</f>
        <v>5.0501387531646058</v>
      </c>
      <c r="R294">
        <f>+bma_se!R294/data!$K294</f>
        <v>3.1155608334154694</v>
      </c>
      <c r="S294">
        <f>+bma_se!S294/data!$K294</f>
        <v>0.66410780726892771</v>
      </c>
    </row>
    <row r="295" spans="1:19" x14ac:dyDescent="0.25">
      <c r="A295">
        <f>+bma_se!A295/data!$K295</f>
        <v>-0.1037037037037037</v>
      </c>
      <c r="B295">
        <f>+bma_se!B295/data!$K295</f>
        <v>0.80600455771090684</v>
      </c>
      <c r="C295">
        <f>+bma_se!C295/data!$K295</f>
        <v>0.80600455771090684</v>
      </c>
      <c r="D295">
        <f>+bma_se!D295/data!$K295</f>
        <v>0</v>
      </c>
      <c r="E295">
        <f>+bma_se!E295/data!$K295</f>
        <v>0</v>
      </c>
      <c r="F295">
        <f>+bma_se!F295/data!$K295</f>
        <v>0</v>
      </c>
      <c r="G295">
        <f>+bma_se!G295/data!$K295</f>
        <v>0</v>
      </c>
      <c r="H295">
        <f>+bma_se!H295/data!$K295</f>
        <v>0</v>
      </c>
      <c r="I295">
        <f>+bma_se!I295/data!$K295</f>
        <v>0</v>
      </c>
      <c r="J295">
        <f>+bma_se!J295/data!$K295</f>
        <v>0</v>
      </c>
      <c r="K295">
        <f>+bma_se!K295/data!$K295</f>
        <v>0.80600455771090684</v>
      </c>
      <c r="L295">
        <f>+bma_se!L295/data!$K295</f>
        <v>0</v>
      </c>
      <c r="M295">
        <f>+bma_se!M295/data!$K295</f>
        <v>0</v>
      </c>
      <c r="N295">
        <f>+bma_se!N295/data!$K295</f>
        <v>0</v>
      </c>
      <c r="O295">
        <f>+bma_se!O295/data!$K295</f>
        <v>0</v>
      </c>
      <c r="P295">
        <f>+bma_se!P295/data!$K295</f>
        <v>0.80600455771090684</v>
      </c>
      <c r="Q295">
        <f>+bma_se!Q295/data!$K295</f>
        <v>6.1291778346385897</v>
      </c>
      <c r="R295">
        <f>+bma_se!R295/data!$K295</f>
        <v>3.781247869807947</v>
      </c>
      <c r="S295">
        <f>+bma_se!S295/data!$K295</f>
        <v>0.80600455771090684</v>
      </c>
    </row>
    <row r="296" spans="1:19" x14ac:dyDescent="0.25">
      <c r="A296">
        <f>+bma_se!A296/data!$K296</f>
        <v>-1.954732510288066E-2</v>
      </c>
      <c r="B296">
        <f>+bma_se!B296/data!$K296</f>
        <v>0.38838777128231095</v>
      </c>
      <c r="C296">
        <f>+bma_se!C296/data!$K296</f>
        <v>0.38838777128231095</v>
      </c>
      <c r="D296">
        <f>+bma_se!D296/data!$K296</f>
        <v>0</v>
      </c>
      <c r="E296">
        <f>+bma_se!E296/data!$K296</f>
        <v>0</v>
      </c>
      <c r="F296">
        <f>+bma_se!F296/data!$K296</f>
        <v>0</v>
      </c>
      <c r="G296">
        <f>+bma_se!G296/data!$K296</f>
        <v>0</v>
      </c>
      <c r="H296">
        <f>+bma_se!H296/data!$K296</f>
        <v>0</v>
      </c>
      <c r="I296">
        <f>+bma_se!I296/data!$K296</f>
        <v>0</v>
      </c>
      <c r="J296">
        <f>+bma_se!J296/data!$K296</f>
        <v>0</v>
      </c>
      <c r="K296">
        <f>+bma_se!K296/data!$K296</f>
        <v>0.38838777128231095</v>
      </c>
      <c r="L296">
        <f>+bma_se!L296/data!$K296</f>
        <v>0</v>
      </c>
      <c r="M296">
        <f>+bma_se!M296/data!$K296</f>
        <v>0</v>
      </c>
      <c r="N296">
        <f>+bma_se!N296/data!$K296</f>
        <v>0.38838777128231095</v>
      </c>
      <c r="O296">
        <f>+bma_se!O296/data!$K296</f>
        <v>0</v>
      </c>
      <c r="P296">
        <f>+bma_se!P296/data!$K296</f>
        <v>0.38838777128231095</v>
      </c>
      <c r="Q296">
        <f>+bma_se!Q296/data!$K296</f>
        <v>2.9534544143881205</v>
      </c>
      <c r="R296">
        <f>+bma_se!R296/data!$K296</f>
        <v>1.8220621940297268</v>
      </c>
      <c r="S296">
        <f>+bma_se!S296/data!$K296</f>
        <v>0.38838777128231095</v>
      </c>
    </row>
    <row r="297" spans="1:19" x14ac:dyDescent="0.25">
      <c r="A297">
        <f>+bma_se!A297/data!$K297</f>
        <v>-4.6296296296296294E-2</v>
      </c>
      <c r="B297">
        <f>+bma_se!B297/data!$K297</f>
        <v>0.4013651259572823</v>
      </c>
      <c r="C297">
        <f>+bma_se!C297/data!$K297</f>
        <v>0.4013651259572823</v>
      </c>
      <c r="D297">
        <f>+bma_se!D297/data!$K297</f>
        <v>0</v>
      </c>
      <c r="E297">
        <f>+bma_se!E297/data!$K297</f>
        <v>0</v>
      </c>
      <c r="F297">
        <f>+bma_se!F297/data!$K297</f>
        <v>0</v>
      </c>
      <c r="G297">
        <f>+bma_se!G297/data!$K297</f>
        <v>0</v>
      </c>
      <c r="H297">
        <f>+bma_se!H297/data!$K297</f>
        <v>0</v>
      </c>
      <c r="I297">
        <f>+bma_se!I297/data!$K297</f>
        <v>0</v>
      </c>
      <c r="J297">
        <f>+bma_se!J297/data!$K297</f>
        <v>0</v>
      </c>
      <c r="K297">
        <f>+bma_se!K297/data!$K297</f>
        <v>0.4013651259572823</v>
      </c>
      <c r="L297">
        <f>+bma_se!L297/data!$K297</f>
        <v>0</v>
      </c>
      <c r="M297">
        <f>+bma_se!M297/data!$K297</f>
        <v>0</v>
      </c>
      <c r="N297">
        <f>+bma_se!N297/data!$K297</f>
        <v>0</v>
      </c>
      <c r="O297">
        <f>+bma_se!O297/data!$K297</f>
        <v>0</v>
      </c>
      <c r="P297">
        <f>+bma_se!P297/data!$K297</f>
        <v>0.4013651259572823</v>
      </c>
      <c r="Q297">
        <f>+bma_se!Q297/data!$K297</f>
        <v>3.0521393583690535</v>
      </c>
      <c r="R297">
        <f>+bma_se!R297/data!$K297</f>
        <v>1.8829434809294439</v>
      </c>
      <c r="S297">
        <f>+bma_se!S297/data!$K297</f>
        <v>0.4013651259572823</v>
      </c>
    </row>
    <row r="298" spans="1:19" x14ac:dyDescent="0.25">
      <c r="A298">
        <f>+bma_se!A298/data!$K298</f>
        <v>-3.7581699346405227E-2</v>
      </c>
      <c r="B298">
        <f>+bma_se!B298/data!$K298</f>
        <v>0.48577802066410086</v>
      </c>
      <c r="C298">
        <f>+bma_se!C298/data!$K298</f>
        <v>0.48577802066410086</v>
      </c>
      <c r="D298">
        <f>+bma_se!D298/data!$K298</f>
        <v>0</v>
      </c>
      <c r="E298">
        <f>+bma_se!E298/data!$K298</f>
        <v>0</v>
      </c>
      <c r="F298">
        <f>+bma_se!F298/data!$K298</f>
        <v>0</v>
      </c>
      <c r="G298">
        <f>+bma_se!G298/data!$K298</f>
        <v>0</v>
      </c>
      <c r="H298">
        <f>+bma_se!H298/data!$K298</f>
        <v>0</v>
      </c>
      <c r="I298">
        <f>+bma_se!I298/data!$K298</f>
        <v>0</v>
      </c>
      <c r="J298">
        <f>+bma_se!J298/data!$K298</f>
        <v>0</v>
      </c>
      <c r="K298">
        <f>+bma_se!K298/data!$K298</f>
        <v>0.48577802066410086</v>
      </c>
      <c r="L298">
        <f>+bma_se!L298/data!$K298</f>
        <v>0</v>
      </c>
      <c r="M298">
        <f>+bma_se!M298/data!$K298</f>
        <v>0</v>
      </c>
      <c r="N298">
        <f>+bma_se!N298/data!$K298</f>
        <v>0</v>
      </c>
      <c r="O298">
        <f>+bma_se!O298/data!$K298</f>
        <v>0</v>
      </c>
      <c r="P298">
        <f>+bma_se!P298/data!$K298</f>
        <v>0.48577802066410086</v>
      </c>
      <c r="Q298">
        <f>+bma_se!Q298/data!$K298</f>
        <v>3.6940484372260056</v>
      </c>
      <c r="R298">
        <f>+bma_se!R298/data!$K298</f>
        <v>2.2789537456864881</v>
      </c>
      <c r="S298">
        <f>+bma_se!S298/data!$K298</f>
        <v>0.48577802066410086</v>
      </c>
    </row>
    <row r="299" spans="1:19" x14ac:dyDescent="0.25">
      <c r="A299">
        <f>+bma_se!A299/data!$K299</f>
        <v>-0.56666666666666732</v>
      </c>
      <c r="B299">
        <f>+bma_se!B299/data!$K299</f>
        <v>1.6960738977611405</v>
      </c>
      <c r="C299">
        <f>+bma_se!C299/data!$K299</f>
        <v>0</v>
      </c>
      <c r="D299">
        <f>+bma_se!D299/data!$K299</f>
        <v>1.6960738977611405</v>
      </c>
      <c r="E299">
        <f>+bma_se!E299/data!$K299</f>
        <v>0</v>
      </c>
      <c r="F299">
        <f>+bma_se!F299/data!$K299</f>
        <v>0</v>
      </c>
      <c r="G299">
        <f>+bma_se!G299/data!$K299</f>
        <v>1.6960738977611405</v>
      </c>
      <c r="H299">
        <f>+bma_se!H299/data!$K299</f>
        <v>0</v>
      </c>
      <c r="I299">
        <f>+bma_se!I299/data!$K299</f>
        <v>0</v>
      </c>
      <c r="J299">
        <f>+bma_se!J299/data!$K299</f>
        <v>0</v>
      </c>
      <c r="K299">
        <f>+bma_se!K299/data!$K299</f>
        <v>0</v>
      </c>
      <c r="L299">
        <f>+bma_se!L299/data!$K299</f>
        <v>0</v>
      </c>
      <c r="M299">
        <f>+bma_se!M299/data!$K299</f>
        <v>0</v>
      </c>
      <c r="N299">
        <f>+bma_se!N299/data!$K299</f>
        <v>1.6960738977611405</v>
      </c>
      <c r="O299">
        <f>+bma_se!O299/data!$K299</f>
        <v>0</v>
      </c>
      <c r="P299">
        <f>+bma_se!P299/data!$K299</f>
        <v>1.6960738977611405</v>
      </c>
      <c r="Q299">
        <f>+bma_se!Q299/data!$K299</f>
        <v>12.885745046554897</v>
      </c>
      <c r="R299">
        <f>+bma_se!R299/data!$K299</f>
        <v>4.3503430479885399</v>
      </c>
      <c r="S299">
        <f>+bma_se!S299/data!$K299</f>
        <v>1.6960738977611405</v>
      </c>
    </row>
    <row r="300" spans="1:19" x14ac:dyDescent="0.25">
      <c r="A300">
        <f>+bma_se!A300/data!$K300</f>
        <v>-1.519999999999998</v>
      </c>
      <c r="B300">
        <f>+bma_se!B300/data!$K300</f>
        <v>2.2058911023791605</v>
      </c>
      <c r="C300">
        <f>+bma_se!C300/data!$K300</f>
        <v>0</v>
      </c>
      <c r="D300">
        <f>+bma_se!D300/data!$K300</f>
        <v>2.2058911023791605</v>
      </c>
      <c r="E300">
        <f>+bma_se!E300/data!$K300</f>
        <v>0</v>
      </c>
      <c r="F300">
        <f>+bma_se!F300/data!$K300</f>
        <v>0</v>
      </c>
      <c r="G300">
        <f>+bma_se!G300/data!$K300</f>
        <v>2.2058911023791605</v>
      </c>
      <c r="H300">
        <f>+bma_se!H300/data!$K300</f>
        <v>0</v>
      </c>
      <c r="I300">
        <f>+bma_se!I300/data!$K300</f>
        <v>0</v>
      </c>
      <c r="J300">
        <f>+bma_se!J300/data!$K300</f>
        <v>0</v>
      </c>
      <c r="K300">
        <f>+bma_se!K300/data!$K300</f>
        <v>0</v>
      </c>
      <c r="L300">
        <f>+bma_se!L300/data!$K300</f>
        <v>0</v>
      </c>
      <c r="M300">
        <f>+bma_se!M300/data!$K300</f>
        <v>0</v>
      </c>
      <c r="N300">
        <f>+bma_se!N300/data!$K300</f>
        <v>0</v>
      </c>
      <c r="O300">
        <f>+bma_se!O300/data!$K300</f>
        <v>2.2058911023791605</v>
      </c>
      <c r="P300">
        <f>+bma_se!P300/data!$K300</f>
        <v>2.2058911023791605</v>
      </c>
      <c r="Q300">
        <f>+bma_se!Q300/data!$K300</f>
        <v>16.759028237651027</v>
      </c>
      <c r="R300">
        <f>+bma_se!R300/data!$K300</f>
        <v>5.6579981771563252</v>
      </c>
      <c r="S300">
        <f>+bma_se!S300/data!$K300</f>
        <v>2.2058911023791605</v>
      </c>
    </row>
    <row r="301" spans="1:19" x14ac:dyDescent="0.25">
      <c r="A301">
        <f>+bma_se!A301/data!$K301</f>
        <v>6.6666666666666666E-2</v>
      </c>
      <c r="B301">
        <f>+bma_se!B301/data!$K301</f>
        <v>1.5999999999999999</v>
      </c>
      <c r="C301">
        <f>+bma_se!C301/data!$K301</f>
        <v>0</v>
      </c>
      <c r="D301">
        <f>+bma_se!D301/data!$K301</f>
        <v>1.5999999999999999</v>
      </c>
      <c r="E301">
        <f>+bma_se!E301/data!$K301</f>
        <v>0</v>
      </c>
      <c r="F301">
        <f>+bma_se!F301/data!$K301</f>
        <v>0</v>
      </c>
      <c r="G301">
        <f>+bma_se!G301/data!$K301</f>
        <v>1.5999999999999999</v>
      </c>
      <c r="H301">
        <f>+bma_se!H301/data!$K301</f>
        <v>0</v>
      </c>
      <c r="I301">
        <f>+bma_se!I301/data!$K301</f>
        <v>0</v>
      </c>
      <c r="J301">
        <f>+bma_se!J301/data!$K301</f>
        <v>0</v>
      </c>
      <c r="K301">
        <f>+bma_se!K301/data!$K301</f>
        <v>0</v>
      </c>
      <c r="L301">
        <f>+bma_se!L301/data!$K301</f>
        <v>0</v>
      </c>
      <c r="M301">
        <f>+bma_se!M301/data!$K301</f>
        <v>0</v>
      </c>
      <c r="N301">
        <f>+bma_se!N301/data!$K301</f>
        <v>1.5999999999999999</v>
      </c>
      <c r="O301">
        <f>+bma_se!O301/data!$K301</f>
        <v>0</v>
      </c>
      <c r="P301">
        <f>+bma_se!P301/data!$K301</f>
        <v>1.5999999999999999</v>
      </c>
      <c r="Q301">
        <f>+bma_se!Q301/data!$K301</f>
        <v>12.155833599999999</v>
      </c>
      <c r="R301">
        <f>+bma_se!R301/data!$K301</f>
        <v>4.1039183999999995</v>
      </c>
      <c r="S301">
        <f>+bma_se!S301/data!$K301</f>
        <v>1.5999999999999999</v>
      </c>
    </row>
    <row r="302" spans="1:19" x14ac:dyDescent="0.25">
      <c r="A302">
        <f>+bma_se!A302/data!$K302</f>
        <v>-0.22394366197183099</v>
      </c>
      <c r="B302">
        <f>+bma_se!B302/data!$K302</f>
        <v>0.82471253400039557</v>
      </c>
      <c r="C302">
        <f>+bma_se!C302/data!$K302</f>
        <v>0.82471253400039557</v>
      </c>
      <c r="D302">
        <f>+bma_se!D302/data!$K302</f>
        <v>0.82471253400039557</v>
      </c>
      <c r="E302">
        <f>+bma_se!E302/data!$K302</f>
        <v>0</v>
      </c>
      <c r="F302">
        <f>+bma_se!F302/data!$K302</f>
        <v>0.82471253400039557</v>
      </c>
      <c r="G302">
        <f>+bma_se!G302/data!$K302</f>
        <v>0</v>
      </c>
      <c r="H302">
        <f>+bma_se!H302/data!$K302</f>
        <v>0</v>
      </c>
      <c r="I302">
        <f>+bma_se!I302/data!$K302</f>
        <v>0.82471253400039557</v>
      </c>
      <c r="J302">
        <f>+bma_se!J302/data!$K302</f>
        <v>0.82471253400039557</v>
      </c>
      <c r="K302">
        <f>+bma_se!K302/data!$K302</f>
        <v>0</v>
      </c>
      <c r="L302">
        <f>+bma_se!L302/data!$K302</f>
        <v>0</v>
      </c>
      <c r="M302">
        <f>+bma_se!M302/data!$K302</f>
        <v>0</v>
      </c>
      <c r="N302">
        <f>+bma_se!N302/data!$K302</f>
        <v>0.82471253400039557</v>
      </c>
      <c r="O302">
        <f>+bma_se!O302/data!$K302</f>
        <v>0</v>
      </c>
      <c r="P302">
        <f>+bma_se!P302/data!$K302</f>
        <v>0.82471253400039557</v>
      </c>
      <c r="Q302">
        <f>+bma_se!Q302/data!$K302</f>
        <v>6.2594370037700964</v>
      </c>
      <c r="R302">
        <f>+bma_se!R302/data!$K302</f>
        <v>2.5492219052341847</v>
      </c>
      <c r="S302">
        <f>+bma_se!S302/data!$K302</f>
        <v>0.82471253400039557</v>
      </c>
    </row>
    <row r="303" spans="1:19" x14ac:dyDescent="0.25">
      <c r="A303">
        <f>+bma_se!A303/data!$K303</f>
        <v>-0.29466666666666669</v>
      </c>
      <c r="B303">
        <f>+bma_se!B303/data!$K303</f>
        <v>0.51655439640413914</v>
      </c>
      <c r="C303">
        <f>+bma_se!C303/data!$K303</f>
        <v>0.51655439640413914</v>
      </c>
      <c r="D303">
        <f>+bma_se!D303/data!$K303</f>
        <v>0.51655439640413914</v>
      </c>
      <c r="E303">
        <f>+bma_se!E303/data!$K303</f>
        <v>0</v>
      </c>
      <c r="F303">
        <f>+bma_se!F303/data!$K303</f>
        <v>0.51655439640413914</v>
      </c>
      <c r="G303">
        <f>+bma_se!G303/data!$K303</f>
        <v>0</v>
      </c>
      <c r="H303">
        <f>+bma_se!H303/data!$K303</f>
        <v>0</v>
      </c>
      <c r="I303">
        <f>+bma_se!I303/data!$K303</f>
        <v>0.51655439640413914</v>
      </c>
      <c r="J303">
        <f>+bma_se!J303/data!$K303</f>
        <v>0.51655439640413914</v>
      </c>
      <c r="K303">
        <f>+bma_se!K303/data!$K303</f>
        <v>0</v>
      </c>
      <c r="L303">
        <f>+bma_se!L303/data!$K303</f>
        <v>0</v>
      </c>
      <c r="M303">
        <f>+bma_se!M303/data!$K303</f>
        <v>0</v>
      </c>
      <c r="N303">
        <f>+bma_se!N303/data!$K303</f>
        <v>0.51655439640413914</v>
      </c>
      <c r="O303">
        <f>+bma_se!O303/data!$K303</f>
        <v>0</v>
      </c>
      <c r="P303">
        <f>+bma_se!P303/data!$K303</f>
        <v>0.51655439640413914</v>
      </c>
      <c r="Q303">
        <f>+bma_se!Q303/data!$K303</f>
        <v>3.9205657365583875</v>
      </c>
      <c r="R303">
        <f>+bma_se!R303/data!$K303</f>
        <v>1.5966918511242396</v>
      </c>
      <c r="S303">
        <f>+bma_se!S303/data!$K303</f>
        <v>0.51655439640413914</v>
      </c>
    </row>
    <row r="304" spans="1:19" x14ac:dyDescent="0.25">
      <c r="A304">
        <f>+bma_se!A304/data!$K304</f>
        <v>-0.12457627118644068</v>
      </c>
      <c r="B304">
        <f>+bma_se!B304/data!$K304</f>
        <v>0.56171099984130424</v>
      </c>
      <c r="C304">
        <f>+bma_se!C304/data!$K304</f>
        <v>0.56171099984130424</v>
      </c>
      <c r="D304">
        <f>+bma_se!D304/data!$K304</f>
        <v>0.56171099984130424</v>
      </c>
      <c r="E304">
        <f>+bma_se!E304/data!$K304</f>
        <v>0</v>
      </c>
      <c r="F304">
        <f>+bma_se!F304/data!$K304</f>
        <v>0.56171099984130424</v>
      </c>
      <c r="G304">
        <f>+bma_se!G304/data!$K304</f>
        <v>0</v>
      </c>
      <c r="H304">
        <f>+bma_se!H304/data!$K304</f>
        <v>0</v>
      </c>
      <c r="I304">
        <f>+bma_se!I304/data!$K304</f>
        <v>0.56171099984130424</v>
      </c>
      <c r="J304">
        <f>+bma_se!J304/data!$K304</f>
        <v>0.56171099984130424</v>
      </c>
      <c r="K304">
        <f>+bma_se!K304/data!$K304</f>
        <v>0</v>
      </c>
      <c r="L304">
        <f>+bma_se!L304/data!$K304</f>
        <v>0</v>
      </c>
      <c r="M304">
        <f>+bma_se!M304/data!$K304</f>
        <v>0</v>
      </c>
      <c r="N304">
        <f>+bma_se!N304/data!$K304</f>
        <v>0.56171099984130424</v>
      </c>
      <c r="O304">
        <f>+bma_se!O304/data!$K304</f>
        <v>0</v>
      </c>
      <c r="P304">
        <f>+bma_se!P304/data!$K304</f>
        <v>0.56171099984130424</v>
      </c>
      <c r="Q304">
        <f>+bma_se!Q304/data!$K304</f>
        <v>4.2632971767465238</v>
      </c>
      <c r="R304">
        <f>+bma_se!R304/data!$K304</f>
        <v>1.7362728540824643</v>
      </c>
      <c r="S304">
        <f>+bma_se!S304/data!$K304</f>
        <v>0.56171099984130424</v>
      </c>
    </row>
    <row r="305" spans="1:19" x14ac:dyDescent="0.25">
      <c r="A305">
        <f>+bma_se!A305/data!$K305</f>
        <v>-0.18095238095238092</v>
      </c>
      <c r="B305">
        <f>+bma_se!B305/data!$K305</f>
        <v>0.81409075917389928</v>
      </c>
      <c r="C305">
        <f>+bma_se!C305/data!$K305</f>
        <v>0.81409075917389928</v>
      </c>
      <c r="D305">
        <f>+bma_se!D305/data!$K305</f>
        <v>0.81409075917389928</v>
      </c>
      <c r="E305">
        <f>+bma_se!E305/data!$K305</f>
        <v>0</v>
      </c>
      <c r="F305">
        <f>+bma_se!F305/data!$K305</f>
        <v>0.81409075917389928</v>
      </c>
      <c r="G305">
        <f>+bma_se!G305/data!$K305</f>
        <v>0</v>
      </c>
      <c r="H305">
        <f>+bma_se!H305/data!$K305</f>
        <v>0</v>
      </c>
      <c r="I305">
        <f>+bma_se!I305/data!$K305</f>
        <v>0.81409075917389928</v>
      </c>
      <c r="J305">
        <f>+bma_se!J305/data!$K305</f>
        <v>0.81409075917389928</v>
      </c>
      <c r="K305">
        <f>+bma_se!K305/data!$K305</f>
        <v>0</v>
      </c>
      <c r="L305">
        <f>+bma_se!L305/data!$K305</f>
        <v>0</v>
      </c>
      <c r="M305">
        <f>+bma_se!M305/data!$K305</f>
        <v>0</v>
      </c>
      <c r="N305">
        <f>+bma_se!N305/data!$K305</f>
        <v>0</v>
      </c>
      <c r="O305">
        <f>+bma_se!O305/data!$K305</f>
        <v>0</v>
      </c>
      <c r="P305">
        <f>+bma_se!P305/data!$K305</f>
        <v>0.81409075917389928</v>
      </c>
      <c r="Q305">
        <f>+bma_se!Q305/data!$K305</f>
        <v>6.1788194216991865</v>
      </c>
      <c r="R305">
        <f>+bma_se!R305/data!$K305</f>
        <v>2.5163895425091671</v>
      </c>
      <c r="S305">
        <f>+bma_se!S305/data!$K305</f>
        <v>0.81409075917389928</v>
      </c>
    </row>
    <row r="306" spans="1:19" x14ac:dyDescent="0.25">
      <c r="A306">
        <f>+bma_se!A306/data!$K306</f>
        <v>-0.11179624664879355</v>
      </c>
      <c r="B306">
        <f>+bma_se!B306/data!$K306</f>
        <v>0.43874639686812006</v>
      </c>
      <c r="C306">
        <f>+bma_se!C306/data!$K306</f>
        <v>0.43874639686812006</v>
      </c>
      <c r="D306">
        <f>+bma_se!D306/data!$K306</f>
        <v>0.43874639686812006</v>
      </c>
      <c r="E306">
        <f>+bma_se!E306/data!$K306</f>
        <v>0</v>
      </c>
      <c r="F306">
        <f>+bma_se!F306/data!$K306</f>
        <v>0.43874639686812006</v>
      </c>
      <c r="G306">
        <f>+bma_se!G306/data!$K306</f>
        <v>0</v>
      </c>
      <c r="H306">
        <f>+bma_se!H306/data!$K306</f>
        <v>0</v>
      </c>
      <c r="I306">
        <f>+bma_se!I306/data!$K306</f>
        <v>0.43874639686812006</v>
      </c>
      <c r="J306">
        <f>+bma_se!J306/data!$K306</f>
        <v>0.43874639686812006</v>
      </c>
      <c r="K306">
        <f>+bma_se!K306/data!$K306</f>
        <v>0</v>
      </c>
      <c r="L306">
        <f>+bma_se!L306/data!$K306</f>
        <v>0</v>
      </c>
      <c r="M306">
        <f>+bma_se!M306/data!$K306</f>
        <v>0</v>
      </c>
      <c r="N306">
        <f>+bma_se!N306/data!$K306</f>
        <v>0</v>
      </c>
      <c r="O306">
        <f>+bma_se!O306/data!$K306</f>
        <v>0</v>
      </c>
      <c r="P306">
        <f>+bma_se!P306/data!$K306</f>
        <v>0.43874639686812006</v>
      </c>
      <c r="Q306">
        <f>+bma_se!Q306/data!$K306</f>
        <v>3.3300153915519295</v>
      </c>
      <c r="R306">
        <f>+bma_se!R306/data!$K306</f>
        <v>1.3561839788144243</v>
      </c>
      <c r="S306">
        <f>+bma_se!S306/data!$K306</f>
        <v>0.43874639686812006</v>
      </c>
    </row>
    <row r="307" spans="1:19" x14ac:dyDescent="0.25">
      <c r="A307">
        <f>+bma_se!A307/data!$K307</f>
        <v>-9.7931034482758611E-2</v>
      </c>
      <c r="B307">
        <f>+bma_se!B307/data!$K307</f>
        <v>0.55640856168364561</v>
      </c>
      <c r="C307">
        <f>+bma_se!C307/data!$K307</f>
        <v>0.55640856168364561</v>
      </c>
      <c r="D307">
        <f>+bma_se!D307/data!$K307</f>
        <v>0.55640856168364561</v>
      </c>
      <c r="E307">
        <f>+bma_se!E307/data!$K307</f>
        <v>0</v>
      </c>
      <c r="F307">
        <f>+bma_se!F307/data!$K307</f>
        <v>0.55640856168364561</v>
      </c>
      <c r="G307">
        <f>+bma_se!G307/data!$K307</f>
        <v>0</v>
      </c>
      <c r="H307">
        <f>+bma_se!H307/data!$K307</f>
        <v>0</v>
      </c>
      <c r="I307">
        <f>+bma_se!I307/data!$K307</f>
        <v>0.55640856168364561</v>
      </c>
      <c r="J307">
        <f>+bma_se!J307/data!$K307</f>
        <v>0.55640856168364561</v>
      </c>
      <c r="K307">
        <f>+bma_se!K307/data!$K307</f>
        <v>0</v>
      </c>
      <c r="L307">
        <f>+bma_se!L307/data!$K307</f>
        <v>0</v>
      </c>
      <c r="M307">
        <f>+bma_se!M307/data!$K307</f>
        <v>0</v>
      </c>
      <c r="N307">
        <f>+bma_se!N307/data!$K307</f>
        <v>0</v>
      </c>
      <c r="O307">
        <f>+bma_se!O307/data!$K307</f>
        <v>0</v>
      </c>
      <c r="P307">
        <f>+bma_se!P307/data!$K307</f>
        <v>0.55640856168364561</v>
      </c>
      <c r="Q307">
        <f>+bma_se!Q307/data!$K307</f>
        <v>4.2230525142175628</v>
      </c>
      <c r="R307">
        <f>+bma_se!R307/data!$K307</f>
        <v>1.719882789732301</v>
      </c>
      <c r="S307">
        <f>+bma_se!S307/data!$K307</f>
        <v>0.55640856168364561</v>
      </c>
    </row>
    <row r="308" spans="1:19" x14ac:dyDescent="0.25">
      <c r="A308">
        <f>+bma_se!A308/data!$K308</f>
        <v>7.3262032085561507E-2</v>
      </c>
      <c r="B308">
        <f>+bma_se!B308/data!$K308</f>
        <v>0.56157575209877586</v>
      </c>
      <c r="C308">
        <f>+bma_se!C308/data!$K308</f>
        <v>0.56157575209877586</v>
      </c>
      <c r="D308">
        <f>+bma_se!D308/data!$K308</f>
        <v>0.56157575209877586</v>
      </c>
      <c r="E308">
        <f>+bma_se!E308/data!$K308</f>
        <v>0</v>
      </c>
      <c r="F308">
        <f>+bma_se!F308/data!$K308</f>
        <v>0.56157575209877586</v>
      </c>
      <c r="G308">
        <f>+bma_se!G308/data!$K308</f>
        <v>0</v>
      </c>
      <c r="H308">
        <f>+bma_se!H308/data!$K308</f>
        <v>0</v>
      </c>
      <c r="I308">
        <f>+bma_se!I308/data!$K308</f>
        <v>0.56157575209877586</v>
      </c>
      <c r="J308">
        <f>+bma_se!J308/data!$K308</f>
        <v>0.56157575209877586</v>
      </c>
      <c r="K308">
        <f>+bma_se!K308/data!$K308</f>
        <v>0</v>
      </c>
      <c r="L308">
        <f>+bma_se!L308/data!$K308</f>
        <v>0</v>
      </c>
      <c r="M308">
        <f>+bma_se!M308/data!$K308</f>
        <v>0</v>
      </c>
      <c r="N308">
        <f>+bma_se!N308/data!$K308</f>
        <v>0</v>
      </c>
      <c r="O308">
        <f>+bma_se!O308/data!$K308</f>
        <v>0</v>
      </c>
      <c r="P308">
        <f>+bma_se!P308/data!$K308</f>
        <v>0.56157575209877586</v>
      </c>
      <c r="Q308">
        <f>+bma_se!Q308/data!$K308</f>
        <v>4.262270667885125</v>
      </c>
      <c r="R308">
        <f>+bma_se!R308/data!$K308</f>
        <v>1.7358547974946563</v>
      </c>
      <c r="S308">
        <f>+bma_se!S308/data!$K308</f>
        <v>0.56157575209877586</v>
      </c>
    </row>
    <row r="309" spans="1:19" x14ac:dyDescent="0.25">
      <c r="A309">
        <f>+bma_se!A309/data!$K309</f>
        <v>0.11921568627450981</v>
      </c>
      <c r="B309">
        <f>+bma_se!B309/data!$K309</f>
        <v>0.79637452235358586</v>
      </c>
      <c r="C309">
        <f>+bma_se!C309/data!$K309</f>
        <v>0.79637452235358586</v>
      </c>
      <c r="D309">
        <f>+bma_se!D309/data!$K309</f>
        <v>0.79637452235358586</v>
      </c>
      <c r="E309">
        <f>+bma_se!E309/data!$K309</f>
        <v>0</v>
      </c>
      <c r="F309">
        <f>+bma_se!F309/data!$K309</f>
        <v>0.79637452235358586</v>
      </c>
      <c r="G309">
        <f>+bma_se!G309/data!$K309</f>
        <v>0</v>
      </c>
      <c r="H309">
        <f>+bma_se!H309/data!$K309</f>
        <v>0</v>
      </c>
      <c r="I309">
        <f>+bma_se!I309/data!$K309</f>
        <v>0.79637452235358586</v>
      </c>
      <c r="J309">
        <f>+bma_se!J309/data!$K309</f>
        <v>0.79637452235358586</v>
      </c>
      <c r="K309">
        <f>+bma_se!K309/data!$K309</f>
        <v>0</v>
      </c>
      <c r="L309">
        <f>+bma_se!L309/data!$K309</f>
        <v>0</v>
      </c>
      <c r="M309">
        <f>+bma_se!M309/data!$K309</f>
        <v>0</v>
      </c>
      <c r="N309">
        <f>+bma_se!N309/data!$K309</f>
        <v>0</v>
      </c>
      <c r="O309">
        <f>+bma_se!O309/data!$K309</f>
        <v>0</v>
      </c>
      <c r="P309">
        <f>+bma_se!P309/data!$K309</f>
        <v>0.79637452235358586</v>
      </c>
      <c r="Q309">
        <f>+bma_se!Q309/data!$K309</f>
        <v>6.0443560011146626</v>
      </c>
      <c r="R309">
        <f>+bma_se!R309/data!$K309</f>
        <v>2.4616278926993953</v>
      </c>
      <c r="S309">
        <f>+bma_se!S309/data!$K309</f>
        <v>0.79637452235358586</v>
      </c>
    </row>
    <row r="310" spans="1:19" x14ac:dyDescent="0.25">
      <c r="A310">
        <f>+bma_se!A310/data!$K310</f>
        <v>-8.7301587301587304E-3</v>
      </c>
      <c r="B310">
        <f>+bma_se!B310/data!$K310</f>
        <v>0.42435388023612297</v>
      </c>
      <c r="C310">
        <f>+bma_se!C310/data!$K310</f>
        <v>0.42435388023612297</v>
      </c>
      <c r="D310">
        <f>+bma_se!D310/data!$K310</f>
        <v>0.42435388023612297</v>
      </c>
      <c r="E310">
        <f>+bma_se!E310/data!$K310</f>
        <v>0</v>
      </c>
      <c r="F310">
        <f>+bma_se!F310/data!$K310</f>
        <v>0.42435388023612297</v>
      </c>
      <c r="G310">
        <f>+bma_se!G310/data!$K310</f>
        <v>0</v>
      </c>
      <c r="H310">
        <f>+bma_se!H310/data!$K310</f>
        <v>0</v>
      </c>
      <c r="I310">
        <f>+bma_se!I310/data!$K310</f>
        <v>0.42435388023612297</v>
      </c>
      <c r="J310">
        <f>+bma_se!J310/data!$K310</f>
        <v>0.42435388023612297</v>
      </c>
      <c r="K310">
        <f>+bma_se!K310/data!$K310</f>
        <v>0</v>
      </c>
      <c r="L310">
        <f>+bma_se!L310/data!$K310</f>
        <v>0</v>
      </c>
      <c r="M310">
        <f>+bma_se!M310/data!$K310</f>
        <v>0</v>
      </c>
      <c r="N310">
        <f>+bma_se!N310/data!$K310</f>
        <v>0.42435388023612297</v>
      </c>
      <c r="O310">
        <f>+bma_se!O310/data!$K310</f>
        <v>0</v>
      </c>
      <c r="P310">
        <f>+bma_se!P310/data!$K310</f>
        <v>0.42435388023612297</v>
      </c>
      <c r="Q310">
        <f>+bma_se!Q310/data!$K310</f>
        <v>3.2207784787252161</v>
      </c>
      <c r="R310">
        <f>+bma_se!R310/data!$K310</f>
        <v>1.3116960910267064</v>
      </c>
      <c r="S310">
        <f>+bma_se!S310/data!$K310</f>
        <v>0.42435388023612297</v>
      </c>
    </row>
    <row r="311" spans="1:19" x14ac:dyDescent="0.25">
      <c r="A311">
        <f>+bma_se!A311/data!$K311</f>
        <v>-1.9672131147540982E-2</v>
      </c>
      <c r="B311">
        <f>+bma_se!B311/data!$K311</f>
        <v>0.54807571807541888</v>
      </c>
      <c r="C311">
        <f>+bma_se!C311/data!$K311</f>
        <v>0.54807571807541888</v>
      </c>
      <c r="D311">
        <f>+bma_se!D311/data!$K311</f>
        <v>0.54807571807541888</v>
      </c>
      <c r="E311">
        <f>+bma_se!E311/data!$K311</f>
        <v>0</v>
      </c>
      <c r="F311">
        <f>+bma_se!F311/data!$K311</f>
        <v>0.54807571807541888</v>
      </c>
      <c r="G311">
        <f>+bma_se!G311/data!$K311</f>
        <v>0</v>
      </c>
      <c r="H311">
        <f>+bma_se!H311/data!$K311</f>
        <v>0</v>
      </c>
      <c r="I311">
        <f>+bma_se!I311/data!$K311</f>
        <v>0.54807571807541888</v>
      </c>
      <c r="J311">
        <f>+bma_se!J311/data!$K311</f>
        <v>0.54807571807541888</v>
      </c>
      <c r="K311">
        <f>+bma_se!K311/data!$K311</f>
        <v>0</v>
      </c>
      <c r="L311">
        <f>+bma_se!L311/data!$K311</f>
        <v>0</v>
      </c>
      <c r="M311">
        <f>+bma_se!M311/data!$K311</f>
        <v>0</v>
      </c>
      <c r="N311">
        <f>+bma_se!N311/data!$K311</f>
        <v>0.54807571807541888</v>
      </c>
      <c r="O311">
        <f>+bma_se!O311/data!$K311</f>
        <v>0</v>
      </c>
      <c r="P311">
        <f>+bma_se!P311/data!$K311</f>
        <v>0.54807571807541888</v>
      </c>
      <c r="Q311">
        <f>+bma_se!Q311/data!$K311</f>
        <v>4.1598075561532557</v>
      </c>
      <c r="R311">
        <f>+bma_se!R311/data!$K311</f>
        <v>1.6941256118269972</v>
      </c>
      <c r="S311">
        <f>+bma_se!S311/data!$K311</f>
        <v>0.54807571807541888</v>
      </c>
    </row>
    <row r="312" spans="1:19" x14ac:dyDescent="0.25">
      <c r="A312">
        <f>+bma_se!A312/data!$K312</f>
        <v>-6.9285714285714034E-2</v>
      </c>
      <c r="B312">
        <f>+bma_se!B312/data!$K312</f>
        <v>0.26429440140162802</v>
      </c>
      <c r="C312">
        <f>+bma_se!C312/data!$K312</f>
        <v>0.26429440140162802</v>
      </c>
      <c r="D312">
        <f>+bma_se!D312/data!$K312</f>
        <v>0.26429440140162802</v>
      </c>
      <c r="E312">
        <f>+bma_se!E312/data!$K312</f>
        <v>0</v>
      </c>
      <c r="F312">
        <f>+bma_se!F312/data!$K312</f>
        <v>0.26429440140162802</v>
      </c>
      <c r="G312">
        <f>+bma_se!G312/data!$K312</f>
        <v>0</v>
      </c>
      <c r="H312">
        <f>+bma_se!H312/data!$K312</f>
        <v>0</v>
      </c>
      <c r="I312">
        <f>+bma_se!I312/data!$K312</f>
        <v>0.26429440140162802</v>
      </c>
      <c r="J312">
        <f>+bma_se!J312/data!$K312</f>
        <v>0.26429440140162802</v>
      </c>
      <c r="K312">
        <f>+bma_se!K312/data!$K312</f>
        <v>0</v>
      </c>
      <c r="L312">
        <f>+bma_se!L312/data!$K312</f>
        <v>0.26429440140162802</v>
      </c>
      <c r="M312">
        <f>+bma_se!M312/data!$K312</f>
        <v>0</v>
      </c>
      <c r="N312">
        <f>+bma_se!N312/data!$K312</f>
        <v>0</v>
      </c>
      <c r="O312">
        <f>+bma_se!O312/data!$K312</f>
        <v>0.26429440140162802</v>
      </c>
      <c r="P312">
        <f>+bma_se!P312/data!$K312</f>
        <v>0.26429440140162802</v>
      </c>
      <c r="Q312">
        <f>+bma_se!Q312/data!$K312</f>
        <v>2.0056852821887166</v>
      </c>
      <c r="R312">
        <f>+bma_se!R312/data!$K312</f>
        <v>0.58071426611969201</v>
      </c>
      <c r="S312">
        <f>+bma_se!S312/data!$K312</f>
        <v>0</v>
      </c>
    </row>
    <row r="313" spans="1:19" x14ac:dyDescent="0.25">
      <c r="A313">
        <f>+bma_se!A313/data!$K313</f>
        <v>-6.5357142857142808E-2</v>
      </c>
      <c r="B313">
        <f>+bma_se!B313/data!$K313</f>
        <v>0.26085832615910609</v>
      </c>
      <c r="C313">
        <f>+bma_se!C313/data!$K313</f>
        <v>0.26085832615910609</v>
      </c>
      <c r="D313">
        <f>+bma_se!D313/data!$K313</f>
        <v>0.26085832615910609</v>
      </c>
      <c r="E313">
        <f>+bma_se!E313/data!$K313</f>
        <v>0</v>
      </c>
      <c r="F313">
        <f>+bma_se!F313/data!$K313</f>
        <v>0.26085832615910609</v>
      </c>
      <c r="G313">
        <f>+bma_se!G313/data!$K313</f>
        <v>0</v>
      </c>
      <c r="H313">
        <f>+bma_se!H313/data!$K313</f>
        <v>0</v>
      </c>
      <c r="I313">
        <f>+bma_se!I313/data!$K313</f>
        <v>0.26085832615910609</v>
      </c>
      <c r="J313">
        <f>+bma_se!J313/data!$K313</f>
        <v>0.26085832615910609</v>
      </c>
      <c r="K313">
        <f>+bma_se!K313/data!$K313</f>
        <v>0</v>
      </c>
      <c r="L313">
        <f>+bma_se!L313/data!$K313</f>
        <v>0.26085832615910609</v>
      </c>
      <c r="M313">
        <f>+bma_se!M313/data!$K313</f>
        <v>0</v>
      </c>
      <c r="N313">
        <f>+bma_se!N313/data!$K313</f>
        <v>0</v>
      </c>
      <c r="O313">
        <f>+bma_se!O313/data!$K313</f>
        <v>0.26085832615910609</v>
      </c>
      <c r="P313">
        <f>+bma_se!P313/data!$K313</f>
        <v>0.26085832615910609</v>
      </c>
      <c r="Q313">
        <f>+bma_se!Q313/data!$K313</f>
        <v>1.9796094913060092</v>
      </c>
      <c r="R313">
        <f>+bma_se!R313/data!$K313</f>
        <v>0.57316443569494191</v>
      </c>
      <c r="S313">
        <f>+bma_se!S313/data!$K313</f>
        <v>0</v>
      </c>
    </row>
    <row r="314" spans="1:19" x14ac:dyDescent="0.25">
      <c r="A314">
        <f>+bma_se!A314/data!$K314</f>
        <v>-6.7857142857142658E-2</v>
      </c>
      <c r="B314">
        <f>+bma_se!B314/data!$K314</f>
        <v>0.25904554008269415</v>
      </c>
      <c r="C314">
        <f>+bma_se!C314/data!$K314</f>
        <v>0.25904554008269415</v>
      </c>
      <c r="D314">
        <f>+bma_se!D314/data!$K314</f>
        <v>0.25904554008269415</v>
      </c>
      <c r="E314">
        <f>+bma_se!E314/data!$K314</f>
        <v>0</v>
      </c>
      <c r="F314">
        <f>+bma_se!F314/data!$K314</f>
        <v>0.25904554008269415</v>
      </c>
      <c r="G314">
        <f>+bma_se!G314/data!$K314</f>
        <v>0</v>
      </c>
      <c r="H314">
        <f>+bma_se!H314/data!$K314</f>
        <v>0</v>
      </c>
      <c r="I314">
        <f>+bma_se!I314/data!$K314</f>
        <v>0.25904554008269415</v>
      </c>
      <c r="J314">
        <f>+bma_se!J314/data!$K314</f>
        <v>0.25904554008269415</v>
      </c>
      <c r="K314">
        <f>+bma_se!K314/data!$K314</f>
        <v>0</v>
      </c>
      <c r="L314">
        <f>+bma_se!L314/data!$K314</f>
        <v>0.25904554008269415</v>
      </c>
      <c r="M314">
        <f>+bma_se!M314/data!$K314</f>
        <v>0</v>
      </c>
      <c r="N314">
        <f>+bma_se!N314/data!$K314</f>
        <v>0</v>
      </c>
      <c r="O314">
        <f>+bma_se!O314/data!$K314</f>
        <v>0.25904554008269415</v>
      </c>
      <c r="P314">
        <f>+bma_se!P314/data!$K314</f>
        <v>0.25904554008269415</v>
      </c>
      <c r="Q314">
        <f>+bma_se!Q314/data!$K314</f>
        <v>1.9658525659457513</v>
      </c>
      <c r="R314">
        <f>+bma_se!R314/data!$K314</f>
        <v>0.5691813368081976</v>
      </c>
      <c r="S314">
        <f>+bma_se!S314/data!$K314</f>
        <v>0</v>
      </c>
    </row>
    <row r="315" spans="1:19" x14ac:dyDescent="0.25">
      <c r="A315">
        <f>+bma_se!A315/data!$K315</f>
        <v>-0.10571428571428605</v>
      </c>
      <c r="B315">
        <f>+bma_se!B315/data!$K315</f>
        <v>0.26907248094147435</v>
      </c>
      <c r="C315">
        <f>+bma_se!C315/data!$K315</f>
        <v>0.26907248094147435</v>
      </c>
      <c r="D315">
        <f>+bma_se!D315/data!$K315</f>
        <v>0.26907248094147435</v>
      </c>
      <c r="E315">
        <f>+bma_se!E315/data!$K315</f>
        <v>0</v>
      </c>
      <c r="F315">
        <f>+bma_se!F315/data!$K315</f>
        <v>0.26907248094147435</v>
      </c>
      <c r="G315">
        <f>+bma_se!G315/data!$K315</f>
        <v>0</v>
      </c>
      <c r="H315">
        <f>+bma_se!H315/data!$K315</f>
        <v>0</v>
      </c>
      <c r="I315">
        <f>+bma_se!I315/data!$K315</f>
        <v>0.26907248094147435</v>
      </c>
      <c r="J315">
        <f>+bma_se!J315/data!$K315</f>
        <v>0.26907248094147435</v>
      </c>
      <c r="K315">
        <f>+bma_se!K315/data!$K315</f>
        <v>0</v>
      </c>
      <c r="L315">
        <f>+bma_se!L315/data!$K315</f>
        <v>0.26907248094147435</v>
      </c>
      <c r="M315">
        <f>+bma_se!M315/data!$K315</f>
        <v>0</v>
      </c>
      <c r="N315">
        <f>+bma_se!N315/data!$K315</f>
        <v>0</v>
      </c>
      <c r="O315">
        <f>+bma_se!O315/data!$K315</f>
        <v>0.26907248094147435</v>
      </c>
      <c r="P315">
        <f>+bma_se!P315/data!$K315</f>
        <v>0.26907248094147435</v>
      </c>
      <c r="Q315">
        <f>+bma_se!Q315/data!$K315</f>
        <v>2.0419453155430882</v>
      </c>
      <c r="R315">
        <f>+bma_se!R315/data!$K315</f>
        <v>0.59121278193663085</v>
      </c>
      <c r="S315">
        <f>+bma_se!S315/data!$K315</f>
        <v>0</v>
      </c>
    </row>
    <row r="316" spans="1:19" x14ac:dyDescent="0.25">
      <c r="A316">
        <f>+bma_se!A316/data!$K316</f>
        <v>-0.11285714285714279</v>
      </c>
      <c r="B316">
        <f>+bma_se!B316/data!$K316</f>
        <v>0.26960288256195308</v>
      </c>
      <c r="C316">
        <f>+bma_se!C316/data!$K316</f>
        <v>0.26960288256195308</v>
      </c>
      <c r="D316">
        <f>+bma_se!D316/data!$K316</f>
        <v>0.26960288256195308</v>
      </c>
      <c r="E316">
        <f>+bma_se!E316/data!$K316</f>
        <v>0</v>
      </c>
      <c r="F316">
        <f>+bma_se!F316/data!$K316</f>
        <v>0.26960288256195308</v>
      </c>
      <c r="G316">
        <f>+bma_se!G316/data!$K316</f>
        <v>0</v>
      </c>
      <c r="H316">
        <f>+bma_se!H316/data!$K316</f>
        <v>0</v>
      </c>
      <c r="I316">
        <f>+bma_se!I316/data!$K316</f>
        <v>0.26960288256195308</v>
      </c>
      <c r="J316">
        <f>+bma_se!J316/data!$K316</f>
        <v>0.26960288256195308</v>
      </c>
      <c r="K316">
        <f>+bma_se!K316/data!$K316</f>
        <v>0</v>
      </c>
      <c r="L316">
        <f>+bma_se!L316/data!$K316</f>
        <v>0.26960288256195308</v>
      </c>
      <c r="M316">
        <f>+bma_se!M316/data!$K316</f>
        <v>0</v>
      </c>
      <c r="N316">
        <f>+bma_se!N316/data!$K316</f>
        <v>0</v>
      </c>
      <c r="O316">
        <f>+bma_se!O316/data!$K316</f>
        <v>0.26960288256195308</v>
      </c>
      <c r="P316">
        <f>+bma_se!P316/data!$K316</f>
        <v>0.26960288256195308</v>
      </c>
      <c r="Q316">
        <f>+bma_se!Q316/data!$K316</f>
        <v>2.0459704432726267</v>
      </c>
      <c r="R316">
        <f>+bma_se!R316/data!$K316</f>
        <v>0.59237819363718736</v>
      </c>
      <c r="S316">
        <f>+bma_se!S316/data!$K316</f>
        <v>0</v>
      </c>
    </row>
    <row r="317" spans="1:19" x14ac:dyDescent="0.25">
      <c r="A317">
        <f>+bma_se!A317/data!$K317</f>
        <v>-0.12857142857142848</v>
      </c>
      <c r="B317">
        <f>+bma_se!B317/data!$K317</f>
        <v>0.27423362600646378</v>
      </c>
      <c r="C317">
        <f>+bma_se!C317/data!$K317</f>
        <v>0.27423362600646378</v>
      </c>
      <c r="D317">
        <f>+bma_se!D317/data!$K317</f>
        <v>0.27423362600646378</v>
      </c>
      <c r="E317">
        <f>+bma_se!E317/data!$K317</f>
        <v>0</v>
      </c>
      <c r="F317">
        <f>+bma_se!F317/data!$K317</f>
        <v>0.27423362600646378</v>
      </c>
      <c r="G317">
        <f>+bma_se!G317/data!$K317</f>
        <v>0</v>
      </c>
      <c r="H317">
        <f>+bma_se!H317/data!$K317</f>
        <v>0</v>
      </c>
      <c r="I317">
        <f>+bma_se!I317/data!$K317</f>
        <v>0.27423362600646378</v>
      </c>
      <c r="J317">
        <f>+bma_se!J317/data!$K317</f>
        <v>0.27423362600646378</v>
      </c>
      <c r="K317">
        <f>+bma_se!K317/data!$K317</f>
        <v>0</v>
      </c>
      <c r="L317">
        <f>+bma_se!L317/data!$K317</f>
        <v>0.27423362600646378</v>
      </c>
      <c r="M317">
        <f>+bma_se!M317/data!$K317</f>
        <v>0</v>
      </c>
      <c r="N317">
        <f>+bma_se!N317/data!$K317</f>
        <v>0</v>
      </c>
      <c r="O317">
        <f>+bma_se!O317/data!$K317</f>
        <v>0.27423362600646378</v>
      </c>
      <c r="P317">
        <f>+bma_se!P317/data!$K317</f>
        <v>0.27423362600646378</v>
      </c>
      <c r="Q317">
        <f>+bma_se!Q317/data!$K317</f>
        <v>2.0811123680466324</v>
      </c>
      <c r="R317">
        <f>+bma_se!R317/data!$K317</f>
        <v>0.60255297890205228</v>
      </c>
      <c r="S317">
        <f>+bma_se!S317/data!$K317</f>
        <v>0</v>
      </c>
    </row>
    <row r="318" spans="1:19" x14ac:dyDescent="0.25">
      <c r="A318">
        <f>+bma_se!A318/data!$K318</f>
        <v>-9.6785714285713836E-2</v>
      </c>
      <c r="B318">
        <f>+bma_se!B318/data!$K318</f>
        <v>0.26328018171072537</v>
      </c>
      <c r="C318">
        <f>+bma_se!C318/data!$K318</f>
        <v>0.26328018171072537</v>
      </c>
      <c r="D318">
        <f>+bma_se!D318/data!$K318</f>
        <v>0.26328018171072537</v>
      </c>
      <c r="E318">
        <f>+bma_se!E318/data!$K318</f>
        <v>0</v>
      </c>
      <c r="F318">
        <f>+bma_se!F318/data!$K318</f>
        <v>0.26328018171072537</v>
      </c>
      <c r="G318">
        <f>+bma_se!G318/data!$K318</f>
        <v>0</v>
      </c>
      <c r="H318">
        <f>+bma_se!H318/data!$K318</f>
        <v>0</v>
      </c>
      <c r="I318">
        <f>+bma_se!I318/data!$K318</f>
        <v>0.26328018171072537</v>
      </c>
      <c r="J318">
        <f>+bma_se!J318/data!$K318</f>
        <v>0.26328018171072537</v>
      </c>
      <c r="K318">
        <f>+bma_se!K318/data!$K318</f>
        <v>0</v>
      </c>
      <c r="L318">
        <f>+bma_se!L318/data!$K318</f>
        <v>0.26328018171072537</v>
      </c>
      <c r="M318">
        <f>+bma_se!M318/data!$K318</f>
        <v>0</v>
      </c>
      <c r="N318">
        <f>+bma_se!N318/data!$K318</f>
        <v>0</v>
      </c>
      <c r="O318">
        <f>+bma_se!O318/data!$K318</f>
        <v>0.26328018171072537</v>
      </c>
      <c r="P318">
        <f>+bma_se!P318/data!$K318</f>
        <v>0.26328018171072537</v>
      </c>
      <c r="Q318">
        <f>+bma_se!Q318/data!$K318</f>
        <v>1.9979885413718039</v>
      </c>
      <c r="R318">
        <f>+bma_se!R318/data!$K318</f>
        <v>0.57848579725934857</v>
      </c>
      <c r="S318">
        <f>+bma_se!S318/data!$K318</f>
        <v>0</v>
      </c>
    </row>
    <row r="319" spans="1:19" x14ac:dyDescent="0.25">
      <c r="A319">
        <f>+bma_se!A319/data!$K319</f>
        <v>-6.1785714285714312E-2</v>
      </c>
      <c r="B319">
        <f>+bma_se!B319/data!$K319</f>
        <v>0.26242807566637988</v>
      </c>
      <c r="C319">
        <f>+bma_se!C319/data!$K319</f>
        <v>0.26242807566637988</v>
      </c>
      <c r="D319">
        <f>+bma_se!D319/data!$K319</f>
        <v>0.26242807566637988</v>
      </c>
      <c r="E319">
        <f>+bma_se!E319/data!$K319</f>
        <v>0</v>
      </c>
      <c r="F319">
        <f>+bma_se!F319/data!$K319</f>
        <v>0.26242807566637988</v>
      </c>
      <c r="G319">
        <f>+bma_se!G319/data!$K319</f>
        <v>0</v>
      </c>
      <c r="H319">
        <f>+bma_se!H319/data!$K319</f>
        <v>0</v>
      </c>
      <c r="I319">
        <f>+bma_se!I319/data!$K319</f>
        <v>0.26242807566637988</v>
      </c>
      <c r="J319">
        <f>+bma_se!J319/data!$K319</f>
        <v>0.26242807566637988</v>
      </c>
      <c r="K319">
        <f>+bma_se!K319/data!$K319</f>
        <v>0</v>
      </c>
      <c r="L319">
        <f>+bma_se!L319/data!$K319</f>
        <v>0</v>
      </c>
      <c r="M319">
        <f>+bma_se!M319/data!$K319</f>
        <v>0.26242807566637988</v>
      </c>
      <c r="N319">
        <f>+bma_se!N319/data!$K319</f>
        <v>0</v>
      </c>
      <c r="O319">
        <f>+bma_se!O319/data!$K319</f>
        <v>0.26242807566637988</v>
      </c>
      <c r="P319">
        <f>+bma_se!P319/data!$K319</f>
        <v>0.26242807566637988</v>
      </c>
      <c r="Q319">
        <f>+bma_se!Q319/data!$K319</f>
        <v>1.9915220534592935</v>
      </c>
      <c r="R319">
        <f>+bma_se!R319/data!$K319</f>
        <v>0.57661352855606152</v>
      </c>
      <c r="S319">
        <f>+bma_se!S319/data!$K319</f>
        <v>0</v>
      </c>
    </row>
    <row r="320" spans="1:19" x14ac:dyDescent="0.25">
      <c r="A320">
        <f>+bma_se!A320/data!$K320</f>
        <v>-5.4285714285714527E-2</v>
      </c>
      <c r="B320">
        <f>+bma_se!B320/data!$K320</f>
        <v>0.25830688914466038</v>
      </c>
      <c r="C320">
        <f>+bma_se!C320/data!$K320</f>
        <v>0.25830688914466038</v>
      </c>
      <c r="D320">
        <f>+bma_se!D320/data!$K320</f>
        <v>0.25830688914466038</v>
      </c>
      <c r="E320">
        <f>+bma_se!E320/data!$K320</f>
        <v>0</v>
      </c>
      <c r="F320">
        <f>+bma_se!F320/data!$K320</f>
        <v>0.25830688914466038</v>
      </c>
      <c r="G320">
        <f>+bma_se!G320/data!$K320</f>
        <v>0</v>
      </c>
      <c r="H320">
        <f>+bma_se!H320/data!$K320</f>
        <v>0</v>
      </c>
      <c r="I320">
        <f>+bma_se!I320/data!$K320</f>
        <v>0.25830688914466038</v>
      </c>
      <c r="J320">
        <f>+bma_se!J320/data!$K320</f>
        <v>0.25830688914466038</v>
      </c>
      <c r="K320">
        <f>+bma_se!K320/data!$K320</f>
        <v>0</v>
      </c>
      <c r="L320">
        <f>+bma_se!L320/data!$K320</f>
        <v>0</v>
      </c>
      <c r="M320">
        <f>+bma_se!M320/data!$K320</f>
        <v>0.25830688914466038</v>
      </c>
      <c r="N320">
        <f>+bma_se!N320/data!$K320</f>
        <v>0</v>
      </c>
      <c r="O320">
        <f>+bma_se!O320/data!$K320</f>
        <v>0.25830688914466038</v>
      </c>
      <c r="P320">
        <f>+bma_se!P320/data!$K320</f>
        <v>0.25830688914466038</v>
      </c>
      <c r="Q320">
        <f>+bma_se!Q320/data!$K320</f>
        <v>1.960247069547673</v>
      </c>
      <c r="R320">
        <f>+bma_se!R320/data!$K320</f>
        <v>0.56755835450087644</v>
      </c>
      <c r="S320">
        <f>+bma_se!S320/data!$K320</f>
        <v>0</v>
      </c>
    </row>
    <row r="321" spans="1:19" x14ac:dyDescent="0.25">
      <c r="A321">
        <f>+bma_se!A321/data!$K321</f>
        <v>-5.4642857142857174E-2</v>
      </c>
      <c r="B321">
        <f>+bma_se!B321/data!$K321</f>
        <v>0.25590201608571728</v>
      </c>
      <c r="C321">
        <f>+bma_se!C321/data!$K321</f>
        <v>0.25590201608571728</v>
      </c>
      <c r="D321">
        <f>+bma_se!D321/data!$K321</f>
        <v>0.25590201608571728</v>
      </c>
      <c r="E321">
        <f>+bma_se!E321/data!$K321</f>
        <v>0</v>
      </c>
      <c r="F321">
        <f>+bma_se!F321/data!$K321</f>
        <v>0.25590201608571728</v>
      </c>
      <c r="G321">
        <f>+bma_se!G321/data!$K321</f>
        <v>0</v>
      </c>
      <c r="H321">
        <f>+bma_se!H321/data!$K321</f>
        <v>0</v>
      </c>
      <c r="I321">
        <f>+bma_se!I321/data!$K321</f>
        <v>0.25590201608571728</v>
      </c>
      <c r="J321">
        <f>+bma_se!J321/data!$K321</f>
        <v>0.25590201608571728</v>
      </c>
      <c r="K321">
        <f>+bma_se!K321/data!$K321</f>
        <v>0</v>
      </c>
      <c r="L321">
        <f>+bma_se!L321/data!$K321</f>
        <v>0</v>
      </c>
      <c r="M321">
        <f>+bma_se!M321/data!$K321</f>
        <v>0.25590201608571728</v>
      </c>
      <c r="N321">
        <f>+bma_se!N321/data!$K321</f>
        <v>0</v>
      </c>
      <c r="O321">
        <f>+bma_se!O321/data!$K321</f>
        <v>0.25590201608571728</v>
      </c>
      <c r="P321">
        <f>+bma_se!P321/data!$K321</f>
        <v>0.25590201608571728</v>
      </c>
      <c r="Q321">
        <f>+bma_se!Q321/data!$K321</f>
        <v>1.9419968967317736</v>
      </c>
      <c r="R321">
        <f>+bma_se!R321/data!$K321</f>
        <v>0.56227430729394012</v>
      </c>
      <c r="S321">
        <f>+bma_se!S321/data!$K321</f>
        <v>0</v>
      </c>
    </row>
    <row r="322" spans="1:19" x14ac:dyDescent="0.25">
      <c r="A322">
        <f>+bma_se!A322/data!$K322</f>
        <v>-9.000000000000008E-2</v>
      </c>
      <c r="B322">
        <f>+bma_se!B322/data!$K322</f>
        <v>0.2632954420340739</v>
      </c>
      <c r="C322">
        <f>+bma_se!C322/data!$K322</f>
        <v>0.2632954420340739</v>
      </c>
      <c r="D322">
        <f>+bma_se!D322/data!$K322</f>
        <v>0.2632954420340739</v>
      </c>
      <c r="E322">
        <f>+bma_se!E322/data!$K322</f>
        <v>0</v>
      </c>
      <c r="F322">
        <f>+bma_se!F322/data!$K322</f>
        <v>0.2632954420340739</v>
      </c>
      <c r="G322">
        <f>+bma_se!G322/data!$K322</f>
        <v>0</v>
      </c>
      <c r="H322">
        <f>+bma_se!H322/data!$K322</f>
        <v>0</v>
      </c>
      <c r="I322">
        <f>+bma_se!I322/data!$K322</f>
        <v>0.2632954420340739</v>
      </c>
      <c r="J322">
        <f>+bma_se!J322/data!$K322</f>
        <v>0.2632954420340739</v>
      </c>
      <c r="K322">
        <f>+bma_se!K322/data!$K322</f>
        <v>0</v>
      </c>
      <c r="L322">
        <f>+bma_se!L322/data!$K322</f>
        <v>0</v>
      </c>
      <c r="M322">
        <f>+bma_se!M322/data!$K322</f>
        <v>0.2632954420340739</v>
      </c>
      <c r="N322">
        <f>+bma_se!N322/data!$K322</f>
        <v>0</v>
      </c>
      <c r="O322">
        <f>+bma_se!O322/data!$K322</f>
        <v>0.2632954420340739</v>
      </c>
      <c r="P322">
        <f>+bma_se!P322/data!$K322</f>
        <v>0.2632954420340739</v>
      </c>
      <c r="Q322">
        <f>+bma_se!Q322/data!$K322</f>
        <v>1.998104349371441</v>
      </c>
      <c r="R322">
        <f>+bma_se!R322/data!$K322</f>
        <v>0.57851932762331804</v>
      </c>
      <c r="S322">
        <f>+bma_se!S322/data!$K322</f>
        <v>0</v>
      </c>
    </row>
    <row r="323" spans="1:19" x14ac:dyDescent="0.25">
      <c r="A323">
        <f>+bma_se!A323/data!$K323</f>
        <v>-9.5000000000000126E-2</v>
      </c>
      <c r="B323">
        <f>+bma_se!B323/data!$K323</f>
        <v>0.26262897706048499</v>
      </c>
      <c r="C323">
        <f>+bma_se!C323/data!$K323</f>
        <v>0.26262897706048499</v>
      </c>
      <c r="D323">
        <f>+bma_se!D323/data!$K323</f>
        <v>0.26262897706048499</v>
      </c>
      <c r="E323">
        <f>+bma_se!E323/data!$K323</f>
        <v>0</v>
      </c>
      <c r="F323">
        <f>+bma_se!F323/data!$K323</f>
        <v>0.26262897706048499</v>
      </c>
      <c r="G323">
        <f>+bma_se!G323/data!$K323</f>
        <v>0</v>
      </c>
      <c r="H323">
        <f>+bma_se!H323/data!$K323</f>
        <v>0</v>
      </c>
      <c r="I323">
        <f>+bma_se!I323/data!$K323</f>
        <v>0.26262897706048499</v>
      </c>
      <c r="J323">
        <f>+bma_se!J323/data!$K323</f>
        <v>0.26262897706048499</v>
      </c>
      <c r="K323">
        <f>+bma_se!K323/data!$K323</f>
        <v>0</v>
      </c>
      <c r="L323">
        <f>+bma_se!L323/data!$K323</f>
        <v>0</v>
      </c>
      <c r="M323">
        <f>+bma_se!M323/data!$K323</f>
        <v>0.26262897706048499</v>
      </c>
      <c r="N323">
        <f>+bma_se!N323/data!$K323</f>
        <v>0</v>
      </c>
      <c r="O323">
        <f>+bma_se!O323/data!$K323</f>
        <v>0.26262897706048499</v>
      </c>
      <c r="P323">
        <f>+bma_se!P323/data!$K323</f>
        <v>0.26262897706048499</v>
      </c>
      <c r="Q323">
        <f>+bma_se!Q323/data!$K323</f>
        <v>1.9930466599859205</v>
      </c>
      <c r="R323">
        <f>+bma_se!R323/data!$K323</f>
        <v>0.57705495412172414</v>
      </c>
      <c r="S323">
        <f>+bma_se!S323/data!$K323</f>
        <v>0</v>
      </c>
    </row>
    <row r="324" spans="1:19" x14ac:dyDescent="0.25">
      <c r="A324">
        <f>+bma_se!A324/data!$K324</f>
        <v>-0.10535714285714305</v>
      </c>
      <c r="B324">
        <f>+bma_se!B324/data!$K324</f>
        <v>0.26414692301591469</v>
      </c>
      <c r="C324">
        <f>+bma_se!C324/data!$K324</f>
        <v>0.26414692301591469</v>
      </c>
      <c r="D324">
        <f>+bma_se!D324/data!$K324</f>
        <v>0.26414692301591469</v>
      </c>
      <c r="E324">
        <f>+bma_se!E324/data!$K324</f>
        <v>0</v>
      </c>
      <c r="F324">
        <f>+bma_se!F324/data!$K324</f>
        <v>0.26414692301591469</v>
      </c>
      <c r="G324">
        <f>+bma_se!G324/data!$K324</f>
        <v>0</v>
      </c>
      <c r="H324">
        <f>+bma_se!H324/data!$K324</f>
        <v>0</v>
      </c>
      <c r="I324">
        <f>+bma_se!I324/data!$K324</f>
        <v>0.26414692301591469</v>
      </c>
      <c r="J324">
        <f>+bma_se!J324/data!$K324</f>
        <v>0.26414692301591469</v>
      </c>
      <c r="K324">
        <f>+bma_se!K324/data!$K324</f>
        <v>0</v>
      </c>
      <c r="L324">
        <f>+bma_se!L324/data!$K324</f>
        <v>0</v>
      </c>
      <c r="M324">
        <f>+bma_se!M324/data!$K324</f>
        <v>0.26414692301591469</v>
      </c>
      <c r="N324">
        <f>+bma_se!N324/data!$K324</f>
        <v>0</v>
      </c>
      <c r="O324">
        <f>+bma_se!O324/data!$K324</f>
        <v>0.26414692301591469</v>
      </c>
      <c r="P324">
        <f>+bma_se!P324/data!$K324</f>
        <v>0.26414692301591469</v>
      </c>
      <c r="Q324">
        <f>+bma_se!Q324/data!$K324</f>
        <v>2.0045660937908636</v>
      </c>
      <c r="R324">
        <f>+bma_se!R324/data!$K324</f>
        <v>0.58039022292364317</v>
      </c>
      <c r="S324">
        <f>+bma_se!S324/data!$K324</f>
        <v>0</v>
      </c>
    </row>
    <row r="325" spans="1:19" x14ac:dyDescent="0.25">
      <c r="A325">
        <f>+bma_se!A325/data!$K325</f>
        <v>-0.10214285714285672</v>
      </c>
      <c r="B325">
        <f>+bma_se!B325/data!$K325</f>
        <v>0.2652963302745493</v>
      </c>
      <c r="C325">
        <f>+bma_se!C325/data!$K325</f>
        <v>0.2652963302745493</v>
      </c>
      <c r="D325">
        <f>+bma_se!D325/data!$K325</f>
        <v>0.2652963302745493</v>
      </c>
      <c r="E325">
        <f>+bma_se!E325/data!$K325</f>
        <v>0</v>
      </c>
      <c r="F325">
        <f>+bma_se!F325/data!$K325</f>
        <v>0.2652963302745493</v>
      </c>
      <c r="G325">
        <f>+bma_se!G325/data!$K325</f>
        <v>0</v>
      </c>
      <c r="H325">
        <f>+bma_se!H325/data!$K325</f>
        <v>0</v>
      </c>
      <c r="I325">
        <f>+bma_se!I325/data!$K325</f>
        <v>0.2652963302745493</v>
      </c>
      <c r="J325">
        <f>+bma_se!J325/data!$K325</f>
        <v>0.2652963302745493</v>
      </c>
      <c r="K325">
        <f>+bma_se!K325/data!$K325</f>
        <v>0</v>
      </c>
      <c r="L325">
        <f>+bma_se!L325/data!$K325</f>
        <v>0</v>
      </c>
      <c r="M325">
        <f>+bma_se!M325/data!$K325</f>
        <v>0.2652963302745493</v>
      </c>
      <c r="N325">
        <f>+bma_se!N325/data!$K325</f>
        <v>0</v>
      </c>
      <c r="O325">
        <f>+bma_se!O325/data!$K325</f>
        <v>0.2652963302745493</v>
      </c>
      <c r="P325">
        <f>+bma_se!P325/data!$K325</f>
        <v>0.2652963302745493</v>
      </c>
      <c r="Q325">
        <f>+bma_se!Q325/data!$K325</f>
        <v>2.0132887500774079</v>
      </c>
      <c r="R325">
        <f>+bma_se!R325/data!$K325</f>
        <v>0.58291572928749658</v>
      </c>
      <c r="S325">
        <f>+bma_se!S325/data!$K325</f>
        <v>0</v>
      </c>
    </row>
    <row r="326" spans="1:19" x14ac:dyDescent="0.25">
      <c r="A326">
        <f>+bma_se!A326/data!$K326</f>
        <v>-0.10321428571428627</v>
      </c>
      <c r="B326">
        <f>+bma_se!B326/data!$K326</f>
        <v>0.26571068545948068</v>
      </c>
      <c r="C326">
        <f>+bma_se!C326/data!$K326</f>
        <v>0.26571068545948068</v>
      </c>
      <c r="D326">
        <f>+bma_se!D326/data!$K326</f>
        <v>0.26571068545948068</v>
      </c>
      <c r="E326">
        <f>+bma_se!E326/data!$K326</f>
        <v>0</v>
      </c>
      <c r="F326">
        <f>+bma_se!F326/data!$K326</f>
        <v>0.26571068545948068</v>
      </c>
      <c r="G326">
        <f>+bma_se!G326/data!$K326</f>
        <v>0</v>
      </c>
      <c r="H326">
        <f>+bma_se!H326/data!$K326</f>
        <v>0</v>
      </c>
      <c r="I326">
        <f>+bma_se!I326/data!$K326</f>
        <v>0.26571068545948068</v>
      </c>
      <c r="J326">
        <f>+bma_se!J326/data!$K326</f>
        <v>0.26571068545948068</v>
      </c>
      <c r="K326">
        <f>+bma_se!K326/data!$K326</f>
        <v>0</v>
      </c>
      <c r="L326">
        <f>+bma_se!L326/data!$K326</f>
        <v>0</v>
      </c>
      <c r="M326">
        <f>+bma_se!M326/data!$K326</f>
        <v>0</v>
      </c>
      <c r="N326">
        <f>+bma_se!N326/data!$K326</f>
        <v>0</v>
      </c>
      <c r="O326">
        <f>+bma_se!O326/data!$K326</f>
        <v>0.26571068545948068</v>
      </c>
      <c r="P326">
        <f>+bma_se!P326/data!$K326</f>
        <v>0.26571068545948068</v>
      </c>
      <c r="Q326">
        <f>+bma_se!Q326/data!$K326</f>
        <v>2.0164332211354705</v>
      </c>
      <c r="R326">
        <f>+bma_se!R326/data!$K326</f>
        <v>0.58382616085870731</v>
      </c>
      <c r="S326">
        <f>+bma_se!S326/data!$K326</f>
        <v>0</v>
      </c>
    </row>
    <row r="327" spans="1:19" x14ac:dyDescent="0.25">
      <c r="A327">
        <f>+bma_se!A327/data!$K327</f>
        <v>8.9285714285714281E-3</v>
      </c>
      <c r="B327">
        <f>+bma_se!B327/data!$K327</f>
        <v>0.2526959231800876</v>
      </c>
      <c r="C327">
        <f>+bma_se!C327/data!$K327</f>
        <v>0.2526959231800876</v>
      </c>
      <c r="D327">
        <f>+bma_se!D327/data!$K327</f>
        <v>0.2526959231800876</v>
      </c>
      <c r="E327">
        <f>+bma_se!E327/data!$K327</f>
        <v>0</v>
      </c>
      <c r="F327">
        <f>+bma_se!F327/data!$K327</f>
        <v>0.2526959231800876</v>
      </c>
      <c r="G327">
        <f>+bma_se!G327/data!$K327</f>
        <v>0</v>
      </c>
      <c r="H327">
        <f>+bma_se!H327/data!$K327</f>
        <v>0</v>
      </c>
      <c r="I327">
        <f>+bma_se!I327/data!$K327</f>
        <v>0.2526959231800876</v>
      </c>
      <c r="J327">
        <f>+bma_se!J327/data!$K327</f>
        <v>0.2526959231800876</v>
      </c>
      <c r="K327">
        <f>+bma_se!K327/data!$K327</f>
        <v>0</v>
      </c>
      <c r="L327">
        <f>+bma_se!L327/data!$K327</f>
        <v>0.2526959231800876</v>
      </c>
      <c r="M327">
        <f>+bma_se!M327/data!$K327</f>
        <v>0</v>
      </c>
      <c r="N327">
        <f>+bma_se!N327/data!$K327</f>
        <v>0.2526959231800876</v>
      </c>
      <c r="O327">
        <f>+bma_se!O327/data!$K327</f>
        <v>0</v>
      </c>
      <c r="P327">
        <f>+bma_se!P327/data!$K327</f>
        <v>0.2526959231800876</v>
      </c>
      <c r="Q327">
        <f>+bma_se!Q327/data!$K327</f>
        <v>1.9176664027067443</v>
      </c>
      <c r="R327">
        <f>+bma_se!R327/data!$K327</f>
        <v>0.55522979980936793</v>
      </c>
      <c r="S327">
        <f>+bma_se!S327/data!$K327</f>
        <v>0</v>
      </c>
    </row>
    <row r="328" spans="1:19" x14ac:dyDescent="0.25">
      <c r="A328">
        <f>+bma_se!A328/data!$K328</f>
        <v>4.6428571428571448E-3</v>
      </c>
      <c r="B328">
        <f>+bma_se!B328/data!$K328</f>
        <v>0.25004310852820755</v>
      </c>
      <c r="C328">
        <f>+bma_se!C328/data!$K328</f>
        <v>0.25004310852820755</v>
      </c>
      <c r="D328">
        <f>+bma_se!D328/data!$K328</f>
        <v>0.25004310852820755</v>
      </c>
      <c r="E328">
        <f>+bma_se!E328/data!$K328</f>
        <v>0</v>
      </c>
      <c r="F328">
        <f>+bma_se!F328/data!$K328</f>
        <v>0.25004310852820755</v>
      </c>
      <c r="G328">
        <f>+bma_se!G328/data!$K328</f>
        <v>0</v>
      </c>
      <c r="H328">
        <f>+bma_se!H328/data!$K328</f>
        <v>0</v>
      </c>
      <c r="I328">
        <f>+bma_se!I328/data!$K328</f>
        <v>0.25004310852820755</v>
      </c>
      <c r="J328">
        <f>+bma_se!J328/data!$K328</f>
        <v>0.25004310852820755</v>
      </c>
      <c r="K328">
        <f>+bma_se!K328/data!$K328</f>
        <v>0</v>
      </c>
      <c r="L328">
        <f>+bma_se!L328/data!$K328</f>
        <v>0.25004310852820755</v>
      </c>
      <c r="M328">
        <f>+bma_se!M328/data!$K328</f>
        <v>0</v>
      </c>
      <c r="N328">
        <f>+bma_se!N328/data!$K328</f>
        <v>0.25004310852820755</v>
      </c>
      <c r="O328">
        <f>+bma_se!O328/data!$K328</f>
        <v>0</v>
      </c>
      <c r="P328">
        <f>+bma_se!P328/data!$K328</f>
        <v>0.25004310852820755</v>
      </c>
      <c r="Q328">
        <f>+bma_se!Q328/data!$K328</f>
        <v>1.8975346432921172</v>
      </c>
      <c r="R328">
        <f>+bma_se!R328/data!$K328</f>
        <v>0.54940096913589087</v>
      </c>
      <c r="S328">
        <f>+bma_se!S328/data!$K328</f>
        <v>0</v>
      </c>
    </row>
    <row r="329" spans="1:19" x14ac:dyDescent="0.25">
      <c r="A329">
        <f>+bma_se!A329/data!$K329</f>
        <v>-1.8571428571428551E-2</v>
      </c>
      <c r="B329">
        <f>+bma_se!B329/data!$K329</f>
        <v>0.24813179513134154</v>
      </c>
      <c r="C329">
        <f>+bma_se!C329/data!$K329</f>
        <v>0.24813179513134154</v>
      </c>
      <c r="D329">
        <f>+bma_se!D329/data!$K329</f>
        <v>0.24813179513134154</v>
      </c>
      <c r="E329">
        <f>+bma_se!E329/data!$K329</f>
        <v>0</v>
      </c>
      <c r="F329">
        <f>+bma_se!F329/data!$K329</f>
        <v>0.24813179513134154</v>
      </c>
      <c r="G329">
        <f>+bma_se!G329/data!$K329</f>
        <v>0</v>
      </c>
      <c r="H329">
        <f>+bma_se!H329/data!$K329</f>
        <v>0</v>
      </c>
      <c r="I329">
        <f>+bma_se!I329/data!$K329</f>
        <v>0.24813179513134154</v>
      </c>
      <c r="J329">
        <f>+bma_se!J329/data!$K329</f>
        <v>0.24813179513134154</v>
      </c>
      <c r="K329">
        <f>+bma_se!K329/data!$K329</f>
        <v>0</v>
      </c>
      <c r="L329">
        <f>+bma_se!L329/data!$K329</f>
        <v>0.24813179513134154</v>
      </c>
      <c r="M329">
        <f>+bma_se!M329/data!$K329</f>
        <v>0</v>
      </c>
      <c r="N329">
        <f>+bma_se!N329/data!$K329</f>
        <v>0.24813179513134154</v>
      </c>
      <c r="O329">
        <f>+bma_se!O329/data!$K329</f>
        <v>0</v>
      </c>
      <c r="P329">
        <f>+bma_se!P329/data!$K329</f>
        <v>0.24813179513134154</v>
      </c>
      <c r="Q329">
        <f>+bma_se!Q329/data!$K329</f>
        <v>1.8830300108465787</v>
      </c>
      <c r="R329">
        <f>+bma_se!R329/data!$K329</f>
        <v>0.54520138355746195</v>
      </c>
      <c r="S329">
        <f>+bma_se!S329/data!$K329</f>
        <v>0</v>
      </c>
    </row>
    <row r="330" spans="1:19" x14ac:dyDescent="0.25">
      <c r="A330">
        <f>+bma_se!A330/data!$K330</f>
        <v>-2.6428571428571409E-2</v>
      </c>
      <c r="B330">
        <f>+bma_se!B330/data!$K330</f>
        <v>0.24626702779623549</v>
      </c>
      <c r="C330">
        <f>+bma_se!C330/data!$K330</f>
        <v>0.24626702779623549</v>
      </c>
      <c r="D330">
        <f>+bma_se!D330/data!$K330</f>
        <v>0.24626702779623549</v>
      </c>
      <c r="E330">
        <f>+bma_se!E330/data!$K330</f>
        <v>0</v>
      </c>
      <c r="F330">
        <f>+bma_se!F330/data!$K330</f>
        <v>0.24626702779623549</v>
      </c>
      <c r="G330">
        <f>+bma_se!G330/data!$K330</f>
        <v>0</v>
      </c>
      <c r="H330">
        <f>+bma_se!H330/data!$K330</f>
        <v>0</v>
      </c>
      <c r="I330">
        <f>+bma_se!I330/data!$K330</f>
        <v>0.24626702779623549</v>
      </c>
      <c r="J330">
        <f>+bma_se!J330/data!$K330</f>
        <v>0.24626702779623549</v>
      </c>
      <c r="K330">
        <f>+bma_se!K330/data!$K330</f>
        <v>0</v>
      </c>
      <c r="L330">
        <f>+bma_se!L330/data!$K330</f>
        <v>0.24626702779623549</v>
      </c>
      <c r="M330">
        <f>+bma_se!M330/data!$K330</f>
        <v>0</v>
      </c>
      <c r="N330">
        <f>+bma_se!N330/data!$K330</f>
        <v>0.24626702779623549</v>
      </c>
      <c r="O330">
        <f>+bma_se!O330/data!$K330</f>
        <v>0</v>
      </c>
      <c r="P330">
        <f>+bma_se!P330/data!$K330</f>
        <v>0.24626702779623549</v>
      </c>
      <c r="Q330">
        <f>+bma_se!Q330/data!$K330</f>
        <v>1.8688786085509057</v>
      </c>
      <c r="R330">
        <f>+bma_se!R330/data!$K330</f>
        <v>0.5411040701495835</v>
      </c>
      <c r="S330">
        <f>+bma_se!S330/data!$K330</f>
        <v>0</v>
      </c>
    </row>
    <row r="331" spans="1:19" x14ac:dyDescent="0.25">
      <c r="A331">
        <f>+bma_se!A331/data!$K331</f>
        <v>-3.3571428571428544E-2</v>
      </c>
      <c r="B331">
        <f>+bma_se!B331/data!$K331</f>
        <v>0.24454142840034618</v>
      </c>
      <c r="C331">
        <f>+bma_se!C331/data!$K331</f>
        <v>0.24454142840034618</v>
      </c>
      <c r="D331">
        <f>+bma_se!D331/data!$K331</f>
        <v>0.24454142840034618</v>
      </c>
      <c r="E331">
        <f>+bma_se!E331/data!$K331</f>
        <v>0</v>
      </c>
      <c r="F331">
        <f>+bma_se!F331/data!$K331</f>
        <v>0.24454142840034618</v>
      </c>
      <c r="G331">
        <f>+bma_se!G331/data!$K331</f>
        <v>0</v>
      </c>
      <c r="H331">
        <f>+bma_se!H331/data!$K331</f>
        <v>0</v>
      </c>
      <c r="I331">
        <f>+bma_se!I331/data!$K331</f>
        <v>0.24454142840034618</v>
      </c>
      <c r="J331">
        <f>+bma_se!J331/data!$K331</f>
        <v>0.24454142840034618</v>
      </c>
      <c r="K331">
        <f>+bma_se!K331/data!$K331</f>
        <v>0</v>
      </c>
      <c r="L331">
        <f>+bma_se!L331/data!$K331</f>
        <v>0.24454142840034618</v>
      </c>
      <c r="M331">
        <f>+bma_se!M331/data!$K331</f>
        <v>0</v>
      </c>
      <c r="N331">
        <f>+bma_se!N331/data!$K331</f>
        <v>0.24454142840034618</v>
      </c>
      <c r="O331">
        <f>+bma_se!O331/data!$K331</f>
        <v>0</v>
      </c>
      <c r="P331">
        <f>+bma_se!P331/data!$K331</f>
        <v>0.24454142840034618</v>
      </c>
      <c r="Q331">
        <f>+bma_se!Q331/data!$K331</f>
        <v>1.855783328087399</v>
      </c>
      <c r="R331">
        <f>+bma_se!R331/data!$K331</f>
        <v>0.53731254001695061</v>
      </c>
      <c r="S331">
        <f>+bma_se!S331/data!$K331</f>
        <v>0</v>
      </c>
    </row>
    <row r="332" spans="1:19" x14ac:dyDescent="0.25">
      <c r="A332">
        <f>+bma_se!A332/data!$K332</f>
        <v>-0.13214285714286308</v>
      </c>
      <c r="B332">
        <f>+bma_se!B332/data!$K332</f>
        <v>0.27822781005089314</v>
      </c>
      <c r="C332">
        <f>+bma_se!C332/data!$K332</f>
        <v>0.27822781005089314</v>
      </c>
      <c r="D332">
        <f>+bma_se!D332/data!$K332</f>
        <v>0.27822781005089314</v>
      </c>
      <c r="E332">
        <f>+bma_se!E332/data!$K332</f>
        <v>0</v>
      </c>
      <c r="F332">
        <f>+bma_se!F332/data!$K332</f>
        <v>0.27822781005089314</v>
      </c>
      <c r="G332">
        <f>+bma_se!G332/data!$K332</f>
        <v>0</v>
      </c>
      <c r="H332">
        <f>+bma_se!H332/data!$K332</f>
        <v>0</v>
      </c>
      <c r="I332">
        <f>+bma_se!I332/data!$K332</f>
        <v>0.27822781005089314</v>
      </c>
      <c r="J332">
        <f>+bma_se!J332/data!$K332</f>
        <v>0.27822781005089314</v>
      </c>
      <c r="K332">
        <f>+bma_se!K332/data!$K332</f>
        <v>0</v>
      </c>
      <c r="L332">
        <f>+bma_se!L332/data!$K332</f>
        <v>0.27822781005089314</v>
      </c>
      <c r="M332">
        <f>+bma_se!M332/data!$K332</f>
        <v>0</v>
      </c>
      <c r="N332">
        <f>+bma_se!N332/data!$K332</f>
        <v>0.27822781005089314</v>
      </c>
      <c r="O332">
        <f>+bma_se!O332/data!$K332</f>
        <v>0</v>
      </c>
      <c r="P332">
        <f>+bma_se!P332/data!$K332</f>
        <v>0.27822781005089314</v>
      </c>
      <c r="Q332">
        <f>+bma_se!Q332/data!$K332</f>
        <v>2.1114235517485196</v>
      </c>
      <c r="R332">
        <f>+bma_se!R332/data!$K332</f>
        <v>0.61132909993907369</v>
      </c>
      <c r="S332">
        <f>+bma_se!S332/data!$K332</f>
        <v>0</v>
      </c>
    </row>
    <row r="333" spans="1:19" x14ac:dyDescent="0.25">
      <c r="A333">
        <f>+bma_se!A333/data!$K333</f>
        <v>-3.5714285714285714E-4</v>
      </c>
      <c r="B333">
        <f>+bma_se!B333/data!$K333</f>
        <v>0.25253838867606254</v>
      </c>
      <c r="C333">
        <f>+bma_se!C333/data!$K333</f>
        <v>0.25253838867606254</v>
      </c>
      <c r="D333">
        <f>+bma_se!D333/data!$K333</f>
        <v>0.25253838867606254</v>
      </c>
      <c r="E333">
        <f>+bma_se!E333/data!$K333</f>
        <v>0</v>
      </c>
      <c r="F333">
        <f>+bma_se!F333/data!$K333</f>
        <v>0.25253838867606254</v>
      </c>
      <c r="G333">
        <f>+bma_se!G333/data!$K333</f>
        <v>0</v>
      </c>
      <c r="H333">
        <f>+bma_se!H333/data!$K333</f>
        <v>0</v>
      </c>
      <c r="I333">
        <f>+bma_se!I333/data!$K333</f>
        <v>0.25253838867606254</v>
      </c>
      <c r="J333">
        <f>+bma_se!J333/data!$K333</f>
        <v>0.25253838867606254</v>
      </c>
      <c r="K333">
        <f>+bma_se!K333/data!$K333</f>
        <v>0</v>
      </c>
      <c r="L333">
        <f>+bma_se!L333/data!$K333</f>
        <v>0</v>
      </c>
      <c r="M333">
        <f>+bma_se!M333/data!$K333</f>
        <v>0.25253838867606254</v>
      </c>
      <c r="N333">
        <f>+bma_se!N333/data!$K333</f>
        <v>0.25253838867606254</v>
      </c>
      <c r="O333">
        <f>+bma_se!O333/data!$K333</f>
        <v>0</v>
      </c>
      <c r="P333">
        <f>+bma_se!P333/data!$K333</f>
        <v>0.25253838867606254</v>
      </c>
      <c r="Q333">
        <f>+bma_se!Q333/data!$K333</f>
        <v>1.9164709001365636</v>
      </c>
      <c r="R333">
        <f>+bma_se!R333/data!$K333</f>
        <v>0.55488366105876152</v>
      </c>
      <c r="S333">
        <f>+bma_se!S333/data!$K333</f>
        <v>0</v>
      </c>
    </row>
    <row r="334" spans="1:19" x14ac:dyDescent="0.25">
      <c r="A334">
        <f>+bma_se!A334/data!$K334</f>
        <v>-5.0000000000000027E-3</v>
      </c>
      <c r="B334">
        <f>+bma_se!B334/data!$K334</f>
        <v>0.25004999500099973</v>
      </c>
      <c r="C334">
        <f>+bma_se!C334/data!$K334</f>
        <v>0.25004999500099973</v>
      </c>
      <c r="D334">
        <f>+bma_se!D334/data!$K334</f>
        <v>0.25004999500099973</v>
      </c>
      <c r="E334">
        <f>+bma_se!E334/data!$K334</f>
        <v>0</v>
      </c>
      <c r="F334">
        <f>+bma_se!F334/data!$K334</f>
        <v>0.25004999500099973</v>
      </c>
      <c r="G334">
        <f>+bma_se!G334/data!$K334</f>
        <v>0</v>
      </c>
      <c r="H334">
        <f>+bma_se!H334/data!$K334</f>
        <v>0</v>
      </c>
      <c r="I334">
        <f>+bma_se!I334/data!$K334</f>
        <v>0.25004999500099973</v>
      </c>
      <c r="J334">
        <f>+bma_se!J334/data!$K334</f>
        <v>0.25004999500099973</v>
      </c>
      <c r="K334">
        <f>+bma_se!K334/data!$K334</f>
        <v>0</v>
      </c>
      <c r="L334">
        <f>+bma_se!L334/data!$K334</f>
        <v>0</v>
      </c>
      <c r="M334">
        <f>+bma_se!M334/data!$K334</f>
        <v>0.25004999500099973</v>
      </c>
      <c r="N334">
        <f>+bma_se!N334/data!$K334</f>
        <v>0.25004999500099973</v>
      </c>
      <c r="O334">
        <f>+bma_se!O334/data!$K334</f>
        <v>0</v>
      </c>
      <c r="P334">
        <f>+bma_se!P334/data!$K334</f>
        <v>0.25004999500099973</v>
      </c>
      <c r="Q334">
        <f>+bma_se!Q334/data!$K334</f>
        <v>1.8975869035634367</v>
      </c>
      <c r="R334">
        <f>+bma_se!R334/data!$K334</f>
        <v>0.54941610026607168</v>
      </c>
      <c r="S334">
        <f>+bma_se!S334/data!$K334</f>
        <v>0</v>
      </c>
    </row>
    <row r="335" spans="1:19" x14ac:dyDescent="0.25">
      <c r="A335">
        <f>+bma_se!A335/data!$K335</f>
        <v>-2.6428571428571392E-2</v>
      </c>
      <c r="B335">
        <f>+bma_se!B335/data!$K335</f>
        <v>0.24884324219008533</v>
      </c>
      <c r="C335">
        <f>+bma_se!C335/data!$K335</f>
        <v>0.24884324219008533</v>
      </c>
      <c r="D335">
        <f>+bma_se!D335/data!$K335</f>
        <v>0.24884324219008533</v>
      </c>
      <c r="E335">
        <f>+bma_se!E335/data!$K335</f>
        <v>0</v>
      </c>
      <c r="F335">
        <f>+bma_se!F335/data!$K335</f>
        <v>0.24884324219008533</v>
      </c>
      <c r="G335">
        <f>+bma_se!G335/data!$K335</f>
        <v>0</v>
      </c>
      <c r="H335">
        <f>+bma_se!H335/data!$K335</f>
        <v>0</v>
      </c>
      <c r="I335">
        <f>+bma_se!I335/data!$K335</f>
        <v>0.24884324219008533</v>
      </c>
      <c r="J335">
        <f>+bma_se!J335/data!$K335</f>
        <v>0.24884324219008533</v>
      </c>
      <c r="K335">
        <f>+bma_se!K335/data!$K335</f>
        <v>0</v>
      </c>
      <c r="L335">
        <f>+bma_se!L335/data!$K335</f>
        <v>0</v>
      </c>
      <c r="M335">
        <f>+bma_se!M335/data!$K335</f>
        <v>0.24884324219008533</v>
      </c>
      <c r="N335">
        <f>+bma_se!N335/data!$K335</f>
        <v>0.24884324219008533</v>
      </c>
      <c r="O335">
        <f>+bma_se!O335/data!$K335</f>
        <v>0</v>
      </c>
      <c r="P335">
        <f>+bma_se!P335/data!$K335</f>
        <v>0.24884324219008533</v>
      </c>
      <c r="Q335">
        <f>+bma_se!Q335/data!$K335</f>
        <v>1.8884290616293851</v>
      </c>
      <c r="R335">
        <f>+bma_se!R335/data!$K335</f>
        <v>0.54676459282111023</v>
      </c>
      <c r="S335">
        <f>+bma_se!S335/data!$K335</f>
        <v>0</v>
      </c>
    </row>
    <row r="336" spans="1:19" x14ac:dyDescent="0.25">
      <c r="A336">
        <f>+bma_se!A336/data!$K336</f>
        <v>-3.2500000000000022E-2</v>
      </c>
      <c r="B336">
        <f>+bma_se!B336/data!$K336</f>
        <v>0.24699236747688524</v>
      </c>
      <c r="C336">
        <f>+bma_se!C336/data!$K336</f>
        <v>0.24699236747688524</v>
      </c>
      <c r="D336">
        <f>+bma_se!D336/data!$K336</f>
        <v>0.24699236747688524</v>
      </c>
      <c r="E336">
        <f>+bma_se!E336/data!$K336</f>
        <v>0</v>
      </c>
      <c r="F336">
        <f>+bma_se!F336/data!$K336</f>
        <v>0.24699236747688524</v>
      </c>
      <c r="G336">
        <f>+bma_se!G336/data!$K336</f>
        <v>0</v>
      </c>
      <c r="H336">
        <f>+bma_se!H336/data!$K336</f>
        <v>0</v>
      </c>
      <c r="I336">
        <f>+bma_se!I336/data!$K336</f>
        <v>0.24699236747688524</v>
      </c>
      <c r="J336">
        <f>+bma_se!J336/data!$K336</f>
        <v>0.24699236747688524</v>
      </c>
      <c r="K336">
        <f>+bma_se!K336/data!$K336</f>
        <v>0</v>
      </c>
      <c r="L336">
        <f>+bma_se!L336/data!$K336</f>
        <v>0</v>
      </c>
      <c r="M336">
        <f>+bma_se!M336/data!$K336</f>
        <v>0.24699236747688524</v>
      </c>
      <c r="N336">
        <f>+bma_se!N336/data!$K336</f>
        <v>0.24699236747688524</v>
      </c>
      <c r="O336">
        <f>+bma_se!O336/data!$K336</f>
        <v>0</v>
      </c>
      <c r="P336">
        <f>+bma_se!P336/data!$K336</f>
        <v>0.24699236747688524</v>
      </c>
      <c r="Q336">
        <f>+bma_se!Q336/data!$K336</f>
        <v>1.8743830880796111</v>
      </c>
      <c r="R336">
        <f>+bma_se!R336/data!$K336</f>
        <v>0.54269780462939921</v>
      </c>
      <c r="S336">
        <f>+bma_se!S336/data!$K336</f>
        <v>0</v>
      </c>
    </row>
    <row r="337" spans="1:19" x14ac:dyDescent="0.25">
      <c r="A337">
        <f>+bma_se!A337/data!$K337</f>
        <v>-3.8571428571428569E-2</v>
      </c>
      <c r="B337">
        <f>+bma_se!B337/data!$K337</f>
        <v>0.24527785160873355</v>
      </c>
      <c r="C337">
        <f>+bma_se!C337/data!$K337</f>
        <v>0.24527785160873355</v>
      </c>
      <c r="D337">
        <f>+bma_se!D337/data!$K337</f>
        <v>0.24527785160873355</v>
      </c>
      <c r="E337">
        <f>+bma_se!E337/data!$K337</f>
        <v>0</v>
      </c>
      <c r="F337">
        <f>+bma_se!F337/data!$K337</f>
        <v>0.24527785160873355</v>
      </c>
      <c r="G337">
        <f>+bma_se!G337/data!$K337</f>
        <v>0</v>
      </c>
      <c r="H337">
        <f>+bma_se!H337/data!$K337</f>
        <v>0</v>
      </c>
      <c r="I337">
        <f>+bma_se!I337/data!$K337</f>
        <v>0.24527785160873355</v>
      </c>
      <c r="J337">
        <f>+bma_se!J337/data!$K337</f>
        <v>0.24527785160873355</v>
      </c>
      <c r="K337">
        <f>+bma_se!K337/data!$K337</f>
        <v>0</v>
      </c>
      <c r="L337">
        <f>+bma_se!L337/data!$K337</f>
        <v>0</v>
      </c>
      <c r="M337">
        <f>+bma_se!M337/data!$K337</f>
        <v>0.24527785160873355</v>
      </c>
      <c r="N337">
        <f>+bma_se!N337/data!$K337</f>
        <v>0.24527785160873355</v>
      </c>
      <c r="O337">
        <f>+bma_se!O337/data!$K337</f>
        <v>0</v>
      </c>
      <c r="P337">
        <f>+bma_se!P337/data!$K337</f>
        <v>0.24527785160873355</v>
      </c>
      <c r="Q337">
        <f>+bma_se!Q337/data!$K337</f>
        <v>1.8613719186239055</v>
      </c>
      <c r="R337">
        <f>+bma_se!R337/data!$K337</f>
        <v>0.53893062750099963</v>
      </c>
      <c r="S337">
        <f>+bma_se!S337/data!$K337</f>
        <v>0</v>
      </c>
    </row>
    <row r="338" spans="1:19" x14ac:dyDescent="0.25">
      <c r="A338">
        <f>+bma_se!A338/data!$K338</f>
        <v>-6.8214285714287629E-2</v>
      </c>
      <c r="B338">
        <f>+bma_se!B338/data!$K338</f>
        <v>0.2541695661705925</v>
      </c>
      <c r="C338">
        <f>+bma_se!C338/data!$K338</f>
        <v>0.2541695661705925</v>
      </c>
      <c r="D338">
        <f>+bma_se!D338/data!$K338</f>
        <v>0.2541695661705925</v>
      </c>
      <c r="E338">
        <f>+bma_se!E338/data!$K338</f>
        <v>0</v>
      </c>
      <c r="F338">
        <f>+bma_se!F338/data!$K338</f>
        <v>0.2541695661705925</v>
      </c>
      <c r="G338">
        <f>+bma_se!G338/data!$K338</f>
        <v>0</v>
      </c>
      <c r="H338">
        <f>+bma_se!H338/data!$K338</f>
        <v>0</v>
      </c>
      <c r="I338">
        <f>+bma_se!I338/data!$K338</f>
        <v>0.2541695661705925</v>
      </c>
      <c r="J338">
        <f>+bma_se!J338/data!$K338</f>
        <v>0.2541695661705925</v>
      </c>
      <c r="K338">
        <f>+bma_se!K338/data!$K338</f>
        <v>0</v>
      </c>
      <c r="L338">
        <f>+bma_se!L338/data!$K338</f>
        <v>0</v>
      </c>
      <c r="M338">
        <f>+bma_se!M338/data!$K338</f>
        <v>0.2541695661705925</v>
      </c>
      <c r="N338">
        <f>+bma_se!N338/data!$K338</f>
        <v>0.2541695661705925</v>
      </c>
      <c r="O338">
        <f>+bma_se!O338/data!$K338</f>
        <v>0</v>
      </c>
      <c r="P338">
        <f>+bma_se!P338/data!$K338</f>
        <v>0.2541695661705925</v>
      </c>
      <c r="Q338">
        <f>+bma_se!Q338/data!$K338</f>
        <v>1.9288496288423773</v>
      </c>
      <c r="R338">
        <f>+bma_se!R338/data!$K338</f>
        <v>0.55846772502918007</v>
      </c>
      <c r="S338">
        <f>+bma_se!S338/data!$K338</f>
        <v>0</v>
      </c>
    </row>
    <row r="339" spans="1:19" x14ac:dyDescent="0.25">
      <c r="A339">
        <f>+bma_se!A339/data!$K339</f>
        <v>-6.1785714285712938E-2</v>
      </c>
      <c r="B339">
        <f>+bma_se!B339/data!$K339</f>
        <v>0.25252020529381897</v>
      </c>
      <c r="C339">
        <f>+bma_se!C339/data!$K339</f>
        <v>0.25252020529381897</v>
      </c>
      <c r="D339">
        <f>+bma_se!D339/data!$K339</f>
        <v>0.25252020529381897</v>
      </c>
      <c r="E339">
        <f>+bma_se!E339/data!$K339</f>
        <v>0</v>
      </c>
      <c r="F339">
        <f>+bma_se!F339/data!$K339</f>
        <v>0.25252020529381897</v>
      </c>
      <c r="G339">
        <f>+bma_se!G339/data!$K339</f>
        <v>0</v>
      </c>
      <c r="H339">
        <f>+bma_se!H339/data!$K339</f>
        <v>0</v>
      </c>
      <c r="I339">
        <f>+bma_se!I339/data!$K339</f>
        <v>0.25252020529381897</v>
      </c>
      <c r="J339">
        <f>+bma_se!J339/data!$K339</f>
        <v>0.25252020529381897</v>
      </c>
      <c r="K339">
        <f>+bma_se!K339/data!$K339</f>
        <v>0</v>
      </c>
      <c r="L339">
        <f>+bma_se!L339/data!$K339</f>
        <v>0</v>
      </c>
      <c r="M339">
        <f>+bma_se!M339/data!$K339</f>
        <v>0</v>
      </c>
      <c r="N339">
        <f>+bma_se!N339/data!$K339</f>
        <v>0.25252020529381897</v>
      </c>
      <c r="O339">
        <f>+bma_se!O339/data!$K339</f>
        <v>0</v>
      </c>
      <c r="P339">
        <f>+bma_se!P339/data!$K339</f>
        <v>0.25252020529381897</v>
      </c>
      <c r="Q339">
        <f>+bma_se!Q339/data!$K339</f>
        <v>1.9163329095398918</v>
      </c>
      <c r="R339">
        <f>+bma_se!R339/data!$K339</f>
        <v>0.55484370807671135</v>
      </c>
      <c r="S339">
        <f>+bma_se!S339/data!$K339</f>
        <v>0</v>
      </c>
    </row>
    <row r="340" spans="1:19" x14ac:dyDescent="0.25">
      <c r="A340">
        <f>+bma_se!A340/data!$K340</f>
        <v>-0.98550724637681164</v>
      </c>
      <c r="B340">
        <f>+bma_se!B340/data!$K340</f>
        <v>2.6612657972799929</v>
      </c>
      <c r="C340">
        <f>+bma_se!C340/data!$K340</f>
        <v>0</v>
      </c>
      <c r="D340">
        <f>+bma_se!D340/data!$K340</f>
        <v>2.6612657972799929</v>
      </c>
      <c r="E340">
        <f>+bma_se!E340/data!$K340</f>
        <v>0</v>
      </c>
      <c r="F340">
        <f>+bma_se!F340/data!$K340</f>
        <v>2.6612657972799929</v>
      </c>
      <c r="G340">
        <f>+bma_se!G340/data!$K340</f>
        <v>0</v>
      </c>
      <c r="H340">
        <f>+bma_se!H340/data!$K340</f>
        <v>0</v>
      </c>
      <c r="I340">
        <f>+bma_se!I340/data!$K340</f>
        <v>2.6612657972799929</v>
      </c>
      <c r="J340">
        <f>+bma_se!J340/data!$K340</f>
        <v>2.6612657972799929</v>
      </c>
      <c r="K340">
        <f>+bma_se!K340/data!$K340</f>
        <v>0</v>
      </c>
      <c r="L340">
        <f>+bma_se!L340/data!$K340</f>
        <v>0</v>
      </c>
      <c r="M340">
        <f>+bma_se!M340/data!$K340</f>
        <v>0</v>
      </c>
      <c r="N340">
        <f>+bma_se!N340/data!$K340</f>
        <v>0</v>
      </c>
      <c r="O340">
        <f>+bma_se!O340/data!$K340</f>
        <v>0</v>
      </c>
      <c r="P340">
        <f>+bma_se!P340/data!$K340</f>
        <v>2.6612657972799929</v>
      </c>
      <c r="Q340">
        <f>+bma_se!Q340/data!$K340</f>
        <v>20.21601821233136</v>
      </c>
      <c r="R340">
        <f>+bma_se!R340/data!$K340</f>
        <v>15.09822045682192</v>
      </c>
      <c r="S340">
        <f>+bma_se!S340/data!$K340</f>
        <v>2.6612657972799929</v>
      </c>
    </row>
    <row r="341" spans="1:19" x14ac:dyDescent="0.25">
      <c r="A341">
        <f>+bma_se!A341/data!$K341</f>
        <v>-1.9999999999999998</v>
      </c>
      <c r="B341">
        <f>+bma_se!B341/data!$K341</f>
        <v>3.0731814857642958</v>
      </c>
      <c r="C341">
        <f>+bma_se!C341/data!$K341</f>
        <v>0</v>
      </c>
      <c r="D341">
        <f>+bma_se!D341/data!$K341</f>
        <v>3.0731814857642958</v>
      </c>
      <c r="E341">
        <f>+bma_se!E341/data!$K341</f>
        <v>0</v>
      </c>
      <c r="F341">
        <f>+bma_se!F341/data!$K341</f>
        <v>3.0731814857642958</v>
      </c>
      <c r="G341">
        <f>+bma_se!G341/data!$K341</f>
        <v>0</v>
      </c>
      <c r="H341">
        <f>+bma_se!H341/data!$K341</f>
        <v>0</v>
      </c>
      <c r="I341">
        <f>+bma_se!I341/data!$K341</f>
        <v>3.0731814857642958</v>
      </c>
      <c r="J341">
        <f>+bma_se!J341/data!$K341</f>
        <v>3.0731814857642958</v>
      </c>
      <c r="K341">
        <f>+bma_se!K341/data!$K341</f>
        <v>0</v>
      </c>
      <c r="L341">
        <f>+bma_se!L341/data!$K341</f>
        <v>0</v>
      </c>
      <c r="M341">
        <f>+bma_se!M341/data!$K341</f>
        <v>0</v>
      </c>
      <c r="N341">
        <f>+bma_se!N341/data!$K341</f>
        <v>3.0731814857642958</v>
      </c>
      <c r="O341">
        <f>+bma_se!O341/data!$K341</f>
        <v>0</v>
      </c>
      <c r="P341">
        <f>+bma_se!P341/data!$K341</f>
        <v>3.0731814857642958</v>
      </c>
      <c r="Q341">
        <f>+bma_se!Q341/data!$K341</f>
        <v>23.345091253008007</v>
      </c>
      <c r="R341">
        <f>+bma_se!R341/data!$K341</f>
        <v>17.43515120636075</v>
      </c>
      <c r="S341">
        <f>+bma_se!S341/data!$K341</f>
        <v>3.0731814857642958</v>
      </c>
    </row>
    <row r="342" spans="1:19" x14ac:dyDescent="0.25">
      <c r="A342">
        <f>+bma_se!A342/data!$K342</f>
        <v>-0.37254901960784309</v>
      </c>
      <c r="B342">
        <f>+bma_se!B342/data!$K342</f>
        <v>2.3628874743531929</v>
      </c>
      <c r="C342">
        <f>+bma_se!C342/data!$K342</f>
        <v>0</v>
      </c>
      <c r="D342">
        <f>+bma_se!D342/data!$K342</f>
        <v>2.3628874743531929</v>
      </c>
      <c r="E342">
        <f>+bma_se!E342/data!$K342</f>
        <v>0</v>
      </c>
      <c r="F342">
        <f>+bma_se!F342/data!$K342</f>
        <v>2.3628874743531929</v>
      </c>
      <c r="G342">
        <f>+bma_se!G342/data!$K342</f>
        <v>0</v>
      </c>
      <c r="H342">
        <f>+bma_se!H342/data!$K342</f>
        <v>0</v>
      </c>
      <c r="I342">
        <f>+bma_se!I342/data!$K342</f>
        <v>2.3628874743531929</v>
      </c>
      <c r="J342">
        <f>+bma_se!J342/data!$K342</f>
        <v>2.3628874743531929</v>
      </c>
      <c r="K342">
        <f>+bma_se!K342/data!$K342</f>
        <v>0</v>
      </c>
      <c r="L342">
        <f>+bma_se!L342/data!$K342</f>
        <v>0</v>
      </c>
      <c r="M342">
        <f>+bma_se!M342/data!$K342</f>
        <v>0</v>
      </c>
      <c r="N342">
        <f>+bma_se!N342/data!$K342</f>
        <v>0</v>
      </c>
      <c r="O342">
        <f>+bma_se!O342/data!$K342</f>
        <v>2.3628874743531929</v>
      </c>
      <c r="P342">
        <f>+bma_se!P342/data!$K342</f>
        <v>2.3628874743531929</v>
      </c>
      <c r="Q342">
        <f>+bma_se!Q342/data!$K342</f>
        <v>17.949419507076801</v>
      </c>
      <c r="R342">
        <f>+bma_se!R342/data!$K342</f>
        <v>13.40542385465988</v>
      </c>
      <c r="S342">
        <f>+bma_se!S342/data!$K342</f>
        <v>2.3628874743531929</v>
      </c>
    </row>
    <row r="343" spans="1:19" x14ac:dyDescent="0.25">
      <c r="A343">
        <f>+bma_se!A343/data!$K343</f>
        <v>-9.2765957446808461E-2</v>
      </c>
      <c r="B343">
        <f>+bma_se!B343/data!$K343</f>
        <v>0.28387284754226128</v>
      </c>
      <c r="C343">
        <f>+bma_se!C343/data!$K343</f>
        <v>0</v>
      </c>
      <c r="D343">
        <f>+bma_se!D343/data!$K343</f>
        <v>0</v>
      </c>
      <c r="E343">
        <f>+bma_se!E343/data!$K343</f>
        <v>0</v>
      </c>
      <c r="F343">
        <f>+bma_se!F343/data!$K343</f>
        <v>0.28387284754226128</v>
      </c>
      <c r="G343">
        <f>+bma_se!G343/data!$K343</f>
        <v>0</v>
      </c>
      <c r="H343">
        <f>+bma_se!H343/data!$K343</f>
        <v>0.28387284754226128</v>
      </c>
      <c r="I343">
        <f>+bma_se!I343/data!$K343</f>
        <v>0.28387284754226128</v>
      </c>
      <c r="J343">
        <f>+bma_se!J343/data!$K343</f>
        <v>0</v>
      </c>
      <c r="K343">
        <f>+bma_se!K343/data!$K343</f>
        <v>0.28387284754226128</v>
      </c>
      <c r="L343">
        <f>+bma_se!L343/data!$K343</f>
        <v>0.28387284754226128</v>
      </c>
      <c r="M343">
        <f>+bma_se!M343/data!$K343</f>
        <v>0</v>
      </c>
      <c r="N343">
        <f>+bma_se!N343/data!$K343</f>
        <v>0</v>
      </c>
      <c r="O343">
        <f>+bma_se!O343/data!$K343</f>
        <v>0.28387284754226128</v>
      </c>
      <c r="P343">
        <f>+bma_se!P343/data!$K343</f>
        <v>0</v>
      </c>
      <c r="Q343">
        <f>+bma_se!Q343/data!$K343</f>
        <v>2.1583985251299818</v>
      </c>
      <c r="R343">
        <f>+bma_se!R343/data!$K343</f>
        <v>1.0677025541759531</v>
      </c>
      <c r="S343">
        <f>+bma_se!S343/data!$K343</f>
        <v>0.28387284754226128</v>
      </c>
    </row>
    <row r="344" spans="1:19" x14ac:dyDescent="0.25">
      <c r="A344">
        <f>+bma_se!A344/data!$K344</f>
        <v>-0.12021276595744675</v>
      </c>
      <c r="B344">
        <f>+bma_se!B344/data!$K344</f>
        <v>0.29628948747688705</v>
      </c>
      <c r="C344">
        <f>+bma_se!C344/data!$K344</f>
        <v>0</v>
      </c>
      <c r="D344">
        <f>+bma_se!D344/data!$K344</f>
        <v>0</v>
      </c>
      <c r="E344">
        <f>+bma_se!E344/data!$K344</f>
        <v>0</v>
      </c>
      <c r="F344">
        <f>+bma_se!F344/data!$K344</f>
        <v>0.29628948747688705</v>
      </c>
      <c r="G344">
        <f>+bma_se!G344/data!$K344</f>
        <v>0</v>
      </c>
      <c r="H344">
        <f>+bma_se!H344/data!$K344</f>
        <v>0.29628948747688705</v>
      </c>
      <c r="I344">
        <f>+bma_se!I344/data!$K344</f>
        <v>0</v>
      </c>
      <c r="J344">
        <f>+bma_se!J344/data!$K344</f>
        <v>0</v>
      </c>
      <c r="K344">
        <f>+bma_se!K344/data!$K344</f>
        <v>0.29628948747688705</v>
      </c>
      <c r="L344">
        <f>+bma_se!L344/data!$K344</f>
        <v>0.29628948747688705</v>
      </c>
      <c r="M344">
        <f>+bma_se!M344/data!$K344</f>
        <v>0</v>
      </c>
      <c r="N344">
        <f>+bma_se!N344/data!$K344</f>
        <v>0</v>
      </c>
      <c r="O344">
        <f>+bma_se!O344/data!$K344</f>
        <v>0.29628948747688705</v>
      </c>
      <c r="P344">
        <f>+bma_se!P344/data!$K344</f>
        <v>0</v>
      </c>
      <c r="Q344">
        <f>+bma_se!Q344/data!$K344</f>
        <v>2.2528071927922753</v>
      </c>
      <c r="R344">
        <f>+bma_se!R344/data!$K344</f>
        <v>1.1144040202980676</v>
      </c>
      <c r="S344">
        <f>+bma_se!S344/data!$K344</f>
        <v>0.29628948747688705</v>
      </c>
    </row>
    <row r="345" spans="1:19" x14ac:dyDescent="0.25">
      <c r="A345">
        <f>+bma_se!A345/data!$K345</f>
        <v>8.0851063829787198E-3</v>
      </c>
      <c r="B345">
        <f>+bma_se!B345/data!$K345</f>
        <v>0.14136436648058526</v>
      </c>
      <c r="C345">
        <f>+bma_se!C345/data!$K345</f>
        <v>0</v>
      </c>
      <c r="D345">
        <f>+bma_se!D345/data!$K345</f>
        <v>0</v>
      </c>
      <c r="E345">
        <f>+bma_se!E345/data!$K345</f>
        <v>0</v>
      </c>
      <c r="F345">
        <f>+bma_se!F345/data!$K345</f>
        <v>0.14136436648058526</v>
      </c>
      <c r="G345">
        <f>+bma_se!G345/data!$K345</f>
        <v>0</v>
      </c>
      <c r="H345">
        <f>+bma_se!H345/data!$K345</f>
        <v>0.14136436648058526</v>
      </c>
      <c r="I345">
        <f>+bma_se!I345/data!$K345</f>
        <v>0.14136436648058526</v>
      </c>
      <c r="J345">
        <f>+bma_se!J345/data!$K345</f>
        <v>0</v>
      </c>
      <c r="K345">
        <f>+bma_se!K345/data!$K345</f>
        <v>0.14136436648058526</v>
      </c>
      <c r="L345">
        <f>+bma_se!L345/data!$K345</f>
        <v>0.14136436648058526</v>
      </c>
      <c r="M345">
        <f>+bma_se!M345/data!$K345</f>
        <v>0</v>
      </c>
      <c r="N345">
        <f>+bma_se!N345/data!$K345</f>
        <v>0</v>
      </c>
      <c r="O345">
        <f>+bma_se!O345/data!$K345</f>
        <v>0.14136436648058526</v>
      </c>
      <c r="P345">
        <f>+bma_se!P345/data!$K345</f>
        <v>0</v>
      </c>
      <c r="Q345">
        <f>+bma_se!Q345/data!$K345</f>
        <v>1.0748496827341154</v>
      </c>
      <c r="R345">
        <f>+bma_se!R345/data!$K345</f>
        <v>0.53169965520677731</v>
      </c>
      <c r="S345">
        <f>+bma_se!S345/data!$K345</f>
        <v>0.14136436648058526</v>
      </c>
    </row>
    <row r="346" spans="1:19" x14ac:dyDescent="0.25">
      <c r="A346">
        <f>+bma_se!A346/data!$K346</f>
        <v>-6.3191489361702102E-2</v>
      </c>
      <c r="B346">
        <f>+bma_se!B346/data!$K346</f>
        <v>0.15316326572158442</v>
      </c>
      <c r="C346">
        <f>+bma_se!C346/data!$K346</f>
        <v>0</v>
      </c>
      <c r="D346">
        <f>+bma_se!D346/data!$K346</f>
        <v>0</v>
      </c>
      <c r="E346">
        <f>+bma_se!E346/data!$K346</f>
        <v>0</v>
      </c>
      <c r="F346">
        <f>+bma_se!F346/data!$K346</f>
        <v>0.15316326572158442</v>
      </c>
      <c r="G346">
        <f>+bma_se!G346/data!$K346</f>
        <v>0</v>
      </c>
      <c r="H346">
        <f>+bma_se!H346/data!$K346</f>
        <v>0.15316326572158442</v>
      </c>
      <c r="I346">
        <f>+bma_se!I346/data!$K346</f>
        <v>0.15316326572158442</v>
      </c>
      <c r="J346">
        <f>+bma_se!J346/data!$K346</f>
        <v>0</v>
      </c>
      <c r="K346">
        <f>+bma_se!K346/data!$K346</f>
        <v>0.15316326572158442</v>
      </c>
      <c r="L346">
        <f>+bma_se!L346/data!$K346</f>
        <v>0.15316326572158442</v>
      </c>
      <c r="M346">
        <f>+bma_se!M346/data!$K346</f>
        <v>0</v>
      </c>
      <c r="N346">
        <f>+bma_se!N346/data!$K346</f>
        <v>0</v>
      </c>
      <c r="O346">
        <f>+bma_se!O346/data!$K346</f>
        <v>0.15316326572158442</v>
      </c>
      <c r="P346">
        <f>+bma_se!P346/data!$K346</f>
        <v>0</v>
      </c>
      <c r="Q346">
        <f>+bma_se!Q346/data!$K346</f>
        <v>1.1645614214242292</v>
      </c>
      <c r="R346">
        <f>+bma_se!R346/data!$K346</f>
        <v>0.57607767503202334</v>
      </c>
      <c r="S346">
        <f>+bma_se!S346/data!$K346</f>
        <v>0.15316326572158442</v>
      </c>
    </row>
    <row r="347" spans="1:19" x14ac:dyDescent="0.25">
      <c r="A347">
        <f>+bma_se!A347/data!$K347</f>
        <v>-6.446808510638298E-2</v>
      </c>
      <c r="B347">
        <f>+bma_se!B347/data!$K347</f>
        <v>0.15805073937024819</v>
      </c>
      <c r="C347">
        <f>+bma_se!C347/data!$K347</f>
        <v>0</v>
      </c>
      <c r="D347">
        <f>+bma_se!D347/data!$K347</f>
        <v>0</v>
      </c>
      <c r="E347">
        <f>+bma_se!E347/data!$K347</f>
        <v>0</v>
      </c>
      <c r="F347">
        <f>+bma_se!F347/data!$K347</f>
        <v>0.15805073937024819</v>
      </c>
      <c r="G347">
        <f>+bma_se!G347/data!$K347</f>
        <v>0</v>
      </c>
      <c r="H347">
        <f>+bma_se!H347/data!$K347</f>
        <v>0.15805073937024819</v>
      </c>
      <c r="I347">
        <f>+bma_se!I347/data!$K347</f>
        <v>0.15805073937024819</v>
      </c>
      <c r="J347">
        <f>+bma_se!J347/data!$K347</f>
        <v>0</v>
      </c>
      <c r="K347">
        <f>+bma_se!K347/data!$K347</f>
        <v>0.15805073937024819</v>
      </c>
      <c r="L347">
        <f>+bma_se!L347/data!$K347</f>
        <v>0.15805073937024819</v>
      </c>
      <c r="M347">
        <f>+bma_se!M347/data!$K347</f>
        <v>0</v>
      </c>
      <c r="N347">
        <f>+bma_se!N347/data!$K347</f>
        <v>0</v>
      </c>
      <c r="O347">
        <f>+bma_se!O347/data!$K347</f>
        <v>0.15805073937024819</v>
      </c>
      <c r="P347">
        <f>+bma_se!P347/data!$K347</f>
        <v>0</v>
      </c>
      <c r="Q347">
        <f>+bma_se!Q347/data!$K347</f>
        <v>1.2017228336770056</v>
      </c>
      <c r="R347">
        <f>+bma_se!R347/data!$K347</f>
        <v>0.59446044091937755</v>
      </c>
      <c r="S347">
        <f>+bma_se!S347/data!$K347</f>
        <v>0.15805073937024819</v>
      </c>
    </row>
    <row r="348" spans="1:19" x14ac:dyDescent="0.25">
      <c r="A348">
        <f>+bma_se!A348/data!$K348</f>
        <v>-8.6382978723404599E-2</v>
      </c>
      <c r="B348">
        <f>+bma_se!B348/data!$K348</f>
        <v>0.1860742609876026</v>
      </c>
      <c r="C348">
        <f>+bma_se!C348/data!$K348</f>
        <v>0</v>
      </c>
      <c r="D348">
        <f>+bma_se!D348/data!$K348</f>
        <v>0</v>
      </c>
      <c r="E348">
        <f>+bma_se!E348/data!$K348</f>
        <v>0</v>
      </c>
      <c r="F348">
        <f>+bma_se!F348/data!$K348</f>
        <v>0.1860742609876026</v>
      </c>
      <c r="G348">
        <f>+bma_se!G348/data!$K348</f>
        <v>0</v>
      </c>
      <c r="H348">
        <f>+bma_se!H348/data!$K348</f>
        <v>0.1860742609876026</v>
      </c>
      <c r="I348">
        <f>+bma_se!I348/data!$K348</f>
        <v>0.1860742609876026</v>
      </c>
      <c r="J348">
        <f>+bma_se!J348/data!$K348</f>
        <v>0</v>
      </c>
      <c r="K348">
        <f>+bma_se!K348/data!$K348</f>
        <v>0.1860742609876026</v>
      </c>
      <c r="L348">
        <f>+bma_se!L348/data!$K348</f>
        <v>0.1860742609876026</v>
      </c>
      <c r="M348">
        <f>+bma_se!M348/data!$K348</f>
        <v>0</v>
      </c>
      <c r="N348">
        <f>+bma_se!N348/data!$K348</f>
        <v>0</v>
      </c>
      <c r="O348">
        <f>+bma_se!O348/data!$K348</f>
        <v>0.1860742609876026</v>
      </c>
      <c r="P348">
        <f>+bma_se!P348/data!$K348</f>
        <v>0</v>
      </c>
      <c r="Q348">
        <f>+bma_se!Q348/data!$K348</f>
        <v>1.4147968499188766</v>
      </c>
      <c r="R348">
        <f>+bma_se!R348/data!$K348</f>
        <v>0.69986251042657099</v>
      </c>
      <c r="S348">
        <f>+bma_se!S348/data!$K348</f>
        <v>0.1860742609876026</v>
      </c>
    </row>
    <row r="349" spans="1:19" x14ac:dyDescent="0.25">
      <c r="A349">
        <f>+bma_se!A349/data!$K349</f>
        <v>-0.15851063829787243</v>
      </c>
      <c r="B349">
        <f>+bma_se!B349/data!$K349</f>
        <v>0.23161458205821353</v>
      </c>
      <c r="C349">
        <f>+bma_se!C349/data!$K349</f>
        <v>0</v>
      </c>
      <c r="D349">
        <f>+bma_se!D349/data!$K349</f>
        <v>0</v>
      </c>
      <c r="E349">
        <f>+bma_se!E349/data!$K349</f>
        <v>0</v>
      </c>
      <c r="F349">
        <f>+bma_se!F349/data!$K349</f>
        <v>0.23161458205821353</v>
      </c>
      <c r="G349">
        <f>+bma_se!G349/data!$K349</f>
        <v>0</v>
      </c>
      <c r="H349">
        <f>+bma_se!H349/data!$K349</f>
        <v>0.23161458205821353</v>
      </c>
      <c r="I349">
        <f>+bma_se!I349/data!$K349</f>
        <v>0</v>
      </c>
      <c r="J349">
        <f>+bma_se!J349/data!$K349</f>
        <v>0</v>
      </c>
      <c r="K349">
        <f>+bma_se!K349/data!$K349</f>
        <v>0.23161458205821353</v>
      </c>
      <c r="L349">
        <f>+bma_se!L349/data!$K349</f>
        <v>0.23161458205821353</v>
      </c>
      <c r="M349">
        <f>+bma_se!M349/data!$K349</f>
        <v>0</v>
      </c>
      <c r="N349">
        <f>+bma_se!N349/data!$K349</f>
        <v>0</v>
      </c>
      <c r="O349">
        <f>+bma_se!O349/data!$K349</f>
        <v>0.23161458205821353</v>
      </c>
      <c r="P349">
        <f>+bma_se!P349/data!$K349</f>
        <v>0</v>
      </c>
      <c r="Q349">
        <f>+bma_se!Q349/data!$K349</f>
        <v>1.7610580816068386</v>
      </c>
      <c r="R349">
        <f>+bma_se!R349/data!$K349</f>
        <v>0.87114876603735281</v>
      </c>
      <c r="S349">
        <f>+bma_se!S349/data!$K349</f>
        <v>0.23161458205821353</v>
      </c>
    </row>
    <row r="350" spans="1:19" x14ac:dyDescent="0.25">
      <c r="A350">
        <f>+bma_se!A350/data!$K350</f>
        <v>-8.5106382978723402E-2</v>
      </c>
      <c r="B350">
        <f>+bma_se!B350/data!$K350</f>
        <v>0.28146290543240327</v>
      </c>
      <c r="C350">
        <f>+bma_se!C350/data!$K350</f>
        <v>0</v>
      </c>
      <c r="D350">
        <f>+bma_se!D350/data!$K350</f>
        <v>0</v>
      </c>
      <c r="E350">
        <f>+bma_se!E350/data!$K350</f>
        <v>0</v>
      </c>
      <c r="F350">
        <f>+bma_se!F350/data!$K350</f>
        <v>0.28146290543240327</v>
      </c>
      <c r="G350">
        <f>+bma_se!G350/data!$K350</f>
        <v>0</v>
      </c>
      <c r="H350">
        <f>+bma_se!H350/data!$K350</f>
        <v>0.28146290543240327</v>
      </c>
      <c r="I350">
        <f>+bma_se!I350/data!$K350</f>
        <v>0.28146290543240327</v>
      </c>
      <c r="J350">
        <f>+bma_se!J350/data!$K350</f>
        <v>0</v>
      </c>
      <c r="K350">
        <f>+bma_se!K350/data!$K350</f>
        <v>0.28146290543240327</v>
      </c>
      <c r="L350">
        <f>+bma_se!L350/data!$K350</f>
        <v>0.28146290543240327</v>
      </c>
      <c r="M350">
        <f>+bma_se!M350/data!$K350</f>
        <v>0</v>
      </c>
      <c r="N350">
        <f>+bma_se!N350/data!$K350</f>
        <v>0</v>
      </c>
      <c r="O350">
        <f>+bma_se!O350/data!$K350</f>
        <v>0.28146290543240327</v>
      </c>
      <c r="P350">
        <f>+bma_se!P350/data!$K350</f>
        <v>0</v>
      </c>
      <c r="Q350">
        <f>+bma_se!Q350/data!$K350</f>
        <v>2.1400747737018295</v>
      </c>
      <c r="R350">
        <f>+bma_se!R350/data!$K350</f>
        <v>1.0586382799123553</v>
      </c>
      <c r="S350">
        <f>+bma_se!S350/data!$K350</f>
        <v>0.28146290543240327</v>
      </c>
    </row>
    <row r="351" spans="1:19" x14ac:dyDescent="0.25">
      <c r="A351">
        <f>+bma_se!A351/data!$K351</f>
        <v>-0.10531914893617021</v>
      </c>
      <c r="B351">
        <f>+bma_se!B351/data!$K351</f>
        <v>0.29056578329668437</v>
      </c>
      <c r="C351">
        <f>+bma_se!C351/data!$K351</f>
        <v>0</v>
      </c>
      <c r="D351">
        <f>+bma_se!D351/data!$K351</f>
        <v>0</v>
      </c>
      <c r="E351">
        <f>+bma_se!E351/data!$K351</f>
        <v>0</v>
      </c>
      <c r="F351">
        <f>+bma_se!F351/data!$K351</f>
        <v>0.29056578329668437</v>
      </c>
      <c r="G351">
        <f>+bma_se!G351/data!$K351</f>
        <v>0</v>
      </c>
      <c r="H351">
        <f>+bma_se!H351/data!$K351</f>
        <v>0.29056578329668437</v>
      </c>
      <c r="I351">
        <f>+bma_se!I351/data!$K351</f>
        <v>0</v>
      </c>
      <c r="J351">
        <f>+bma_se!J351/data!$K351</f>
        <v>0</v>
      </c>
      <c r="K351">
        <f>+bma_se!K351/data!$K351</f>
        <v>0.29056578329668437</v>
      </c>
      <c r="L351">
        <f>+bma_se!L351/data!$K351</f>
        <v>0.29056578329668437</v>
      </c>
      <c r="M351">
        <f>+bma_se!M351/data!$K351</f>
        <v>0</v>
      </c>
      <c r="N351">
        <f>+bma_se!N351/data!$K351</f>
        <v>0</v>
      </c>
      <c r="O351">
        <f>+bma_se!O351/data!$K351</f>
        <v>0.29056578329668437</v>
      </c>
      <c r="P351">
        <f>+bma_se!P351/data!$K351</f>
        <v>0</v>
      </c>
      <c r="Q351">
        <f>+bma_se!Q351/data!$K351</f>
        <v>2.2092875861522265</v>
      </c>
      <c r="R351">
        <f>+bma_se!R351/data!$K351</f>
        <v>1.0928760241354891</v>
      </c>
      <c r="S351">
        <f>+bma_se!S351/data!$K351</f>
        <v>0.29056578329668437</v>
      </c>
    </row>
    <row r="352" spans="1:19" x14ac:dyDescent="0.25">
      <c r="A352">
        <f>+bma_se!A352/data!$K352</f>
        <v>-7.9361702127659528E-2</v>
      </c>
      <c r="B352">
        <f>+bma_se!B352/data!$K352</f>
        <v>0.27977946757281563</v>
      </c>
      <c r="C352">
        <f>+bma_se!C352/data!$K352</f>
        <v>0</v>
      </c>
      <c r="D352">
        <f>+bma_se!D352/data!$K352</f>
        <v>0</v>
      </c>
      <c r="E352">
        <f>+bma_se!E352/data!$K352</f>
        <v>0</v>
      </c>
      <c r="F352">
        <f>+bma_se!F352/data!$K352</f>
        <v>0.27977946757281563</v>
      </c>
      <c r="G352">
        <f>+bma_se!G352/data!$K352</f>
        <v>0</v>
      </c>
      <c r="H352">
        <f>+bma_se!H352/data!$K352</f>
        <v>0.27977946757281563</v>
      </c>
      <c r="I352">
        <f>+bma_se!I352/data!$K352</f>
        <v>0.27977946757281563</v>
      </c>
      <c r="J352">
        <f>+bma_se!J352/data!$K352</f>
        <v>0</v>
      </c>
      <c r="K352">
        <f>+bma_se!K352/data!$K352</f>
        <v>0.27977946757281563</v>
      </c>
      <c r="L352">
        <f>+bma_se!L352/data!$K352</f>
        <v>0.27977946757281563</v>
      </c>
      <c r="M352">
        <f>+bma_se!M352/data!$K352</f>
        <v>0</v>
      </c>
      <c r="N352">
        <f>+bma_se!N352/data!$K352</f>
        <v>0</v>
      </c>
      <c r="O352">
        <f>+bma_se!O352/data!$K352</f>
        <v>0.27977946757281563</v>
      </c>
      <c r="P352">
        <f>+bma_se!P352/data!$K352</f>
        <v>0</v>
      </c>
      <c r="Q352">
        <f>+bma_se!Q352/data!$K352</f>
        <v>2.1272749239636788</v>
      </c>
      <c r="R352">
        <f>+bma_se!R352/data!$K352</f>
        <v>1.052306533434874</v>
      </c>
      <c r="S352">
        <f>+bma_se!S352/data!$K352</f>
        <v>0.27977946757281563</v>
      </c>
    </row>
    <row r="353" spans="1:19" x14ac:dyDescent="0.25">
      <c r="A353">
        <f>+bma_se!A353/data!$K353</f>
        <v>-0.10404255319148933</v>
      </c>
      <c r="B353">
        <f>+bma_se!B353/data!$K353</f>
        <v>0.29010550523004636</v>
      </c>
      <c r="C353">
        <f>+bma_se!C353/data!$K353</f>
        <v>0</v>
      </c>
      <c r="D353">
        <f>+bma_se!D353/data!$K353</f>
        <v>0</v>
      </c>
      <c r="E353">
        <f>+bma_se!E353/data!$K353</f>
        <v>0</v>
      </c>
      <c r="F353">
        <f>+bma_se!F353/data!$K353</f>
        <v>0.29010550523004636</v>
      </c>
      <c r="G353">
        <f>+bma_se!G353/data!$K353</f>
        <v>0</v>
      </c>
      <c r="H353">
        <f>+bma_se!H353/data!$K353</f>
        <v>0.29010550523004636</v>
      </c>
      <c r="I353">
        <f>+bma_se!I353/data!$K353</f>
        <v>0</v>
      </c>
      <c r="J353">
        <f>+bma_se!J353/data!$K353</f>
        <v>0</v>
      </c>
      <c r="K353">
        <f>+bma_se!K353/data!$K353</f>
        <v>0.29010550523004636</v>
      </c>
      <c r="L353">
        <f>+bma_se!L353/data!$K353</f>
        <v>0.29010550523004636</v>
      </c>
      <c r="M353">
        <f>+bma_se!M353/data!$K353</f>
        <v>0</v>
      </c>
      <c r="N353">
        <f>+bma_se!N353/data!$K353</f>
        <v>0</v>
      </c>
      <c r="O353">
        <f>+bma_se!O353/data!$K353</f>
        <v>0.29010550523004636</v>
      </c>
      <c r="P353">
        <f>+bma_se!P353/data!$K353</f>
        <v>0</v>
      </c>
      <c r="Q353">
        <f>+bma_se!Q353/data!$K353</f>
        <v>2.2057879083606289</v>
      </c>
      <c r="R353">
        <f>+bma_se!R353/data!$K353</f>
        <v>1.0911448262712502</v>
      </c>
      <c r="S353">
        <f>+bma_se!S353/data!$K353</f>
        <v>0.29010550523004636</v>
      </c>
    </row>
    <row r="354" spans="1:19" x14ac:dyDescent="0.25">
      <c r="A354">
        <f>+bma_se!A354/data!$K354</f>
        <v>-0.1751063829787235</v>
      </c>
      <c r="B354">
        <f>+bma_se!B354/data!$K354</f>
        <v>0.32037558594658899</v>
      </c>
      <c r="C354">
        <f>+bma_se!C354/data!$K354</f>
        <v>0</v>
      </c>
      <c r="D354">
        <f>+bma_se!D354/data!$K354</f>
        <v>0</v>
      </c>
      <c r="E354">
        <f>+bma_se!E354/data!$K354</f>
        <v>0</v>
      </c>
      <c r="F354">
        <f>+bma_se!F354/data!$K354</f>
        <v>0.32037558594658899</v>
      </c>
      <c r="G354">
        <f>+bma_se!G354/data!$K354</f>
        <v>0</v>
      </c>
      <c r="H354">
        <f>+bma_se!H354/data!$K354</f>
        <v>0.32037558594658899</v>
      </c>
      <c r="I354">
        <f>+bma_se!I354/data!$K354</f>
        <v>0.32037558594658899</v>
      </c>
      <c r="J354">
        <f>+bma_se!J354/data!$K354</f>
        <v>0</v>
      </c>
      <c r="K354">
        <f>+bma_se!K354/data!$K354</f>
        <v>0.32037558594658899</v>
      </c>
      <c r="L354">
        <f>+bma_se!L354/data!$K354</f>
        <v>0.32037558594658899</v>
      </c>
      <c r="M354">
        <f>+bma_se!M354/data!$K354</f>
        <v>0</v>
      </c>
      <c r="N354">
        <f>+bma_se!N354/data!$K354</f>
        <v>0</v>
      </c>
      <c r="O354">
        <f>+bma_se!O354/data!$K354</f>
        <v>0.32037558594658899</v>
      </c>
      <c r="P354">
        <f>+bma_se!P354/data!$K354</f>
        <v>0</v>
      </c>
      <c r="Q354">
        <f>+bma_se!Q354/data!$K354</f>
        <v>2.4359434098107089</v>
      </c>
      <c r="R354">
        <f>+bma_se!R354/data!$K354</f>
        <v>1.2049966538623107</v>
      </c>
      <c r="S354">
        <f>+bma_se!S354/data!$K354</f>
        <v>0.32037558594658899</v>
      </c>
    </row>
    <row r="355" spans="1:19" x14ac:dyDescent="0.25">
      <c r="A355">
        <f>+bma_se!A355/data!$K355</f>
        <v>-0.1751063829787235</v>
      </c>
      <c r="B355">
        <f>+bma_se!B355/data!$K355</f>
        <v>0.32037558594658899</v>
      </c>
      <c r="C355">
        <f>+bma_se!C355/data!$K355</f>
        <v>0</v>
      </c>
      <c r="D355">
        <f>+bma_se!D355/data!$K355</f>
        <v>0</v>
      </c>
      <c r="E355">
        <f>+bma_se!E355/data!$K355</f>
        <v>0</v>
      </c>
      <c r="F355">
        <f>+bma_se!F355/data!$K355</f>
        <v>0.32037558594658899</v>
      </c>
      <c r="G355">
        <f>+bma_se!G355/data!$K355</f>
        <v>0</v>
      </c>
      <c r="H355">
        <f>+bma_se!H355/data!$K355</f>
        <v>0.32037558594658899</v>
      </c>
      <c r="I355">
        <f>+bma_se!I355/data!$K355</f>
        <v>0.32037558594658899</v>
      </c>
      <c r="J355">
        <f>+bma_se!J355/data!$K355</f>
        <v>0</v>
      </c>
      <c r="K355">
        <f>+bma_se!K355/data!$K355</f>
        <v>0.32037558594658899</v>
      </c>
      <c r="L355">
        <f>+bma_se!L355/data!$K355</f>
        <v>0.32037558594658899</v>
      </c>
      <c r="M355">
        <f>+bma_se!M355/data!$K355</f>
        <v>0</v>
      </c>
      <c r="N355">
        <f>+bma_se!N355/data!$K355</f>
        <v>0</v>
      </c>
      <c r="O355">
        <f>+bma_se!O355/data!$K355</f>
        <v>0.32037558594658899</v>
      </c>
      <c r="P355">
        <f>+bma_se!P355/data!$K355</f>
        <v>0</v>
      </c>
      <c r="Q355">
        <f>+bma_se!Q355/data!$K355</f>
        <v>2.4359434098107089</v>
      </c>
      <c r="R355">
        <f>+bma_se!R355/data!$K355</f>
        <v>1.2049966538623107</v>
      </c>
      <c r="S355">
        <f>+bma_se!S355/data!$K355</f>
        <v>0.32037558594658899</v>
      </c>
    </row>
    <row r="356" spans="1:19" x14ac:dyDescent="0.25">
      <c r="A356">
        <f>+bma_se!A356/data!$K356</f>
        <v>-4.0425531914893731E-2</v>
      </c>
      <c r="B356">
        <f>+bma_se!B356/data!$K356</f>
        <v>0.14680851063829789</v>
      </c>
      <c r="C356">
        <f>+bma_se!C356/data!$K356</f>
        <v>0</v>
      </c>
      <c r="D356">
        <f>+bma_se!D356/data!$K356</f>
        <v>0</v>
      </c>
      <c r="E356">
        <f>+bma_se!E356/data!$K356</f>
        <v>0</v>
      </c>
      <c r="F356">
        <f>+bma_se!F356/data!$K356</f>
        <v>0.14680851063829789</v>
      </c>
      <c r="G356">
        <f>+bma_se!G356/data!$K356</f>
        <v>0</v>
      </c>
      <c r="H356">
        <f>+bma_se!H356/data!$K356</f>
        <v>0.14680851063829789</v>
      </c>
      <c r="I356">
        <f>+bma_se!I356/data!$K356</f>
        <v>0.14680851063829789</v>
      </c>
      <c r="J356">
        <f>+bma_se!J356/data!$K356</f>
        <v>0</v>
      </c>
      <c r="K356">
        <f>+bma_se!K356/data!$K356</f>
        <v>0.14680851063829789</v>
      </c>
      <c r="L356">
        <f>+bma_se!L356/data!$K356</f>
        <v>0.14680851063829789</v>
      </c>
      <c r="M356">
        <f>+bma_se!M356/data!$K356</f>
        <v>0</v>
      </c>
      <c r="N356">
        <f>+bma_se!N356/data!$K356</f>
        <v>0</v>
      </c>
      <c r="O356">
        <f>+bma_se!O356/data!$K356</f>
        <v>0.14680851063829789</v>
      </c>
      <c r="P356">
        <f>+bma_se!P356/data!$K356</f>
        <v>0</v>
      </c>
      <c r="Q356">
        <f>+bma_se!Q356/data!$K356</f>
        <v>1.1162436829787235</v>
      </c>
      <c r="R356">
        <f>+bma_se!R356/data!$K356</f>
        <v>0.5521761702127661</v>
      </c>
      <c r="S356">
        <f>+bma_se!S356/data!$K356</f>
        <v>0.14680851063829789</v>
      </c>
    </row>
    <row r="357" spans="1:19" x14ac:dyDescent="0.25">
      <c r="A357">
        <f>+bma_se!A357/data!$K357</f>
        <v>-5.6382978723404281E-2</v>
      </c>
      <c r="B357">
        <f>+bma_se!B357/data!$K357</f>
        <v>0.15638297872340426</v>
      </c>
      <c r="C357">
        <f>+bma_se!C357/data!$K357</f>
        <v>0</v>
      </c>
      <c r="D357">
        <f>+bma_se!D357/data!$K357</f>
        <v>0</v>
      </c>
      <c r="E357">
        <f>+bma_se!E357/data!$K357</f>
        <v>0</v>
      </c>
      <c r="F357">
        <f>+bma_se!F357/data!$K357</f>
        <v>0.15638297872340426</v>
      </c>
      <c r="G357">
        <f>+bma_se!G357/data!$K357</f>
        <v>0</v>
      </c>
      <c r="H357">
        <f>+bma_se!H357/data!$K357</f>
        <v>0</v>
      </c>
      <c r="I357">
        <f>+bma_se!I357/data!$K357</f>
        <v>0.15638297872340426</v>
      </c>
      <c r="J357">
        <f>+bma_se!J357/data!$K357</f>
        <v>0</v>
      </c>
      <c r="K357">
        <f>+bma_se!K357/data!$K357</f>
        <v>0.15638297872340426</v>
      </c>
      <c r="L357">
        <f>+bma_se!L357/data!$K357</f>
        <v>0.15638297872340426</v>
      </c>
      <c r="M357">
        <f>+bma_se!M357/data!$K357</f>
        <v>0</v>
      </c>
      <c r="N357">
        <f>+bma_se!N357/data!$K357</f>
        <v>0</v>
      </c>
      <c r="O357">
        <f>+bma_se!O357/data!$K357</f>
        <v>0.15638297872340426</v>
      </c>
      <c r="P357">
        <f>+bma_se!P357/data!$K357</f>
        <v>0</v>
      </c>
      <c r="Q357">
        <f>+bma_se!Q357/data!$K357</f>
        <v>1.1890421840425534</v>
      </c>
      <c r="R357">
        <f>+bma_se!R357/data!$K357</f>
        <v>0.58818765957446817</v>
      </c>
      <c r="S357">
        <f>+bma_se!S357/data!$K357</f>
        <v>0.15638297872340426</v>
      </c>
    </row>
    <row r="358" spans="1:19" x14ac:dyDescent="0.25">
      <c r="A358">
        <f>+bma_se!A358/data!$K358</f>
        <v>-8.4468085106383442E-2</v>
      </c>
      <c r="B358">
        <f>+bma_se!B358/data!$K358</f>
        <v>0.16309714602128939</v>
      </c>
      <c r="C358">
        <f>+bma_se!C358/data!$K358</f>
        <v>0</v>
      </c>
      <c r="D358">
        <f>+bma_se!D358/data!$K358</f>
        <v>0</v>
      </c>
      <c r="E358">
        <f>+bma_se!E358/data!$K358</f>
        <v>0</v>
      </c>
      <c r="F358">
        <f>+bma_se!F358/data!$K358</f>
        <v>0.16309714602128939</v>
      </c>
      <c r="G358">
        <f>+bma_se!G358/data!$K358</f>
        <v>0</v>
      </c>
      <c r="H358">
        <f>+bma_se!H358/data!$K358</f>
        <v>0.16309714602128939</v>
      </c>
      <c r="I358">
        <f>+bma_se!I358/data!$K358</f>
        <v>0.16309714602128939</v>
      </c>
      <c r="J358">
        <f>+bma_se!J358/data!$K358</f>
        <v>0</v>
      </c>
      <c r="K358">
        <f>+bma_se!K358/data!$K358</f>
        <v>0.16309714602128939</v>
      </c>
      <c r="L358">
        <f>+bma_se!L358/data!$K358</f>
        <v>0.16309714602128939</v>
      </c>
      <c r="M358">
        <f>+bma_se!M358/data!$K358</f>
        <v>0</v>
      </c>
      <c r="N358">
        <f>+bma_se!N358/data!$K358</f>
        <v>0</v>
      </c>
      <c r="O358">
        <f>+bma_se!O358/data!$K358</f>
        <v>0.16309714602128939</v>
      </c>
      <c r="P358">
        <f>+bma_se!P358/data!$K358</f>
        <v>0</v>
      </c>
      <c r="Q358">
        <f>+bma_se!Q358/data!$K358</f>
        <v>1.2400926769611256</v>
      </c>
      <c r="R358">
        <f>+bma_se!R358/data!$K358</f>
        <v>0.61344098561527372</v>
      </c>
      <c r="S358">
        <f>+bma_se!S358/data!$K358</f>
        <v>0.16309714602128939</v>
      </c>
    </row>
    <row r="359" spans="1:19" x14ac:dyDescent="0.25">
      <c r="A359">
        <f>+bma_se!A359/data!$K359</f>
        <v>-8.8085106382978715E-2</v>
      </c>
      <c r="B359">
        <f>+bma_se!B359/data!$K359</f>
        <v>0.16636556474142664</v>
      </c>
      <c r="C359">
        <f>+bma_se!C359/data!$K359</f>
        <v>0</v>
      </c>
      <c r="D359">
        <f>+bma_se!D359/data!$K359</f>
        <v>0</v>
      </c>
      <c r="E359">
        <f>+bma_se!E359/data!$K359</f>
        <v>0</v>
      </c>
      <c r="F359">
        <f>+bma_se!F359/data!$K359</f>
        <v>0.16636556474142664</v>
      </c>
      <c r="G359">
        <f>+bma_se!G359/data!$K359</f>
        <v>0</v>
      </c>
      <c r="H359">
        <f>+bma_se!H359/data!$K359</f>
        <v>0.16636556474142664</v>
      </c>
      <c r="I359">
        <f>+bma_se!I359/data!$K359</f>
        <v>0.16636556474142664</v>
      </c>
      <c r="J359">
        <f>+bma_se!J359/data!$K359</f>
        <v>0</v>
      </c>
      <c r="K359">
        <f>+bma_se!K359/data!$K359</f>
        <v>0.16636556474142664</v>
      </c>
      <c r="L359">
        <f>+bma_se!L359/data!$K359</f>
        <v>0.16636556474142664</v>
      </c>
      <c r="M359">
        <f>+bma_se!M359/data!$K359</f>
        <v>0</v>
      </c>
      <c r="N359">
        <f>+bma_se!N359/data!$K359</f>
        <v>0</v>
      </c>
      <c r="O359">
        <f>+bma_se!O359/data!$K359</f>
        <v>0.16636556474142664</v>
      </c>
      <c r="P359">
        <f>+bma_se!P359/data!$K359</f>
        <v>0</v>
      </c>
      <c r="Q359">
        <f>+bma_se!Q359/data!$K359</f>
        <v>1.2649437685893985</v>
      </c>
      <c r="R359">
        <f>+bma_se!R359/data!$K359</f>
        <v>0.62573416210545385</v>
      </c>
      <c r="S359">
        <f>+bma_se!S359/data!$K359</f>
        <v>0.16636556474142664</v>
      </c>
    </row>
    <row r="360" spans="1:19" x14ac:dyDescent="0.25">
      <c r="A360">
        <f>+bma_se!A360/data!$K360</f>
        <v>-0.19063829787234068</v>
      </c>
      <c r="B360">
        <f>+bma_se!B360/data!$K360</f>
        <v>0.25200113532406465</v>
      </c>
      <c r="C360">
        <f>+bma_se!C360/data!$K360</f>
        <v>0</v>
      </c>
      <c r="D360">
        <f>+bma_se!D360/data!$K360</f>
        <v>0</v>
      </c>
      <c r="E360">
        <f>+bma_se!E360/data!$K360</f>
        <v>0</v>
      </c>
      <c r="F360">
        <f>+bma_se!F360/data!$K360</f>
        <v>0.25200113532406465</v>
      </c>
      <c r="G360">
        <f>+bma_se!G360/data!$K360</f>
        <v>0</v>
      </c>
      <c r="H360">
        <f>+bma_se!H360/data!$K360</f>
        <v>0.25200113532406465</v>
      </c>
      <c r="I360">
        <f>+bma_se!I360/data!$K360</f>
        <v>0.25200113532406465</v>
      </c>
      <c r="J360">
        <f>+bma_se!J360/data!$K360</f>
        <v>0</v>
      </c>
      <c r="K360">
        <f>+bma_se!K360/data!$K360</f>
        <v>0.25200113532406465</v>
      </c>
      <c r="L360">
        <f>+bma_se!L360/data!$K360</f>
        <v>0.25200113532406465</v>
      </c>
      <c r="M360">
        <f>+bma_se!M360/data!$K360</f>
        <v>0</v>
      </c>
      <c r="N360">
        <f>+bma_se!N360/data!$K360</f>
        <v>0</v>
      </c>
      <c r="O360">
        <f>+bma_se!O360/data!$K360</f>
        <v>0.25200113532406465</v>
      </c>
      <c r="P360">
        <f>+bma_se!P360/data!$K360</f>
        <v>0</v>
      </c>
      <c r="Q360">
        <f>+bma_se!Q360/data!$K360</f>
        <v>1.9160651803218578</v>
      </c>
      <c r="R360">
        <f>+bma_se!R360/data!$K360</f>
        <v>0.94782667018087197</v>
      </c>
      <c r="S360">
        <f>+bma_se!S360/data!$K360</f>
        <v>0.25200113532406465</v>
      </c>
    </row>
    <row r="361" spans="1:19" x14ac:dyDescent="0.25">
      <c r="A361">
        <f>+bma_se!A361/data!$K361</f>
        <v>-0.19063829787234068</v>
      </c>
      <c r="B361">
        <f>+bma_se!B361/data!$K361</f>
        <v>0.25200113532406465</v>
      </c>
      <c r="C361">
        <f>+bma_se!C361/data!$K361</f>
        <v>0</v>
      </c>
      <c r="D361">
        <f>+bma_se!D361/data!$K361</f>
        <v>0</v>
      </c>
      <c r="E361">
        <f>+bma_se!E361/data!$K361</f>
        <v>0</v>
      </c>
      <c r="F361">
        <f>+bma_se!F361/data!$K361</f>
        <v>0.25200113532406465</v>
      </c>
      <c r="G361">
        <f>+bma_se!G361/data!$K361</f>
        <v>0</v>
      </c>
      <c r="H361">
        <f>+bma_se!H361/data!$K361</f>
        <v>0.25200113532406465</v>
      </c>
      <c r="I361">
        <f>+bma_se!I361/data!$K361</f>
        <v>0.25200113532406465</v>
      </c>
      <c r="J361">
        <f>+bma_se!J361/data!$K361</f>
        <v>0</v>
      </c>
      <c r="K361">
        <f>+bma_se!K361/data!$K361</f>
        <v>0.25200113532406465</v>
      </c>
      <c r="L361">
        <f>+bma_se!L361/data!$K361</f>
        <v>0.25200113532406465</v>
      </c>
      <c r="M361">
        <f>+bma_se!M361/data!$K361</f>
        <v>0</v>
      </c>
      <c r="N361">
        <f>+bma_se!N361/data!$K361</f>
        <v>0</v>
      </c>
      <c r="O361">
        <f>+bma_se!O361/data!$K361</f>
        <v>0.25200113532406465</v>
      </c>
      <c r="P361">
        <f>+bma_se!P361/data!$K361</f>
        <v>0</v>
      </c>
      <c r="Q361">
        <f>+bma_se!Q361/data!$K361</f>
        <v>1.9160651803218578</v>
      </c>
      <c r="R361">
        <f>+bma_se!R361/data!$K361</f>
        <v>0.94782667018087197</v>
      </c>
      <c r="S361">
        <f>+bma_se!S361/data!$K361</f>
        <v>0.25200113532406465</v>
      </c>
    </row>
    <row r="362" spans="1:19" x14ac:dyDescent="0.25">
      <c r="A362">
        <f>+bma_se!A362/data!$K362</f>
        <v>-0.18510638297872331</v>
      </c>
      <c r="B362">
        <f>+bma_se!B362/data!$K362</f>
        <v>0.3259488360620339</v>
      </c>
      <c r="C362">
        <f>+bma_se!C362/data!$K362</f>
        <v>0</v>
      </c>
      <c r="D362">
        <f>+bma_se!D362/data!$K362</f>
        <v>0</v>
      </c>
      <c r="E362">
        <f>+bma_se!E362/data!$K362</f>
        <v>0</v>
      </c>
      <c r="F362">
        <f>+bma_se!F362/data!$K362</f>
        <v>0.3259488360620339</v>
      </c>
      <c r="G362">
        <f>+bma_se!G362/data!$K362</f>
        <v>0</v>
      </c>
      <c r="H362">
        <f>+bma_se!H362/data!$K362</f>
        <v>0.3259488360620339</v>
      </c>
      <c r="I362">
        <f>+bma_se!I362/data!$K362</f>
        <v>0.3259488360620339</v>
      </c>
      <c r="J362">
        <f>+bma_se!J362/data!$K362</f>
        <v>0</v>
      </c>
      <c r="K362">
        <f>+bma_se!K362/data!$K362</f>
        <v>0.3259488360620339</v>
      </c>
      <c r="L362">
        <f>+bma_se!L362/data!$K362</f>
        <v>0.3259488360620339</v>
      </c>
      <c r="M362">
        <f>+bma_se!M362/data!$K362</f>
        <v>0</v>
      </c>
      <c r="N362">
        <f>+bma_se!N362/data!$K362</f>
        <v>0</v>
      </c>
      <c r="O362">
        <f>+bma_se!O362/data!$K362</f>
        <v>0.3259488360620339</v>
      </c>
      <c r="P362">
        <f>+bma_se!P362/data!$K362</f>
        <v>0</v>
      </c>
      <c r="Q362">
        <f>+bma_se!Q362/data!$K362</f>
        <v>2.4783190541652322</v>
      </c>
      <c r="R362">
        <f>+bma_se!R362/data!$K362</f>
        <v>1.2259587621965218</v>
      </c>
      <c r="S362">
        <f>+bma_se!S362/data!$K362</f>
        <v>0.3259488360620339</v>
      </c>
    </row>
    <row r="363" spans="1:19" x14ac:dyDescent="0.25">
      <c r="A363">
        <f>+bma_se!A363/data!$K363</f>
        <v>-0.18510638297872331</v>
      </c>
      <c r="B363">
        <f>+bma_se!B363/data!$K363</f>
        <v>0.3259488360620339</v>
      </c>
      <c r="C363">
        <f>+bma_se!C363/data!$K363</f>
        <v>0</v>
      </c>
      <c r="D363">
        <f>+bma_se!D363/data!$K363</f>
        <v>0</v>
      </c>
      <c r="E363">
        <f>+bma_se!E363/data!$K363</f>
        <v>0</v>
      </c>
      <c r="F363">
        <f>+bma_se!F363/data!$K363</f>
        <v>0.3259488360620339</v>
      </c>
      <c r="G363">
        <f>+bma_se!G363/data!$K363</f>
        <v>0</v>
      </c>
      <c r="H363">
        <f>+bma_se!H363/data!$K363</f>
        <v>0.3259488360620339</v>
      </c>
      <c r="I363">
        <f>+bma_se!I363/data!$K363</f>
        <v>0.3259488360620339</v>
      </c>
      <c r="J363">
        <f>+bma_se!J363/data!$K363</f>
        <v>0</v>
      </c>
      <c r="K363">
        <f>+bma_se!K363/data!$K363</f>
        <v>0.3259488360620339</v>
      </c>
      <c r="L363">
        <f>+bma_se!L363/data!$K363</f>
        <v>0.3259488360620339</v>
      </c>
      <c r="M363">
        <f>+bma_se!M363/data!$K363</f>
        <v>0</v>
      </c>
      <c r="N363">
        <f>+bma_se!N363/data!$K363</f>
        <v>0</v>
      </c>
      <c r="O363">
        <f>+bma_se!O363/data!$K363</f>
        <v>0.3259488360620339</v>
      </c>
      <c r="P363">
        <f>+bma_se!P363/data!$K363</f>
        <v>0</v>
      </c>
      <c r="Q363">
        <f>+bma_se!Q363/data!$K363</f>
        <v>2.4783190541652322</v>
      </c>
      <c r="R363">
        <f>+bma_se!R363/data!$K363</f>
        <v>1.2259587621965218</v>
      </c>
      <c r="S363">
        <f>+bma_se!S363/data!$K363</f>
        <v>0.3259488360620339</v>
      </c>
    </row>
    <row r="364" spans="1:19" x14ac:dyDescent="0.25">
      <c r="A364">
        <f>+bma_se!A364/data!$K364</f>
        <v>-0.12319148936170218</v>
      </c>
      <c r="B364">
        <f>+bma_se!B364/data!$K364</f>
        <v>0.29521926387328323</v>
      </c>
      <c r="C364">
        <f>+bma_se!C364/data!$K364</f>
        <v>0</v>
      </c>
      <c r="D364">
        <f>+bma_se!D364/data!$K364</f>
        <v>0</v>
      </c>
      <c r="E364">
        <f>+bma_se!E364/data!$K364</f>
        <v>0</v>
      </c>
      <c r="F364">
        <f>+bma_se!F364/data!$K364</f>
        <v>0.29521926387328323</v>
      </c>
      <c r="G364">
        <f>+bma_se!G364/data!$K364</f>
        <v>0</v>
      </c>
      <c r="H364">
        <f>+bma_se!H364/data!$K364</f>
        <v>0.29521926387328323</v>
      </c>
      <c r="I364">
        <f>+bma_se!I364/data!$K364</f>
        <v>0.29521926387328323</v>
      </c>
      <c r="J364">
        <f>+bma_se!J364/data!$K364</f>
        <v>0</v>
      </c>
      <c r="K364">
        <f>+bma_se!K364/data!$K364</f>
        <v>0.29521926387328323</v>
      </c>
      <c r="L364">
        <f>+bma_se!L364/data!$K364</f>
        <v>0.29521926387328323</v>
      </c>
      <c r="M364">
        <f>+bma_se!M364/data!$K364</f>
        <v>0</v>
      </c>
      <c r="N364">
        <f>+bma_se!N364/data!$K364</f>
        <v>0</v>
      </c>
      <c r="O364">
        <f>+bma_se!O364/data!$K364</f>
        <v>0.29521926387328323</v>
      </c>
      <c r="P364">
        <f>+bma_se!P364/data!$K364</f>
        <v>0</v>
      </c>
      <c r="Q364">
        <f>+bma_se!Q364/data!$K364</f>
        <v>2.2446698557148577</v>
      </c>
      <c r="R364">
        <f>+bma_se!R364/data!$K364</f>
        <v>1.1103786952801928</v>
      </c>
      <c r="S364">
        <f>+bma_se!S364/data!$K364</f>
        <v>0.29521926387328323</v>
      </c>
    </row>
    <row r="365" spans="1:19" x14ac:dyDescent="0.25">
      <c r="A365">
        <f>+bma_se!A365/data!$K365</f>
        <v>-0.13191489361702122</v>
      </c>
      <c r="B365">
        <f>+bma_se!B365/data!$K365</f>
        <v>0.29972070898621844</v>
      </c>
      <c r="C365">
        <f>+bma_se!C365/data!$K365</f>
        <v>0</v>
      </c>
      <c r="D365">
        <f>+bma_se!D365/data!$K365</f>
        <v>0</v>
      </c>
      <c r="E365">
        <f>+bma_se!E365/data!$K365</f>
        <v>0</v>
      </c>
      <c r="F365">
        <f>+bma_se!F365/data!$K365</f>
        <v>0.29972070898621844</v>
      </c>
      <c r="G365">
        <f>+bma_se!G365/data!$K365</f>
        <v>0</v>
      </c>
      <c r="H365">
        <f>+bma_se!H365/data!$K365</f>
        <v>0</v>
      </c>
      <c r="I365">
        <f>+bma_se!I365/data!$K365</f>
        <v>0.29972070898621844</v>
      </c>
      <c r="J365">
        <f>+bma_se!J365/data!$K365</f>
        <v>0</v>
      </c>
      <c r="K365">
        <f>+bma_se!K365/data!$K365</f>
        <v>0.29972070898621844</v>
      </c>
      <c r="L365">
        <f>+bma_se!L365/data!$K365</f>
        <v>0.29972070898621844</v>
      </c>
      <c r="M365">
        <f>+bma_se!M365/data!$K365</f>
        <v>0</v>
      </c>
      <c r="N365">
        <f>+bma_se!N365/data!$K365</f>
        <v>0</v>
      </c>
      <c r="O365">
        <f>+bma_se!O365/data!$K365</f>
        <v>0.29972070898621844</v>
      </c>
      <c r="P365">
        <f>+bma_se!P365/data!$K365</f>
        <v>0</v>
      </c>
      <c r="Q365">
        <f>+bma_se!Q365/data!$K365</f>
        <v>2.2788961389851043</v>
      </c>
      <c r="R365">
        <f>+bma_se!R365/data!$K365</f>
        <v>1.1273095306389647</v>
      </c>
      <c r="S365">
        <f>+bma_se!S365/data!$K365</f>
        <v>0.29972070898621844</v>
      </c>
    </row>
    <row r="366" spans="1:19" x14ac:dyDescent="0.25">
      <c r="A366">
        <f>+bma_se!A366/data!$K366</f>
        <v>-6.5106382978723357E-2</v>
      </c>
      <c r="B366">
        <f>+bma_se!B366/data!$K366</f>
        <v>0.27607446788013745</v>
      </c>
      <c r="C366">
        <f>+bma_se!C366/data!$K366</f>
        <v>0</v>
      </c>
      <c r="D366">
        <f>+bma_se!D366/data!$K366</f>
        <v>0</v>
      </c>
      <c r="E366">
        <f>+bma_se!E366/data!$K366</f>
        <v>0</v>
      </c>
      <c r="F366">
        <f>+bma_se!F366/data!$K366</f>
        <v>0.27607446788013745</v>
      </c>
      <c r="G366">
        <f>+bma_se!G366/data!$K366</f>
        <v>0</v>
      </c>
      <c r="H366">
        <f>+bma_se!H366/data!$K366</f>
        <v>0.27607446788013745</v>
      </c>
      <c r="I366">
        <f>+bma_se!I366/data!$K366</f>
        <v>0.27607446788013745</v>
      </c>
      <c r="J366">
        <f>+bma_se!J366/data!$K366</f>
        <v>0</v>
      </c>
      <c r="K366">
        <f>+bma_se!K366/data!$K366</f>
        <v>0.27607446788013745</v>
      </c>
      <c r="L366">
        <f>+bma_se!L366/data!$K366</f>
        <v>0.27607446788013745</v>
      </c>
      <c r="M366">
        <f>+bma_se!M366/data!$K366</f>
        <v>0</v>
      </c>
      <c r="N366">
        <f>+bma_se!N366/data!$K366</f>
        <v>0</v>
      </c>
      <c r="O366">
        <f>+bma_se!O366/data!$K366</f>
        <v>0.27607446788013745</v>
      </c>
      <c r="P366">
        <f>+bma_se!P366/data!$K366</f>
        <v>0</v>
      </c>
      <c r="Q366">
        <f>+bma_se!Q366/data!$K366</f>
        <v>2.0991043330053691</v>
      </c>
      <c r="R366">
        <f>+bma_se!R366/data!$K366</f>
        <v>1.038371288590773</v>
      </c>
      <c r="S366">
        <f>+bma_se!S366/data!$K366</f>
        <v>0.27607446788013745</v>
      </c>
    </row>
    <row r="367" spans="1:19" x14ac:dyDescent="0.25">
      <c r="A367">
        <f>+bma_se!A367/data!$K367</f>
        <v>-8.106382978723399E-2</v>
      </c>
      <c r="B367">
        <f>+bma_se!B367/data!$K367</f>
        <v>0.28187763704037894</v>
      </c>
      <c r="C367">
        <f>+bma_se!C367/data!$K367</f>
        <v>0</v>
      </c>
      <c r="D367">
        <f>+bma_se!D367/data!$K367</f>
        <v>0</v>
      </c>
      <c r="E367">
        <f>+bma_se!E367/data!$K367</f>
        <v>0</v>
      </c>
      <c r="F367">
        <f>+bma_se!F367/data!$K367</f>
        <v>0.28187763704037894</v>
      </c>
      <c r="G367">
        <f>+bma_se!G367/data!$K367</f>
        <v>0</v>
      </c>
      <c r="H367">
        <f>+bma_se!H367/data!$K367</f>
        <v>0.28187763704037894</v>
      </c>
      <c r="I367">
        <f>+bma_se!I367/data!$K367</f>
        <v>0</v>
      </c>
      <c r="J367">
        <f>+bma_se!J367/data!$K367</f>
        <v>0</v>
      </c>
      <c r="K367">
        <f>+bma_se!K367/data!$K367</f>
        <v>0.28187763704037894</v>
      </c>
      <c r="L367">
        <f>+bma_se!L367/data!$K367</f>
        <v>0</v>
      </c>
      <c r="M367">
        <f>+bma_se!M367/data!$K367</f>
        <v>0.28187763704037894</v>
      </c>
      <c r="N367">
        <f>+bma_se!N367/data!$K367</f>
        <v>0</v>
      </c>
      <c r="O367">
        <f>+bma_se!O367/data!$K367</f>
        <v>0.28187763704037894</v>
      </c>
      <c r="P367">
        <f>+bma_se!P367/data!$K367</f>
        <v>0</v>
      </c>
      <c r="Q367">
        <f>+bma_se!Q367/data!$K367</f>
        <v>2.1432281435951799</v>
      </c>
      <c r="R367">
        <f>+bma_se!R367/data!$K367</f>
        <v>1.0601981684362733</v>
      </c>
      <c r="S367">
        <f>+bma_se!S367/data!$K367</f>
        <v>0.28187763704037894</v>
      </c>
    </row>
    <row r="368" spans="1:19" x14ac:dyDescent="0.25">
      <c r="A368">
        <f>+bma_se!A368/data!$K368</f>
        <v>3.5106382978723434E-2</v>
      </c>
      <c r="B368">
        <f>+bma_se!B368/data!$K368</f>
        <v>0.14543374192766251</v>
      </c>
      <c r="C368">
        <f>+bma_se!C368/data!$K368</f>
        <v>0</v>
      </c>
      <c r="D368">
        <f>+bma_se!D368/data!$K368</f>
        <v>0</v>
      </c>
      <c r="E368">
        <f>+bma_se!E368/data!$K368</f>
        <v>0</v>
      </c>
      <c r="F368">
        <f>+bma_se!F368/data!$K368</f>
        <v>0.14543374192766251</v>
      </c>
      <c r="G368">
        <f>+bma_se!G368/data!$K368</f>
        <v>0</v>
      </c>
      <c r="H368">
        <f>+bma_se!H368/data!$K368</f>
        <v>0.14543374192766251</v>
      </c>
      <c r="I368">
        <f>+bma_se!I368/data!$K368</f>
        <v>0.14543374192766251</v>
      </c>
      <c r="J368">
        <f>+bma_se!J368/data!$K368</f>
        <v>0</v>
      </c>
      <c r="K368">
        <f>+bma_se!K368/data!$K368</f>
        <v>0.14543374192766251</v>
      </c>
      <c r="L368">
        <f>+bma_se!L368/data!$K368</f>
        <v>0</v>
      </c>
      <c r="M368">
        <f>+bma_se!M368/data!$K368</f>
        <v>0.14543374192766251</v>
      </c>
      <c r="N368">
        <f>+bma_se!N368/data!$K368</f>
        <v>0</v>
      </c>
      <c r="O368">
        <f>+bma_se!O368/data!$K368</f>
        <v>0.14543374192766251</v>
      </c>
      <c r="P368">
        <f>+bma_se!P368/data!$K368</f>
        <v>0</v>
      </c>
      <c r="Q368">
        <f>+bma_se!Q368/data!$K368</f>
        <v>1.1057907679390471</v>
      </c>
      <c r="R368">
        <f>+bma_se!R368/data!$K368</f>
        <v>0.54700539013832417</v>
      </c>
      <c r="S368">
        <f>+bma_se!S368/data!$K368</f>
        <v>0.14543374192766251</v>
      </c>
    </row>
    <row r="369" spans="1:19" x14ac:dyDescent="0.25">
      <c r="A369">
        <f>+bma_se!A369/data!$K369</f>
        <v>5.2978723404255315E-2</v>
      </c>
      <c r="B369">
        <f>+bma_se!B369/data!$K369</f>
        <v>0.1551880822686634</v>
      </c>
      <c r="C369">
        <f>+bma_se!C369/data!$K369</f>
        <v>0</v>
      </c>
      <c r="D369">
        <f>+bma_se!D369/data!$K369</f>
        <v>0</v>
      </c>
      <c r="E369">
        <f>+bma_se!E369/data!$K369</f>
        <v>0</v>
      </c>
      <c r="F369">
        <f>+bma_se!F369/data!$K369</f>
        <v>0.1551880822686634</v>
      </c>
      <c r="G369">
        <f>+bma_se!G369/data!$K369</f>
        <v>0</v>
      </c>
      <c r="H369">
        <f>+bma_se!H369/data!$K369</f>
        <v>0.1551880822686634</v>
      </c>
      <c r="I369">
        <f>+bma_se!I369/data!$K369</f>
        <v>0</v>
      </c>
      <c r="J369">
        <f>+bma_se!J369/data!$K369</f>
        <v>0</v>
      </c>
      <c r="K369">
        <f>+bma_se!K369/data!$K369</f>
        <v>0.1551880822686634</v>
      </c>
      <c r="L369">
        <f>+bma_se!L369/data!$K369</f>
        <v>0</v>
      </c>
      <c r="M369">
        <f>+bma_se!M369/data!$K369</f>
        <v>0.1551880822686634</v>
      </c>
      <c r="N369">
        <f>+bma_se!N369/data!$K369</f>
        <v>0</v>
      </c>
      <c r="O369">
        <f>+bma_se!O369/data!$K369</f>
        <v>0.1551880822686634</v>
      </c>
      <c r="P369">
        <f>+bma_se!P369/data!$K369</f>
        <v>0</v>
      </c>
      <c r="Q369">
        <f>+bma_se!Q369/data!$K369</f>
        <v>1.179956909533473</v>
      </c>
      <c r="R369">
        <f>+bma_se!R369/data!$K369</f>
        <v>0.58369341502889682</v>
      </c>
      <c r="S369">
        <f>+bma_se!S369/data!$K369</f>
        <v>0.1551880822686634</v>
      </c>
    </row>
    <row r="370" spans="1:19" x14ac:dyDescent="0.25">
      <c r="A370">
        <f>+bma_se!A370/data!$K370</f>
        <v>-5.5744680851063801E-2</v>
      </c>
      <c r="B370">
        <f>+bma_se!B370/data!$K370</f>
        <v>0.15024410498231708</v>
      </c>
      <c r="C370">
        <f>+bma_se!C370/data!$K370</f>
        <v>0</v>
      </c>
      <c r="D370">
        <f>+bma_se!D370/data!$K370</f>
        <v>0</v>
      </c>
      <c r="E370">
        <f>+bma_se!E370/data!$K370</f>
        <v>0</v>
      </c>
      <c r="F370">
        <f>+bma_se!F370/data!$K370</f>
        <v>0.15024410498231708</v>
      </c>
      <c r="G370">
        <f>+bma_se!G370/data!$K370</f>
        <v>0</v>
      </c>
      <c r="H370">
        <f>+bma_se!H370/data!$K370</f>
        <v>0.15024410498231708</v>
      </c>
      <c r="I370">
        <f>+bma_se!I370/data!$K370</f>
        <v>0.15024410498231708</v>
      </c>
      <c r="J370">
        <f>+bma_se!J370/data!$K370</f>
        <v>0</v>
      </c>
      <c r="K370">
        <f>+bma_se!K370/data!$K370</f>
        <v>0.15024410498231708</v>
      </c>
      <c r="L370">
        <f>+bma_se!L370/data!$K370</f>
        <v>0</v>
      </c>
      <c r="M370">
        <f>+bma_se!M370/data!$K370</f>
        <v>0.15024410498231708</v>
      </c>
      <c r="N370">
        <f>+bma_se!N370/data!$K370</f>
        <v>0</v>
      </c>
      <c r="O370">
        <f>+bma_se!O370/data!$K370</f>
        <v>0.15024410498231708</v>
      </c>
      <c r="P370">
        <f>+bma_se!P370/data!$K370</f>
        <v>0</v>
      </c>
      <c r="Q370">
        <f>+bma_se!Q370/data!$K370</f>
        <v>1.1423658775784449</v>
      </c>
      <c r="R370">
        <f>+bma_se!R370/data!$K370</f>
        <v>0.56509812765949108</v>
      </c>
      <c r="S370">
        <f>+bma_se!S370/data!$K370</f>
        <v>0.15024410498231708</v>
      </c>
    </row>
    <row r="371" spans="1:19" x14ac:dyDescent="0.25">
      <c r="A371">
        <f>+bma_se!A371/data!$K371</f>
        <v>-5.9361702127659531E-2</v>
      </c>
      <c r="B371">
        <f>+bma_se!B371/data!$K371</f>
        <v>0.1574814510479689</v>
      </c>
      <c r="C371">
        <f>+bma_se!C371/data!$K371</f>
        <v>0</v>
      </c>
      <c r="D371">
        <f>+bma_se!D371/data!$K371</f>
        <v>0</v>
      </c>
      <c r="E371">
        <f>+bma_se!E371/data!$K371</f>
        <v>0</v>
      </c>
      <c r="F371">
        <f>+bma_se!F371/data!$K371</f>
        <v>0.1574814510479689</v>
      </c>
      <c r="G371">
        <f>+bma_se!G371/data!$K371</f>
        <v>0</v>
      </c>
      <c r="H371">
        <f>+bma_se!H371/data!$K371</f>
        <v>0.1574814510479689</v>
      </c>
      <c r="I371">
        <f>+bma_se!I371/data!$K371</f>
        <v>0</v>
      </c>
      <c r="J371">
        <f>+bma_se!J371/data!$K371</f>
        <v>0</v>
      </c>
      <c r="K371">
        <f>+bma_se!K371/data!$K371</f>
        <v>0.1574814510479689</v>
      </c>
      <c r="L371">
        <f>+bma_se!L371/data!$K371</f>
        <v>0</v>
      </c>
      <c r="M371">
        <f>+bma_se!M371/data!$K371</f>
        <v>0.1574814510479689</v>
      </c>
      <c r="N371">
        <f>+bma_se!N371/data!$K371</f>
        <v>0</v>
      </c>
      <c r="O371">
        <f>+bma_se!O371/data!$K371</f>
        <v>0.1574814510479689</v>
      </c>
      <c r="P371">
        <f>+bma_se!P371/data!$K371</f>
        <v>0</v>
      </c>
      <c r="Q371">
        <f>+bma_se!Q371/data!$K371</f>
        <v>1.1973943074166757</v>
      </c>
      <c r="R371">
        <f>+bma_se!R371/data!$K371</f>
        <v>0.59231923368162065</v>
      </c>
      <c r="S371">
        <f>+bma_se!S371/data!$K371</f>
        <v>0.1574814510479689</v>
      </c>
    </row>
    <row r="372" spans="1:19" x14ac:dyDescent="0.25">
      <c r="A372">
        <f>+bma_se!A372/data!$K372</f>
        <v>-6.4468085106383022E-2</v>
      </c>
      <c r="B372">
        <f>+bma_se!B372/data!$K372</f>
        <v>0.17696820501501992</v>
      </c>
      <c r="C372">
        <f>+bma_se!C372/data!$K372</f>
        <v>0</v>
      </c>
      <c r="D372">
        <f>+bma_se!D372/data!$K372</f>
        <v>0</v>
      </c>
      <c r="E372">
        <f>+bma_se!E372/data!$K372</f>
        <v>0</v>
      </c>
      <c r="F372">
        <f>+bma_se!F372/data!$K372</f>
        <v>0.17696820501501992</v>
      </c>
      <c r="G372">
        <f>+bma_se!G372/data!$K372</f>
        <v>0</v>
      </c>
      <c r="H372">
        <f>+bma_se!H372/data!$K372</f>
        <v>0.17696820501501992</v>
      </c>
      <c r="I372">
        <f>+bma_se!I372/data!$K372</f>
        <v>0.17696820501501992</v>
      </c>
      <c r="J372">
        <f>+bma_se!J372/data!$K372</f>
        <v>0</v>
      </c>
      <c r="K372">
        <f>+bma_se!K372/data!$K372</f>
        <v>0.17696820501501992</v>
      </c>
      <c r="L372">
        <f>+bma_se!L372/data!$K372</f>
        <v>0</v>
      </c>
      <c r="M372">
        <f>+bma_se!M372/data!$K372</f>
        <v>0.17696820501501992</v>
      </c>
      <c r="N372">
        <f>+bma_se!N372/data!$K372</f>
        <v>0</v>
      </c>
      <c r="O372">
        <f>+bma_se!O372/data!$K372</f>
        <v>0.17696820501501992</v>
      </c>
      <c r="P372">
        <f>+bma_se!P372/data!$K372</f>
        <v>0</v>
      </c>
      <c r="Q372">
        <f>+bma_se!Q372/data!$K372</f>
        <v>1.3455598730429976</v>
      </c>
      <c r="R372">
        <f>+bma_se!R372/data!$K372</f>
        <v>0.66561281270249306</v>
      </c>
      <c r="S372">
        <f>+bma_se!S372/data!$K372</f>
        <v>0.17696820501501992</v>
      </c>
    </row>
    <row r="373" spans="1:19" x14ac:dyDescent="0.25">
      <c r="A373">
        <f>+bma_se!A373/data!$K373</f>
        <v>-6.148936170212789E-2</v>
      </c>
      <c r="B373">
        <f>+bma_se!B373/data!$K373</f>
        <v>0.17845991214963244</v>
      </c>
      <c r="C373">
        <f>+bma_se!C373/data!$K373</f>
        <v>0</v>
      </c>
      <c r="D373">
        <f>+bma_se!D373/data!$K373</f>
        <v>0</v>
      </c>
      <c r="E373">
        <f>+bma_se!E373/data!$K373</f>
        <v>0</v>
      </c>
      <c r="F373">
        <f>+bma_se!F373/data!$K373</f>
        <v>0.17845991214963244</v>
      </c>
      <c r="G373">
        <f>+bma_se!G373/data!$K373</f>
        <v>0</v>
      </c>
      <c r="H373">
        <f>+bma_se!H373/data!$K373</f>
        <v>0</v>
      </c>
      <c r="I373">
        <f>+bma_se!I373/data!$K373</f>
        <v>0.17845991214963244</v>
      </c>
      <c r="J373">
        <f>+bma_se!J373/data!$K373</f>
        <v>0</v>
      </c>
      <c r="K373">
        <f>+bma_se!K373/data!$K373</f>
        <v>0.17845991214963244</v>
      </c>
      <c r="L373">
        <f>+bma_se!L373/data!$K373</f>
        <v>0</v>
      </c>
      <c r="M373">
        <f>+bma_se!M373/data!$K373</f>
        <v>0.17845991214963244</v>
      </c>
      <c r="N373">
        <f>+bma_se!N373/data!$K373</f>
        <v>0</v>
      </c>
      <c r="O373">
        <f>+bma_se!O373/data!$K373</f>
        <v>0.17845991214963244</v>
      </c>
      <c r="P373">
        <f>+bma_se!P373/data!$K373</f>
        <v>0</v>
      </c>
      <c r="Q373">
        <f>+bma_se!Q373/data!$K373</f>
        <v>1.3569019175786032</v>
      </c>
      <c r="R373">
        <f>+bma_se!R373/data!$K373</f>
        <v>0.67122342157719761</v>
      </c>
      <c r="S373">
        <f>+bma_se!S373/data!$K373</f>
        <v>0.17845991214963244</v>
      </c>
    </row>
    <row r="374" spans="1:19" x14ac:dyDescent="0.25">
      <c r="A374">
        <f>+bma_se!A374/data!$K374</f>
        <v>-6.6808510638297861E-2</v>
      </c>
      <c r="B374">
        <f>+bma_se!B374/data!$K374</f>
        <v>0.27648082719139211</v>
      </c>
      <c r="C374">
        <f>+bma_se!C374/data!$K374</f>
        <v>0</v>
      </c>
      <c r="D374">
        <f>+bma_se!D374/data!$K374</f>
        <v>0</v>
      </c>
      <c r="E374">
        <f>+bma_se!E374/data!$K374</f>
        <v>0</v>
      </c>
      <c r="F374">
        <f>+bma_se!F374/data!$K374</f>
        <v>0.27648082719139211</v>
      </c>
      <c r="G374">
        <f>+bma_se!G374/data!$K374</f>
        <v>0</v>
      </c>
      <c r="H374">
        <f>+bma_se!H374/data!$K374</f>
        <v>0.27648082719139211</v>
      </c>
      <c r="I374">
        <f>+bma_se!I374/data!$K374</f>
        <v>0.27648082719139211</v>
      </c>
      <c r="J374">
        <f>+bma_se!J374/data!$K374</f>
        <v>0</v>
      </c>
      <c r="K374">
        <f>+bma_se!K374/data!$K374</f>
        <v>0.27648082719139211</v>
      </c>
      <c r="L374">
        <f>+bma_se!L374/data!$K374</f>
        <v>0</v>
      </c>
      <c r="M374">
        <f>+bma_se!M374/data!$K374</f>
        <v>0.27648082719139211</v>
      </c>
      <c r="N374">
        <f>+bma_se!N374/data!$K374</f>
        <v>0</v>
      </c>
      <c r="O374">
        <f>+bma_se!O374/data!$K374</f>
        <v>0.27648082719139211</v>
      </c>
      <c r="P374">
        <f>+bma_se!P374/data!$K374</f>
        <v>0</v>
      </c>
      <c r="Q374">
        <f>+bma_se!Q374/data!$K374</f>
        <v>2.1021940449862035</v>
      </c>
      <c r="R374">
        <f>+bma_se!R374/data!$K374</f>
        <v>1.0398996872322639</v>
      </c>
      <c r="S374">
        <f>+bma_se!S374/data!$K374</f>
        <v>0.27648082719139211</v>
      </c>
    </row>
    <row r="375" spans="1:19" x14ac:dyDescent="0.25">
      <c r="A375">
        <f>+bma_se!A375/data!$K375</f>
        <v>-7.2127659574467998E-2</v>
      </c>
      <c r="B375">
        <f>+bma_se!B375/data!$K375</f>
        <v>0.27943882521830121</v>
      </c>
      <c r="C375">
        <f>+bma_se!C375/data!$K375</f>
        <v>0</v>
      </c>
      <c r="D375">
        <f>+bma_se!D375/data!$K375</f>
        <v>0</v>
      </c>
      <c r="E375">
        <f>+bma_se!E375/data!$K375</f>
        <v>0</v>
      </c>
      <c r="F375">
        <f>+bma_se!F375/data!$K375</f>
        <v>0.27943882521830121</v>
      </c>
      <c r="G375">
        <f>+bma_se!G375/data!$K375</f>
        <v>0</v>
      </c>
      <c r="H375">
        <f>+bma_se!H375/data!$K375</f>
        <v>0.27943882521830121</v>
      </c>
      <c r="I375">
        <f>+bma_se!I375/data!$K375</f>
        <v>0</v>
      </c>
      <c r="J375">
        <f>+bma_se!J375/data!$K375</f>
        <v>0</v>
      </c>
      <c r="K375">
        <f>+bma_se!K375/data!$K375</f>
        <v>0.27943882521830121</v>
      </c>
      <c r="L375">
        <f>+bma_se!L375/data!$K375</f>
        <v>0</v>
      </c>
      <c r="M375">
        <f>+bma_se!M375/data!$K375</f>
        <v>0.27943882521830121</v>
      </c>
      <c r="N375">
        <f>+bma_se!N375/data!$K375</f>
        <v>0</v>
      </c>
      <c r="O375">
        <f>+bma_se!O375/data!$K375</f>
        <v>0.27943882521830121</v>
      </c>
      <c r="P375">
        <f>+bma_se!P375/data!$K375</f>
        <v>0</v>
      </c>
      <c r="Q375">
        <f>+bma_se!Q375/data!$K375</f>
        <v>2.124684884226006</v>
      </c>
      <c r="R375">
        <f>+bma_se!R375/data!$K375</f>
        <v>1.0510253094110744</v>
      </c>
      <c r="S375">
        <f>+bma_se!S375/data!$K375</f>
        <v>0.27943882521830121</v>
      </c>
    </row>
    <row r="376" spans="1:19" x14ac:dyDescent="0.25">
      <c r="A376">
        <f>+bma_se!A376/data!$K376</f>
        <v>-4.4680851063829755E-2</v>
      </c>
      <c r="B376">
        <f>+bma_se!B376/data!$K376</f>
        <v>0.27198281041734418</v>
      </c>
      <c r="C376">
        <f>+bma_se!C376/data!$K376</f>
        <v>0</v>
      </c>
      <c r="D376">
        <f>+bma_se!D376/data!$K376</f>
        <v>0</v>
      </c>
      <c r="E376">
        <f>+bma_se!E376/data!$K376</f>
        <v>0</v>
      </c>
      <c r="F376">
        <f>+bma_se!F376/data!$K376</f>
        <v>0.27198281041734418</v>
      </c>
      <c r="G376">
        <f>+bma_se!G376/data!$K376</f>
        <v>0</v>
      </c>
      <c r="H376">
        <f>+bma_se!H376/data!$K376</f>
        <v>0.27198281041734418</v>
      </c>
      <c r="I376">
        <f>+bma_se!I376/data!$K376</f>
        <v>0.27198281041734418</v>
      </c>
      <c r="J376">
        <f>+bma_se!J376/data!$K376</f>
        <v>0</v>
      </c>
      <c r="K376">
        <f>+bma_se!K376/data!$K376</f>
        <v>0.27198281041734418</v>
      </c>
      <c r="L376">
        <f>+bma_se!L376/data!$K376</f>
        <v>0</v>
      </c>
      <c r="M376">
        <f>+bma_se!M376/data!$K376</f>
        <v>0.27198281041734418</v>
      </c>
      <c r="N376">
        <f>+bma_se!N376/data!$K376</f>
        <v>0</v>
      </c>
      <c r="O376">
        <f>+bma_se!O376/data!$K376</f>
        <v>0.27198281041734418</v>
      </c>
      <c r="P376">
        <f>+bma_se!P376/data!$K376</f>
        <v>0</v>
      </c>
      <c r="Q376">
        <f>+bma_se!Q376/data!$K376</f>
        <v>2.0679938287444242</v>
      </c>
      <c r="R376">
        <f>+bma_se!R376/data!$K376</f>
        <v>1.0229817465417148</v>
      </c>
      <c r="S376">
        <f>+bma_se!S376/data!$K376</f>
        <v>0.27198281041734418</v>
      </c>
    </row>
    <row r="377" spans="1:19" x14ac:dyDescent="0.25">
      <c r="A377">
        <f>+bma_se!A377/data!$K377</f>
        <v>-5.617021276595744E-2</v>
      </c>
      <c r="B377">
        <f>+bma_se!B377/data!$K377</f>
        <v>0.27657086631160099</v>
      </c>
      <c r="C377">
        <f>+bma_se!C377/data!$K377</f>
        <v>0</v>
      </c>
      <c r="D377">
        <f>+bma_se!D377/data!$K377</f>
        <v>0</v>
      </c>
      <c r="E377">
        <f>+bma_se!E377/data!$K377</f>
        <v>0</v>
      </c>
      <c r="F377">
        <f>+bma_se!F377/data!$K377</f>
        <v>0.27657086631160099</v>
      </c>
      <c r="G377">
        <f>+bma_se!G377/data!$K377</f>
        <v>0</v>
      </c>
      <c r="H377">
        <f>+bma_se!H377/data!$K377</f>
        <v>0.27657086631160099</v>
      </c>
      <c r="I377">
        <f>+bma_se!I377/data!$K377</f>
        <v>0</v>
      </c>
      <c r="J377">
        <f>+bma_se!J377/data!$K377</f>
        <v>0</v>
      </c>
      <c r="K377">
        <f>+bma_se!K377/data!$K377</f>
        <v>0.27657086631160099</v>
      </c>
      <c r="L377">
        <f>+bma_se!L377/data!$K377</f>
        <v>0</v>
      </c>
      <c r="M377">
        <f>+bma_se!M377/data!$K377</f>
        <v>0.27657086631160099</v>
      </c>
      <c r="N377">
        <f>+bma_se!N377/data!$K377</f>
        <v>0</v>
      </c>
      <c r="O377">
        <f>+bma_se!O377/data!$K377</f>
        <v>0.27657086631160099</v>
      </c>
      <c r="P377">
        <f>+bma_se!P377/data!$K377</f>
        <v>0</v>
      </c>
      <c r="Q377">
        <f>+bma_se!Q377/data!$K377</f>
        <v>2.1028786483427604</v>
      </c>
      <c r="R377">
        <f>+bma_se!R377/data!$K377</f>
        <v>1.0402383423711936</v>
      </c>
      <c r="S377">
        <f>+bma_se!S377/data!$K377</f>
        <v>0.27657086631160099</v>
      </c>
    </row>
    <row r="378" spans="1:19" x14ac:dyDescent="0.25">
      <c r="A378">
        <f>+bma_se!A378/data!$K378</f>
        <v>-0.16978723404255319</v>
      </c>
      <c r="B378">
        <f>+bma_se!B378/data!$K378</f>
        <v>0.31749956780214611</v>
      </c>
      <c r="C378">
        <f>+bma_se!C378/data!$K378</f>
        <v>0</v>
      </c>
      <c r="D378">
        <f>+bma_se!D378/data!$K378</f>
        <v>0</v>
      </c>
      <c r="E378">
        <f>+bma_se!E378/data!$K378</f>
        <v>0</v>
      </c>
      <c r="F378">
        <f>+bma_se!F378/data!$K378</f>
        <v>0.31749956780214611</v>
      </c>
      <c r="G378">
        <f>+bma_se!G378/data!$K378</f>
        <v>0</v>
      </c>
      <c r="H378">
        <f>+bma_se!H378/data!$K378</f>
        <v>0.31749956780214611</v>
      </c>
      <c r="I378">
        <f>+bma_se!I378/data!$K378</f>
        <v>0.31749956780214611</v>
      </c>
      <c r="J378">
        <f>+bma_se!J378/data!$K378</f>
        <v>0</v>
      </c>
      <c r="K378">
        <f>+bma_se!K378/data!$K378</f>
        <v>0.31749956780214611</v>
      </c>
      <c r="L378">
        <f>+bma_se!L378/data!$K378</f>
        <v>0</v>
      </c>
      <c r="M378">
        <f>+bma_se!M378/data!$K378</f>
        <v>0.31749956780214611</v>
      </c>
      <c r="N378">
        <f>+bma_se!N378/data!$K378</f>
        <v>0</v>
      </c>
      <c r="O378">
        <f>+bma_se!O378/data!$K378</f>
        <v>0.31749956780214611</v>
      </c>
      <c r="P378">
        <f>+bma_se!P378/data!$K378</f>
        <v>0</v>
      </c>
      <c r="Q378">
        <f>+bma_se!Q378/data!$K378</f>
        <v>2.4140758963272697</v>
      </c>
      <c r="R378">
        <f>+bma_se!R378/data!$K378</f>
        <v>1.1941793744174318</v>
      </c>
      <c r="S378">
        <f>+bma_se!S378/data!$K378</f>
        <v>0.31749956780214611</v>
      </c>
    </row>
    <row r="379" spans="1:19" x14ac:dyDescent="0.25">
      <c r="A379">
        <f>+bma_se!A379/data!$K379</f>
        <v>-0.16978723404255319</v>
      </c>
      <c r="B379">
        <f>+bma_se!B379/data!$K379</f>
        <v>0.31749956780214611</v>
      </c>
      <c r="C379">
        <f>+bma_se!C379/data!$K379</f>
        <v>0</v>
      </c>
      <c r="D379">
        <f>+bma_se!D379/data!$K379</f>
        <v>0</v>
      </c>
      <c r="E379">
        <f>+bma_se!E379/data!$K379</f>
        <v>0</v>
      </c>
      <c r="F379">
        <f>+bma_se!F379/data!$K379</f>
        <v>0.31749956780214611</v>
      </c>
      <c r="G379">
        <f>+bma_se!G379/data!$K379</f>
        <v>0</v>
      </c>
      <c r="H379">
        <f>+bma_se!H379/data!$K379</f>
        <v>0.31749956780214611</v>
      </c>
      <c r="I379">
        <f>+bma_se!I379/data!$K379</f>
        <v>0.31749956780214611</v>
      </c>
      <c r="J379">
        <f>+bma_se!J379/data!$K379</f>
        <v>0</v>
      </c>
      <c r="K379">
        <f>+bma_se!K379/data!$K379</f>
        <v>0.31749956780214611</v>
      </c>
      <c r="L379">
        <f>+bma_se!L379/data!$K379</f>
        <v>0</v>
      </c>
      <c r="M379">
        <f>+bma_se!M379/data!$K379</f>
        <v>0.31749956780214611</v>
      </c>
      <c r="N379">
        <f>+bma_se!N379/data!$K379</f>
        <v>0</v>
      </c>
      <c r="O379">
        <f>+bma_se!O379/data!$K379</f>
        <v>0.31749956780214611</v>
      </c>
      <c r="P379">
        <f>+bma_se!P379/data!$K379</f>
        <v>0</v>
      </c>
      <c r="Q379">
        <f>+bma_se!Q379/data!$K379</f>
        <v>2.4140758963272697</v>
      </c>
      <c r="R379">
        <f>+bma_se!R379/data!$K379</f>
        <v>1.1941793744174318</v>
      </c>
      <c r="S379">
        <f>+bma_se!S379/data!$K379</f>
        <v>0.31749956780214611</v>
      </c>
    </row>
    <row r="380" spans="1:19" x14ac:dyDescent="0.25">
      <c r="A380">
        <f>+bma_se!A380/data!$K380</f>
        <v>-4.9148936170212758E-2</v>
      </c>
      <c r="B380">
        <f>+bma_se!B380/data!$K380</f>
        <v>0.14944608757641259</v>
      </c>
      <c r="C380">
        <f>+bma_se!C380/data!$K380</f>
        <v>0</v>
      </c>
      <c r="D380">
        <f>+bma_se!D380/data!$K380</f>
        <v>0</v>
      </c>
      <c r="E380">
        <f>+bma_se!E380/data!$K380</f>
        <v>0</v>
      </c>
      <c r="F380">
        <f>+bma_se!F380/data!$K380</f>
        <v>0.14944608757641259</v>
      </c>
      <c r="G380">
        <f>+bma_se!G380/data!$K380</f>
        <v>0</v>
      </c>
      <c r="H380">
        <f>+bma_se!H380/data!$K380</f>
        <v>0.14944608757641259</v>
      </c>
      <c r="I380">
        <f>+bma_se!I380/data!$K380</f>
        <v>0.14944608757641259</v>
      </c>
      <c r="J380">
        <f>+bma_se!J380/data!$K380</f>
        <v>0</v>
      </c>
      <c r="K380">
        <f>+bma_se!K380/data!$K380</f>
        <v>0.14944608757641259</v>
      </c>
      <c r="L380">
        <f>+bma_se!L380/data!$K380</f>
        <v>0</v>
      </c>
      <c r="M380">
        <f>+bma_se!M380/data!$K380</f>
        <v>0.14944608757641259</v>
      </c>
      <c r="N380">
        <f>+bma_se!N380/data!$K380</f>
        <v>0</v>
      </c>
      <c r="O380">
        <f>+bma_se!O380/data!$K380</f>
        <v>0.14944608757641259</v>
      </c>
      <c r="P380">
        <f>+bma_se!P380/data!$K380</f>
        <v>0</v>
      </c>
      <c r="Q380">
        <f>+bma_se!Q380/data!$K380</f>
        <v>1.1362982328324081</v>
      </c>
      <c r="R380">
        <f>+bma_se!R380/data!$K380</f>
        <v>0.56209662459240317</v>
      </c>
      <c r="S380">
        <f>+bma_se!S380/data!$K380</f>
        <v>0.14944608757641259</v>
      </c>
    </row>
    <row r="381" spans="1:19" x14ac:dyDescent="0.25">
      <c r="A381">
        <f>+bma_se!A381/data!$K381</f>
        <v>-4.8936170212765966E-2</v>
      </c>
      <c r="B381">
        <f>+bma_se!B381/data!$K381</f>
        <v>0.15237667463654364</v>
      </c>
      <c r="C381">
        <f>+bma_se!C381/data!$K381</f>
        <v>0</v>
      </c>
      <c r="D381">
        <f>+bma_se!D381/data!$K381</f>
        <v>0</v>
      </c>
      <c r="E381">
        <f>+bma_se!E381/data!$K381</f>
        <v>0</v>
      </c>
      <c r="F381">
        <f>+bma_se!F381/data!$K381</f>
        <v>0.15237667463654364</v>
      </c>
      <c r="G381">
        <f>+bma_se!G381/data!$K381</f>
        <v>0</v>
      </c>
      <c r="H381">
        <f>+bma_se!H381/data!$K381</f>
        <v>0.15237667463654364</v>
      </c>
      <c r="I381">
        <f>+bma_se!I381/data!$K381</f>
        <v>0.15237667463654364</v>
      </c>
      <c r="J381">
        <f>+bma_se!J381/data!$K381</f>
        <v>0</v>
      </c>
      <c r="K381">
        <f>+bma_se!K381/data!$K381</f>
        <v>0.15237667463654364</v>
      </c>
      <c r="L381">
        <f>+bma_se!L381/data!$K381</f>
        <v>0</v>
      </c>
      <c r="M381">
        <f>+bma_se!M381/data!$K381</f>
        <v>0.15237667463654364</v>
      </c>
      <c r="N381">
        <f>+bma_se!N381/data!$K381</f>
        <v>0</v>
      </c>
      <c r="O381">
        <f>+bma_se!O381/data!$K381</f>
        <v>0.15237667463654364</v>
      </c>
      <c r="P381">
        <f>+bma_se!P381/data!$K381</f>
        <v>0</v>
      </c>
      <c r="Q381">
        <f>+bma_se!Q381/data!$K381</f>
        <v>1.1585806555548213</v>
      </c>
      <c r="R381">
        <f>+bma_se!R381/data!$K381</f>
        <v>0.57311914864296798</v>
      </c>
      <c r="S381">
        <f>+bma_se!S381/data!$K381</f>
        <v>0.15237667463654364</v>
      </c>
    </row>
    <row r="382" spans="1:19" x14ac:dyDescent="0.25">
      <c r="A382">
        <f>+bma_se!A382/data!$K382</f>
        <v>-0.12255319148936168</v>
      </c>
      <c r="B382">
        <f>+bma_se!B382/data!$K382</f>
        <v>0.18570165961288207</v>
      </c>
      <c r="C382">
        <f>+bma_se!C382/data!$K382</f>
        <v>0</v>
      </c>
      <c r="D382">
        <f>+bma_se!D382/data!$K382</f>
        <v>0</v>
      </c>
      <c r="E382">
        <f>+bma_se!E382/data!$K382</f>
        <v>0</v>
      </c>
      <c r="F382">
        <f>+bma_se!F382/data!$K382</f>
        <v>0.18570165961288207</v>
      </c>
      <c r="G382">
        <f>+bma_se!G382/data!$K382</f>
        <v>0</v>
      </c>
      <c r="H382">
        <f>+bma_se!H382/data!$K382</f>
        <v>0.18570165961288207</v>
      </c>
      <c r="I382">
        <f>+bma_se!I382/data!$K382</f>
        <v>0.18570165961288207</v>
      </c>
      <c r="J382">
        <f>+bma_se!J382/data!$K382</f>
        <v>0</v>
      </c>
      <c r="K382">
        <f>+bma_se!K382/data!$K382</f>
        <v>0.18570165961288207</v>
      </c>
      <c r="L382">
        <f>+bma_se!L382/data!$K382</f>
        <v>0</v>
      </c>
      <c r="M382">
        <f>+bma_se!M382/data!$K382</f>
        <v>0.18570165961288207</v>
      </c>
      <c r="N382">
        <f>+bma_se!N382/data!$K382</f>
        <v>0</v>
      </c>
      <c r="O382">
        <f>+bma_se!O382/data!$K382</f>
        <v>0.18570165961288207</v>
      </c>
      <c r="P382">
        <f>+bma_se!P382/data!$K382</f>
        <v>0</v>
      </c>
      <c r="Q382">
        <f>+bma_se!Q382/data!$K382</f>
        <v>1.411963812998928</v>
      </c>
      <c r="R382">
        <f>+bma_se!R382/data!$K382</f>
        <v>0.69846108213597213</v>
      </c>
      <c r="S382">
        <f>+bma_se!S382/data!$K382</f>
        <v>0.18570165961288207</v>
      </c>
    </row>
    <row r="383" spans="1:19" x14ac:dyDescent="0.25">
      <c r="A383">
        <f>+bma_se!A383/data!$K383</f>
        <v>-0.11893617021276591</v>
      </c>
      <c r="B383">
        <f>+bma_se!B383/data!$K383</f>
        <v>0.18456523982081013</v>
      </c>
      <c r="C383">
        <f>+bma_se!C383/data!$K383</f>
        <v>0</v>
      </c>
      <c r="D383">
        <f>+bma_se!D383/data!$K383</f>
        <v>0</v>
      </c>
      <c r="E383">
        <f>+bma_se!E383/data!$K383</f>
        <v>0</v>
      </c>
      <c r="F383">
        <f>+bma_se!F383/data!$K383</f>
        <v>0.18456523982081013</v>
      </c>
      <c r="G383">
        <f>+bma_se!G383/data!$K383</f>
        <v>0</v>
      </c>
      <c r="H383">
        <f>+bma_se!H383/data!$K383</f>
        <v>0.18456523982081013</v>
      </c>
      <c r="I383">
        <f>+bma_se!I383/data!$K383</f>
        <v>0</v>
      </c>
      <c r="J383">
        <f>+bma_se!J383/data!$K383</f>
        <v>0</v>
      </c>
      <c r="K383">
        <f>+bma_se!K383/data!$K383</f>
        <v>0.18456523982081013</v>
      </c>
      <c r="L383">
        <f>+bma_se!L383/data!$K383</f>
        <v>0</v>
      </c>
      <c r="M383">
        <f>+bma_se!M383/data!$K383</f>
        <v>0.18456523982081013</v>
      </c>
      <c r="N383">
        <f>+bma_se!N383/data!$K383</f>
        <v>0</v>
      </c>
      <c r="O383">
        <f>+bma_se!O383/data!$K383</f>
        <v>0.18456523982081013</v>
      </c>
      <c r="P383">
        <f>+bma_se!P383/data!$K383</f>
        <v>0</v>
      </c>
      <c r="Q383">
        <f>+bma_se!Q383/data!$K383</f>
        <v>1.4033231598883078</v>
      </c>
      <c r="R383">
        <f>+bma_se!R383/data!$K383</f>
        <v>0.69418678001403111</v>
      </c>
      <c r="S383">
        <f>+bma_se!S383/data!$K383</f>
        <v>0.18456523982081013</v>
      </c>
    </row>
    <row r="384" spans="1:19" x14ac:dyDescent="0.25">
      <c r="A384">
        <f>+bma_se!A384/data!$K384</f>
        <v>-0.12829787234042597</v>
      </c>
      <c r="B384">
        <f>+bma_se!B384/data!$K384</f>
        <v>0.20885869777443916</v>
      </c>
      <c r="C384">
        <f>+bma_se!C384/data!$K384</f>
        <v>0</v>
      </c>
      <c r="D384">
        <f>+bma_se!D384/data!$K384</f>
        <v>0</v>
      </c>
      <c r="E384">
        <f>+bma_se!E384/data!$K384</f>
        <v>0</v>
      </c>
      <c r="F384">
        <f>+bma_se!F384/data!$K384</f>
        <v>0.20885869777443916</v>
      </c>
      <c r="G384">
        <f>+bma_se!G384/data!$K384</f>
        <v>0</v>
      </c>
      <c r="H384">
        <f>+bma_se!H384/data!$K384</f>
        <v>0.20885869777443916</v>
      </c>
      <c r="I384">
        <f>+bma_se!I384/data!$K384</f>
        <v>0.20885869777443916</v>
      </c>
      <c r="J384">
        <f>+bma_se!J384/data!$K384</f>
        <v>0</v>
      </c>
      <c r="K384">
        <f>+bma_se!K384/data!$K384</f>
        <v>0.20885869777443916</v>
      </c>
      <c r="L384">
        <f>+bma_se!L384/data!$K384</f>
        <v>0</v>
      </c>
      <c r="M384">
        <f>+bma_se!M384/data!$K384</f>
        <v>0.20885869777443916</v>
      </c>
      <c r="N384">
        <f>+bma_se!N384/data!$K384</f>
        <v>0</v>
      </c>
      <c r="O384">
        <f>+bma_se!O384/data!$K384</f>
        <v>0.20885869777443916</v>
      </c>
      <c r="P384">
        <f>+bma_se!P384/data!$K384</f>
        <v>0</v>
      </c>
      <c r="Q384">
        <f>+bma_se!Q384/data!$K384</f>
        <v>1.5880360137994729</v>
      </c>
      <c r="R384">
        <f>+bma_se!R384/data!$K384</f>
        <v>0.78555933406922063</v>
      </c>
      <c r="S384">
        <f>+bma_se!S384/data!$K384</f>
        <v>0.20885869777443916</v>
      </c>
    </row>
    <row r="385" spans="1:19" x14ac:dyDescent="0.25">
      <c r="A385">
        <f>+bma_se!A385/data!$K385</f>
        <v>-0.12829787234042597</v>
      </c>
      <c r="B385">
        <f>+bma_se!B385/data!$K385</f>
        <v>0.20885869777443916</v>
      </c>
      <c r="C385">
        <f>+bma_se!C385/data!$K385</f>
        <v>0</v>
      </c>
      <c r="D385">
        <f>+bma_se!D385/data!$K385</f>
        <v>0</v>
      </c>
      <c r="E385">
        <f>+bma_se!E385/data!$K385</f>
        <v>0</v>
      </c>
      <c r="F385">
        <f>+bma_se!F385/data!$K385</f>
        <v>0.20885869777443916</v>
      </c>
      <c r="G385">
        <f>+bma_se!G385/data!$K385</f>
        <v>0</v>
      </c>
      <c r="H385">
        <f>+bma_se!H385/data!$K385</f>
        <v>0.20885869777443916</v>
      </c>
      <c r="I385">
        <f>+bma_se!I385/data!$K385</f>
        <v>0.20885869777443916</v>
      </c>
      <c r="J385">
        <f>+bma_se!J385/data!$K385</f>
        <v>0</v>
      </c>
      <c r="K385">
        <f>+bma_se!K385/data!$K385</f>
        <v>0.20885869777443916</v>
      </c>
      <c r="L385">
        <f>+bma_se!L385/data!$K385</f>
        <v>0</v>
      </c>
      <c r="M385">
        <f>+bma_se!M385/data!$K385</f>
        <v>0.20885869777443916</v>
      </c>
      <c r="N385">
        <f>+bma_se!N385/data!$K385</f>
        <v>0</v>
      </c>
      <c r="O385">
        <f>+bma_se!O385/data!$K385</f>
        <v>0.20885869777443916</v>
      </c>
      <c r="P385">
        <f>+bma_se!P385/data!$K385</f>
        <v>0</v>
      </c>
      <c r="Q385">
        <f>+bma_se!Q385/data!$K385</f>
        <v>1.5880360137994729</v>
      </c>
      <c r="R385">
        <f>+bma_se!R385/data!$K385</f>
        <v>0.78555933406922063</v>
      </c>
      <c r="S385">
        <f>+bma_se!S385/data!$K385</f>
        <v>0.20885869777443916</v>
      </c>
    </row>
    <row r="386" spans="1:19" x14ac:dyDescent="0.25">
      <c r="A386">
        <f>+bma_se!A386/data!$K386</f>
        <v>-0.15425531914893612</v>
      </c>
      <c r="B386">
        <f>+bma_se!B386/data!$K386</f>
        <v>0.30947208952742244</v>
      </c>
      <c r="C386">
        <f>+bma_se!C386/data!$K386</f>
        <v>0</v>
      </c>
      <c r="D386">
        <f>+bma_se!D386/data!$K386</f>
        <v>0</v>
      </c>
      <c r="E386">
        <f>+bma_se!E386/data!$K386</f>
        <v>0</v>
      </c>
      <c r="F386">
        <f>+bma_se!F386/data!$K386</f>
        <v>0.30947208952742244</v>
      </c>
      <c r="G386">
        <f>+bma_se!G386/data!$K386</f>
        <v>0</v>
      </c>
      <c r="H386">
        <f>+bma_se!H386/data!$K386</f>
        <v>0.30947208952742244</v>
      </c>
      <c r="I386">
        <f>+bma_se!I386/data!$K386</f>
        <v>0.30947208952742244</v>
      </c>
      <c r="J386">
        <f>+bma_se!J386/data!$K386</f>
        <v>0</v>
      </c>
      <c r="K386">
        <f>+bma_se!K386/data!$K386</f>
        <v>0.30947208952742244</v>
      </c>
      <c r="L386">
        <f>+bma_se!L386/data!$K386</f>
        <v>0</v>
      </c>
      <c r="M386">
        <f>+bma_se!M386/data!$K386</f>
        <v>0.30947208952742244</v>
      </c>
      <c r="N386">
        <f>+bma_se!N386/data!$K386</f>
        <v>0</v>
      </c>
      <c r="O386">
        <f>+bma_se!O386/data!$K386</f>
        <v>0.30947208952742244</v>
      </c>
      <c r="P386">
        <f>+bma_se!P386/data!$K386</f>
        <v>0</v>
      </c>
      <c r="Q386">
        <f>+bma_se!Q386/data!$K386</f>
        <v>2.3530397760407142</v>
      </c>
      <c r="R386">
        <f>+bma_se!R386/data!$K386</f>
        <v>1.1639864231305412</v>
      </c>
      <c r="S386">
        <f>+bma_se!S386/data!$K386</f>
        <v>0.30947208952742244</v>
      </c>
    </row>
    <row r="387" spans="1:19" x14ac:dyDescent="0.25">
      <c r="A387">
        <f>+bma_se!A387/data!$K387</f>
        <v>-0.15425531914893612</v>
      </c>
      <c r="B387">
        <f>+bma_se!B387/data!$K387</f>
        <v>0.30947208952742244</v>
      </c>
      <c r="C387">
        <f>+bma_se!C387/data!$K387</f>
        <v>0</v>
      </c>
      <c r="D387">
        <f>+bma_se!D387/data!$K387</f>
        <v>0</v>
      </c>
      <c r="E387">
        <f>+bma_se!E387/data!$K387</f>
        <v>0</v>
      </c>
      <c r="F387">
        <f>+bma_se!F387/data!$K387</f>
        <v>0.30947208952742244</v>
      </c>
      <c r="G387">
        <f>+bma_se!G387/data!$K387</f>
        <v>0</v>
      </c>
      <c r="H387">
        <f>+bma_se!H387/data!$K387</f>
        <v>0.30947208952742244</v>
      </c>
      <c r="I387">
        <f>+bma_se!I387/data!$K387</f>
        <v>0.30947208952742244</v>
      </c>
      <c r="J387">
        <f>+bma_se!J387/data!$K387</f>
        <v>0</v>
      </c>
      <c r="K387">
        <f>+bma_se!K387/data!$K387</f>
        <v>0.30947208952742244</v>
      </c>
      <c r="L387">
        <f>+bma_se!L387/data!$K387</f>
        <v>0</v>
      </c>
      <c r="M387">
        <f>+bma_se!M387/data!$K387</f>
        <v>0.30947208952742244</v>
      </c>
      <c r="N387">
        <f>+bma_se!N387/data!$K387</f>
        <v>0</v>
      </c>
      <c r="O387">
        <f>+bma_se!O387/data!$K387</f>
        <v>0.30947208952742244</v>
      </c>
      <c r="P387">
        <f>+bma_se!P387/data!$K387</f>
        <v>0</v>
      </c>
      <c r="Q387">
        <f>+bma_se!Q387/data!$K387</f>
        <v>2.3530397760407142</v>
      </c>
      <c r="R387">
        <f>+bma_se!R387/data!$K387</f>
        <v>1.1639864231305412</v>
      </c>
      <c r="S387">
        <f>+bma_se!S387/data!$K387</f>
        <v>0.30947208952742244</v>
      </c>
    </row>
    <row r="388" spans="1:19" x14ac:dyDescent="0.25">
      <c r="A388">
        <f>+bma_se!A388/data!$K388</f>
        <v>-0.11872340425531913</v>
      </c>
      <c r="B388">
        <f>+bma_se!B388/data!$K388</f>
        <v>0.29338288537114898</v>
      </c>
      <c r="C388">
        <f>+bma_se!C388/data!$K388</f>
        <v>0</v>
      </c>
      <c r="D388">
        <f>+bma_se!D388/data!$K388</f>
        <v>0</v>
      </c>
      <c r="E388">
        <f>+bma_se!E388/data!$K388</f>
        <v>0</v>
      </c>
      <c r="F388">
        <f>+bma_se!F388/data!$K388</f>
        <v>0.29338288537114898</v>
      </c>
      <c r="G388">
        <f>+bma_se!G388/data!$K388</f>
        <v>0</v>
      </c>
      <c r="H388">
        <f>+bma_se!H388/data!$K388</f>
        <v>0.29338288537114898</v>
      </c>
      <c r="I388">
        <f>+bma_se!I388/data!$K388</f>
        <v>0.29338288537114898</v>
      </c>
      <c r="J388">
        <f>+bma_se!J388/data!$K388</f>
        <v>0</v>
      </c>
      <c r="K388">
        <f>+bma_se!K388/data!$K388</f>
        <v>0.29338288537114898</v>
      </c>
      <c r="L388">
        <f>+bma_se!L388/data!$K388</f>
        <v>0</v>
      </c>
      <c r="M388">
        <f>+bma_se!M388/data!$K388</f>
        <v>0.29338288537114898</v>
      </c>
      <c r="N388">
        <f>+bma_se!N388/data!$K388</f>
        <v>0</v>
      </c>
      <c r="O388">
        <f>+bma_se!O388/data!$K388</f>
        <v>0.29338288537114898</v>
      </c>
      <c r="P388">
        <f>+bma_se!P388/data!$K388</f>
        <v>0</v>
      </c>
      <c r="Q388">
        <f>+bma_se!Q388/data!$K388</f>
        <v>2.2307071372481087</v>
      </c>
      <c r="R388">
        <f>+bma_se!R388/data!$K388</f>
        <v>1.1034717084579657</v>
      </c>
      <c r="S388">
        <f>+bma_se!S388/data!$K388</f>
        <v>0.29338288537114898</v>
      </c>
    </row>
    <row r="389" spans="1:19" x14ac:dyDescent="0.25">
      <c r="A389">
        <f>+bma_se!A389/data!$K389</f>
        <v>-0.11872340425531913</v>
      </c>
      <c r="B389">
        <f>+bma_se!B389/data!$K389</f>
        <v>0.29338288537114898</v>
      </c>
      <c r="C389">
        <f>+bma_se!C389/data!$K389</f>
        <v>0</v>
      </c>
      <c r="D389">
        <f>+bma_se!D389/data!$K389</f>
        <v>0</v>
      </c>
      <c r="E389">
        <f>+bma_se!E389/data!$K389</f>
        <v>0</v>
      </c>
      <c r="F389">
        <f>+bma_se!F389/data!$K389</f>
        <v>0.29338288537114898</v>
      </c>
      <c r="G389">
        <f>+bma_se!G389/data!$K389</f>
        <v>0</v>
      </c>
      <c r="H389">
        <f>+bma_se!H389/data!$K389</f>
        <v>0.29338288537114898</v>
      </c>
      <c r="I389">
        <f>+bma_se!I389/data!$K389</f>
        <v>0.29338288537114898</v>
      </c>
      <c r="J389">
        <f>+bma_se!J389/data!$K389</f>
        <v>0</v>
      </c>
      <c r="K389">
        <f>+bma_se!K389/data!$K389</f>
        <v>0.29338288537114898</v>
      </c>
      <c r="L389">
        <f>+bma_se!L389/data!$K389</f>
        <v>0</v>
      </c>
      <c r="M389">
        <f>+bma_se!M389/data!$K389</f>
        <v>0.29338288537114898</v>
      </c>
      <c r="N389">
        <f>+bma_se!N389/data!$K389</f>
        <v>0</v>
      </c>
      <c r="O389">
        <f>+bma_se!O389/data!$K389</f>
        <v>0.29338288537114898</v>
      </c>
      <c r="P389">
        <f>+bma_se!P389/data!$K389</f>
        <v>0</v>
      </c>
      <c r="Q389">
        <f>+bma_se!Q389/data!$K389</f>
        <v>2.2307071372481087</v>
      </c>
      <c r="R389">
        <f>+bma_se!R389/data!$K389</f>
        <v>1.1034717084579657</v>
      </c>
      <c r="S389">
        <f>+bma_se!S389/data!$K389</f>
        <v>0.29338288537114898</v>
      </c>
    </row>
    <row r="390" spans="1:19" x14ac:dyDescent="0.25">
      <c r="A390">
        <f>+bma_se!A390/data!$K390</f>
        <v>0.26960784313725494</v>
      </c>
      <c r="B390">
        <f>+bma_se!B390/data!$K390</f>
        <v>3.1341168435591422</v>
      </c>
      <c r="C390">
        <f>+bma_se!C390/data!$K390</f>
        <v>0</v>
      </c>
      <c r="D390">
        <f>+bma_se!D390/data!$K390</f>
        <v>3.1341168435591422</v>
      </c>
      <c r="E390">
        <f>+bma_se!E390/data!$K390</f>
        <v>0</v>
      </c>
      <c r="F390">
        <f>+bma_se!F390/data!$K390</f>
        <v>0</v>
      </c>
      <c r="G390">
        <f>+bma_se!G390/data!$K390</f>
        <v>3.1341168435591422</v>
      </c>
      <c r="H390">
        <f>+bma_se!H390/data!$K390</f>
        <v>0</v>
      </c>
      <c r="I390">
        <f>+bma_se!I390/data!$K390</f>
        <v>3.1341168435591422</v>
      </c>
      <c r="J390">
        <f>+bma_se!J390/data!$K390</f>
        <v>0</v>
      </c>
      <c r="K390">
        <f>+bma_se!K390/data!$K390</f>
        <v>0</v>
      </c>
      <c r="L390">
        <f>+bma_se!L390/data!$K390</f>
        <v>0</v>
      </c>
      <c r="M390">
        <f>+bma_se!M390/data!$K390</f>
        <v>0</v>
      </c>
      <c r="N390">
        <f>+bma_se!N390/data!$K390</f>
        <v>0</v>
      </c>
      <c r="O390">
        <f>+bma_se!O390/data!$K390</f>
        <v>0</v>
      </c>
      <c r="P390">
        <f>+bma_se!P390/data!$K390</f>
        <v>3.1341168435591422</v>
      </c>
      <c r="Q390">
        <f>+bma_se!Q390/data!$K390</f>
        <v>23.812700097444321</v>
      </c>
      <c r="R390">
        <f>+bma_se!R390/data!$K390</f>
        <v>13.88669819042819</v>
      </c>
      <c r="S390">
        <f>+bma_se!S390/data!$K390</f>
        <v>3.1341168435591422</v>
      </c>
    </row>
    <row r="391" spans="1:19" x14ac:dyDescent="0.25">
      <c r="A391">
        <f>+bma_se!A391/data!$K391</f>
        <v>0.5643564356435643</v>
      </c>
      <c r="B391">
        <f>+bma_se!B391/data!$K391</f>
        <v>3.1730896908931383</v>
      </c>
      <c r="C391">
        <f>+bma_se!C391/data!$K391</f>
        <v>0</v>
      </c>
      <c r="D391">
        <f>+bma_se!D391/data!$K391</f>
        <v>3.1730896908931383</v>
      </c>
      <c r="E391">
        <f>+bma_se!E391/data!$K391</f>
        <v>0</v>
      </c>
      <c r="F391">
        <f>+bma_se!F391/data!$K391</f>
        <v>0</v>
      </c>
      <c r="G391">
        <f>+bma_se!G391/data!$K391</f>
        <v>3.1730896908931383</v>
      </c>
      <c r="H391">
        <f>+bma_se!H391/data!$K391</f>
        <v>0</v>
      </c>
      <c r="I391">
        <f>+bma_se!I391/data!$K391</f>
        <v>3.1730896908931383</v>
      </c>
      <c r="J391">
        <f>+bma_se!J391/data!$K391</f>
        <v>0</v>
      </c>
      <c r="K391">
        <f>+bma_se!K391/data!$K391</f>
        <v>0</v>
      </c>
      <c r="L391">
        <f>+bma_se!L391/data!$K391</f>
        <v>0</v>
      </c>
      <c r="M391">
        <f>+bma_se!M391/data!$K391</f>
        <v>0</v>
      </c>
      <c r="N391">
        <f>+bma_se!N391/data!$K391</f>
        <v>0</v>
      </c>
      <c r="O391">
        <f>+bma_se!O391/data!$K391</f>
        <v>0</v>
      </c>
      <c r="P391">
        <f>+bma_se!P391/data!$K391</f>
        <v>3.1730896908931383</v>
      </c>
      <c r="Q391">
        <f>+bma_se!Q391/data!$K391</f>
        <v>24.108811816257592</v>
      </c>
      <c r="R391">
        <f>+bma_se!R391/data!$K391</f>
        <v>14.059379744934063</v>
      </c>
      <c r="S391">
        <f>+bma_se!S391/data!$K391</f>
        <v>3.1730896908931383</v>
      </c>
    </row>
    <row r="392" spans="1:19" x14ac:dyDescent="0.25">
      <c r="A392">
        <f>+bma_se!A392/data!$K392</f>
        <v>-0.8214285714285714</v>
      </c>
      <c r="B392">
        <f>+bma_se!B392/data!$K392</f>
        <v>1.1123151073141024</v>
      </c>
      <c r="C392">
        <f>+bma_se!C392/data!$K392</f>
        <v>0</v>
      </c>
      <c r="D392">
        <f>+bma_se!D392/data!$K392</f>
        <v>1.1123151073141024</v>
      </c>
      <c r="E392">
        <f>+bma_se!E392/data!$K392</f>
        <v>0</v>
      </c>
      <c r="F392">
        <f>+bma_se!F392/data!$K392</f>
        <v>0</v>
      </c>
      <c r="G392">
        <f>+bma_se!G392/data!$K392</f>
        <v>1.1123151073141024</v>
      </c>
      <c r="H392">
        <f>+bma_se!H392/data!$K392</f>
        <v>0</v>
      </c>
      <c r="I392">
        <f>+bma_se!I392/data!$K392</f>
        <v>1.1123151073141024</v>
      </c>
      <c r="J392">
        <f>+bma_se!J392/data!$K392</f>
        <v>0</v>
      </c>
      <c r="K392">
        <f>+bma_se!K392/data!$K392</f>
        <v>0</v>
      </c>
      <c r="L392">
        <f>+bma_se!L392/data!$K392</f>
        <v>0</v>
      </c>
      <c r="M392">
        <f>+bma_se!M392/data!$K392</f>
        <v>0</v>
      </c>
      <c r="N392">
        <f>+bma_se!N392/data!$K392</f>
        <v>0</v>
      </c>
      <c r="O392">
        <f>+bma_se!O392/data!$K392</f>
        <v>1.1123151073141024</v>
      </c>
      <c r="P392">
        <f>+bma_se!P392/data!$K392</f>
        <v>1.1123151073141024</v>
      </c>
      <c r="Q392">
        <f>+bma_se!Q392/data!$K392</f>
        <v>8.4557104389212885</v>
      </c>
      <c r="R392">
        <f>+bma_se!R392/data!$K392</f>
        <v>3.9224246141432655</v>
      </c>
      <c r="S392">
        <f>+bma_se!S392/data!$K392</f>
        <v>1.1123151073141024</v>
      </c>
    </row>
    <row r="393" spans="1:19" x14ac:dyDescent="0.25">
      <c r="A393">
        <f>+bma_se!A393/data!$K393</f>
        <v>-0.95408163265306134</v>
      </c>
      <c r="B393">
        <f>+bma_se!B393/data!$K393</f>
        <v>1.2135780822699176</v>
      </c>
      <c r="C393">
        <f>+bma_se!C393/data!$K393</f>
        <v>0</v>
      </c>
      <c r="D393">
        <f>+bma_se!D393/data!$K393</f>
        <v>1.2135780822699176</v>
      </c>
      <c r="E393">
        <f>+bma_se!E393/data!$K393</f>
        <v>0</v>
      </c>
      <c r="F393">
        <f>+bma_se!F393/data!$K393</f>
        <v>0</v>
      </c>
      <c r="G393">
        <f>+bma_se!G393/data!$K393</f>
        <v>1.2135780822699176</v>
      </c>
      <c r="H393">
        <f>+bma_se!H393/data!$K393</f>
        <v>0</v>
      </c>
      <c r="I393">
        <f>+bma_se!I393/data!$K393</f>
        <v>1.2135780822699176</v>
      </c>
      <c r="J393">
        <f>+bma_se!J393/data!$K393</f>
        <v>0</v>
      </c>
      <c r="K393">
        <f>+bma_se!K393/data!$K393</f>
        <v>0</v>
      </c>
      <c r="L393">
        <f>+bma_se!L393/data!$K393</f>
        <v>0</v>
      </c>
      <c r="M393">
        <f>+bma_se!M393/data!$K393</f>
        <v>0</v>
      </c>
      <c r="N393">
        <f>+bma_se!N393/data!$K393</f>
        <v>0</v>
      </c>
      <c r="O393">
        <f>+bma_se!O393/data!$K393</f>
        <v>1.2135780822699176</v>
      </c>
      <c r="P393">
        <f>+bma_se!P393/data!$K393</f>
        <v>1.2135780822699176</v>
      </c>
      <c r="Q393">
        <f>+bma_se!Q393/data!$K393</f>
        <v>9.2255016507638512</v>
      </c>
      <c r="R393">
        <f>+bma_se!R393/data!$K393</f>
        <v>4.279514419771429</v>
      </c>
      <c r="S393">
        <f>+bma_se!S393/data!$K393</f>
        <v>1.2135780822699176</v>
      </c>
    </row>
    <row r="394" spans="1:19" x14ac:dyDescent="0.25">
      <c r="A394">
        <f>+bma_se!A394/data!$K394</f>
        <v>-0.27205882352941174</v>
      </c>
      <c r="B394">
        <f>+bma_se!B394/data!$K394</f>
        <v>0.79781953063346833</v>
      </c>
      <c r="C394">
        <f>+bma_se!C394/data!$K394</f>
        <v>0</v>
      </c>
      <c r="D394">
        <f>+bma_se!D394/data!$K394</f>
        <v>0.79781953063346833</v>
      </c>
      <c r="E394">
        <f>+bma_se!E394/data!$K394</f>
        <v>0</v>
      </c>
      <c r="F394">
        <f>+bma_se!F394/data!$K394</f>
        <v>0</v>
      </c>
      <c r="G394">
        <f>+bma_se!G394/data!$K394</f>
        <v>0.79781953063346833</v>
      </c>
      <c r="H394">
        <f>+bma_se!H394/data!$K394</f>
        <v>0</v>
      </c>
      <c r="I394">
        <f>+bma_se!I394/data!$K394</f>
        <v>0.79781953063346833</v>
      </c>
      <c r="J394">
        <f>+bma_se!J394/data!$K394</f>
        <v>0</v>
      </c>
      <c r="K394">
        <f>+bma_se!K394/data!$K394</f>
        <v>0</v>
      </c>
      <c r="L394">
        <f>+bma_se!L394/data!$K394</f>
        <v>0</v>
      </c>
      <c r="M394">
        <f>+bma_se!M394/data!$K394</f>
        <v>0</v>
      </c>
      <c r="N394">
        <f>+bma_se!N394/data!$K394</f>
        <v>0</v>
      </c>
      <c r="O394">
        <f>+bma_se!O394/data!$K394</f>
        <v>0.79781953063346833</v>
      </c>
      <c r="P394">
        <f>+bma_se!P394/data!$K394</f>
        <v>0.79781953063346833</v>
      </c>
      <c r="Q394">
        <f>+bma_se!Q394/data!$K394</f>
        <v>6.0649458855616238</v>
      </c>
      <c r="R394">
        <f>+bma_se!R394/data!$K394</f>
        <v>2.8133996778641679</v>
      </c>
      <c r="S394">
        <f>+bma_se!S394/data!$K394</f>
        <v>0.79781953063346833</v>
      </c>
    </row>
    <row r="395" spans="1:19" x14ac:dyDescent="0.25">
      <c r="A395">
        <f>+bma_se!A395/data!$K395</f>
        <v>-0.6015625</v>
      </c>
      <c r="B395">
        <f>+bma_se!B395/data!$K395</f>
        <v>0.96144549580631467</v>
      </c>
      <c r="C395">
        <f>+bma_se!C395/data!$K395</f>
        <v>0</v>
      </c>
      <c r="D395">
        <f>+bma_se!D395/data!$K395</f>
        <v>0.96144549580631467</v>
      </c>
      <c r="E395">
        <f>+bma_se!E395/data!$K395</f>
        <v>0</v>
      </c>
      <c r="F395">
        <f>+bma_se!F395/data!$K395</f>
        <v>0</v>
      </c>
      <c r="G395">
        <f>+bma_se!G395/data!$K395</f>
        <v>0.96144549580631467</v>
      </c>
      <c r="H395">
        <f>+bma_se!H395/data!$K395</f>
        <v>0</v>
      </c>
      <c r="I395">
        <f>+bma_se!I395/data!$K395</f>
        <v>0.96144549580631467</v>
      </c>
      <c r="J395">
        <f>+bma_se!J395/data!$K395</f>
        <v>0</v>
      </c>
      <c r="K395">
        <f>+bma_se!K395/data!$K395</f>
        <v>0</v>
      </c>
      <c r="L395">
        <f>+bma_se!L395/data!$K395</f>
        <v>0</v>
      </c>
      <c r="M395">
        <f>+bma_se!M395/data!$K395</f>
        <v>0</v>
      </c>
      <c r="N395">
        <f>+bma_se!N395/data!$K395</f>
        <v>0</v>
      </c>
      <c r="O395">
        <f>+bma_se!O395/data!$K395</f>
        <v>0.96144549580631467</v>
      </c>
      <c r="P395">
        <f>+bma_se!P395/data!$K395</f>
        <v>0.96144549580631467</v>
      </c>
      <c r="Q395">
        <f>+bma_se!Q395/data!$K395</f>
        <v>7.3088144374610149</v>
      </c>
      <c r="R395">
        <f>+bma_se!R395/data!$K395</f>
        <v>3.3904039000370516</v>
      </c>
      <c r="S395">
        <f>+bma_se!S395/data!$K395</f>
        <v>0.96144549580631467</v>
      </c>
    </row>
    <row r="396" spans="1:19" x14ac:dyDescent="0.25">
      <c r="A396">
        <f>+bma_se!A396/data!$K396</f>
        <v>-0.55778826702629813</v>
      </c>
      <c r="B396">
        <f>+bma_se!B396/data!$K396</f>
        <v>15.068879445759469</v>
      </c>
      <c r="C396">
        <f>+bma_se!C396/data!$K396</f>
        <v>15.068879445759469</v>
      </c>
      <c r="D396">
        <f>+bma_se!D396/data!$K396</f>
        <v>0</v>
      </c>
      <c r="E396">
        <f>+bma_se!E396/data!$K396</f>
        <v>0</v>
      </c>
      <c r="F396">
        <f>+bma_se!F396/data!$K396</f>
        <v>0</v>
      </c>
      <c r="G396">
        <f>+bma_se!G396/data!$K396</f>
        <v>0</v>
      </c>
      <c r="H396">
        <f>+bma_se!H396/data!$K396</f>
        <v>15.068879445759469</v>
      </c>
      <c r="I396">
        <f>+bma_se!I396/data!$K396</f>
        <v>0</v>
      </c>
      <c r="J396">
        <f>+bma_se!J396/data!$K396</f>
        <v>15.068879445759469</v>
      </c>
      <c r="K396">
        <f>+bma_se!K396/data!$K396</f>
        <v>0</v>
      </c>
      <c r="L396">
        <f>+bma_se!L396/data!$K396</f>
        <v>0</v>
      </c>
      <c r="M396">
        <f>+bma_se!M396/data!$K396</f>
        <v>0</v>
      </c>
      <c r="N396">
        <f>+bma_se!N396/data!$K396</f>
        <v>0</v>
      </c>
      <c r="O396">
        <f>+bma_se!O396/data!$K396</f>
        <v>0</v>
      </c>
      <c r="P396">
        <f>+bma_se!P396/data!$K396</f>
        <v>15.068879445759469</v>
      </c>
      <c r="Q396">
        <f>+bma_se!Q396/data!$K396</f>
        <v>114.49935851177929</v>
      </c>
      <c r="R396">
        <f>+bma_se!R396/data!$K396</f>
        <v>66.032236591063025</v>
      </c>
      <c r="S396">
        <f>+bma_se!S396/data!$K396</f>
        <v>15.068879445759469</v>
      </c>
    </row>
    <row r="397" spans="1:19" x14ac:dyDescent="0.25">
      <c r="A397">
        <f>+bma_se!A397/data!$K397</f>
        <v>0.23583180987202926</v>
      </c>
      <c r="B397">
        <f>+bma_se!B397/data!$K397</f>
        <v>15.060398953631591</v>
      </c>
      <c r="C397">
        <f>+bma_se!C397/data!$K397</f>
        <v>15.060398953631591</v>
      </c>
      <c r="D397">
        <f>+bma_se!D397/data!$K397</f>
        <v>0</v>
      </c>
      <c r="E397">
        <f>+bma_se!E397/data!$K397</f>
        <v>0</v>
      </c>
      <c r="F397">
        <f>+bma_se!F397/data!$K397</f>
        <v>0</v>
      </c>
      <c r="G397">
        <f>+bma_se!G397/data!$K397</f>
        <v>0</v>
      </c>
      <c r="H397">
        <f>+bma_se!H397/data!$K397</f>
        <v>15.060398953631591</v>
      </c>
      <c r="I397">
        <f>+bma_se!I397/data!$K397</f>
        <v>0</v>
      </c>
      <c r="J397">
        <f>+bma_se!J397/data!$K397</f>
        <v>15.060398953631591</v>
      </c>
      <c r="K397">
        <f>+bma_se!K397/data!$K397</f>
        <v>0</v>
      </c>
      <c r="L397">
        <f>+bma_se!L397/data!$K397</f>
        <v>0</v>
      </c>
      <c r="M397">
        <f>+bma_se!M397/data!$K397</f>
        <v>0</v>
      </c>
      <c r="N397">
        <f>+bma_se!N397/data!$K397</f>
        <v>0</v>
      </c>
      <c r="O397">
        <f>+bma_se!O397/data!$K397</f>
        <v>0</v>
      </c>
      <c r="P397">
        <f>+bma_se!P397/data!$K397</f>
        <v>15.060398953631591</v>
      </c>
      <c r="Q397">
        <f>+bma_se!Q397/data!$K397</f>
        <v>114.43492034887531</v>
      </c>
      <c r="R397">
        <f>+bma_se!R397/data!$K397</f>
        <v>65.995074845585378</v>
      </c>
      <c r="S397">
        <f>+bma_se!S397/data!$K397</f>
        <v>15.060398953631591</v>
      </c>
    </row>
    <row r="398" spans="1:19" x14ac:dyDescent="0.25">
      <c r="A398">
        <f>+bma_se!A398/data!$K398</f>
        <v>-0.70393151553582756</v>
      </c>
      <c r="B398">
        <f>+bma_se!B398/data!$K398</f>
        <v>15.074996503434571</v>
      </c>
      <c r="C398">
        <f>+bma_se!C398/data!$K398</f>
        <v>15.074996503434571</v>
      </c>
      <c r="D398">
        <f>+bma_se!D398/data!$K398</f>
        <v>0</v>
      </c>
      <c r="E398">
        <f>+bma_se!E398/data!$K398</f>
        <v>0</v>
      </c>
      <c r="F398">
        <f>+bma_se!F398/data!$K398</f>
        <v>0</v>
      </c>
      <c r="G398">
        <f>+bma_se!G398/data!$K398</f>
        <v>0</v>
      </c>
      <c r="H398">
        <f>+bma_se!H398/data!$K398</f>
        <v>15.074996503434571</v>
      </c>
      <c r="I398">
        <f>+bma_se!I398/data!$K398</f>
        <v>0</v>
      </c>
      <c r="J398">
        <f>+bma_se!J398/data!$K398</f>
        <v>15.074996503434571</v>
      </c>
      <c r="K398">
        <f>+bma_se!K398/data!$K398</f>
        <v>0</v>
      </c>
      <c r="L398">
        <f>+bma_se!L398/data!$K398</f>
        <v>0</v>
      </c>
      <c r="M398">
        <f>+bma_se!M398/data!$K398</f>
        <v>0</v>
      </c>
      <c r="N398">
        <f>+bma_se!N398/data!$K398</f>
        <v>0</v>
      </c>
      <c r="O398">
        <f>+bma_se!O398/data!$K398</f>
        <v>0</v>
      </c>
      <c r="P398">
        <f>+bma_se!P398/data!$K398</f>
        <v>15.074996503434571</v>
      </c>
      <c r="Q398">
        <f>+bma_se!Q398/data!$K398</f>
        <v>114.54583835670073</v>
      </c>
      <c r="R398">
        <f>+bma_se!R398/data!$K398</f>
        <v>66.059041702955881</v>
      </c>
      <c r="S398">
        <f>+bma_se!S398/data!$K398</f>
        <v>15.074996503434571</v>
      </c>
    </row>
    <row r="399" spans="1:19" x14ac:dyDescent="0.25">
      <c r="A399">
        <f>+bma_se!A399/data!$K399</f>
        <v>-0.45600315955766196</v>
      </c>
      <c r="B399">
        <f>+bma_se!B399/data!$K399</f>
        <v>15.065455150161464</v>
      </c>
      <c r="C399">
        <f>+bma_se!C399/data!$K399</f>
        <v>15.065455150161464</v>
      </c>
      <c r="D399">
        <f>+bma_se!D399/data!$K399</f>
        <v>0</v>
      </c>
      <c r="E399">
        <f>+bma_se!E399/data!$K399</f>
        <v>0</v>
      </c>
      <c r="F399">
        <f>+bma_se!F399/data!$K399</f>
        <v>0</v>
      </c>
      <c r="G399">
        <f>+bma_se!G399/data!$K399</f>
        <v>0</v>
      </c>
      <c r="H399">
        <f>+bma_se!H399/data!$K399</f>
        <v>15.065455150161464</v>
      </c>
      <c r="I399">
        <f>+bma_se!I399/data!$K399</f>
        <v>0</v>
      </c>
      <c r="J399">
        <f>+bma_se!J399/data!$K399</f>
        <v>15.065455150161464</v>
      </c>
      <c r="K399">
        <f>+bma_se!K399/data!$K399</f>
        <v>0</v>
      </c>
      <c r="L399">
        <f>+bma_se!L399/data!$K399</f>
        <v>0</v>
      </c>
      <c r="M399">
        <f>+bma_se!M399/data!$K399</f>
        <v>0</v>
      </c>
      <c r="N399">
        <f>+bma_se!N399/data!$K399</f>
        <v>0</v>
      </c>
      <c r="O399">
        <f>+bma_se!O399/data!$K399</f>
        <v>0</v>
      </c>
      <c r="P399">
        <f>+bma_se!P399/data!$K399</f>
        <v>15.065455150161464</v>
      </c>
      <c r="Q399">
        <f>+bma_se!Q399/data!$K399</f>
        <v>114.47333934753172</v>
      </c>
      <c r="R399">
        <f>+bma_se!R399/data!$K399</f>
        <v>66.017231235296578</v>
      </c>
      <c r="S399">
        <f>+bma_se!S399/data!$K399</f>
        <v>15.065455150161464</v>
      </c>
    </row>
    <row r="400" spans="1:19" x14ac:dyDescent="0.25">
      <c r="A400">
        <f>+bma_se!A400/data!$K400</f>
        <v>-0.39124087591240875</v>
      </c>
      <c r="B400">
        <f>+bma_se!B400/data!$K400</f>
        <v>15.06363400454833</v>
      </c>
      <c r="C400">
        <f>+bma_se!C400/data!$K400</f>
        <v>15.06363400454833</v>
      </c>
      <c r="D400">
        <f>+bma_se!D400/data!$K400</f>
        <v>0</v>
      </c>
      <c r="E400">
        <f>+bma_se!E400/data!$K400</f>
        <v>0</v>
      </c>
      <c r="F400">
        <f>+bma_se!F400/data!$K400</f>
        <v>0</v>
      </c>
      <c r="G400">
        <f>+bma_se!G400/data!$K400</f>
        <v>0</v>
      </c>
      <c r="H400">
        <f>+bma_se!H400/data!$K400</f>
        <v>15.06363400454833</v>
      </c>
      <c r="I400">
        <f>+bma_se!I400/data!$K400</f>
        <v>0</v>
      </c>
      <c r="J400">
        <f>+bma_se!J400/data!$K400</f>
        <v>15.06363400454833</v>
      </c>
      <c r="K400">
        <f>+bma_se!K400/data!$K400</f>
        <v>0</v>
      </c>
      <c r="L400">
        <f>+bma_se!L400/data!$K400</f>
        <v>0</v>
      </c>
      <c r="M400">
        <f>+bma_se!M400/data!$K400</f>
        <v>0</v>
      </c>
      <c r="N400">
        <f>+bma_se!N400/data!$K400</f>
        <v>0</v>
      </c>
      <c r="O400">
        <f>+bma_se!O400/data!$K400</f>
        <v>0</v>
      </c>
      <c r="P400">
        <f>+bma_se!P400/data!$K400</f>
        <v>15.06363400454833</v>
      </c>
      <c r="Q400">
        <f>+bma_se!Q400/data!$K400</f>
        <v>114.45950155652602</v>
      </c>
      <c r="R400">
        <f>+bma_se!R400/data!$K400</f>
        <v>66.009250926048907</v>
      </c>
      <c r="S400">
        <f>+bma_se!S400/data!$K400</f>
        <v>15.06363400454833</v>
      </c>
    </row>
    <row r="401" spans="1:19" x14ac:dyDescent="0.25">
      <c r="A401">
        <f>+bma_se!A401/data!$K401</f>
        <v>-0.28800000000000042</v>
      </c>
      <c r="B401">
        <f>+bma_se!B401/data!$K401</f>
        <v>2.0983193274618617</v>
      </c>
      <c r="C401">
        <f>+bma_se!C401/data!$K401</f>
        <v>2.0983193274618617</v>
      </c>
      <c r="D401">
        <f>+bma_se!D401/data!$K401</f>
        <v>2.0983193274618617</v>
      </c>
      <c r="E401">
        <f>+bma_se!E401/data!$K401</f>
        <v>0</v>
      </c>
      <c r="F401">
        <f>+bma_se!F401/data!$K401</f>
        <v>0</v>
      </c>
      <c r="G401">
        <f>+bma_se!G401/data!$K401</f>
        <v>2.0983193274618617</v>
      </c>
      <c r="H401">
        <f>+bma_se!H401/data!$K401</f>
        <v>0</v>
      </c>
      <c r="I401">
        <f>+bma_se!I401/data!$K401</f>
        <v>0</v>
      </c>
      <c r="J401">
        <f>+bma_se!J401/data!$K401</f>
        <v>0</v>
      </c>
      <c r="K401">
        <f>+bma_se!K401/data!$K401</f>
        <v>0</v>
      </c>
      <c r="L401">
        <f>+bma_se!L401/data!$K401</f>
        <v>0</v>
      </c>
      <c r="M401">
        <f>+bma_se!M401/data!$K401</f>
        <v>0</v>
      </c>
      <c r="N401">
        <f>+bma_se!N401/data!$K401</f>
        <v>2.0983193274618617</v>
      </c>
      <c r="O401">
        <f>+bma_se!O401/data!$K401</f>
        <v>0</v>
      </c>
      <c r="P401">
        <f>+bma_se!P401/data!$K401</f>
        <v>2.0983193274618617</v>
      </c>
      <c r="Q401">
        <f>+bma_se!Q401/data!$K401</f>
        <v>15.94176286518144</v>
      </c>
      <c r="R401">
        <f>+bma_se!R401/data!$K401</f>
        <v>8.2086734703753343</v>
      </c>
      <c r="S401">
        <f>+bma_se!S401/data!$K401</f>
        <v>2.0983193274618617</v>
      </c>
    </row>
    <row r="402" spans="1:19" x14ac:dyDescent="0.25">
      <c r="A402">
        <f>+bma_se!A402/data!$K402</f>
        <v>-0.47200000000000292</v>
      </c>
      <c r="B402">
        <f>+bma_se!B402/data!$K402</f>
        <v>2.3458013556138981</v>
      </c>
      <c r="C402">
        <f>+bma_se!C402/data!$K402</f>
        <v>2.3458013556138981</v>
      </c>
      <c r="D402">
        <f>+bma_se!D402/data!$K402</f>
        <v>2.3458013556138981</v>
      </c>
      <c r="E402">
        <f>+bma_se!E402/data!$K402</f>
        <v>0</v>
      </c>
      <c r="F402">
        <f>+bma_se!F402/data!$K402</f>
        <v>0</v>
      </c>
      <c r="G402">
        <f>+bma_se!G402/data!$K402</f>
        <v>2.3458013556138981</v>
      </c>
      <c r="H402">
        <f>+bma_se!H402/data!$K402</f>
        <v>0</v>
      </c>
      <c r="I402">
        <f>+bma_se!I402/data!$K402</f>
        <v>0</v>
      </c>
      <c r="J402">
        <f>+bma_se!J402/data!$K402</f>
        <v>0</v>
      </c>
      <c r="K402">
        <f>+bma_se!K402/data!$K402</f>
        <v>0</v>
      </c>
      <c r="L402">
        <f>+bma_se!L402/data!$K402</f>
        <v>0</v>
      </c>
      <c r="M402">
        <f>+bma_se!M402/data!$K402</f>
        <v>0</v>
      </c>
      <c r="N402">
        <f>+bma_se!N402/data!$K402</f>
        <v>2.3458013556138981</v>
      </c>
      <c r="O402">
        <f>+bma_se!O402/data!$K402</f>
        <v>0</v>
      </c>
      <c r="P402">
        <f>+bma_se!P402/data!$K402</f>
        <v>2.3458013556138981</v>
      </c>
      <c r="Q402">
        <f>+bma_se!Q402/data!$K402</f>
        <v>17.82198183593561</v>
      </c>
      <c r="R402">
        <f>+bma_se!R402/data!$K402</f>
        <v>9.1768288565927492</v>
      </c>
      <c r="S402">
        <f>+bma_se!S402/data!$K402</f>
        <v>2.3458013556138981</v>
      </c>
    </row>
    <row r="403" spans="1:19" x14ac:dyDescent="0.25">
      <c r="A403">
        <f>+bma_se!A403/data!$K403</f>
        <v>-0.42800000000000099</v>
      </c>
      <c r="B403">
        <f>+bma_se!B403/data!$K403</f>
        <v>2.1220706868528203</v>
      </c>
      <c r="C403">
        <f>+bma_se!C403/data!$K403</f>
        <v>2.1220706868528203</v>
      </c>
      <c r="D403">
        <f>+bma_se!D403/data!$K403</f>
        <v>2.1220706868528203</v>
      </c>
      <c r="E403">
        <f>+bma_se!E403/data!$K403</f>
        <v>0</v>
      </c>
      <c r="F403">
        <f>+bma_se!F403/data!$K403</f>
        <v>0</v>
      </c>
      <c r="G403">
        <f>+bma_se!G403/data!$K403</f>
        <v>2.1220706868528203</v>
      </c>
      <c r="H403">
        <f>+bma_se!H403/data!$K403</f>
        <v>0</v>
      </c>
      <c r="I403">
        <f>+bma_se!I403/data!$K403</f>
        <v>0</v>
      </c>
      <c r="J403">
        <f>+bma_se!J403/data!$K403</f>
        <v>0</v>
      </c>
      <c r="K403">
        <f>+bma_se!K403/data!$K403</f>
        <v>0</v>
      </c>
      <c r="L403">
        <f>+bma_se!L403/data!$K403</f>
        <v>0</v>
      </c>
      <c r="M403">
        <f>+bma_se!M403/data!$K403</f>
        <v>0</v>
      </c>
      <c r="N403">
        <f>+bma_se!N403/data!$K403</f>
        <v>2.1220706868528203</v>
      </c>
      <c r="O403">
        <f>+bma_se!O403/data!$K403</f>
        <v>0</v>
      </c>
      <c r="P403">
        <f>+bma_se!P403/data!$K403</f>
        <v>2.1220706868528203</v>
      </c>
      <c r="Q403">
        <f>+bma_se!Q403/data!$K403</f>
        <v>16.122211348012868</v>
      </c>
      <c r="R403">
        <f>+bma_se!R403/data!$K403</f>
        <v>8.3015893345940306</v>
      </c>
      <c r="S403">
        <f>+bma_se!S403/data!$K403</f>
        <v>2.1220706868528203</v>
      </c>
    </row>
    <row r="404" spans="1:19" x14ac:dyDescent="0.25">
      <c r="A404">
        <f>+bma_se!A404/data!$K404</f>
        <v>-0.33999999999999997</v>
      </c>
      <c r="B404">
        <f>+bma_se!B404/data!$K404</f>
        <v>0.99779757466131369</v>
      </c>
      <c r="C404">
        <f>+bma_se!C404/data!$K404</f>
        <v>0.99779757466131369</v>
      </c>
      <c r="D404">
        <f>+bma_se!D404/data!$K404</f>
        <v>0.99779757466131369</v>
      </c>
      <c r="E404">
        <f>+bma_se!E404/data!$K404</f>
        <v>0</v>
      </c>
      <c r="F404">
        <f>+bma_se!F404/data!$K404</f>
        <v>0</v>
      </c>
      <c r="G404">
        <f>+bma_se!G404/data!$K404</f>
        <v>0.99779757466131369</v>
      </c>
      <c r="H404">
        <f>+bma_se!H404/data!$K404</f>
        <v>0</v>
      </c>
      <c r="I404">
        <f>+bma_se!I404/data!$K404</f>
        <v>0</v>
      </c>
      <c r="J404">
        <f>+bma_se!J404/data!$K404</f>
        <v>0</v>
      </c>
      <c r="K404">
        <f>+bma_se!K404/data!$K404</f>
        <v>0</v>
      </c>
      <c r="L404">
        <f>+bma_se!L404/data!$K404</f>
        <v>0</v>
      </c>
      <c r="M404">
        <f>+bma_se!M404/data!$K404</f>
        <v>0</v>
      </c>
      <c r="N404">
        <f>+bma_se!N404/data!$K404</f>
        <v>0.99779757466131369</v>
      </c>
      <c r="O404">
        <f>+bma_se!O404/data!$K404</f>
        <v>0</v>
      </c>
      <c r="P404">
        <f>+bma_se!P404/data!$K404</f>
        <v>0.99779757466131369</v>
      </c>
      <c r="Q404">
        <f>+bma_se!Q404/data!$K404</f>
        <v>7.5806633025415664</v>
      </c>
      <c r="R404">
        <f>+bma_se!R404/data!$K404</f>
        <v>3.9034070614192764</v>
      </c>
      <c r="S404">
        <f>+bma_se!S404/data!$K404</f>
        <v>0.99779757466131369</v>
      </c>
    </row>
    <row r="405" spans="1:19" x14ac:dyDescent="0.25">
      <c r="A405">
        <f>+bma_se!A405/data!$K405</f>
        <v>-0.9520000000000064</v>
      </c>
      <c r="B405">
        <f>+bma_se!B405/data!$K405</f>
        <v>2.542892840840921</v>
      </c>
      <c r="C405">
        <f>+bma_se!C405/data!$K405</f>
        <v>2.542892840840921</v>
      </c>
      <c r="D405">
        <f>+bma_se!D405/data!$K405</f>
        <v>2.542892840840921</v>
      </c>
      <c r="E405">
        <f>+bma_se!E405/data!$K405</f>
        <v>0</v>
      </c>
      <c r="F405">
        <f>+bma_se!F405/data!$K405</f>
        <v>0</v>
      </c>
      <c r="G405">
        <f>+bma_se!G405/data!$K405</f>
        <v>2.542892840840921</v>
      </c>
      <c r="H405">
        <f>+bma_se!H405/data!$K405</f>
        <v>0</v>
      </c>
      <c r="I405">
        <f>+bma_se!I405/data!$K405</f>
        <v>0</v>
      </c>
      <c r="J405">
        <f>+bma_se!J405/data!$K405</f>
        <v>0</v>
      </c>
      <c r="K405">
        <f>+bma_se!K405/data!$K405</f>
        <v>0</v>
      </c>
      <c r="L405">
        <f>+bma_se!L405/data!$K405</f>
        <v>0</v>
      </c>
      <c r="M405">
        <f>+bma_se!M405/data!$K405</f>
        <v>0</v>
      </c>
      <c r="N405">
        <f>+bma_se!N405/data!$K405</f>
        <v>2.542892840840921</v>
      </c>
      <c r="O405">
        <f>+bma_se!O405/data!$K405</f>
        <v>0</v>
      </c>
      <c r="P405">
        <f>+bma_se!P405/data!$K405</f>
        <v>2.542892840840921</v>
      </c>
      <c r="Q405">
        <f>+bma_se!Q405/data!$K405</f>
        <v>19.319363897433451</v>
      </c>
      <c r="R405">
        <f>+bma_se!R405/data!$K405</f>
        <v>9.9478552799050242</v>
      </c>
      <c r="S405">
        <f>+bma_se!S405/data!$K405</f>
        <v>2.542892840840921</v>
      </c>
    </row>
    <row r="406" spans="1:19" x14ac:dyDescent="0.25">
      <c r="A406">
        <f>+bma_se!A406/data!$K406</f>
        <v>-0.76666666666666661</v>
      </c>
      <c r="B406">
        <f>+bma_se!B406/data!$K406</f>
        <v>1.4828650946356812</v>
      </c>
      <c r="C406">
        <f>+bma_se!C406/data!$K406</f>
        <v>1.4828650946356812</v>
      </c>
      <c r="D406">
        <f>+bma_se!D406/data!$K406</f>
        <v>1.4828650946356812</v>
      </c>
      <c r="E406">
        <f>+bma_se!E406/data!$K406</f>
        <v>0</v>
      </c>
      <c r="F406">
        <f>+bma_se!F406/data!$K406</f>
        <v>0</v>
      </c>
      <c r="G406">
        <f>+bma_se!G406/data!$K406</f>
        <v>1.4828650946356812</v>
      </c>
      <c r="H406">
        <f>+bma_se!H406/data!$K406</f>
        <v>0</v>
      </c>
      <c r="I406">
        <f>+bma_se!I406/data!$K406</f>
        <v>1.4828650946356812</v>
      </c>
      <c r="J406">
        <f>+bma_se!J406/data!$K406</f>
        <v>0</v>
      </c>
      <c r="K406">
        <f>+bma_se!K406/data!$K406</f>
        <v>0</v>
      </c>
      <c r="L406">
        <f>+bma_se!L406/data!$K406</f>
        <v>0</v>
      </c>
      <c r="M406">
        <f>+bma_se!M406/data!$K406</f>
        <v>0</v>
      </c>
      <c r="N406">
        <f>+bma_se!N406/data!$K406</f>
        <v>1.4828650946356812</v>
      </c>
      <c r="O406">
        <f>+bma_se!O406/data!$K406</f>
        <v>0</v>
      </c>
      <c r="P406">
        <f>+bma_se!P406/data!$K406</f>
        <v>1.4828650946356812</v>
      </c>
      <c r="Q406">
        <f>+bma_se!Q406/data!$K406</f>
        <v>11.262188381407023</v>
      </c>
      <c r="R406">
        <f>+bma_se!R406/data!$K406</f>
        <v>5.3545042617916856</v>
      </c>
      <c r="S406">
        <f>+bma_se!S406/data!$K406</f>
        <v>1.4828650946356812</v>
      </c>
    </row>
    <row r="407" spans="1:19" x14ac:dyDescent="0.25">
      <c r="A407">
        <f>+bma_se!A407/data!$K407</f>
        <v>-0.76666666666666661</v>
      </c>
      <c r="B407">
        <f>+bma_se!B407/data!$K407</f>
        <v>1.4640127503998495</v>
      </c>
      <c r="C407">
        <f>+bma_se!C407/data!$K407</f>
        <v>1.4640127503998495</v>
      </c>
      <c r="D407">
        <f>+bma_se!D407/data!$K407</f>
        <v>1.4640127503998495</v>
      </c>
      <c r="E407">
        <f>+bma_se!E407/data!$K407</f>
        <v>0</v>
      </c>
      <c r="F407">
        <f>+bma_se!F407/data!$K407</f>
        <v>0</v>
      </c>
      <c r="G407">
        <f>+bma_se!G407/data!$K407</f>
        <v>1.4640127503998495</v>
      </c>
      <c r="H407">
        <f>+bma_se!H407/data!$K407</f>
        <v>0</v>
      </c>
      <c r="I407">
        <f>+bma_se!I407/data!$K407</f>
        <v>1.4640127503998495</v>
      </c>
      <c r="J407">
        <f>+bma_se!J407/data!$K407</f>
        <v>0</v>
      </c>
      <c r="K407">
        <f>+bma_se!K407/data!$K407</f>
        <v>0</v>
      </c>
      <c r="L407">
        <f>+bma_se!L407/data!$K407</f>
        <v>0</v>
      </c>
      <c r="M407">
        <f>+bma_se!M407/data!$K407</f>
        <v>0</v>
      </c>
      <c r="N407">
        <f>+bma_se!N407/data!$K407</f>
        <v>1.4640127503998495</v>
      </c>
      <c r="O407">
        <f>+bma_se!O407/data!$K407</f>
        <v>0</v>
      </c>
      <c r="P407">
        <f>+bma_se!P407/data!$K407</f>
        <v>1.4640127503998495</v>
      </c>
      <c r="Q407">
        <f>+bma_se!Q407/data!$K407</f>
        <v>11.119007013807812</v>
      </c>
      <c r="R407">
        <f>+bma_se!R407/data!$K407</f>
        <v>5.2864299926483236</v>
      </c>
      <c r="S407">
        <f>+bma_se!S407/data!$K407</f>
        <v>1.4640127503998495</v>
      </c>
    </row>
    <row r="408" spans="1:19" x14ac:dyDescent="0.25">
      <c r="A408">
        <f>+bma_se!A408/data!$K408</f>
        <v>-0.79999999999999993</v>
      </c>
      <c r="B408">
        <f>+bma_se!B408/data!$K408</f>
        <v>1.4817407180595243</v>
      </c>
      <c r="C408">
        <f>+bma_se!C408/data!$K408</f>
        <v>1.4817407180595243</v>
      </c>
      <c r="D408">
        <f>+bma_se!D408/data!$K408</f>
        <v>1.4817407180595243</v>
      </c>
      <c r="E408">
        <f>+bma_se!E408/data!$K408</f>
        <v>0</v>
      </c>
      <c r="F408">
        <f>+bma_se!F408/data!$K408</f>
        <v>0</v>
      </c>
      <c r="G408">
        <f>+bma_se!G408/data!$K408</f>
        <v>1.4817407180595243</v>
      </c>
      <c r="H408">
        <f>+bma_se!H408/data!$K408</f>
        <v>0</v>
      </c>
      <c r="I408">
        <f>+bma_se!I408/data!$K408</f>
        <v>1.4817407180595243</v>
      </c>
      <c r="J408">
        <f>+bma_se!J408/data!$K408</f>
        <v>0</v>
      </c>
      <c r="K408">
        <f>+bma_se!K408/data!$K408</f>
        <v>0</v>
      </c>
      <c r="L408">
        <f>+bma_se!L408/data!$K408</f>
        <v>0</v>
      </c>
      <c r="M408">
        <f>+bma_se!M408/data!$K408</f>
        <v>0</v>
      </c>
      <c r="N408">
        <f>+bma_se!N408/data!$K408</f>
        <v>1.4817407180595243</v>
      </c>
      <c r="O408">
        <f>+bma_se!O408/data!$K408</f>
        <v>0</v>
      </c>
      <c r="P408">
        <f>+bma_se!P408/data!$K408</f>
        <v>1.4817407180595243</v>
      </c>
      <c r="Q408">
        <f>+bma_se!Q408/data!$K408</f>
        <v>11.253648871738795</v>
      </c>
      <c r="R408">
        <f>+bma_se!R408/data!$K408</f>
        <v>5.3504442301740616</v>
      </c>
      <c r="S408">
        <f>+bma_se!S408/data!$K408</f>
        <v>1.4817407180595243</v>
      </c>
    </row>
    <row r="409" spans="1:19" x14ac:dyDescent="0.25">
      <c r="A409">
        <f>+bma_se!A409/data!$K409</f>
        <v>-0.91666666666666663</v>
      </c>
      <c r="B409">
        <f>+bma_se!B409/data!$K409</f>
        <v>1.5388487760516156</v>
      </c>
      <c r="C409">
        <f>+bma_se!C409/data!$K409</f>
        <v>1.5388487760516156</v>
      </c>
      <c r="D409">
        <f>+bma_se!D409/data!$K409</f>
        <v>1.5388487760516156</v>
      </c>
      <c r="E409">
        <f>+bma_se!E409/data!$K409</f>
        <v>0</v>
      </c>
      <c r="F409">
        <f>+bma_se!F409/data!$K409</f>
        <v>0</v>
      </c>
      <c r="G409">
        <f>+bma_se!G409/data!$K409</f>
        <v>1.5388487760516156</v>
      </c>
      <c r="H409">
        <f>+bma_se!H409/data!$K409</f>
        <v>0</v>
      </c>
      <c r="I409">
        <f>+bma_se!I409/data!$K409</f>
        <v>1.5388487760516156</v>
      </c>
      <c r="J409">
        <f>+bma_se!J409/data!$K409</f>
        <v>0</v>
      </c>
      <c r="K409">
        <f>+bma_se!K409/data!$K409</f>
        <v>0</v>
      </c>
      <c r="L409">
        <f>+bma_se!L409/data!$K409</f>
        <v>0</v>
      </c>
      <c r="M409">
        <f>+bma_se!M409/data!$K409</f>
        <v>0</v>
      </c>
      <c r="N409">
        <f>+bma_se!N409/data!$K409</f>
        <v>1.5388487760516156</v>
      </c>
      <c r="O409">
        <f>+bma_se!O409/data!$K409</f>
        <v>0</v>
      </c>
      <c r="P409">
        <f>+bma_se!P409/data!$K409</f>
        <v>1.5388487760516156</v>
      </c>
      <c r="Q409">
        <f>+bma_se!Q409/data!$K409</f>
        <v>11.687377947653999</v>
      </c>
      <c r="R409">
        <f>+bma_se!R409/data!$K409</f>
        <v>5.5566567447227477</v>
      </c>
      <c r="S409">
        <f>+bma_se!S409/data!$K409</f>
        <v>1.5388487760516156</v>
      </c>
    </row>
    <row r="410" spans="1:19" x14ac:dyDescent="0.25">
      <c r="A410">
        <f>+bma_se!A410/data!$K410</f>
        <v>4.1666666666666664E-2</v>
      </c>
      <c r="B410">
        <f>+bma_se!B410/data!$K410</f>
        <v>1.2589954108115105</v>
      </c>
      <c r="C410">
        <f>+bma_se!C410/data!$K410</f>
        <v>1.2589954108115105</v>
      </c>
      <c r="D410">
        <f>+bma_se!D410/data!$K410</f>
        <v>1.2589954108115105</v>
      </c>
      <c r="E410">
        <f>+bma_se!E410/data!$K410</f>
        <v>0</v>
      </c>
      <c r="F410">
        <f>+bma_se!F410/data!$K410</f>
        <v>0</v>
      </c>
      <c r="G410">
        <f>+bma_se!G410/data!$K410</f>
        <v>1.2589954108115105</v>
      </c>
      <c r="H410">
        <f>+bma_se!H410/data!$K410</f>
        <v>0</v>
      </c>
      <c r="I410">
        <f>+bma_se!I410/data!$K410</f>
        <v>1.2589954108115105</v>
      </c>
      <c r="J410">
        <f>+bma_se!J410/data!$K410</f>
        <v>0</v>
      </c>
      <c r="K410">
        <f>+bma_se!K410/data!$K410</f>
        <v>0</v>
      </c>
      <c r="L410">
        <f>+bma_se!L410/data!$K410</f>
        <v>0</v>
      </c>
      <c r="M410">
        <f>+bma_se!M410/data!$K410</f>
        <v>0</v>
      </c>
      <c r="N410">
        <f>+bma_se!N410/data!$K410</f>
        <v>1.2589954108115105</v>
      </c>
      <c r="O410">
        <f>+bma_se!O410/data!$K410</f>
        <v>0</v>
      </c>
      <c r="P410">
        <f>+bma_se!P410/data!$K410</f>
        <v>1.2589954108115105</v>
      </c>
      <c r="Q410">
        <f>+bma_se!Q410/data!$K410</f>
        <v>9.5619241016457703</v>
      </c>
      <c r="R410">
        <f>+bma_se!R410/data!$K410</f>
        <v>4.5461291908166777</v>
      </c>
      <c r="S410">
        <f>+bma_se!S410/data!$K410</f>
        <v>1.2589954108115105</v>
      </c>
    </row>
    <row r="411" spans="1:19" x14ac:dyDescent="0.25">
      <c r="A411">
        <f>+bma_se!A411/data!$K411</f>
        <v>-0.96666666666666645</v>
      </c>
      <c r="B411">
        <f>+bma_se!B411/data!$K411</f>
        <v>1.5867506980549209</v>
      </c>
      <c r="C411">
        <f>+bma_se!C411/data!$K411</f>
        <v>1.5867506980549209</v>
      </c>
      <c r="D411">
        <f>+bma_se!D411/data!$K411</f>
        <v>1.5867506980549209</v>
      </c>
      <c r="E411">
        <f>+bma_se!E411/data!$K411</f>
        <v>0</v>
      </c>
      <c r="F411">
        <f>+bma_se!F411/data!$K411</f>
        <v>0</v>
      </c>
      <c r="G411">
        <f>+bma_se!G411/data!$K411</f>
        <v>1.5867506980549209</v>
      </c>
      <c r="H411">
        <f>+bma_se!H411/data!$K411</f>
        <v>0</v>
      </c>
      <c r="I411">
        <f>+bma_se!I411/data!$K411</f>
        <v>1.5867506980549209</v>
      </c>
      <c r="J411">
        <f>+bma_se!J411/data!$K411</f>
        <v>0</v>
      </c>
      <c r="K411">
        <f>+bma_se!K411/data!$K411</f>
        <v>0</v>
      </c>
      <c r="L411">
        <f>+bma_se!L411/data!$K411</f>
        <v>0</v>
      </c>
      <c r="M411">
        <f>+bma_se!M411/data!$K411</f>
        <v>0</v>
      </c>
      <c r="N411">
        <f>+bma_se!N411/data!$K411</f>
        <v>1.5867506980549209</v>
      </c>
      <c r="O411">
        <f>+bma_se!O411/data!$K411</f>
        <v>0</v>
      </c>
      <c r="P411">
        <f>+bma_se!P411/data!$K411</f>
        <v>1.5867506980549209</v>
      </c>
      <c r="Q411">
        <f>+bma_se!Q411/data!$K411</f>
        <v>12.05118748864615</v>
      </c>
      <c r="R411">
        <f>+bma_se!R411/data!$K411</f>
        <v>5.7296266571190779</v>
      </c>
      <c r="S411">
        <f>+bma_se!S411/data!$K411</f>
        <v>1.5867506980549209</v>
      </c>
    </row>
    <row r="412" spans="1:19" x14ac:dyDescent="0.25">
      <c r="A412">
        <f>+bma_se!A412/data!$K412</f>
        <v>-1.7000000000000002</v>
      </c>
      <c r="B412">
        <f>+bma_se!B412/data!$K412</f>
        <v>3.6592348927063973</v>
      </c>
      <c r="C412">
        <f>+bma_se!C412/data!$K412</f>
        <v>3.6592348927063973</v>
      </c>
      <c r="D412">
        <f>+bma_se!D412/data!$K412</f>
        <v>3.6592348927063973</v>
      </c>
      <c r="E412">
        <f>+bma_se!E412/data!$K412</f>
        <v>0</v>
      </c>
      <c r="F412">
        <f>+bma_se!F412/data!$K412</f>
        <v>3.6592348927063973</v>
      </c>
      <c r="G412">
        <f>+bma_se!G412/data!$K412</f>
        <v>0</v>
      </c>
      <c r="H412">
        <f>+bma_se!H412/data!$K412</f>
        <v>3.6592348927063973</v>
      </c>
      <c r="I412">
        <f>+bma_se!I412/data!$K412</f>
        <v>0</v>
      </c>
      <c r="J412">
        <f>+bma_se!J412/data!$K412</f>
        <v>3.6592348927063973</v>
      </c>
      <c r="K412">
        <f>+bma_se!K412/data!$K412</f>
        <v>0</v>
      </c>
      <c r="L412">
        <f>+bma_se!L412/data!$K412</f>
        <v>0</v>
      </c>
      <c r="M412">
        <f>+bma_se!M412/data!$K412</f>
        <v>0</v>
      </c>
      <c r="N412">
        <f>+bma_se!N412/data!$K412</f>
        <v>0</v>
      </c>
      <c r="O412">
        <f>+bma_se!O412/data!$K412</f>
        <v>3.6592348927063973</v>
      </c>
      <c r="P412">
        <f>+bma_se!P412/data!$K412</f>
        <v>3.6592348927063973</v>
      </c>
      <c r="Q412">
        <f>+bma_se!Q412/data!$K412</f>
        <v>27.800656536908011</v>
      </c>
      <c r="R412">
        <f>+bma_se!R412/data!$K412</f>
        <v>14.009896738846315</v>
      </c>
      <c r="S412">
        <f>+bma_se!S412/data!$K412</f>
        <v>0</v>
      </c>
    </row>
    <row r="413" spans="1:19" x14ac:dyDescent="0.25">
      <c r="A413">
        <f>+bma_se!A413/data!$K413</f>
        <v>-1</v>
      </c>
      <c r="B413">
        <f>+bma_se!B413/data!$K413</f>
        <v>3.3911649915626341</v>
      </c>
      <c r="C413">
        <f>+bma_se!C413/data!$K413</f>
        <v>3.3911649915626341</v>
      </c>
      <c r="D413">
        <f>+bma_se!D413/data!$K413</f>
        <v>0</v>
      </c>
      <c r="E413">
        <f>+bma_se!E413/data!$K413</f>
        <v>3.3911649915626341</v>
      </c>
      <c r="F413">
        <f>+bma_se!F413/data!$K413</f>
        <v>3.3911649915626341</v>
      </c>
      <c r="G413">
        <f>+bma_se!G413/data!$K413</f>
        <v>0</v>
      </c>
      <c r="H413">
        <f>+bma_se!H413/data!$K413</f>
        <v>3.3911649915626341</v>
      </c>
      <c r="I413">
        <f>+bma_se!I413/data!$K413</f>
        <v>0</v>
      </c>
      <c r="J413">
        <f>+bma_se!J413/data!$K413</f>
        <v>3.3911649915626341</v>
      </c>
      <c r="K413">
        <f>+bma_se!K413/data!$K413</f>
        <v>0</v>
      </c>
      <c r="L413">
        <f>+bma_se!L413/data!$K413</f>
        <v>0</v>
      </c>
      <c r="M413">
        <f>+bma_se!M413/data!$K413</f>
        <v>0</v>
      </c>
      <c r="N413">
        <f>+bma_se!N413/data!$K413</f>
        <v>0</v>
      </c>
      <c r="O413">
        <f>+bma_se!O413/data!$K413</f>
        <v>3.3911649915626341</v>
      </c>
      <c r="P413">
        <f>+bma_se!P413/data!$K413</f>
        <v>3.3911649915626341</v>
      </c>
      <c r="Q413">
        <f>+bma_se!Q413/data!$K413</f>
        <v>25.764023342237987</v>
      </c>
      <c r="R413">
        <f>+bma_se!R413/data!$K413</f>
        <v>12.983553324461356</v>
      </c>
      <c r="S413">
        <f>+bma_se!S413/data!$K413</f>
        <v>0</v>
      </c>
    </row>
    <row r="414" spans="1:19" x14ac:dyDescent="0.25">
      <c r="A414">
        <f>+bma_se!A414/data!$K414</f>
        <v>-0.14640000000000006</v>
      </c>
      <c r="B414">
        <f>+bma_se!B414/data!$K414</f>
        <v>0.52099228401196107</v>
      </c>
      <c r="C414">
        <f>+bma_se!C414/data!$K414</f>
        <v>0</v>
      </c>
      <c r="D414">
        <f>+bma_se!D414/data!$K414</f>
        <v>0.52099228401196107</v>
      </c>
      <c r="E414">
        <f>+bma_se!E414/data!$K414</f>
        <v>0</v>
      </c>
      <c r="F414">
        <f>+bma_se!F414/data!$K414</f>
        <v>0</v>
      </c>
      <c r="G414">
        <f>+bma_se!G414/data!$K414</f>
        <v>0.52099228401196107</v>
      </c>
      <c r="H414">
        <f>+bma_se!H414/data!$K414</f>
        <v>0.52099228401196107</v>
      </c>
      <c r="I414">
        <f>+bma_se!I414/data!$K414</f>
        <v>0.52099228401196107</v>
      </c>
      <c r="J414">
        <f>+bma_se!J414/data!$K414</f>
        <v>0</v>
      </c>
      <c r="K414">
        <f>+bma_se!K414/data!$K414</f>
        <v>0</v>
      </c>
      <c r="L414">
        <f>+bma_se!L414/data!$K414</f>
        <v>0</v>
      </c>
      <c r="M414">
        <f>+bma_se!M414/data!$K414</f>
        <v>0</v>
      </c>
      <c r="N414">
        <f>+bma_se!N414/data!$K414</f>
        <v>0</v>
      </c>
      <c r="O414">
        <f>+bma_se!O414/data!$K414</f>
        <v>0</v>
      </c>
      <c r="P414">
        <f>+bma_se!P414/data!$K414</f>
        <v>0.52099228401196107</v>
      </c>
      <c r="Q414">
        <f>+bma_se!Q414/data!$K414</f>
        <v>3.9594903012470719</v>
      </c>
      <c r="R414">
        <f>+bma_se!R414/data!$K414</f>
        <v>1.5340299997438949</v>
      </c>
      <c r="S414">
        <f>+bma_se!S414/data!$K414</f>
        <v>0.52099228401196107</v>
      </c>
    </row>
    <row r="415" spans="1:19" x14ac:dyDescent="0.25">
      <c r="A415">
        <f>+bma_se!A415/data!$K415</f>
        <v>-5.2025000000000016E-2</v>
      </c>
      <c r="B415">
        <f>+bma_se!B415/data!$K415</f>
        <v>0.50269931432716308</v>
      </c>
      <c r="C415">
        <f>+bma_se!C415/data!$K415</f>
        <v>0</v>
      </c>
      <c r="D415">
        <f>+bma_se!D415/data!$K415</f>
        <v>0.50269931432716308</v>
      </c>
      <c r="E415">
        <f>+bma_se!E415/data!$K415</f>
        <v>0</v>
      </c>
      <c r="F415">
        <f>+bma_se!F415/data!$K415</f>
        <v>0</v>
      </c>
      <c r="G415">
        <f>+bma_se!G415/data!$K415</f>
        <v>0.50269931432716308</v>
      </c>
      <c r="H415">
        <f>+bma_se!H415/data!$K415</f>
        <v>0.50269931432716308</v>
      </c>
      <c r="I415">
        <f>+bma_se!I415/data!$K415</f>
        <v>0.50269931432716308</v>
      </c>
      <c r="J415">
        <f>+bma_se!J415/data!$K415</f>
        <v>0</v>
      </c>
      <c r="K415">
        <f>+bma_se!K415/data!$K415</f>
        <v>0</v>
      </c>
      <c r="L415">
        <f>+bma_se!L415/data!$K415</f>
        <v>0</v>
      </c>
      <c r="M415">
        <f>+bma_se!M415/data!$K415</f>
        <v>0</v>
      </c>
      <c r="N415">
        <f>+bma_se!N415/data!$K415</f>
        <v>0</v>
      </c>
      <c r="O415">
        <f>+bma_se!O415/data!$K415</f>
        <v>0</v>
      </c>
      <c r="P415">
        <f>+bma_se!P415/data!$K415</f>
        <v>0.50269931432716308</v>
      </c>
      <c r="Q415">
        <f>+bma_se!Q415/data!$K415</f>
        <v>3.8204655243536352</v>
      </c>
      <c r="R415">
        <f>+bma_se!R415/data!$K415</f>
        <v>1.4801674663781579</v>
      </c>
      <c r="S415">
        <f>+bma_se!S415/data!$K415</f>
        <v>0.50269931432716308</v>
      </c>
    </row>
    <row r="416" spans="1:19" x14ac:dyDescent="0.25">
      <c r="A416">
        <f>+bma_se!A416/data!$K416</f>
        <v>-0.26840833333333319</v>
      </c>
      <c r="B416">
        <f>+bma_se!B416/data!$K416</f>
        <v>0.56133643116969811</v>
      </c>
      <c r="C416">
        <f>+bma_se!C416/data!$K416</f>
        <v>0</v>
      </c>
      <c r="D416">
        <f>+bma_se!D416/data!$K416</f>
        <v>0</v>
      </c>
      <c r="E416">
        <f>+bma_se!E416/data!$K416</f>
        <v>0</v>
      </c>
      <c r="F416">
        <f>+bma_se!F416/data!$K416</f>
        <v>0</v>
      </c>
      <c r="G416">
        <f>+bma_se!G416/data!$K416</f>
        <v>0.56133643116969811</v>
      </c>
      <c r="H416">
        <f>+bma_se!H416/data!$K416</f>
        <v>0.56133643116969811</v>
      </c>
      <c r="I416">
        <f>+bma_se!I416/data!$K416</f>
        <v>0.56133643116969811</v>
      </c>
      <c r="J416">
        <f>+bma_se!J416/data!$K416</f>
        <v>0</v>
      </c>
      <c r="K416">
        <f>+bma_se!K416/data!$K416</f>
        <v>0</v>
      </c>
      <c r="L416">
        <f>+bma_se!L416/data!$K416</f>
        <v>0</v>
      </c>
      <c r="M416">
        <f>+bma_se!M416/data!$K416</f>
        <v>0</v>
      </c>
      <c r="N416">
        <f>+bma_se!N416/data!$K416</f>
        <v>0</v>
      </c>
      <c r="O416">
        <f>+bma_se!O416/data!$K416</f>
        <v>0</v>
      </c>
      <c r="P416">
        <f>+bma_se!P416/data!$K416</f>
        <v>0.56133643116969811</v>
      </c>
      <c r="Q416">
        <f>+bma_se!Q416/data!$K416</f>
        <v>4.2661018659194516</v>
      </c>
      <c r="R416">
        <f>+bma_se!R416/data!$K416</f>
        <v>1.6528208800568749</v>
      </c>
      <c r="S416">
        <f>+bma_se!S416/data!$K416</f>
        <v>0.56133643116969811</v>
      </c>
    </row>
    <row r="417" spans="1:19" x14ac:dyDescent="0.25">
      <c r="A417">
        <f>+bma_se!A417/data!$K417</f>
        <v>7.1000000000000021E-2</v>
      </c>
      <c r="B417">
        <f>+bma_se!B417/data!$K417</f>
        <v>0.49809291859607446</v>
      </c>
      <c r="C417">
        <f>+bma_se!C417/data!$K417</f>
        <v>0</v>
      </c>
      <c r="D417">
        <f>+bma_se!D417/data!$K417</f>
        <v>0.49809291859607446</v>
      </c>
      <c r="E417">
        <f>+bma_se!E417/data!$K417</f>
        <v>0</v>
      </c>
      <c r="F417">
        <f>+bma_se!F417/data!$K417</f>
        <v>0</v>
      </c>
      <c r="G417">
        <f>+bma_se!G417/data!$K417</f>
        <v>0.49809291859607446</v>
      </c>
      <c r="H417">
        <f>+bma_se!H417/data!$K417</f>
        <v>0.49809291859607446</v>
      </c>
      <c r="I417">
        <f>+bma_se!I417/data!$K417</f>
        <v>0.49809291859607446</v>
      </c>
      <c r="J417">
        <f>+bma_se!J417/data!$K417</f>
        <v>0</v>
      </c>
      <c r="K417">
        <f>+bma_se!K417/data!$K417</f>
        <v>0</v>
      </c>
      <c r="L417">
        <f>+bma_se!L417/data!$K417</f>
        <v>0</v>
      </c>
      <c r="M417">
        <f>+bma_se!M417/data!$K417</f>
        <v>0</v>
      </c>
      <c r="N417">
        <f>+bma_se!N417/data!$K417</f>
        <v>0</v>
      </c>
      <c r="O417">
        <f>+bma_se!O417/data!$K417</f>
        <v>0</v>
      </c>
      <c r="P417">
        <f>+bma_se!P417/data!$K417</f>
        <v>0.49809291859607446</v>
      </c>
      <c r="Q417">
        <f>+bma_se!Q417/data!$K417</f>
        <v>3.7854573682241432</v>
      </c>
      <c r="R417">
        <f>+bma_se!R417/data!$K417</f>
        <v>1.4666042151381067</v>
      </c>
      <c r="S417">
        <f>+bma_se!S417/data!$K417</f>
        <v>0.49809291859607446</v>
      </c>
    </row>
    <row r="418" spans="1:19" x14ac:dyDescent="0.25">
      <c r="A418">
        <f>+bma_se!A418/data!$K418</f>
        <v>-6.261666666666682E-2</v>
      </c>
      <c r="B418">
        <f>+bma_se!B418/data!$K418</f>
        <v>0.4827913769021886</v>
      </c>
      <c r="C418">
        <f>+bma_se!C418/data!$K418</f>
        <v>0</v>
      </c>
      <c r="D418">
        <f>+bma_se!D418/data!$K418</f>
        <v>0</v>
      </c>
      <c r="E418">
        <f>+bma_se!E418/data!$K418</f>
        <v>0</v>
      </c>
      <c r="F418">
        <f>+bma_se!F418/data!$K418</f>
        <v>0</v>
      </c>
      <c r="G418">
        <f>+bma_se!G418/data!$K418</f>
        <v>0.4827913769021886</v>
      </c>
      <c r="H418">
        <f>+bma_se!H418/data!$K418</f>
        <v>0.4827913769021886</v>
      </c>
      <c r="I418">
        <f>+bma_se!I418/data!$K418</f>
        <v>0.4827913769021886</v>
      </c>
      <c r="J418">
        <f>+bma_se!J418/data!$K418</f>
        <v>0</v>
      </c>
      <c r="K418">
        <f>+bma_se!K418/data!$K418</f>
        <v>0</v>
      </c>
      <c r="L418">
        <f>+bma_se!L418/data!$K418</f>
        <v>0</v>
      </c>
      <c r="M418">
        <f>+bma_se!M418/data!$K418</f>
        <v>0</v>
      </c>
      <c r="N418">
        <f>+bma_se!N418/data!$K418</f>
        <v>0</v>
      </c>
      <c r="O418">
        <f>+bma_se!O418/data!$K418</f>
        <v>0</v>
      </c>
      <c r="P418">
        <f>+bma_se!P418/data!$K418</f>
        <v>0.4827913769021886</v>
      </c>
      <c r="Q418">
        <f>+bma_se!Q418/data!$K418</f>
        <v>3.6691671509016968</v>
      </c>
      <c r="R418">
        <f>+bma_se!R418/data!$K418</f>
        <v>1.4215497590145034</v>
      </c>
      <c r="S418">
        <f>+bma_se!S418/data!$K418</f>
        <v>0.4827913769021886</v>
      </c>
    </row>
    <row r="419" spans="1:19" x14ac:dyDescent="0.25">
      <c r="A419">
        <f>+bma_se!A419/data!$K419</f>
        <v>-9.2991666666666875E-2</v>
      </c>
      <c r="B419">
        <f>+bma_se!B419/data!$K419</f>
        <v>0.48766188772151464</v>
      </c>
      <c r="C419">
        <f>+bma_se!C419/data!$K419</f>
        <v>0</v>
      </c>
      <c r="D419">
        <f>+bma_se!D419/data!$K419</f>
        <v>0</v>
      </c>
      <c r="E419">
        <f>+bma_se!E419/data!$K419</f>
        <v>0</v>
      </c>
      <c r="F419">
        <f>+bma_se!F419/data!$K419</f>
        <v>0</v>
      </c>
      <c r="G419">
        <f>+bma_se!G419/data!$K419</f>
        <v>0.48766188772151464</v>
      </c>
      <c r="H419">
        <f>+bma_se!H419/data!$K419</f>
        <v>0.48766188772151464</v>
      </c>
      <c r="I419">
        <f>+bma_se!I419/data!$K419</f>
        <v>0.48766188772151464</v>
      </c>
      <c r="J419">
        <f>+bma_se!J419/data!$K419</f>
        <v>0</v>
      </c>
      <c r="K419">
        <f>+bma_se!K419/data!$K419</f>
        <v>0</v>
      </c>
      <c r="L419">
        <f>+bma_se!L419/data!$K419</f>
        <v>0</v>
      </c>
      <c r="M419">
        <f>+bma_se!M419/data!$K419</f>
        <v>0</v>
      </c>
      <c r="N419">
        <f>+bma_se!N419/data!$K419</f>
        <v>0</v>
      </c>
      <c r="O419">
        <f>+bma_se!O419/data!$K419</f>
        <v>0</v>
      </c>
      <c r="P419">
        <f>+bma_se!P419/data!$K419</f>
        <v>0.48766188772151464</v>
      </c>
      <c r="Q419">
        <f>+bma_se!Q419/data!$K419</f>
        <v>3.7061825558185149</v>
      </c>
      <c r="R419">
        <f>+bma_se!R419/data!$K419</f>
        <v>1.4358906810208489</v>
      </c>
      <c r="S419">
        <f>+bma_se!S419/data!$K419</f>
        <v>0.48766188772151464</v>
      </c>
    </row>
    <row r="420" spans="1:19" x14ac:dyDescent="0.25">
      <c r="A420">
        <f>+bma_se!A420/data!$K420</f>
        <v>-0.21669166666666662</v>
      </c>
      <c r="B420">
        <f>+bma_se!B420/data!$K420</f>
        <v>0.5188231882105887</v>
      </c>
      <c r="C420">
        <f>+bma_se!C420/data!$K420</f>
        <v>0</v>
      </c>
      <c r="D420">
        <f>+bma_se!D420/data!$K420</f>
        <v>0</v>
      </c>
      <c r="E420">
        <f>+bma_se!E420/data!$K420</f>
        <v>0</v>
      </c>
      <c r="F420">
        <f>+bma_se!F420/data!$K420</f>
        <v>0</v>
      </c>
      <c r="G420">
        <f>+bma_se!G420/data!$K420</f>
        <v>0.5188231882105887</v>
      </c>
      <c r="H420">
        <f>+bma_se!H420/data!$K420</f>
        <v>0.5188231882105887</v>
      </c>
      <c r="I420">
        <f>+bma_se!I420/data!$K420</f>
        <v>0.5188231882105887</v>
      </c>
      <c r="J420">
        <f>+bma_se!J420/data!$K420</f>
        <v>0</v>
      </c>
      <c r="K420">
        <f>+bma_se!K420/data!$K420</f>
        <v>0</v>
      </c>
      <c r="L420">
        <f>+bma_se!L420/data!$K420</f>
        <v>0</v>
      </c>
      <c r="M420">
        <f>+bma_se!M420/data!$K420</f>
        <v>0</v>
      </c>
      <c r="N420">
        <f>+bma_se!N420/data!$K420</f>
        <v>0</v>
      </c>
      <c r="O420">
        <f>+bma_se!O420/data!$K420</f>
        <v>0</v>
      </c>
      <c r="P420">
        <f>+bma_se!P420/data!$K420</f>
        <v>0.5188231882105887</v>
      </c>
      <c r="Q420">
        <f>+bma_se!Q420/data!$K420</f>
        <v>3.9430053857280298</v>
      </c>
      <c r="R420">
        <f>+bma_se!R420/data!$K420</f>
        <v>1.5276432294715976</v>
      </c>
      <c r="S420">
        <f>+bma_se!S420/data!$K420</f>
        <v>0.5188231882105887</v>
      </c>
    </row>
    <row r="421" spans="1:19" x14ac:dyDescent="0.25">
      <c r="A421">
        <f>+bma_se!A421/data!$K421</f>
        <v>-0.38367499999999977</v>
      </c>
      <c r="B421">
        <f>+bma_se!B421/data!$K421</f>
        <v>0.60780648881631893</v>
      </c>
      <c r="C421">
        <f>+bma_se!C421/data!$K421</f>
        <v>0</v>
      </c>
      <c r="D421">
        <f>+bma_se!D421/data!$K421</f>
        <v>0</v>
      </c>
      <c r="E421">
        <f>+bma_se!E421/data!$K421</f>
        <v>0</v>
      </c>
      <c r="F421">
        <f>+bma_se!F421/data!$K421</f>
        <v>0</v>
      </c>
      <c r="G421">
        <f>+bma_se!G421/data!$K421</f>
        <v>0.60780648881631893</v>
      </c>
      <c r="H421">
        <f>+bma_se!H421/data!$K421</f>
        <v>0.60780648881631893</v>
      </c>
      <c r="I421">
        <f>+bma_se!I421/data!$K421</f>
        <v>0.60780648881631893</v>
      </c>
      <c r="J421">
        <f>+bma_se!J421/data!$K421</f>
        <v>0</v>
      </c>
      <c r="K421">
        <f>+bma_se!K421/data!$K421</f>
        <v>0</v>
      </c>
      <c r="L421">
        <f>+bma_se!L421/data!$K421</f>
        <v>0</v>
      </c>
      <c r="M421">
        <f>+bma_se!M421/data!$K421</f>
        <v>0</v>
      </c>
      <c r="N421">
        <f>+bma_se!N421/data!$K421</f>
        <v>0</v>
      </c>
      <c r="O421">
        <f>+bma_se!O421/data!$K421</f>
        <v>0</v>
      </c>
      <c r="P421">
        <f>+bma_se!P421/data!$K421</f>
        <v>0.60780648881631893</v>
      </c>
      <c r="Q421">
        <f>+bma_se!Q421/data!$K421</f>
        <v>4.6192697499681197</v>
      </c>
      <c r="R421">
        <f>+bma_se!R421/data!$K421</f>
        <v>1.7896491301238333</v>
      </c>
      <c r="S421">
        <f>+bma_se!S421/data!$K421</f>
        <v>0.60780648881631893</v>
      </c>
    </row>
    <row r="422" spans="1:19" x14ac:dyDescent="0.25">
      <c r="A422">
        <f>+bma_se!A422/data!$K422</f>
        <v>-5.7300000000000129E-2</v>
      </c>
      <c r="B422">
        <f>+bma_se!B422/data!$K422</f>
        <v>0.48213064273769896</v>
      </c>
      <c r="C422">
        <f>+bma_se!C422/data!$K422</f>
        <v>0</v>
      </c>
      <c r="D422">
        <f>+bma_se!D422/data!$K422</f>
        <v>0.48213064273769896</v>
      </c>
      <c r="E422">
        <f>+bma_se!E422/data!$K422</f>
        <v>0</v>
      </c>
      <c r="F422">
        <f>+bma_se!F422/data!$K422</f>
        <v>0</v>
      </c>
      <c r="G422">
        <f>+bma_se!G422/data!$K422</f>
        <v>0.48213064273769896</v>
      </c>
      <c r="H422">
        <f>+bma_se!H422/data!$K422</f>
        <v>0.48213064273769896</v>
      </c>
      <c r="I422">
        <f>+bma_se!I422/data!$K422</f>
        <v>0.48213064273769896</v>
      </c>
      <c r="J422">
        <f>+bma_se!J422/data!$K422</f>
        <v>0</v>
      </c>
      <c r="K422">
        <f>+bma_se!K422/data!$K422</f>
        <v>0</v>
      </c>
      <c r="L422">
        <f>+bma_se!L422/data!$K422</f>
        <v>0</v>
      </c>
      <c r="M422">
        <f>+bma_se!M422/data!$K422</f>
        <v>0</v>
      </c>
      <c r="N422">
        <f>+bma_se!N422/data!$K422</f>
        <v>0</v>
      </c>
      <c r="O422">
        <f>+bma_se!O422/data!$K422</f>
        <v>0</v>
      </c>
      <c r="P422">
        <f>+bma_se!P422/data!$K422</f>
        <v>0.48213064273769896</v>
      </c>
      <c r="Q422">
        <f>+bma_se!Q422/data!$K422</f>
        <v>3.6641456360035236</v>
      </c>
      <c r="R422">
        <f>+bma_se!R422/data!$K422</f>
        <v>1.4196042675719476</v>
      </c>
      <c r="S422">
        <f>+bma_se!S422/data!$K422</f>
        <v>0.48213064273769896</v>
      </c>
    </row>
    <row r="423" spans="1:19" x14ac:dyDescent="0.25">
      <c r="A423">
        <f>+bma_se!A423/data!$K423</f>
        <v>-3.7308333333333339E-2</v>
      </c>
      <c r="B423">
        <f>+bma_se!B423/data!$K423</f>
        <v>0.48016515742271193</v>
      </c>
      <c r="C423">
        <f>+bma_se!C423/data!$K423</f>
        <v>0</v>
      </c>
      <c r="D423">
        <f>+bma_se!D423/data!$K423</f>
        <v>0.48016515742271193</v>
      </c>
      <c r="E423">
        <f>+bma_se!E423/data!$K423</f>
        <v>0</v>
      </c>
      <c r="F423">
        <f>+bma_se!F423/data!$K423</f>
        <v>0</v>
      </c>
      <c r="G423">
        <f>+bma_se!G423/data!$K423</f>
        <v>0.48016515742271193</v>
      </c>
      <c r="H423">
        <f>+bma_se!H423/data!$K423</f>
        <v>0.48016515742271193</v>
      </c>
      <c r="I423">
        <f>+bma_se!I423/data!$K423</f>
        <v>0.48016515742271193</v>
      </c>
      <c r="J423">
        <f>+bma_se!J423/data!$K423</f>
        <v>0</v>
      </c>
      <c r="K423">
        <f>+bma_se!K423/data!$K423</f>
        <v>0</v>
      </c>
      <c r="L423">
        <f>+bma_se!L423/data!$K423</f>
        <v>0</v>
      </c>
      <c r="M423">
        <f>+bma_se!M423/data!$K423</f>
        <v>0</v>
      </c>
      <c r="N423">
        <f>+bma_se!N423/data!$K423</f>
        <v>0</v>
      </c>
      <c r="O423">
        <f>+bma_se!O423/data!$K423</f>
        <v>0</v>
      </c>
      <c r="P423">
        <f>+bma_se!P423/data!$K423</f>
        <v>0.48016515742271193</v>
      </c>
      <c r="Q423">
        <f>+bma_se!Q423/data!$K423</f>
        <v>3.6492081402271839</v>
      </c>
      <c r="R423">
        <f>+bma_se!R423/data!$K423</f>
        <v>1.4138170159565726</v>
      </c>
      <c r="S423">
        <f>+bma_se!S423/data!$K423</f>
        <v>0.48016515742271193</v>
      </c>
    </row>
    <row r="424" spans="1:19" x14ac:dyDescent="0.25">
      <c r="A424">
        <f>+bma_se!A424/data!$K424</f>
        <v>-7.0775000000000018E-2</v>
      </c>
      <c r="B424">
        <f>+bma_se!B424/data!$K424</f>
        <v>0.47668786731699214</v>
      </c>
      <c r="C424">
        <f>+bma_se!C424/data!$K424</f>
        <v>0</v>
      </c>
      <c r="D424">
        <f>+bma_se!D424/data!$K424</f>
        <v>0.47668786731699214</v>
      </c>
      <c r="E424">
        <f>+bma_se!E424/data!$K424</f>
        <v>0</v>
      </c>
      <c r="F424">
        <f>+bma_se!F424/data!$K424</f>
        <v>0</v>
      </c>
      <c r="G424">
        <f>+bma_se!G424/data!$K424</f>
        <v>0.47668786731699214</v>
      </c>
      <c r="H424">
        <f>+bma_se!H424/data!$K424</f>
        <v>0.47668786731699214</v>
      </c>
      <c r="I424">
        <f>+bma_se!I424/data!$K424</f>
        <v>0.47668786731699214</v>
      </c>
      <c r="J424">
        <f>+bma_se!J424/data!$K424</f>
        <v>0</v>
      </c>
      <c r="K424">
        <f>+bma_se!K424/data!$K424</f>
        <v>0</v>
      </c>
      <c r="L424">
        <f>+bma_se!L424/data!$K424</f>
        <v>0</v>
      </c>
      <c r="M424">
        <f>+bma_se!M424/data!$K424</f>
        <v>0</v>
      </c>
      <c r="N424">
        <f>+bma_se!N424/data!$K424</f>
        <v>0</v>
      </c>
      <c r="O424">
        <f>+bma_se!O424/data!$K424</f>
        <v>0</v>
      </c>
      <c r="P424">
        <f>+bma_se!P424/data!$K424</f>
        <v>0.47668786731699214</v>
      </c>
      <c r="Q424">
        <f>+bma_se!Q424/data!$K424</f>
        <v>3.6227810761981432</v>
      </c>
      <c r="R424">
        <f>+bma_se!R424/data!$K424</f>
        <v>1.403578347354977</v>
      </c>
      <c r="S424">
        <f>+bma_se!S424/data!$K424</f>
        <v>0.47668786731699214</v>
      </c>
    </row>
    <row r="425" spans="1:19" x14ac:dyDescent="0.25">
      <c r="A425">
        <f>+bma_se!A425/data!$K425</f>
        <v>-5.3758333333333352E-2</v>
      </c>
      <c r="B425">
        <f>+bma_se!B425/data!$K425</f>
        <v>0.47445988305124387</v>
      </c>
      <c r="C425">
        <f>+bma_se!C425/data!$K425</f>
        <v>0</v>
      </c>
      <c r="D425">
        <f>+bma_se!D425/data!$K425</f>
        <v>0.47445988305124387</v>
      </c>
      <c r="E425">
        <f>+bma_se!E425/data!$K425</f>
        <v>0</v>
      </c>
      <c r="F425">
        <f>+bma_se!F425/data!$K425</f>
        <v>0</v>
      </c>
      <c r="G425">
        <f>+bma_se!G425/data!$K425</f>
        <v>0.47445988305124387</v>
      </c>
      <c r="H425">
        <f>+bma_se!H425/data!$K425</f>
        <v>0.47445988305124387</v>
      </c>
      <c r="I425">
        <f>+bma_se!I425/data!$K425</f>
        <v>0.47445988305124387</v>
      </c>
      <c r="J425">
        <f>+bma_se!J425/data!$K425</f>
        <v>0</v>
      </c>
      <c r="K425">
        <f>+bma_se!K425/data!$K425</f>
        <v>0</v>
      </c>
      <c r="L425">
        <f>+bma_se!L425/data!$K425</f>
        <v>0</v>
      </c>
      <c r="M425">
        <f>+bma_se!M425/data!$K425</f>
        <v>0</v>
      </c>
      <c r="N425">
        <f>+bma_se!N425/data!$K425</f>
        <v>0</v>
      </c>
      <c r="O425">
        <f>+bma_se!O425/data!$K425</f>
        <v>0</v>
      </c>
      <c r="P425">
        <f>+bma_se!P425/data!$K425</f>
        <v>0.47445988305124387</v>
      </c>
      <c r="Q425">
        <f>+bma_se!Q425/data!$K425</f>
        <v>3.6058486141209145</v>
      </c>
      <c r="R425">
        <f>+bma_se!R425/data!$K425</f>
        <v>1.3970181835915216</v>
      </c>
      <c r="S425">
        <f>+bma_se!S425/data!$K425</f>
        <v>0.47445988305124387</v>
      </c>
    </row>
    <row r="426" spans="1:19" x14ac:dyDescent="0.25">
      <c r="A426">
        <f>+bma_se!A426/data!$K426</f>
        <v>-1.531012658227848</v>
      </c>
      <c r="B426">
        <f>+bma_se!B426/data!$K426</f>
        <v>55.886885758285494</v>
      </c>
      <c r="C426">
        <f>+bma_se!C426/data!$K426</f>
        <v>55.886885758285494</v>
      </c>
      <c r="D426">
        <f>+bma_se!D426/data!$K426</f>
        <v>55.886885758285494</v>
      </c>
      <c r="E426">
        <f>+bma_se!E426/data!$K426</f>
        <v>55.886885758285494</v>
      </c>
      <c r="F426">
        <f>+bma_se!F426/data!$K426</f>
        <v>55.886885758285494</v>
      </c>
      <c r="G426">
        <f>+bma_se!G426/data!$K426</f>
        <v>0</v>
      </c>
      <c r="H426">
        <f>+bma_se!H426/data!$K426</f>
        <v>0</v>
      </c>
      <c r="I426">
        <f>+bma_se!I426/data!$K426</f>
        <v>0</v>
      </c>
      <c r="J426">
        <f>+bma_se!J426/data!$K426</f>
        <v>55.886885758285494</v>
      </c>
      <c r="K426">
        <f>+bma_se!K426/data!$K426</f>
        <v>0</v>
      </c>
      <c r="L426">
        <f>+bma_se!L426/data!$K426</f>
        <v>0</v>
      </c>
      <c r="M426">
        <f>+bma_se!M426/data!$K426</f>
        <v>0</v>
      </c>
      <c r="N426">
        <f>+bma_se!N426/data!$K426</f>
        <v>0</v>
      </c>
      <c r="O426">
        <f>+bma_se!O426/data!$K426</f>
        <v>55.886885758285494</v>
      </c>
      <c r="P426">
        <f>+bma_se!P426/data!$K426</f>
        <v>55.886885758285494</v>
      </c>
      <c r="Q426">
        <f>+bma_se!Q426/data!$K426</f>
        <v>424.5106366625032</v>
      </c>
      <c r="R426">
        <f>+bma_se!R426/data!$K426</f>
        <v>248.28592890093279</v>
      </c>
      <c r="S426">
        <f>+bma_se!S426/data!$K426</f>
        <v>55.886885758285494</v>
      </c>
    </row>
    <row r="427" spans="1:19" x14ac:dyDescent="0.25">
      <c r="A427">
        <f>+bma_se!A427/data!$K427</f>
        <v>3.0303030303030307E-2</v>
      </c>
      <c r="B427">
        <f>+bma_se!B427/data!$K427</f>
        <v>1.7932635909713321</v>
      </c>
      <c r="C427">
        <f>+bma_se!C427/data!$K427</f>
        <v>1.7932635909713321</v>
      </c>
      <c r="D427">
        <f>+bma_se!D427/data!$K427</f>
        <v>1.7932635909713321</v>
      </c>
      <c r="E427">
        <f>+bma_se!E427/data!$K427</f>
        <v>0</v>
      </c>
      <c r="F427">
        <f>+bma_se!F427/data!$K427</f>
        <v>0</v>
      </c>
      <c r="G427">
        <f>+bma_se!G427/data!$K427</f>
        <v>0</v>
      </c>
      <c r="H427">
        <f>+bma_se!H427/data!$K427</f>
        <v>0</v>
      </c>
      <c r="I427">
        <f>+bma_se!I427/data!$K427</f>
        <v>0</v>
      </c>
      <c r="J427">
        <f>+bma_se!J427/data!$K427</f>
        <v>1.7932635909713321</v>
      </c>
      <c r="K427">
        <f>+bma_se!K427/data!$K427</f>
        <v>0</v>
      </c>
      <c r="L427">
        <f>+bma_se!L427/data!$K427</f>
        <v>0</v>
      </c>
      <c r="M427">
        <f>+bma_se!M427/data!$K427</f>
        <v>0</v>
      </c>
      <c r="N427">
        <f>+bma_se!N427/data!$K427</f>
        <v>0</v>
      </c>
      <c r="O427">
        <f>+bma_se!O427/data!$K427</f>
        <v>1.7932635909713321</v>
      </c>
      <c r="P427">
        <f>+bma_se!P427/data!$K427</f>
        <v>1.7932635909713321</v>
      </c>
      <c r="Q427">
        <f>+bma_se!Q427/data!$K427</f>
        <v>13.637581316659931</v>
      </c>
      <c r="R427">
        <f>+bma_se!R427/data!$K427</f>
        <v>5.5430548700267996</v>
      </c>
      <c r="S427">
        <f>+bma_se!S427/data!$K427</f>
        <v>1.7932635909713321</v>
      </c>
    </row>
    <row r="428" spans="1:19" x14ac:dyDescent="0.25">
      <c r="A428">
        <f>+bma_se!A428/data!$K428</f>
        <v>-1.2396694214876035E-2</v>
      </c>
      <c r="B428">
        <f>+bma_se!B428/data!$K428</f>
        <v>1.3787603578245384</v>
      </c>
      <c r="C428">
        <f>+bma_se!C428/data!$K428</f>
        <v>1.3787603578245384</v>
      </c>
      <c r="D428">
        <f>+bma_se!D428/data!$K428</f>
        <v>1.3787603578245384</v>
      </c>
      <c r="E428">
        <f>+bma_se!E428/data!$K428</f>
        <v>0</v>
      </c>
      <c r="F428">
        <f>+bma_se!F428/data!$K428</f>
        <v>0</v>
      </c>
      <c r="G428">
        <f>+bma_se!G428/data!$K428</f>
        <v>0</v>
      </c>
      <c r="H428">
        <f>+bma_se!H428/data!$K428</f>
        <v>0</v>
      </c>
      <c r="I428">
        <f>+bma_se!I428/data!$K428</f>
        <v>0</v>
      </c>
      <c r="J428">
        <f>+bma_se!J428/data!$K428</f>
        <v>1.3787603578245384</v>
      </c>
      <c r="K428">
        <f>+bma_se!K428/data!$K428</f>
        <v>0</v>
      </c>
      <c r="L428">
        <f>+bma_se!L428/data!$K428</f>
        <v>0</v>
      </c>
      <c r="M428">
        <f>+bma_se!M428/data!$K428</f>
        <v>0</v>
      </c>
      <c r="N428">
        <f>+bma_se!N428/data!$K428</f>
        <v>0</v>
      </c>
      <c r="O428">
        <f>+bma_se!O428/data!$K428</f>
        <v>1.3787603578245384</v>
      </c>
      <c r="P428">
        <f>+bma_se!P428/data!$K428</f>
        <v>1.3787603578245384</v>
      </c>
      <c r="Q428">
        <f>+bma_se!Q428/data!$K428</f>
        <v>10.485327751418042</v>
      </c>
      <c r="R428">
        <f>+bma_se!R428/data!$K428</f>
        <v>4.2618075527310344</v>
      </c>
      <c r="S428">
        <f>+bma_se!S428/data!$K428</f>
        <v>1.3787603578245384</v>
      </c>
    </row>
    <row r="429" spans="1:19" x14ac:dyDescent="0.25">
      <c r="A429">
        <f>+bma_se!A429/data!$K429</f>
        <v>-0.22727272727272727</v>
      </c>
      <c r="B429">
        <f>+bma_se!B429/data!$K429</f>
        <v>1.9460704207825132</v>
      </c>
      <c r="C429">
        <f>+bma_se!C429/data!$K429</f>
        <v>1.9460704207825132</v>
      </c>
      <c r="D429">
        <f>+bma_se!D429/data!$K429</f>
        <v>1.9460704207825132</v>
      </c>
      <c r="E429">
        <f>+bma_se!E429/data!$K429</f>
        <v>0</v>
      </c>
      <c r="F429">
        <f>+bma_se!F429/data!$K429</f>
        <v>0</v>
      </c>
      <c r="G429">
        <f>+bma_se!G429/data!$K429</f>
        <v>0</v>
      </c>
      <c r="H429">
        <f>+bma_se!H429/data!$K429</f>
        <v>0</v>
      </c>
      <c r="I429">
        <f>+bma_se!I429/data!$K429</f>
        <v>0</v>
      </c>
      <c r="J429">
        <f>+bma_se!J429/data!$K429</f>
        <v>1.9460704207825132</v>
      </c>
      <c r="K429">
        <f>+bma_se!K429/data!$K429</f>
        <v>0</v>
      </c>
      <c r="L429">
        <f>+bma_se!L429/data!$K429</f>
        <v>0</v>
      </c>
      <c r="M429">
        <f>+bma_se!M429/data!$K429</f>
        <v>0</v>
      </c>
      <c r="N429">
        <f>+bma_se!N429/data!$K429</f>
        <v>0</v>
      </c>
      <c r="O429">
        <f>+bma_se!O429/data!$K429</f>
        <v>1.9460704207825132</v>
      </c>
      <c r="P429">
        <f>+bma_se!P429/data!$K429</f>
        <v>1.9460704207825132</v>
      </c>
      <c r="Q429">
        <f>+bma_se!Q429/data!$K429</f>
        <v>14.799661212656831</v>
      </c>
      <c r="R429">
        <f>+bma_se!R429/data!$K429</f>
        <v>6.0153873516668428</v>
      </c>
      <c r="S429">
        <f>+bma_se!S429/data!$K429</f>
        <v>1.9460704207825132</v>
      </c>
    </row>
    <row r="430" spans="1:19" x14ac:dyDescent="0.25">
      <c r="A430">
        <f>+bma_se!A430/data!$K430</f>
        <v>-6.6518847006651885E-3</v>
      </c>
      <c r="B430">
        <f>+bma_se!B430/data!$K430</f>
        <v>1.8960710877717957</v>
      </c>
      <c r="C430">
        <f>+bma_se!C430/data!$K430</f>
        <v>1.8960710877717957</v>
      </c>
      <c r="D430">
        <f>+bma_se!D430/data!$K430</f>
        <v>1.8960710877717957</v>
      </c>
      <c r="E430">
        <f>+bma_se!E430/data!$K430</f>
        <v>0</v>
      </c>
      <c r="F430">
        <f>+bma_se!F430/data!$K430</f>
        <v>0</v>
      </c>
      <c r="G430">
        <f>+bma_se!G430/data!$K430</f>
        <v>0</v>
      </c>
      <c r="H430">
        <f>+bma_se!H430/data!$K430</f>
        <v>0</v>
      </c>
      <c r="I430">
        <f>+bma_se!I430/data!$K430</f>
        <v>0</v>
      </c>
      <c r="J430">
        <f>+bma_se!J430/data!$K430</f>
        <v>1.8960710877717957</v>
      </c>
      <c r="K430">
        <f>+bma_se!K430/data!$K430</f>
        <v>0</v>
      </c>
      <c r="L430">
        <f>+bma_se!L430/data!$K430</f>
        <v>0</v>
      </c>
      <c r="M430">
        <f>+bma_se!M430/data!$K430</f>
        <v>0</v>
      </c>
      <c r="N430">
        <f>+bma_se!N430/data!$K430</f>
        <v>0</v>
      </c>
      <c r="O430">
        <f>+bma_se!O430/data!$K430</f>
        <v>1.8960710877717957</v>
      </c>
      <c r="P430">
        <f>+bma_se!P430/data!$K430</f>
        <v>1.8960710877717957</v>
      </c>
      <c r="Q430">
        <f>+bma_se!Q430/data!$K430</f>
        <v>14.419421535040289</v>
      </c>
      <c r="R430">
        <f>+bma_se!R430/data!$K430</f>
        <v>5.8608372633593939</v>
      </c>
      <c r="S430">
        <f>+bma_se!S430/data!$K430</f>
        <v>1.8960710877717957</v>
      </c>
    </row>
    <row r="431" spans="1:19" x14ac:dyDescent="0.25">
      <c r="A431">
        <f>+bma_se!A431/data!$K431</f>
        <v>-2.3715415019762844E-2</v>
      </c>
      <c r="B431">
        <f>+bma_se!B431/data!$K431</f>
        <v>1.8874707658620673</v>
      </c>
      <c r="C431">
        <f>+bma_se!C431/data!$K431</f>
        <v>1.8874707658620673</v>
      </c>
      <c r="D431">
        <f>+bma_se!D431/data!$K431</f>
        <v>1.8874707658620673</v>
      </c>
      <c r="E431">
        <f>+bma_se!E431/data!$K431</f>
        <v>0</v>
      </c>
      <c r="F431">
        <f>+bma_se!F431/data!$K431</f>
        <v>0</v>
      </c>
      <c r="G431">
        <f>+bma_se!G431/data!$K431</f>
        <v>0</v>
      </c>
      <c r="H431">
        <f>+bma_se!H431/data!$K431</f>
        <v>0</v>
      </c>
      <c r="I431">
        <f>+bma_se!I431/data!$K431</f>
        <v>0</v>
      </c>
      <c r="J431">
        <f>+bma_se!J431/data!$K431</f>
        <v>1.8874707658620673</v>
      </c>
      <c r="K431">
        <f>+bma_se!K431/data!$K431</f>
        <v>0</v>
      </c>
      <c r="L431">
        <f>+bma_se!L431/data!$K431</f>
        <v>0</v>
      </c>
      <c r="M431">
        <f>+bma_se!M431/data!$K431</f>
        <v>0</v>
      </c>
      <c r="N431">
        <f>+bma_se!N431/data!$K431</f>
        <v>0</v>
      </c>
      <c r="O431">
        <f>+bma_se!O431/data!$K431</f>
        <v>1.8874707658620673</v>
      </c>
      <c r="P431">
        <f>+bma_se!P431/data!$K431</f>
        <v>1.8874707658620673</v>
      </c>
      <c r="Q431">
        <f>+bma_se!Q431/data!$K431</f>
        <v>14.354016989950606</v>
      </c>
      <c r="R431">
        <f>+bma_se!R431/data!$K431</f>
        <v>5.834253298522583</v>
      </c>
      <c r="S431">
        <f>+bma_se!S431/data!$K431</f>
        <v>1.8874707658620673</v>
      </c>
    </row>
    <row r="432" spans="1:19" x14ac:dyDescent="0.25">
      <c r="A432">
        <f>+bma_se!A432/data!$K432</f>
        <v>-1.515151515151515E-2</v>
      </c>
      <c r="B432">
        <f>+bma_se!B432/data!$K432</f>
        <v>1.7953746306214631</v>
      </c>
      <c r="C432">
        <f>+bma_se!C432/data!$K432</f>
        <v>1.7953746306214631</v>
      </c>
      <c r="D432">
        <f>+bma_se!D432/data!$K432</f>
        <v>1.7953746306214631</v>
      </c>
      <c r="E432">
        <f>+bma_se!E432/data!$K432</f>
        <v>0</v>
      </c>
      <c r="F432">
        <f>+bma_se!F432/data!$K432</f>
        <v>0</v>
      </c>
      <c r="G432">
        <f>+bma_se!G432/data!$K432</f>
        <v>0</v>
      </c>
      <c r="H432">
        <f>+bma_se!H432/data!$K432</f>
        <v>0</v>
      </c>
      <c r="I432">
        <f>+bma_se!I432/data!$K432</f>
        <v>0</v>
      </c>
      <c r="J432">
        <f>+bma_se!J432/data!$K432</f>
        <v>1.7953746306214631</v>
      </c>
      <c r="K432">
        <f>+bma_se!K432/data!$K432</f>
        <v>0</v>
      </c>
      <c r="L432">
        <f>+bma_se!L432/data!$K432</f>
        <v>0</v>
      </c>
      <c r="M432">
        <f>+bma_se!M432/data!$K432</f>
        <v>0</v>
      </c>
      <c r="N432">
        <f>+bma_se!N432/data!$K432</f>
        <v>0</v>
      </c>
      <c r="O432">
        <f>+bma_se!O432/data!$K432</f>
        <v>1.7953746306214631</v>
      </c>
      <c r="P432">
        <f>+bma_se!P432/data!$K432</f>
        <v>1.7953746306214631</v>
      </c>
      <c r="Q432">
        <f>+bma_se!Q432/data!$K432</f>
        <v>13.65363555154001</v>
      </c>
      <c r="R432">
        <f>+bma_se!R432/data!$K432</f>
        <v>5.5495801843600594</v>
      </c>
      <c r="S432">
        <f>+bma_se!S432/data!$K432</f>
        <v>1.7953746306214631</v>
      </c>
    </row>
    <row r="433" spans="1:19" x14ac:dyDescent="0.25">
      <c r="A433">
        <f>+bma_se!A433/data!$K433</f>
        <v>-1.2121212121212121E-2</v>
      </c>
      <c r="B433">
        <f>+bma_se!B433/data!$K433</f>
        <v>1.3817517262063386</v>
      </c>
      <c r="C433">
        <f>+bma_se!C433/data!$K433</f>
        <v>1.3817517262063386</v>
      </c>
      <c r="D433">
        <f>+bma_se!D433/data!$K433</f>
        <v>1.3817517262063386</v>
      </c>
      <c r="E433">
        <f>+bma_se!E433/data!$K433</f>
        <v>0</v>
      </c>
      <c r="F433">
        <f>+bma_se!F433/data!$K433</f>
        <v>0</v>
      </c>
      <c r="G433">
        <f>+bma_se!G433/data!$K433</f>
        <v>0</v>
      </c>
      <c r="H433">
        <f>+bma_se!H433/data!$K433</f>
        <v>0</v>
      </c>
      <c r="I433">
        <f>+bma_se!I433/data!$K433</f>
        <v>0</v>
      </c>
      <c r="J433">
        <f>+bma_se!J433/data!$K433</f>
        <v>1.3817517262063386</v>
      </c>
      <c r="K433">
        <f>+bma_se!K433/data!$K433</f>
        <v>0</v>
      </c>
      <c r="L433">
        <f>+bma_se!L433/data!$K433</f>
        <v>0</v>
      </c>
      <c r="M433">
        <f>+bma_se!M433/data!$K433</f>
        <v>0</v>
      </c>
      <c r="N433">
        <f>+bma_se!N433/data!$K433</f>
        <v>0</v>
      </c>
      <c r="O433">
        <f>+bma_se!O433/data!$K433</f>
        <v>1.3817517262063386</v>
      </c>
      <c r="P433">
        <f>+bma_se!P433/data!$K433</f>
        <v>1.3817517262063386</v>
      </c>
      <c r="Q433">
        <f>+bma_se!Q433/data!$K433</f>
        <v>10.508076793867954</v>
      </c>
      <c r="R433">
        <f>+bma_se!R433/data!$K433</f>
        <v>4.2710540010280189</v>
      </c>
      <c r="S433">
        <f>+bma_se!S433/data!$K433</f>
        <v>1.3817517262063386</v>
      </c>
    </row>
    <row r="434" spans="1:19" x14ac:dyDescent="0.25">
      <c r="A434">
        <f>+bma_se!A434/data!$K434</f>
        <v>-3.5573122529644265E-2</v>
      </c>
      <c r="B434">
        <f>+bma_se!B434/data!$K434</f>
        <v>1.9352175846501269</v>
      </c>
      <c r="C434">
        <f>+bma_se!C434/data!$K434</f>
        <v>1.9352175846501269</v>
      </c>
      <c r="D434">
        <f>+bma_se!D434/data!$K434</f>
        <v>1.9352175846501269</v>
      </c>
      <c r="E434">
        <f>+bma_se!E434/data!$K434</f>
        <v>0</v>
      </c>
      <c r="F434">
        <f>+bma_se!F434/data!$K434</f>
        <v>0</v>
      </c>
      <c r="G434">
        <f>+bma_se!G434/data!$K434</f>
        <v>0</v>
      </c>
      <c r="H434">
        <f>+bma_se!H434/data!$K434</f>
        <v>0</v>
      </c>
      <c r="I434">
        <f>+bma_se!I434/data!$K434</f>
        <v>0</v>
      </c>
      <c r="J434">
        <f>+bma_se!J434/data!$K434</f>
        <v>1.9352175846501269</v>
      </c>
      <c r="K434">
        <f>+bma_se!K434/data!$K434</f>
        <v>0</v>
      </c>
      <c r="L434">
        <f>+bma_se!L434/data!$K434</f>
        <v>0</v>
      </c>
      <c r="M434">
        <f>+bma_se!M434/data!$K434</f>
        <v>0</v>
      </c>
      <c r="N434">
        <f>+bma_se!N434/data!$K434</f>
        <v>0</v>
      </c>
      <c r="O434">
        <f>+bma_se!O434/data!$K434</f>
        <v>1.9352175846501269</v>
      </c>
      <c r="P434">
        <f>+bma_se!P434/data!$K434</f>
        <v>1.9352175846501269</v>
      </c>
      <c r="Q434">
        <f>+bma_se!Q434/data!$K434</f>
        <v>14.717126533417828</v>
      </c>
      <c r="R434">
        <f>+bma_se!R434/data!$K434</f>
        <v>5.9818407685096835</v>
      </c>
      <c r="S434">
        <f>+bma_se!S434/data!$K434</f>
        <v>1.9352175846501269</v>
      </c>
    </row>
    <row r="435" spans="1:19" x14ac:dyDescent="0.25">
      <c r="A435">
        <f>+bma_se!A435/data!$K435</f>
        <v>2.3014959723820483E-3</v>
      </c>
      <c r="B435">
        <f>+bma_se!B435/data!$K435</f>
        <v>1.8982389422851058</v>
      </c>
      <c r="C435">
        <f>+bma_se!C435/data!$K435</f>
        <v>1.8982389422851058</v>
      </c>
      <c r="D435">
        <f>+bma_se!D435/data!$K435</f>
        <v>1.8982389422851058</v>
      </c>
      <c r="E435">
        <f>+bma_se!E435/data!$K435</f>
        <v>0</v>
      </c>
      <c r="F435">
        <f>+bma_se!F435/data!$K435</f>
        <v>0</v>
      </c>
      <c r="G435">
        <f>+bma_se!G435/data!$K435</f>
        <v>0</v>
      </c>
      <c r="H435">
        <f>+bma_se!H435/data!$K435</f>
        <v>0</v>
      </c>
      <c r="I435">
        <f>+bma_se!I435/data!$K435</f>
        <v>0</v>
      </c>
      <c r="J435">
        <f>+bma_se!J435/data!$K435</f>
        <v>1.8982389422851058</v>
      </c>
      <c r="K435">
        <f>+bma_se!K435/data!$K435</f>
        <v>0</v>
      </c>
      <c r="L435">
        <f>+bma_se!L435/data!$K435</f>
        <v>0</v>
      </c>
      <c r="M435">
        <f>+bma_se!M435/data!$K435</f>
        <v>0</v>
      </c>
      <c r="N435">
        <f>+bma_se!N435/data!$K435</f>
        <v>0</v>
      </c>
      <c r="O435">
        <f>+bma_se!O435/data!$K435</f>
        <v>1.8982389422851058</v>
      </c>
      <c r="P435">
        <f>+bma_se!P435/data!$K435</f>
        <v>1.8982389422851058</v>
      </c>
      <c r="Q435">
        <f>+bma_se!Q435/data!$K435</f>
        <v>14.435907840989291</v>
      </c>
      <c r="R435">
        <f>+bma_se!R435/data!$K435</f>
        <v>5.8675381948777812</v>
      </c>
      <c r="S435">
        <f>+bma_se!S435/data!$K435</f>
        <v>1.8982389422851058</v>
      </c>
    </row>
    <row r="436" spans="1:19" x14ac:dyDescent="0.25">
      <c r="A436">
        <f>+bma_se!A436/data!$K436</f>
        <v>-1.2285012285012286E-2</v>
      </c>
      <c r="B436">
        <f>+bma_se!B436/data!$K436</f>
        <v>1.8895499081556801</v>
      </c>
      <c r="C436">
        <f>+bma_se!C436/data!$K436</f>
        <v>1.8895499081556801</v>
      </c>
      <c r="D436">
        <f>+bma_se!D436/data!$K436</f>
        <v>1.8895499081556801</v>
      </c>
      <c r="E436">
        <f>+bma_se!E436/data!$K436</f>
        <v>0</v>
      </c>
      <c r="F436">
        <f>+bma_se!F436/data!$K436</f>
        <v>0</v>
      </c>
      <c r="G436">
        <f>+bma_se!G436/data!$K436</f>
        <v>0</v>
      </c>
      <c r="H436">
        <f>+bma_se!H436/data!$K436</f>
        <v>0</v>
      </c>
      <c r="I436">
        <f>+bma_se!I436/data!$K436</f>
        <v>0</v>
      </c>
      <c r="J436">
        <f>+bma_se!J436/data!$K436</f>
        <v>1.8895499081556801</v>
      </c>
      <c r="K436">
        <f>+bma_se!K436/data!$K436</f>
        <v>0</v>
      </c>
      <c r="L436">
        <f>+bma_se!L436/data!$K436</f>
        <v>0</v>
      </c>
      <c r="M436">
        <f>+bma_se!M436/data!$K436</f>
        <v>0</v>
      </c>
      <c r="N436">
        <f>+bma_se!N436/data!$K436</f>
        <v>0</v>
      </c>
      <c r="O436">
        <f>+bma_se!O436/data!$K436</f>
        <v>1.8895499081556801</v>
      </c>
      <c r="P436">
        <f>+bma_se!P436/data!$K436</f>
        <v>1.8895499081556801</v>
      </c>
      <c r="Q436">
        <f>+bma_se!Q436/data!$K436</f>
        <v>14.369828648783594</v>
      </c>
      <c r="R436">
        <f>+bma_se!R436/data!$K436</f>
        <v>5.8406800167552584</v>
      </c>
      <c r="S436">
        <f>+bma_se!S436/data!$K436</f>
        <v>1.8895499081556801</v>
      </c>
    </row>
    <row r="437" spans="1:19" x14ac:dyDescent="0.25">
      <c r="A437">
        <f>+bma_se!A437/data!$K437</f>
        <v>-0.19696969696969696</v>
      </c>
      <c r="B437">
        <f>+bma_se!B437/data!$K437</f>
        <v>1.9448904119299102</v>
      </c>
      <c r="C437">
        <f>+bma_se!C437/data!$K437</f>
        <v>1.9448904119299102</v>
      </c>
      <c r="D437">
        <f>+bma_se!D437/data!$K437</f>
        <v>1.9448904119299102</v>
      </c>
      <c r="E437">
        <f>+bma_se!E437/data!$K437</f>
        <v>0</v>
      </c>
      <c r="F437">
        <f>+bma_se!F437/data!$K437</f>
        <v>0</v>
      </c>
      <c r="G437">
        <f>+bma_se!G437/data!$K437</f>
        <v>0</v>
      </c>
      <c r="H437">
        <f>+bma_se!H437/data!$K437</f>
        <v>0</v>
      </c>
      <c r="I437">
        <f>+bma_se!I437/data!$K437</f>
        <v>0</v>
      </c>
      <c r="J437">
        <f>+bma_se!J437/data!$K437</f>
        <v>1.9448904119299102</v>
      </c>
      <c r="K437">
        <f>+bma_se!K437/data!$K437</f>
        <v>0</v>
      </c>
      <c r="L437">
        <f>+bma_se!L437/data!$K437</f>
        <v>0</v>
      </c>
      <c r="M437">
        <f>+bma_se!M437/data!$K437</f>
        <v>0</v>
      </c>
      <c r="N437">
        <f>+bma_se!N437/data!$K437</f>
        <v>0</v>
      </c>
      <c r="O437">
        <f>+bma_se!O437/data!$K437</f>
        <v>1.9448904119299102</v>
      </c>
      <c r="P437">
        <f>+bma_se!P437/data!$K437</f>
        <v>1.9448904119299102</v>
      </c>
      <c r="Q437">
        <f>+bma_se!Q437/data!$K437</f>
        <v>14.790687369233716</v>
      </c>
      <c r="R437">
        <f>+bma_se!R437/data!$K437</f>
        <v>6.0117398935630657</v>
      </c>
      <c r="S437">
        <f>+bma_se!S437/data!$K437</f>
        <v>1.9448904119299102</v>
      </c>
    </row>
    <row r="438" spans="1:19" x14ac:dyDescent="0.25">
      <c r="A438">
        <f>+bma_se!A438/data!$K438</f>
        <v>-1.27</v>
      </c>
      <c r="B438">
        <f>+bma_se!B438/data!$K438</f>
        <v>10.982390450170673</v>
      </c>
      <c r="C438">
        <f>+bma_se!C438/data!$K438</f>
        <v>10.982390450170673</v>
      </c>
      <c r="D438">
        <f>+bma_se!D438/data!$K438</f>
        <v>10.982390450170673</v>
      </c>
      <c r="E438">
        <f>+bma_se!E438/data!$K438</f>
        <v>0</v>
      </c>
      <c r="F438">
        <f>+bma_se!F438/data!$K438</f>
        <v>0</v>
      </c>
      <c r="G438">
        <f>+bma_se!G438/data!$K438</f>
        <v>10.982390450170673</v>
      </c>
      <c r="H438">
        <f>+bma_se!H438/data!$K438</f>
        <v>0</v>
      </c>
      <c r="I438">
        <f>+bma_se!I438/data!$K438</f>
        <v>10.982390450170673</v>
      </c>
      <c r="J438">
        <f>+bma_se!J438/data!$K438</f>
        <v>10.982390450170673</v>
      </c>
      <c r="K438">
        <f>+bma_se!K438/data!$K438</f>
        <v>0</v>
      </c>
      <c r="L438">
        <f>+bma_se!L438/data!$K438</f>
        <v>0</v>
      </c>
      <c r="M438">
        <f>+bma_se!M438/data!$K438</f>
        <v>0</v>
      </c>
      <c r="N438">
        <f>+bma_se!N438/data!$K438</f>
        <v>0</v>
      </c>
      <c r="O438">
        <f>+bma_se!O438/data!$K438</f>
        <v>10.982390450170673</v>
      </c>
      <c r="P438">
        <f>+bma_se!P438/data!$K438</f>
        <v>10.982390450170673</v>
      </c>
      <c r="Q438">
        <f>+bma_se!Q438/data!$K438</f>
        <v>83.376792727813623</v>
      </c>
      <c r="R438">
        <f>+bma_se!R438/data!$K438</f>
        <v>28.983154394256069</v>
      </c>
      <c r="S438">
        <f>+bma_se!S438/data!$K438</f>
        <v>10.982390450170673</v>
      </c>
    </row>
    <row r="439" spans="1:19" x14ac:dyDescent="0.25">
      <c r="A439">
        <f>+bma_se!A439/data!$K439</f>
        <v>-2.4361969805895036</v>
      </c>
      <c r="B439">
        <f>+bma_se!B439/data!$K439</f>
        <v>4.1152224397027943</v>
      </c>
      <c r="C439">
        <f>+bma_se!C439/data!$K439</f>
        <v>4.1152224397027943</v>
      </c>
      <c r="D439">
        <f>+bma_se!D439/data!$K439</f>
        <v>4.1152224397027943</v>
      </c>
      <c r="E439">
        <f>+bma_se!E439/data!$K439</f>
        <v>0</v>
      </c>
      <c r="F439">
        <f>+bma_se!F439/data!$K439</f>
        <v>4.1152224397027943</v>
      </c>
      <c r="G439">
        <f>+bma_se!G439/data!$K439</f>
        <v>0</v>
      </c>
      <c r="H439">
        <f>+bma_se!H439/data!$K439</f>
        <v>0</v>
      </c>
      <c r="I439">
        <f>+bma_se!I439/data!$K439</f>
        <v>4.1152224397027943</v>
      </c>
      <c r="J439">
        <f>+bma_se!J439/data!$K439</f>
        <v>4.1152224397027943</v>
      </c>
      <c r="K439">
        <f>+bma_se!K439/data!$K439</f>
        <v>0</v>
      </c>
      <c r="L439">
        <f>+bma_se!L439/data!$K439</f>
        <v>4.1152224397027943</v>
      </c>
      <c r="M439">
        <f>+bma_se!M439/data!$K439</f>
        <v>0</v>
      </c>
      <c r="N439">
        <f>+bma_se!N439/data!$K439</f>
        <v>0</v>
      </c>
      <c r="O439">
        <f>+bma_se!O439/data!$K439</f>
        <v>0</v>
      </c>
      <c r="P439">
        <f>+bma_se!P439/data!$K439</f>
        <v>4.1152224397027943</v>
      </c>
      <c r="Q439">
        <f>+bma_se!Q439/data!$K439</f>
        <v>31.233883996976292</v>
      </c>
      <c r="R439">
        <f>+bma_se!R439/data!$K439</f>
        <v>14.746977801901316</v>
      </c>
      <c r="S439">
        <f>+bma_se!S439/data!$K439</f>
        <v>4.1152224397027943</v>
      </c>
    </row>
    <row r="440" spans="1:19" x14ac:dyDescent="0.25">
      <c r="A440">
        <f>+bma_se!A440/data!$K440</f>
        <v>-2.2836719337848006</v>
      </c>
      <c r="B440">
        <f>+bma_se!B440/data!$K440</f>
        <v>4.02680487497922</v>
      </c>
      <c r="C440">
        <f>+bma_se!C440/data!$K440</f>
        <v>4.02680487497922</v>
      </c>
      <c r="D440">
        <f>+bma_se!D440/data!$K440</f>
        <v>4.02680487497922</v>
      </c>
      <c r="E440">
        <f>+bma_se!E440/data!$K440</f>
        <v>0</v>
      </c>
      <c r="F440">
        <f>+bma_se!F440/data!$K440</f>
        <v>4.02680487497922</v>
      </c>
      <c r="G440">
        <f>+bma_se!G440/data!$K440</f>
        <v>0</v>
      </c>
      <c r="H440">
        <f>+bma_se!H440/data!$K440</f>
        <v>0</v>
      </c>
      <c r="I440">
        <f>+bma_se!I440/data!$K440</f>
        <v>4.02680487497922</v>
      </c>
      <c r="J440">
        <f>+bma_se!J440/data!$K440</f>
        <v>4.02680487497922</v>
      </c>
      <c r="K440">
        <f>+bma_se!K440/data!$K440</f>
        <v>0</v>
      </c>
      <c r="L440">
        <f>+bma_se!L440/data!$K440</f>
        <v>4.02680487497922</v>
      </c>
      <c r="M440">
        <f>+bma_se!M440/data!$K440</f>
        <v>0</v>
      </c>
      <c r="N440">
        <f>+bma_se!N440/data!$K440</f>
        <v>0</v>
      </c>
      <c r="O440">
        <f>+bma_se!O440/data!$K440</f>
        <v>0</v>
      </c>
      <c r="P440">
        <f>+bma_se!P440/data!$K440</f>
        <v>4.02680487497922</v>
      </c>
      <c r="Q440">
        <f>+bma_se!Q440/data!$K440</f>
        <v>30.562808739117155</v>
      </c>
      <c r="R440">
        <f>+bma_se!R440/data!$K440</f>
        <v>14.430131778780657</v>
      </c>
      <c r="S440">
        <f>+bma_se!S440/data!$K440</f>
        <v>4.02680487497922</v>
      </c>
    </row>
    <row r="441" spans="1:19" x14ac:dyDescent="0.25">
      <c r="A441">
        <f>+bma_se!A441/data!$K441</f>
        <v>-3.4848484848484849</v>
      </c>
      <c r="B441">
        <f>+bma_se!B441/data!$K441</f>
        <v>27.388759901871257</v>
      </c>
      <c r="C441">
        <f>+bma_se!C441/data!$K441</f>
        <v>0</v>
      </c>
      <c r="D441">
        <f>+bma_se!D441/data!$K441</f>
        <v>0</v>
      </c>
      <c r="E441">
        <f>+bma_se!E441/data!$K441</f>
        <v>27.388759901871257</v>
      </c>
      <c r="F441">
        <f>+bma_se!F441/data!$K441</f>
        <v>0</v>
      </c>
      <c r="G441">
        <f>+bma_se!G441/data!$K441</f>
        <v>27.388759901871257</v>
      </c>
      <c r="H441">
        <f>+bma_se!H441/data!$K441</f>
        <v>27.388759901871257</v>
      </c>
      <c r="I441">
        <f>+bma_se!I441/data!$K441</f>
        <v>27.388759901871257</v>
      </c>
      <c r="J441">
        <f>+bma_se!J441/data!$K441</f>
        <v>0</v>
      </c>
      <c r="K441">
        <f>+bma_se!K441/data!$K441</f>
        <v>27.388759901871257</v>
      </c>
      <c r="L441">
        <f>+bma_se!L441/data!$K441</f>
        <v>0</v>
      </c>
      <c r="M441">
        <f>+bma_se!M441/data!$K441</f>
        <v>0</v>
      </c>
      <c r="N441">
        <f>+bma_se!N441/data!$K441</f>
        <v>0</v>
      </c>
      <c r="O441">
        <f>+bma_se!O441/data!$K441</f>
        <v>27.388759901871257</v>
      </c>
      <c r="P441">
        <f>+bma_se!P441/data!$K441</f>
        <v>27.388759901871257</v>
      </c>
      <c r="Q441">
        <f>+bma_se!Q441/data!$K441</f>
        <v>208.1518911557512</v>
      </c>
      <c r="R441">
        <f>+bma_se!R441/data!$K441</f>
        <v>108.74137432832025</v>
      </c>
      <c r="S441">
        <f>+bma_se!S441/data!$K441</f>
        <v>27.388759901871257</v>
      </c>
    </row>
    <row r="442" spans="1:19" x14ac:dyDescent="0.25">
      <c r="A442">
        <f>+bma_se!A442/data!$K442</f>
        <v>1.3500000000000061</v>
      </c>
      <c r="B442">
        <f>+bma_se!B442/data!$K442</f>
        <v>3.7513330963805411</v>
      </c>
      <c r="C442">
        <f>+bma_se!C442/data!$K442</f>
        <v>3.7513330963805411</v>
      </c>
      <c r="D442">
        <f>+bma_se!D442/data!$K442</f>
        <v>3.7513330963805411</v>
      </c>
      <c r="E442">
        <f>+bma_se!E442/data!$K442</f>
        <v>0</v>
      </c>
      <c r="F442">
        <f>+bma_se!F442/data!$K442</f>
        <v>3.7513330963805411</v>
      </c>
      <c r="G442">
        <f>+bma_se!G442/data!$K442</f>
        <v>0</v>
      </c>
      <c r="H442">
        <f>+bma_se!H442/data!$K442</f>
        <v>0</v>
      </c>
      <c r="I442">
        <f>+bma_se!I442/data!$K442</f>
        <v>3.7513330963805411</v>
      </c>
      <c r="J442">
        <f>+bma_se!J442/data!$K442</f>
        <v>3.7513330963805411</v>
      </c>
      <c r="K442">
        <f>+bma_se!K442/data!$K442</f>
        <v>0</v>
      </c>
      <c r="L442">
        <f>+bma_se!L442/data!$K442</f>
        <v>0</v>
      </c>
      <c r="M442">
        <f>+bma_se!M442/data!$K442</f>
        <v>0</v>
      </c>
      <c r="N442">
        <f>+bma_se!N442/data!$K442</f>
        <v>0</v>
      </c>
      <c r="O442">
        <f>+bma_se!O442/data!$K442</f>
        <v>3.7513330963805411</v>
      </c>
      <c r="P442">
        <f>+bma_se!P442/data!$K442</f>
        <v>3.7513330963805411</v>
      </c>
      <c r="Q442">
        <f>+bma_se!Q442/data!$K442</f>
        <v>28.456821337859449</v>
      </c>
      <c r="R442">
        <f>+bma_se!R442/data!$K442</f>
        <v>16.880286180424122</v>
      </c>
      <c r="S442">
        <f>+bma_se!S442/data!$K442</f>
        <v>0</v>
      </c>
    </row>
    <row r="443" spans="1:19" x14ac:dyDescent="0.25">
      <c r="A443">
        <f>+bma_se!A443/data!$K443</f>
        <v>3.5</v>
      </c>
      <c r="B443">
        <f>+bma_se!B443/data!$K443</f>
        <v>4.9497474683058327</v>
      </c>
      <c r="C443">
        <f>+bma_se!C443/data!$K443</f>
        <v>4.9497474683058327</v>
      </c>
      <c r="D443">
        <f>+bma_se!D443/data!$K443</f>
        <v>4.9497474683058327</v>
      </c>
      <c r="E443">
        <f>+bma_se!E443/data!$K443</f>
        <v>0</v>
      </c>
      <c r="F443">
        <f>+bma_se!F443/data!$K443</f>
        <v>4.9497474683058327</v>
      </c>
      <c r="G443">
        <f>+bma_se!G443/data!$K443</f>
        <v>0</v>
      </c>
      <c r="H443">
        <f>+bma_se!H443/data!$K443</f>
        <v>0</v>
      </c>
      <c r="I443">
        <f>+bma_se!I443/data!$K443</f>
        <v>4.9497474683058327</v>
      </c>
      <c r="J443">
        <f>+bma_se!J443/data!$K443</f>
        <v>4.9497474683058327</v>
      </c>
      <c r="K443">
        <f>+bma_se!K443/data!$K443</f>
        <v>0</v>
      </c>
      <c r="L443">
        <f>+bma_se!L443/data!$K443</f>
        <v>0</v>
      </c>
      <c r="M443">
        <f>+bma_se!M443/data!$K443</f>
        <v>0</v>
      </c>
      <c r="N443">
        <f>+bma_se!N443/data!$K443</f>
        <v>0</v>
      </c>
      <c r="O443">
        <f>+bma_se!O443/data!$K443</f>
        <v>4.9497474683058327</v>
      </c>
      <c r="P443">
        <f>+bma_se!P443/data!$K443</f>
        <v>4.9497474683058327</v>
      </c>
      <c r="Q443">
        <f>+bma_se!Q443/data!$K443</f>
        <v>37.547739897852232</v>
      </c>
      <c r="R443">
        <f>+bma_se!R443/data!$K443</f>
        <v>22.272923155357269</v>
      </c>
      <c r="S443">
        <f>+bma_se!S443/data!$K443</f>
        <v>4.9497474683058327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bma_nobs</vt:lpstr>
      <vt:lpstr>bma</vt:lpstr>
      <vt:lpstr>bma_se</vt:lpstr>
      <vt:lpstr>bma_nobsse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Tomas Havranek</cp:lastModifiedBy>
  <dcterms:created xsi:type="dcterms:W3CDTF">2016-11-22T10:36:38Z</dcterms:created>
  <dcterms:modified xsi:type="dcterms:W3CDTF">2017-04-20T10:56:25Z</dcterms:modified>
</cp:coreProperties>
</file>